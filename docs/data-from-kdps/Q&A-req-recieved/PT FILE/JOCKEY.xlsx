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</sheets>
  <definedNames>
    <definedName name="PT0407HO" localSheetId="0">Sheet1!$A$1:$EP$8</definedName>
  </definedNames>
  <calcPr calcId="144525"/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3" i="1"/>
  <c r="M4" i="1"/>
  <c r="M5" i="1"/>
  <c r="M6" i="1"/>
  <c r="M7" i="1"/>
  <c r="M8" i="1"/>
  <c r="M3" i="1"/>
</calcChain>
</file>

<file path=xl/connections.xml><?xml version="1.0" encoding="utf-8"?>
<connections xmlns="http://schemas.openxmlformats.org/spreadsheetml/2006/main">
  <connection id="1" name="PT0407HO" type="6" refreshedVersion="4" background="1" saveData="1">
    <textPr codePage="437" sourceFile="D:\shoper9\Out\PT0407HO.6EY" semicolon="1">
      <textFields count="14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<sst xmlns="http://schemas.openxmlformats.org/spreadsheetml/2006/main" count="42" uniqueCount="27">
  <si>
    <t>6EY</t>
  </si>
  <si>
    <t>BR-D D DEVELOPERS PVT LID - JFH</t>
  </si>
  <si>
    <t>JCRS26/10</t>
  </si>
  <si>
    <t>Bikini</t>
  </si>
  <si>
    <t>BIKINI</t>
  </si>
  <si>
    <t>DASTD</t>
  </si>
  <si>
    <t>S</t>
  </si>
  <si>
    <t>1525-0310-DASTD</t>
  </si>
  <si>
    <t>M</t>
  </si>
  <si>
    <t>L</t>
  </si>
  <si>
    <t>DKPTD</t>
  </si>
  <si>
    <t>1525-0310-DKPTD</t>
  </si>
  <si>
    <t>S.N</t>
  </si>
  <si>
    <t>STOCK NO.</t>
  </si>
  <si>
    <t>STYLE DISC</t>
  </si>
  <si>
    <t>STYLE CODE</t>
  </si>
  <si>
    <t>COLOUR</t>
  </si>
  <si>
    <t>PRODUCE NAME</t>
  </si>
  <si>
    <t>HSN CODE</t>
  </si>
  <si>
    <t>SIZE</t>
  </si>
  <si>
    <t>QTY</t>
  </si>
  <si>
    <t>MRP</t>
  </si>
  <si>
    <t>RATE</t>
  </si>
  <si>
    <t>TAXABLE AMOUNT</t>
  </si>
  <si>
    <t>CGST(2.5%)</t>
  </si>
  <si>
    <t>SGST(2.5%)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</si>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</sst>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T0407H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8"/>
  <sheetViews>
    <sheetView tabSelected="1" workbookViewId="0">
      <selection activeCell="F1" sqref="F1:G1"/>
    </sheetView>
  </sheetViews>
  <sheetFormatPr defaultRowHeight="15" x14ac:dyDescent="0.25"/>
  <cols>
    <col min="1" max="1" width="4" bestFit="1" customWidth="1"/>
    <col min="2" max="2" width="18.42578125" customWidth="1"/>
    <col min="3" max="3" width="19.140625" customWidth="1"/>
    <col min="4" max="4" width="14.140625" bestFit="1" customWidth="1"/>
    <col min="5" max="5" width="30.85546875" bestFit="1" customWidth="1"/>
    <col min="6" max="6" width="15.7109375" bestFit="1" customWidth="1"/>
    <col min="7" max="8" width="10.7109375" bestFit="1" customWidth="1"/>
    <col min="9" max="9" width="8.85546875" bestFit="1" customWidth="1"/>
    <col min="10" max="10" width="5" bestFit="1" customWidth="1"/>
    <col min="11" max="11" width="8" bestFit="1" customWidth="1"/>
    <col min="12" max="12" width="17.85546875" bestFit="1" customWidth="1"/>
    <col min="13" max="13" width="11.140625" bestFit="1" customWidth="1"/>
    <col min="14" max="14" width="11" bestFit="1" customWidth="1"/>
    <col min="15" max="15" width="13.140625" customWidth="1"/>
    <col min="16" max="17" width="7" bestFit="1" customWidth="1"/>
    <col min="18" max="18" width="4" bestFit="1" customWidth="1"/>
    <col min="19" max="20" width="2" bestFit="1" customWidth="1"/>
    <col min="21" max="21" width="7" bestFit="1" customWidth="1"/>
    <col min="22" max="22" width="9" bestFit="1" customWidth="1"/>
    <col min="23" max="25" width="2" bestFit="1" customWidth="1"/>
    <col min="26" max="26" width="9" bestFit="1" customWidth="1"/>
    <col min="27" max="27" width="16.42578125" bestFit="1" customWidth="1"/>
    <col min="28" max="28" width="1.42578125" bestFit="1" customWidth="1"/>
    <col min="30" max="30" width="6.140625" bestFit="1" customWidth="1"/>
    <col min="31" max="31" width="6.5703125" bestFit="1" customWidth="1"/>
    <col min="32" max="36" width="2" bestFit="1" customWidth="1"/>
    <col min="37" max="37" width="5.42578125" bestFit="1" customWidth="1"/>
    <col min="38" max="41" width="2" bestFit="1" customWidth="1"/>
    <col min="43" max="44" width="11.140625" bestFit="1" customWidth="1"/>
    <col min="45" max="45" width="4" bestFit="1" customWidth="1"/>
    <col min="46" max="46" width="7" bestFit="1" customWidth="1"/>
    <col min="47" max="48" width="2" bestFit="1" customWidth="1"/>
    <col min="49" max="49" width="2.42578125" bestFit="1" customWidth="1"/>
    <col min="50" max="51" width="3.28515625" bestFit="1" customWidth="1"/>
    <col min="52" max="53" width="2" bestFit="1" customWidth="1"/>
    <col min="54" max="55" width="16.42578125" bestFit="1" customWidth="1"/>
    <col min="56" max="57" width="3" bestFit="1" customWidth="1"/>
    <col min="58" max="58" width="2" bestFit="1" customWidth="1"/>
    <col min="59" max="59" width="4" bestFit="1" customWidth="1"/>
    <col min="60" max="63" width="3.7109375" bestFit="1" customWidth="1"/>
    <col min="64" max="64" width="1.42578125" bestFit="1" customWidth="1"/>
    <col min="65" max="65" width="2" bestFit="1" customWidth="1"/>
    <col min="68" max="68" width="12" bestFit="1" customWidth="1"/>
    <col min="69" max="69" width="2" bestFit="1" customWidth="1"/>
    <col min="70" max="70" width="7" bestFit="1" customWidth="1"/>
    <col min="71" max="74" width="2" bestFit="1" customWidth="1"/>
    <col min="75" max="75" width="5" bestFit="1" customWidth="1"/>
    <col min="76" max="77" width="9.5703125" bestFit="1" customWidth="1"/>
    <col min="78" max="78" width="2" bestFit="1" customWidth="1"/>
    <col min="79" max="79" width="1.42578125" bestFit="1" customWidth="1"/>
    <col min="80" max="80" width="4" bestFit="1" customWidth="1"/>
    <col min="81" max="81" width="1.42578125" bestFit="1" customWidth="1"/>
    <col min="82" max="82" width="5.42578125" bestFit="1" customWidth="1"/>
    <col min="83" max="83" width="1.42578125" bestFit="1" customWidth="1"/>
    <col min="84" max="84" width="3.7109375" bestFit="1" customWidth="1"/>
    <col min="85" max="85" width="1.42578125" bestFit="1" customWidth="1"/>
    <col min="86" max="86" width="3.7109375" bestFit="1" customWidth="1"/>
    <col min="87" max="87" width="1.42578125" bestFit="1" customWidth="1"/>
    <col min="88" max="88" width="5.42578125" bestFit="1" customWidth="1"/>
    <col min="89" max="89" width="1.42578125" bestFit="1" customWidth="1"/>
    <col min="90" max="90" width="9" bestFit="1" customWidth="1"/>
    <col min="91" max="91" width="1.42578125" bestFit="1" customWidth="1"/>
    <col min="92" max="92" width="5.42578125" bestFit="1" customWidth="1"/>
    <col min="93" max="93" width="1.42578125" bestFit="1" customWidth="1"/>
    <col min="94" max="94" width="2" bestFit="1" customWidth="1"/>
    <col min="95" max="95" width="1.42578125" bestFit="1" customWidth="1"/>
    <col min="96" max="96" width="5.42578125" bestFit="1" customWidth="1"/>
    <col min="97" max="97" width="1.42578125" bestFit="1" customWidth="1"/>
    <col min="98" max="98" width="5.42578125" bestFit="1" customWidth="1"/>
    <col min="99" max="99" width="1.42578125" bestFit="1" customWidth="1"/>
    <col min="100" max="100" width="5.42578125" bestFit="1" customWidth="1"/>
    <col min="101" max="101" width="1.42578125" bestFit="1" customWidth="1"/>
    <col min="102" max="102" width="5.42578125" bestFit="1" customWidth="1"/>
    <col min="103" max="103" width="1.42578125" bestFit="1" customWidth="1"/>
    <col min="104" max="104" width="5.42578125" bestFit="1" customWidth="1"/>
    <col min="105" max="105" width="1.42578125" bestFit="1" customWidth="1"/>
    <col min="106" max="106" width="5.42578125" bestFit="1" customWidth="1"/>
    <col min="107" max="107" width="1.42578125" bestFit="1" customWidth="1"/>
    <col min="108" max="108" width="5.42578125" bestFit="1" customWidth="1"/>
    <col min="109" max="109" width="1.42578125" bestFit="1" customWidth="1"/>
    <col min="110" max="110" width="5.42578125" bestFit="1" customWidth="1"/>
    <col min="111" max="111" width="1.42578125" bestFit="1" customWidth="1"/>
    <col min="112" max="112" width="5.42578125" bestFit="1" customWidth="1"/>
    <col min="113" max="113" width="1.42578125" bestFit="1" customWidth="1"/>
    <col min="114" max="114" width="5.42578125" bestFit="1" customWidth="1"/>
    <col min="115" max="115" width="1.42578125" bestFit="1" customWidth="1"/>
    <col min="116" max="116" width="5.42578125" bestFit="1" customWidth="1"/>
    <col min="117" max="117" width="1.42578125" bestFit="1" customWidth="1"/>
    <col min="118" max="118" width="5.42578125" bestFit="1" customWidth="1"/>
    <col min="119" max="119" width="1.42578125" bestFit="1" customWidth="1"/>
    <col min="120" max="120" width="5.42578125" bestFit="1" customWidth="1"/>
    <col min="121" max="121" width="1.42578125" bestFit="1" customWidth="1"/>
    <col min="122" max="122" width="5.42578125" bestFit="1" customWidth="1"/>
    <col min="123" max="123" width="1.42578125" bestFit="1" customWidth="1"/>
    <col min="124" max="124" width="5.42578125" bestFit="1" customWidth="1"/>
    <col min="125" max="125" width="1.42578125" bestFit="1" customWidth="1"/>
    <col min="126" max="126" width="5.42578125" bestFit="1" customWidth="1"/>
    <col min="127" max="127" width="1.42578125" bestFit="1" customWidth="1"/>
    <col min="128" max="129" width="9" bestFit="1" customWidth="1"/>
    <col min="130" max="130" width="2" bestFit="1" customWidth="1"/>
    <col min="131" max="131" width="1.42578125" bestFit="1" customWidth="1"/>
    <col min="132" max="132" width="2" bestFit="1" customWidth="1"/>
    <col min="133" max="134" width="10.7109375" bestFit="1" customWidth="1"/>
    <col min="135" max="137" width="2" bestFit="1" customWidth="1"/>
    <col min="138" max="138" width="4" bestFit="1" customWidth="1"/>
    <col min="141" max="141" width="2" bestFit="1" customWidth="1"/>
    <col min="142" max="142" width="14.42578125" bestFit="1" customWidth="1"/>
    <col min="143" max="143" width="2" bestFit="1" customWidth="1"/>
    <col min="144" max="145" width="14.28515625" bestFit="1" customWidth="1"/>
    <col min="146" max="146" width="2" bestFit="1" customWidth="1"/>
  </cols>
  <sheetData>
    <row r="1" spans="1:134" x14ac:dyDescent="0.25">
      <c r="A1">
        <v>1</v>
      </c>
      <c r="B1">
        <v>10</v>
      </c>
      <c r="C1">
        <v>0</v>
      </c>
      <c r="D1" t="s">
        <v>0</v>
      </c>
      <c r="E1" t="s">
        <v>1</v>
      </c>
      <c r="F1" s="3" t="s">
        <v>2</v>
      </c>
      <c r="G1" s="9">
        <v>46118</v>
      </c>
      <c r="H1" s="1">
        <v>46118</v>
      </c>
      <c r="I1">
        <v>23098.2</v>
      </c>
      <c r="J1">
        <v>6</v>
      </c>
      <c r="K1">
        <v>1154.9100000000001</v>
      </c>
      <c r="L1">
        <v>0</v>
      </c>
      <c r="M1">
        <v>0</v>
      </c>
      <c r="N1">
        <v>0.11</v>
      </c>
      <c r="O1">
        <v>24253</v>
      </c>
      <c r="AE1" s="2"/>
    </row>
    <row r="2" spans="1:134" x14ac:dyDescent="0.25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5" t="s">
        <v>17</v>
      </c>
      <c r="G2" s="5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AE2" s="2"/>
    </row>
    <row r="3" spans="1:134" x14ac:dyDescent="0.25">
      <c r="A3" s="6">
        <v>1</v>
      </c>
      <c r="B3" s="7">
        <v>8901326303023</v>
      </c>
      <c r="C3" s="6" t="s">
        <v>7</v>
      </c>
      <c r="D3" s="6">
        <v>1525</v>
      </c>
      <c r="E3" s="6" t="s">
        <v>5</v>
      </c>
      <c r="F3" s="6" t="s">
        <v>3</v>
      </c>
      <c r="G3" s="6">
        <v>61082100</v>
      </c>
      <c r="H3" s="6" t="s">
        <v>6</v>
      </c>
      <c r="I3" s="6">
        <v>10</v>
      </c>
      <c r="J3" s="6">
        <v>549</v>
      </c>
      <c r="K3" s="6">
        <v>368.2</v>
      </c>
      <c r="L3" s="6">
        <v>3682</v>
      </c>
      <c r="M3" s="8">
        <f>L3*2.5%</f>
        <v>92.050000000000011</v>
      </c>
      <c r="N3" s="8">
        <v>92.050000000000011</v>
      </c>
      <c r="O3" s="8">
        <f>L3+M3+N3</f>
        <v>3866.1000000000004</v>
      </c>
      <c r="EC3" s="1"/>
      <c r="ED3" s="1"/>
    </row>
    <row r="4" spans="1:134" x14ac:dyDescent="0.25">
      <c r="A4" s="6">
        <v>2</v>
      </c>
      <c r="B4" s="7">
        <v>8901326303030</v>
      </c>
      <c r="C4" s="6" t="s">
        <v>7</v>
      </c>
      <c r="D4" s="6">
        <v>1525</v>
      </c>
      <c r="E4" s="6" t="s">
        <v>5</v>
      </c>
      <c r="F4" s="6" t="s">
        <v>3</v>
      </c>
      <c r="G4" s="6">
        <v>61082100</v>
      </c>
      <c r="H4" s="6" t="s">
        <v>8</v>
      </c>
      <c r="I4" s="6">
        <v>10</v>
      </c>
      <c r="J4" s="6">
        <v>549</v>
      </c>
      <c r="K4" s="6">
        <v>368.2</v>
      </c>
      <c r="L4" s="6">
        <v>3682</v>
      </c>
      <c r="M4" s="8">
        <f t="shared" ref="M4:M8" si="0">L4*2.5%</f>
        <v>92.050000000000011</v>
      </c>
      <c r="N4" s="8">
        <v>92.050000000000011</v>
      </c>
      <c r="O4" s="8">
        <f t="shared" ref="O4:O8" si="1">L4+M4+N4</f>
        <v>3866.1000000000004</v>
      </c>
      <c r="EC4" s="1"/>
      <c r="ED4" s="1"/>
    </row>
    <row r="5" spans="1:134" x14ac:dyDescent="0.25">
      <c r="A5" s="6">
        <v>3</v>
      </c>
      <c r="B5" s="7">
        <v>8901326303047</v>
      </c>
      <c r="C5" s="6" t="s">
        <v>7</v>
      </c>
      <c r="D5" s="6">
        <v>1525</v>
      </c>
      <c r="E5" s="6" t="s">
        <v>5</v>
      </c>
      <c r="F5" s="6" t="s">
        <v>3</v>
      </c>
      <c r="G5" s="6">
        <v>61082100</v>
      </c>
      <c r="H5" s="6" t="s">
        <v>9</v>
      </c>
      <c r="I5" s="6">
        <v>10</v>
      </c>
      <c r="J5" s="6">
        <v>549</v>
      </c>
      <c r="K5" s="6">
        <v>368.2</v>
      </c>
      <c r="L5" s="6">
        <v>3682</v>
      </c>
      <c r="M5" s="8">
        <f t="shared" si="0"/>
        <v>92.050000000000011</v>
      </c>
      <c r="N5" s="8">
        <v>92.050000000000011</v>
      </c>
      <c r="O5" s="8">
        <f t="shared" si="1"/>
        <v>3866.1000000000004</v>
      </c>
      <c r="EC5" s="1"/>
      <c r="ED5" s="1"/>
    </row>
    <row r="6" spans="1:134" x14ac:dyDescent="0.25">
      <c r="A6" s="6">
        <v>4</v>
      </c>
      <c r="B6" s="7">
        <v>8901326363898</v>
      </c>
      <c r="C6" s="6" t="s">
        <v>11</v>
      </c>
      <c r="D6" s="6">
        <v>1525</v>
      </c>
      <c r="E6" s="6" t="s">
        <v>10</v>
      </c>
      <c r="F6" s="6" t="s">
        <v>4</v>
      </c>
      <c r="G6" s="6">
        <v>61082100</v>
      </c>
      <c r="H6" s="6" t="s">
        <v>6</v>
      </c>
      <c r="I6" s="6">
        <v>10</v>
      </c>
      <c r="J6" s="6">
        <v>599</v>
      </c>
      <c r="K6" s="6">
        <v>401.74</v>
      </c>
      <c r="L6" s="6">
        <v>4017.4</v>
      </c>
      <c r="M6" s="8">
        <f t="shared" si="0"/>
        <v>100.435</v>
      </c>
      <c r="N6" s="8">
        <v>100.435</v>
      </c>
      <c r="O6" s="8">
        <f t="shared" si="1"/>
        <v>4218.2700000000004</v>
      </c>
      <c r="EC6" s="1"/>
      <c r="ED6" s="1"/>
    </row>
    <row r="7" spans="1:134" x14ac:dyDescent="0.25">
      <c r="A7" s="6">
        <v>5</v>
      </c>
      <c r="B7" s="7">
        <v>8901326363904</v>
      </c>
      <c r="C7" s="6" t="s">
        <v>11</v>
      </c>
      <c r="D7" s="6">
        <v>1525</v>
      </c>
      <c r="E7" s="6" t="s">
        <v>10</v>
      </c>
      <c r="F7" s="6" t="s">
        <v>4</v>
      </c>
      <c r="G7" s="6">
        <v>61082100</v>
      </c>
      <c r="H7" s="6" t="s">
        <v>8</v>
      </c>
      <c r="I7" s="6">
        <v>10</v>
      </c>
      <c r="J7" s="6">
        <v>599</v>
      </c>
      <c r="K7" s="6">
        <v>401.74</v>
      </c>
      <c r="L7" s="6">
        <v>4017.4</v>
      </c>
      <c r="M7" s="8">
        <f t="shared" si="0"/>
        <v>100.435</v>
      </c>
      <c r="N7" s="8">
        <v>100.435</v>
      </c>
      <c r="O7" s="8">
        <f t="shared" si="1"/>
        <v>4218.2700000000004</v>
      </c>
      <c r="EC7" s="1"/>
      <c r="ED7" s="1"/>
    </row>
    <row r="8" spans="1:134" x14ac:dyDescent="0.25">
      <c r="A8" s="6">
        <v>6</v>
      </c>
      <c r="B8" s="7">
        <v>8901326363911</v>
      </c>
      <c r="C8" s="6" t="s">
        <v>11</v>
      </c>
      <c r="D8" s="6">
        <v>1525</v>
      </c>
      <c r="E8" s="6" t="s">
        <v>10</v>
      </c>
      <c r="F8" s="6" t="s">
        <v>4</v>
      </c>
      <c r="G8" s="6">
        <v>61082100</v>
      </c>
      <c r="H8" s="6" t="s">
        <v>9</v>
      </c>
      <c r="I8" s="6">
        <v>10</v>
      </c>
      <c r="J8" s="6">
        <v>599</v>
      </c>
      <c r="K8" s="6">
        <v>401.74</v>
      </c>
      <c r="L8" s="6">
        <v>4017.4</v>
      </c>
      <c r="M8" s="8">
        <f t="shared" si="0"/>
        <v>100.435</v>
      </c>
      <c r="N8" s="8">
        <v>100.435</v>
      </c>
      <c r="O8" s="8">
        <f t="shared" si="1"/>
        <v>4218.2700000000004</v>
      </c>
      <c r="EC8" s="1"/>
      <c r="ED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Sheet1!PT0407HO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2026-04-07T07:06:35Z</dcterms:created>
  <dcterms:modified xsi:type="dcterms:W3CDTF">2026-04-07T07:10:38Z</dcterms:modified>
</cp:coreProperties>
</file>