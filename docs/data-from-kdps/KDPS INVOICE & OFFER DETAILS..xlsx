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rvind &amp; LC Invoice Details." sheetId="1" r:id="rId5"/>
    <sheet state="visible" name="OFFER DETAILS." sheetId="2" r:id="rId6"/>
    <sheet state="visible" name="SUPPLIER DATA BASE" sheetId="3" r:id="rId7"/>
    <sheet state="visible" name="INVOICE DETAILS." sheetId="4" r:id="rId8"/>
    <sheet state="visible" name="COMPILED PT FILE" sheetId="5" r:id="rId9"/>
    <sheet state="visible" name="SUMMARY" sheetId="6" r:id="rId10"/>
  </sheets>
  <definedNames>
    <definedName hidden="1" localSheetId="0" name="_xlnm._FilterDatabase">'Arvind &amp; LC Invoice Details.'!$A$2:$AB$1001</definedName>
    <definedName hidden="1" localSheetId="1" name="_xlnm._FilterDatabase">'OFFER DETAILS.'!$A$1:$J$105</definedName>
    <definedName hidden="1" localSheetId="2" name="_xlnm._FilterDatabase">'SUPPLIER DATA BASE'!$A$1:$T$936</definedName>
    <definedName hidden="1" localSheetId="3" name="_xlnm._FilterDatabase">'INVOICE DETAILS.'!$A$2:$X$1482</definedName>
    <definedName hidden="1" localSheetId="4" name="_xlnm._FilterDatabase">'COMPILED PT FILE'!$A$3:$W$3</definedName>
    <definedName hidden="1" localSheetId="5" name="_xlnm._FilterDatabase">SUMMARY!$A$2:$H$121</definedName>
  </definedNames>
  <calcPr/>
  <pivotCaches>
    <pivotCache cacheId="0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tc={564bf10d-9769-46b6-b39b-044788bbf664}</author>
    <author>tc={c43f6ec5-8dfd-4d32-a4f8-7f96acef0849}</author>
    <author>tc={ea516cfb-3bbb-4aca-8e15-239d14129e6d}</author>
    <author>tc={f4a2f8aa-6354-4c88-a2a2-1c1b9421e4e8}</author>
  </authors>
  <commentList>
    <comment authorId="0" xr:uid="{564bf10d-9769-46b6-b39b-044788bbf664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GOODS RETURNED FROM SAINSONS (HZB).
</t>
      </text>
    </comment>
    <comment authorId="1" xr:uid="{c43f6ec5-8dfd-4d32-a4f8-7f96acef0849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DUFFEL BAG 5 NOS BACKPACK 10 NOS &amp; TROLLEY 2 NOS TOTAL 17 NOS PROMO ALSO BILLED.
</t>
      </text>
    </comment>
    <comment authorId="2" xr:uid="{ea516cfb-3bbb-4aca-8e15-239d14129e6d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NOS GR TO VMC FOR PRICE MISMATCH.
</t>
      </text>
    </comment>
    <comment authorId="3" xr:uid="{f4a2f8aa-6354-4c88-a2a2-1c1b9421e4e8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51 NOS GR TO VMC DUE TO UNORDERED STOCK.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tc={641ca748-abe3-49f2-88cb-8d1ad25b9d08}</author>
    <author>tc={df052d15-17d1-4f07-ad6b-a8d2ecbbcda4}</author>
  </authors>
  <commentList>
    <comment authorId="0" xr:uid="{641ca748-abe3-49f2-88cb-8d1ad25b9d08}" ref="J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SHREE NARAYANI ENTERPRISE
</t>
      </text>
    </comment>
    <comment authorId="1" xr:uid="{df052d15-17d1-4f07-ad6b-a8d2ecbbcda4}" ref="J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 D SALES
Reply:
	Marked as resolved
</t>
      </text>
    </comment>
  </commentList>
</comments>
</file>

<file path=xl/sharedStrings.xml><?xml version="1.0" encoding="utf-8"?>
<sst xmlns="http://schemas.openxmlformats.org/spreadsheetml/2006/main" count="10715" uniqueCount="4292">
  <si>
    <t>Arvind &amp; Linen Club Invoice Details</t>
  </si>
  <si>
    <t>Invoice Count</t>
  </si>
  <si>
    <t>Supplier Name</t>
  </si>
  <si>
    <t>Invoice Number</t>
  </si>
  <si>
    <t>Invoice Date</t>
  </si>
  <si>
    <t>Month</t>
  </si>
  <si>
    <t>Year</t>
  </si>
  <si>
    <t>Brand Name</t>
  </si>
  <si>
    <t>Quantity</t>
  </si>
  <si>
    <t>Billing Amount</t>
  </si>
  <si>
    <t>MRP Amount</t>
  </si>
  <si>
    <t>Invoice Soft Copy</t>
  </si>
  <si>
    <t>Invoice Season</t>
  </si>
  <si>
    <t>Invoice Status</t>
  </si>
  <si>
    <t>Stock Remarks</t>
  </si>
  <si>
    <t>Booking Status</t>
  </si>
  <si>
    <t>Margin Analysis Status</t>
  </si>
  <si>
    <t>VISHAL MARKETING &amp; COMPANY</t>
  </si>
  <si>
    <t>S/25-26/842</t>
  </si>
  <si>
    <t>U.S POLO</t>
  </si>
  <si>
    <t>VISHAL MARKETING &amp; CO(US POLO)-842.pdf</t>
  </si>
  <si>
    <t>AW'25</t>
  </si>
  <si>
    <t>Uploaded In TEN</t>
  </si>
  <si>
    <t>TAS (HZB)  Stock Transfer To JainSons (HZB).</t>
  </si>
  <si>
    <t>BOOKED IN VENUE.</t>
  </si>
  <si>
    <t>DONE.</t>
  </si>
  <si>
    <t>S/25-26/875</t>
  </si>
  <si>
    <t>VISHAL MARKETING &amp; CO(US POLO)-875.pdf</t>
  </si>
  <si>
    <t>Deoghar Stock Transfer To Patna.</t>
  </si>
  <si>
    <t>S/25-26/890</t>
  </si>
  <si>
    <t>ARROW</t>
  </si>
  <si>
    <t>VISHAL MARKETING &amp; CO(ARROW)-890.pdf</t>
  </si>
  <si>
    <t>Product Received (Lee Deoghar).</t>
  </si>
  <si>
    <t>S/25-26/891</t>
  </si>
  <si>
    <t>VISHAL MARKETING &amp; CO(ARROW)-891.pdf</t>
  </si>
  <si>
    <t>S/25-26/906</t>
  </si>
  <si>
    <t>FLYING MACHINE</t>
  </si>
  <si>
    <t>VISHAL MARKETING &amp; CO(FM)-906.pdf</t>
  </si>
  <si>
    <t>Product Received (Vaishnavi Deoghar).</t>
  </si>
  <si>
    <t>S/25-26/934</t>
  </si>
  <si>
    <t>U.S POLO KIDS</t>
  </si>
  <si>
    <t>VISHAL MARKETING &amp; CO(USPA KIDS)-934.pdf</t>
  </si>
  <si>
    <t>S/25-26/949</t>
  </si>
  <si>
    <t>VISHAL MARKETING &amp; CO(US POLO)-949.pdf</t>
  </si>
  <si>
    <t>S/25-26/1023</t>
  </si>
  <si>
    <t>VISHAL MARKETING &amp; CO(FM)-1023.pdf</t>
  </si>
  <si>
    <t>S/25-26/1024</t>
  </si>
  <si>
    <t>VISHAL MARKETING &amp; CO(ARROW)-1024.pdf</t>
  </si>
  <si>
    <t>S/25-26/999</t>
  </si>
  <si>
    <t>VISHAL MARKETING &amp; CO(US POLO)-999.pdf</t>
  </si>
  <si>
    <t>S/25-26/1125</t>
  </si>
  <si>
    <t>VISHAL MARKETING &amp; CO(US POLO)-1125.pdf</t>
  </si>
  <si>
    <t>BOOKED IN "DB".</t>
  </si>
  <si>
    <t>PENDING.</t>
  </si>
  <si>
    <t>S/25-26/1126</t>
  </si>
  <si>
    <t>VISHAL MARKETING &amp; CO(US POLO)-1126.pdf</t>
  </si>
  <si>
    <t>S/25-26/1189</t>
  </si>
  <si>
    <t>VISHAL MARKETING &amp; CO(US POLO)-1189.pdf</t>
  </si>
  <si>
    <t>Stock Transfered  58 Units Lee Deoghar, 76 Units USPA &amp; SPYKAR &amp; 109 Units Allen Solly Gaya.</t>
  </si>
  <si>
    <t>Non Booked Article Found.</t>
  </si>
  <si>
    <t>S/25-26/1190</t>
  </si>
  <si>
    <t>VISHAL MARKETING &amp; CO(US POLO)-1190.pdf</t>
  </si>
  <si>
    <t>TAS Dumka Stock Transfer To Lee Deoghar.</t>
  </si>
  <si>
    <t>S/25-26/1199</t>
  </si>
  <si>
    <t>VISHAL MARKETING &amp; CO(US POLO)-1199.pdf</t>
  </si>
  <si>
    <t>S/25-26/1265</t>
  </si>
  <si>
    <t>VISHAL MARKETING &amp; CO(USPA KIDS)-1265.pdf</t>
  </si>
  <si>
    <t>S/25-26/1295</t>
  </si>
  <si>
    <t>VISHAL MARKETING &amp; CO(US POLO)-1295.pdf</t>
  </si>
  <si>
    <t>Product Received (JainSons/HZB).</t>
  </si>
  <si>
    <t>S/25-26/1296</t>
  </si>
  <si>
    <t>VISHAL MARKETING &amp; CO(ARROW)-1296.pdf</t>
  </si>
  <si>
    <t>S/25-26/1358</t>
  </si>
  <si>
    <t>VISHAL MARKETING &amp; CO(US POLO)-1358.pdf</t>
  </si>
  <si>
    <t>Stock Transfered  38 Units Lee Deoghar, 27 Units USPA &amp; SPYKAR, 47 Units Allen Solly Gaya &amp; Jainsons (HZB) 13 Units.</t>
  </si>
  <si>
    <t xml:space="preserve">S/25-26/1363
</t>
  </si>
  <si>
    <t>U.S POLO PROMO</t>
  </si>
  <si>
    <t>VISHAL MARKETING &amp; CO(US POLO PROMO)-1363.pdf</t>
  </si>
  <si>
    <t>Product Received (Ranchi - WH).</t>
  </si>
  <si>
    <t>PROMO</t>
  </si>
  <si>
    <t>S/25-26/1364</t>
  </si>
  <si>
    <t>VISHAL MARKETING &amp; CO(US POLO)-1364.pdf</t>
  </si>
  <si>
    <t>S/25-26/1375</t>
  </si>
  <si>
    <t>VISHAL MARKETING &amp; CO(FM)-1375.pdf</t>
  </si>
  <si>
    <t>S/25-26/1377</t>
  </si>
  <si>
    <t>U.S POLO KIDS PROMO</t>
  </si>
  <si>
    <t>VISHAL MARKETING &amp; CO(USPA KIDS PROMO)-1377.pdf</t>
  </si>
  <si>
    <t>S/25-26/1391</t>
  </si>
  <si>
    <t>VISHAL MARKETING &amp; CO(US POLO PROMO)-1391.pdf</t>
  </si>
  <si>
    <t>S/170</t>
  </si>
  <si>
    <t>LINEN CLUB</t>
  </si>
  <si>
    <t>VISHAL MARKETING &amp; CO(LINEN CLUB)-170.pdf</t>
  </si>
  <si>
    <t>Product Received at Ranchi(WH), Stock Transfered 88 Units Vaishnavi Ratu, 55 Units Vaishnavi Banka, 102 Units Lee Deoghar &amp; 140 Units KDPS Bokaro &amp; Sahibganj.</t>
  </si>
  <si>
    <t>S/171</t>
  </si>
  <si>
    <t>VISHAL MARKETING &amp; CO(LINEN CLUB)-171.pdf</t>
  </si>
  <si>
    <t>Product Received at Ranchi(WH), Stock Transfered 48 Units Vaishnavi Ratu, 40 Units KDPS Bokaro, &amp; 37 Units Returned To Vishal Marketing.</t>
  </si>
  <si>
    <t>S/25-26/1437</t>
  </si>
  <si>
    <t>VISHAL MARKETING &amp; CO(ARROW)-1437.pdf</t>
  </si>
  <si>
    <t>S/25-26/1446</t>
  </si>
  <si>
    <t>VISHAL MARKETING &amp; CO(US POLO)-1446.pdf</t>
  </si>
  <si>
    <t>S/204</t>
  </si>
  <si>
    <t>VISHAL MARKETING &amp; CO(LINEN CLUB)-204.pdf</t>
  </si>
  <si>
    <t>Product Received (Ranchi/WH). Stock Transfered To The Stores.</t>
  </si>
  <si>
    <t>S/25-26/1762</t>
  </si>
  <si>
    <t>VISHAL MARKETING &amp; CO(ARROW)-1762.pdf</t>
  </si>
  <si>
    <t>S/25-26/1901</t>
  </si>
  <si>
    <t>VISHAL MARKETING &amp; CO(ARROW)-1901.pdf</t>
  </si>
  <si>
    <t>S/25-26/2034</t>
  </si>
  <si>
    <t>VISHAL MARKETING &amp; CO(ARROW)-2034.pdf</t>
  </si>
  <si>
    <t>S/25-26/1690</t>
  </si>
  <si>
    <t>VISHAL MARKETING &amp; CO(FM)-1690.pdf</t>
  </si>
  <si>
    <t>S/25-26/1763</t>
  </si>
  <si>
    <t>VISHAL MARKETING &amp; CO(FM)-1763.pdf</t>
  </si>
  <si>
    <t>S/25-26/2003</t>
  </si>
  <si>
    <t>VISHAL MARKETING &amp; CO(FM)-2003.pdf</t>
  </si>
  <si>
    <t>S/226</t>
  </si>
  <si>
    <t>VISHAL MARKETING &amp; CO(LINEN CLUB)-226.pdf</t>
  </si>
  <si>
    <t>Product Received at Ranchi(WH), Stock Transfered 04 Units Lee Deoghar, 12 Units Vaishnavi Ratu, 09 Units Vaishnavi Banka, &amp; 24 Units KDPS Bokaro.</t>
  </si>
  <si>
    <t>S/239</t>
  </si>
  <si>
    <t>VISHAL MARKETING &amp; CO(LINEN CLUB)-239.pdf</t>
  </si>
  <si>
    <t>Product Received at Ranchi(WH), Stock Transfered 03 Units Vaishnavi Banka, 06 Units Vaishnavi Ratu, &amp; 21 Units KDPS Bokaro.</t>
  </si>
  <si>
    <t>S/25-26/1576</t>
  </si>
  <si>
    <t>VISHAL MARKETING &amp; CO(US POLO)-1576.pdf</t>
  </si>
  <si>
    <t>S/25-26/1577</t>
  </si>
  <si>
    <t>VISHAL MARKETING &amp; CO(US POLO)-1577.pdf</t>
  </si>
  <si>
    <t>Stock Transfered  66 Units Lee Deoghar, 28 Units USPA &amp; SPYKAR, &amp; 37 Units Allen Solly Gaya.</t>
  </si>
  <si>
    <t>S/25-26/2122</t>
  </si>
  <si>
    <t>VISHAL MARKETING &amp; CO(ARROW)-2122.pdf</t>
  </si>
  <si>
    <t>S/25-26/2142</t>
  </si>
  <si>
    <t>VISHAL MARKETING &amp; CO(ARROW)-2142.pdf</t>
  </si>
  <si>
    <t>S/25-26/2329</t>
  </si>
  <si>
    <t>VISHAL MARKETING &amp; CO(ARROW)-2329.pdf</t>
  </si>
  <si>
    <t>S/25-26/2453</t>
  </si>
  <si>
    <t>VISHAL MARKETING &amp; CO(ARROW)-2453.pdf</t>
  </si>
  <si>
    <t>S/25-26/2622</t>
  </si>
  <si>
    <t>VISHAL MARKETING &amp; CO(ARROW)-2622.pdf</t>
  </si>
  <si>
    <t>S/25-26/2145</t>
  </si>
  <si>
    <t>VISHAL MARKETING &amp; CO(FM)-2145.pdf</t>
  </si>
  <si>
    <t>S/25-26/2480</t>
  </si>
  <si>
    <t>VISHAL MARKETING &amp; CO(FM)-2480.pdf</t>
  </si>
  <si>
    <t>S/25-26/1578</t>
  </si>
  <si>
    <t>VISHAL MARKETING &amp; CO(US POLO)-1578.pdf</t>
  </si>
  <si>
    <t>S/25-26/1579</t>
  </si>
  <si>
    <t>VISHAL MARKETING &amp; CO(US POLO)-1579.pdf</t>
  </si>
  <si>
    <t>S/25-26/1786</t>
  </si>
  <si>
    <t>VISHAL MARKETING &amp; CO(US POLO)-1786.pdf</t>
  </si>
  <si>
    <t>S/25-26/2068</t>
  </si>
  <si>
    <t>VISHAL MARKETING &amp; CO(US POLO)-2068.pdf</t>
  </si>
  <si>
    <t>S/25-26/2070</t>
  </si>
  <si>
    <t>VISHAL MARKETING &amp; CO(US POLO)-2070.pdf</t>
  </si>
  <si>
    <t>S/25-26/2090</t>
  </si>
  <si>
    <t>VISHAL MARKETING &amp; CO(US POLO)-2090.pdf</t>
  </si>
  <si>
    <t>S/25-26/2144</t>
  </si>
  <si>
    <t>VISHAL MARKETING &amp; CO(US POLO)-2144.pdf</t>
  </si>
  <si>
    <t>S/25-26/2263</t>
  </si>
  <si>
    <t>VISHAL MARKETING &amp; CO(US POLO)-2263.pdf</t>
  </si>
  <si>
    <t>S/25-26/2264</t>
  </si>
  <si>
    <t>VISHAL MARKETING &amp; CO(US POLO)-2264.pdf</t>
  </si>
  <si>
    <t>S/25-26/2284</t>
  </si>
  <si>
    <t>VISHAL MARKETING &amp; CO(US POLO)-2284.pdf</t>
  </si>
  <si>
    <t>S/25-26/2398</t>
  </si>
  <si>
    <t>VISHAL MARKETING &amp; CO(US POLO)-2398.pdf</t>
  </si>
  <si>
    <t>S/25-26/2471</t>
  </si>
  <si>
    <t>VISHAL MARKETING &amp; CO(US POLO)-2471.pdf</t>
  </si>
  <si>
    <t>S/25-26/2621</t>
  </si>
  <si>
    <t>VISHAL MARKETING &amp; CO(US POLO)-2621.pdf</t>
  </si>
  <si>
    <t>S/25-26/2637</t>
  </si>
  <si>
    <t>VISHAL MARKETING &amp; CO(US POLO)-2637.pdf</t>
  </si>
  <si>
    <t>S/25-26/2755</t>
  </si>
  <si>
    <t>U.S POLO (SOR)</t>
  </si>
  <si>
    <t>VISHAL MARKETING &amp; CO(US POLO)-2755 (SOR).pdf</t>
  </si>
  <si>
    <t>S/25-26/2762</t>
  </si>
  <si>
    <t>VISHAL MARKETING &amp; CO(US POLO)-2762 (SOR).pdf</t>
  </si>
  <si>
    <t>S/25-26/1627</t>
  </si>
  <si>
    <t>VISHAL MARKETING &amp; CO(USPA KIDS)-1627.pdf</t>
  </si>
  <si>
    <t>S/25-26/2081</t>
  </si>
  <si>
    <t>VISHAL MARKETING &amp; CO(USPA KIDS)-2081.pdf</t>
  </si>
  <si>
    <t>S/25-26/2352</t>
  </si>
  <si>
    <t>VISHAL MARKETING &amp; CO(USPA KIDS)-2352.pdf</t>
  </si>
  <si>
    <t>S/282</t>
  </si>
  <si>
    <t>VISHAL MARKETING &amp; CO(LINEN CLUB)-282.pdf</t>
  </si>
  <si>
    <t>S/302</t>
  </si>
  <si>
    <t>VISHAL MARKETING &amp; CO(LINEN CLUB)-302.pdf</t>
  </si>
  <si>
    <t>Offer Type</t>
  </si>
  <si>
    <t>Season</t>
  </si>
  <si>
    <t>Offer Details</t>
  </si>
  <si>
    <t>Offer Starting Date</t>
  </si>
  <si>
    <t>Offer Closing Date</t>
  </si>
  <si>
    <t>Offer Status</t>
  </si>
  <si>
    <t>Offer Artwork</t>
  </si>
  <si>
    <t>U. S. POLO</t>
  </si>
  <si>
    <t>GWP</t>
  </si>
  <si>
    <t>BUY 7999/- &amp; GET A DUFFEL BAG WORTH 4999/- FOR 499/-</t>
  </si>
  <si>
    <t>CLOSED</t>
  </si>
  <si>
    <t>US POLO AW'25 GWP OFFER ARTWORK.pdf</t>
  </si>
  <si>
    <t>BUY 10999/- &amp; GET A BACKPACK WORTH 6999/- FOR 699/-</t>
  </si>
  <si>
    <t>BUY 16999/- &amp; GET A TROLLEY WORTH 7999/- FOR 799/-</t>
  </si>
  <si>
    <t>U. S. POLO KIDS</t>
  </si>
  <si>
    <t>BUY 5999/- &amp; GET A SCHOOL BAG WORTH 3995/- FOR 499/-</t>
  </si>
  <si>
    <t>US POLO KIDS AW'25 GWP OFFER ARTWORK.pdf</t>
  </si>
  <si>
    <t>BUY 7999/- &amp; GET A SCHOOL BAG + TIFFIN CASE WORTH 4995/- FOR 699/-</t>
  </si>
  <si>
    <t>BUY 10999/- &amp; GET A TROLLY WORTH 7995/- FOR 799/-</t>
  </si>
  <si>
    <t>ATV</t>
  </si>
  <si>
    <t>BUY 14999/- GET 3000/- 0FF</t>
  </si>
  <si>
    <t>FM ATV OFFER AW'25 ARTWORK.pdf</t>
  </si>
  <si>
    <t>BUY 10999/- GET 2000/- 0FF</t>
  </si>
  <si>
    <t>BUY 5999/- GET 1000/- 0FF</t>
  </si>
  <si>
    <t>BUY 16999/- GET 3000/- 0FF</t>
  </si>
  <si>
    <t>ARROW ATV OFFER AW'25 ARTWORK.pdf</t>
  </si>
  <si>
    <t>BUY 12999/- GET 2000/- 0FF</t>
  </si>
  <si>
    <t>BUY 6999/- GET 1000/- 0FF</t>
  </si>
  <si>
    <t>BUY 2 GET 750/- OFF</t>
  </si>
  <si>
    <t>LINEN CLUB ATV OFFER AW'25 ARTWORK.pdf</t>
  </si>
  <si>
    <t>BUY 3 GET 1250/- OFF</t>
  </si>
  <si>
    <t>BUY 4 GET 2000/- OFF</t>
  </si>
  <si>
    <t>US POLO AW'25 ATV OFFER ARTWORK.pdf</t>
  </si>
  <si>
    <t>BUY 7999/- GET 1000/- 0FF</t>
  </si>
  <si>
    <t>US POLO KIDS AW'25 ATV OFFER ARTWORK.pdf</t>
  </si>
  <si>
    <t>BUY 3999/- GET 500/- 0FF</t>
  </si>
  <si>
    <t>ARROW 2ND ATV OFFER AW'25 ARTWORK.pdf</t>
  </si>
  <si>
    <t>FM ATV OFFER 2ND AW'25 ARTWORK.pdf</t>
  </si>
  <si>
    <t>US POLO KIDS 2ND AW'25 ATV OFFER ARTWORK.pdf</t>
  </si>
  <si>
    <t>SPYKAR</t>
  </si>
  <si>
    <t>BUY 14999/- GET 20% 0FF , BUY 7999/- GET 15% 0FF</t>
  </si>
  <si>
    <t>SPYKAR AW'25 ATV OFFER ARTWORK.pdf</t>
  </si>
  <si>
    <t>MEN'S B2G2 OR BUY 2 GET 30% OFF, BUY 1 GET 20% OFF</t>
  </si>
  <si>
    <t>SPYKAR AW'25 BLACK FRIDAY MEN'S ARTWORK.pdf</t>
  </si>
  <si>
    <t>WOMEN'S B2G2 OR BUY 2 GET 30% OFF, BUY 1 GET 20% OFF</t>
  </si>
  <si>
    <t>SPYKAR AW'25 BLACK FRIDAY WOMEN'S ARTWORK.pdf</t>
  </si>
  <si>
    <t>MEN'S BUY 4 GET 40% OFF, BUY 2 GET 30% OFF, BUY 1 GET 20% OFF</t>
  </si>
  <si>
    <t>SPYKAR MEN'S AW'25 2ND ATV OFFER ARTWORK.pdf</t>
  </si>
  <si>
    <t>WOMEN'S BUY 4 GET 40% OFF, BUY 2 GET 30% OFF, BUY 1 GET 20% OFF</t>
  </si>
  <si>
    <t>SPYKAR WOMENS AW'25 2ND ATV OFFER ARTWORK.pdf</t>
  </si>
  <si>
    <t>EOSS</t>
  </si>
  <si>
    <t>B1-20%, B2-30%, OR B3 &amp; ABOVE 40%</t>
  </si>
  <si>
    <t>LINEN CLUB AW'25 EOSS  OFFER ARTWORK..pdf</t>
  </si>
  <si>
    <t>BUY 1-20% &amp; BUY-2-30%</t>
  </si>
  <si>
    <t>FM EOSS OFFER AW'25 ARTWORK.pdf</t>
  </si>
  <si>
    <t>MEN'S BUY 1 GET 30% OFF, BUY 2 GET 40% OFF &amp; BUY 4 GET 50% OFF</t>
  </si>
  <si>
    <t>SPYKAR MEN EOSS OFFER B4G50, B2G40, B1G30 ARTWORK.pdf</t>
  </si>
  <si>
    <t>WOMEN'S BUY 1 GET 40% OFF, BUY 2 GET 50% OFF</t>
  </si>
  <si>
    <t>SPYKAR WOMEN EOSS OFFER B2G50, B1G40 ARTWORK.pdf</t>
  </si>
  <si>
    <t>B1-20% &amp; B2-30%</t>
  </si>
  <si>
    <t>US POLO B1@20%, B2 @30% ARTWORK AW'25.pdf</t>
  </si>
  <si>
    <t>US POLO KIDS B1@20%, B2 @30% ARTWORK AW'25.pdf</t>
  </si>
  <si>
    <t>ARROW B1@20%, B2 @30% ARTWORK AW'25.pdf</t>
  </si>
  <si>
    <t>BUY 1 - 25%, BUY 2 &amp; ABOVE - 40%</t>
  </si>
  <si>
    <t>LINEN CLUB AW'25 EOSS 2ND OFFER ARTWORK..pdf</t>
  </si>
  <si>
    <t>B1-20%, B2-G1, B3-G2 # (JACKET/SWEATER – B1-20%, B2-30%)</t>
  </si>
  <si>
    <t>US POLO B1-20%, B2-G1, B3-G2 ARTWORK..pdf</t>
  </si>
  <si>
    <t>B1-20%, B2-G1, B3-G2 (SU#BZ FLAT-30%)</t>
  </si>
  <si>
    <t>ARROW B1-20%, B2-G1, B3-G2 ARTWORK..pdf</t>
  </si>
  <si>
    <t>B1-20%, B2-30%, B2-G2</t>
  </si>
  <si>
    <t>US POLO KIDS B1-20%, B2-30%, B2-G2 ARTWORK..pdf</t>
  </si>
  <si>
    <t>FM B1-20%, B2-30%, B2-G2 ARTWORK..pdf</t>
  </si>
  <si>
    <t>US POLO B1-20%, B2-30%, B2-G2 ARTWORK..pdf</t>
  </si>
  <si>
    <t>B1-20%, B2-30%, B2-G2 (SU#BZ Flat-30%)</t>
  </si>
  <si>
    <t>ARROW B1-20%, B2-30%, B2-G2 ARTWORK AW'25..pdf</t>
  </si>
  <si>
    <t>B1-20%, B1-G1</t>
  </si>
  <si>
    <t>FM B1-20%, B1-G1 AW'25 EOSS ARTWOEK..pdf</t>
  </si>
  <si>
    <t>MEN'S BUY 1 GET 40% OFF &amp; BUY 3 GET 50% OFF</t>
  </si>
  <si>
    <t>SPYKAR MEN'S EOSS OFFER B3G50, B1G40 ARTWORK..pdf</t>
  </si>
  <si>
    <t>BUY 1 - 25%, BUY 2 - 40%, &amp; BUY 3 - 50%</t>
  </si>
  <si>
    <t>LINEN CLUB AW'25 EOSS 3RD OFFER ARTWORK..pdf</t>
  </si>
  <si>
    <t>NSV - 24lakh 1% 28lakh 2% 34lakh 3%</t>
  </si>
  <si>
    <t>Deo 1staff</t>
  </si>
  <si>
    <t>B1-20%, B2-30%, B3-40%</t>
  </si>
  <si>
    <t>US POLO B1-20%, B2-30%, B3-40% ARTWORK.pdf</t>
  </si>
  <si>
    <t>B1-20%, B2-30%, B3-40%, (SU#BZ Flat-30%)</t>
  </si>
  <si>
    <t>ARROW B1-20%, B2-30%, B3-40% ARTWORK AW'25.pdf</t>
  </si>
  <si>
    <t>US POLO KIDS B1-20%, B2-30%, B3-40% ARTWORK.pdf</t>
  </si>
  <si>
    <t>B1-30%, B2-40%</t>
  </si>
  <si>
    <t>FM B1-30%, B2-40% ARTWORK.pdf</t>
  </si>
  <si>
    <t>MEN'S BUY 2 GET 50% OFF &amp; BUY 1 GET 40% OFF</t>
  </si>
  <si>
    <t>SPYKAR MEN'S EOSS OFFER B2G50, B1G40 ARTWORK..pdf</t>
  </si>
  <si>
    <t>B1 20, B1-G1</t>
  </si>
  <si>
    <t>B1-30%, B2-40%, B2-G2, (SU#BZ Flat-40%)</t>
  </si>
  <si>
    <t>ARROW B1-30, B2-40, B2-G2 ARTWORK..pdf</t>
  </si>
  <si>
    <t>B1-30%, B2-40%, B2-G2</t>
  </si>
  <si>
    <t>US POLO B1-30, B2-40, B2-G2 ARTWORK..pdf</t>
  </si>
  <si>
    <t>US POLO KIDS B1-30, B2-40, B2-G2 ARTWORK..pdf</t>
  </si>
  <si>
    <t>B1-30%, B2-40%, B3-50%, (SU#BZ Flat-40%)</t>
  </si>
  <si>
    <t>ARROW B1-30%, B2-40%, B3-50%, (SU#BZ Flat-40%).pdf</t>
  </si>
  <si>
    <t>B1-40%, B2-50%</t>
  </si>
  <si>
    <t>FM B1-40%, B2-50%.pdf</t>
  </si>
  <si>
    <t>B1-30%, B2-40%, B2-G2, (JCK,SWS,SWE - Flat-40%)</t>
  </si>
  <si>
    <t>US POLO B1-30%, B2-40%, B2-G2, (JCK,SWS,SWE - Flat-40%).pdf</t>
  </si>
  <si>
    <t>B1-30%, B2-40%, B3-50%</t>
  </si>
  <si>
    <t>US POLO KIDS B1-30%, B2-40%, B3-50%.pdf</t>
  </si>
  <si>
    <t>B1-30%, B2-40%, (JCK,SWS,SWE - Flat-40%)</t>
  </si>
  <si>
    <t>ARROW B1-30%, B2-40%, (JCK,SWS,SWE - Flat-40%).pdf</t>
  </si>
  <si>
    <t>FM B1-30%, B2-40%, (JCK,SWS,SWE - Flat-40%).pdf</t>
  </si>
  <si>
    <t>US POLO B1-30%, B2-40%, (JCK,SWS,SWE - Flat-40%).pdf</t>
  </si>
  <si>
    <t>US POLO KIDS B1-30%, B2-40%, (JCK,SWS,SWE - Flat-40%).pdf</t>
  </si>
  <si>
    <t>FLAT 50% OFF</t>
  </si>
  <si>
    <t>SPYKAR FLAT 50% OFF ARTWORK.pdf</t>
  </si>
  <si>
    <t>FRESH</t>
  </si>
  <si>
    <t>SS'26</t>
  </si>
  <si>
    <t>FRESH SALE PERIOD</t>
  </si>
  <si>
    <t>NO OFFER</t>
  </si>
  <si>
    <t>NO ARTWORK</t>
  </si>
  <si>
    <t>B1-30%, B2-40%, (JCK,SWE,SWS - Flat 50%) (SU#BZ - FLAT 40%)</t>
  </si>
  <si>
    <t>ARROW B1-30%, B2-40%, (JCK,SWE,SWS - Flat 50%).pdf</t>
  </si>
  <si>
    <t>B1-30%, B2-40%, (JCK,SWE,SWS - Flat 40%)</t>
  </si>
  <si>
    <t>US POLO B1-30%, B2-40%, (JCK,SWE,SWS - Flat 40%).pdf</t>
  </si>
  <si>
    <t>US POLO KIDS B1-30%, B2-40%, (JCK,SWE,SWS - Flat 40%).pdf</t>
  </si>
  <si>
    <t>MEN'S BUY 15999/- GET 3000/- OFF, BUY 12999/- GET 2000/- OFF &amp; BUY 7999/- GET 1000/- OFF</t>
  </si>
  <si>
    <t>SPYKAR MEN'S 3000 to 15999, 2000 to 12999, 1000 to 7999..pdf</t>
  </si>
  <si>
    <t>WOMEN'S BUY 4999/- GET 1000/- OFF &amp; BUY 2999/- GET 500/- OFF</t>
  </si>
  <si>
    <t>SPYKAR WOMEN'S 1000 to 4999, 500 to 2999.pdf</t>
  </si>
  <si>
    <t>BUY 4999/- &amp; GET 500/-, BUY 6999/- &amp; GET 1000/-, BUY 12999/- &amp; GET 2000/-, BUY 16999/- &amp; GET 3000/-</t>
  </si>
  <si>
    <t>Not Disclosed Yet.</t>
  </si>
  <si>
    <t>STILL RUNNING</t>
  </si>
  <si>
    <t>ARROW ATV SS'26.pdf</t>
  </si>
  <si>
    <t>BUY 8999/- &amp; GET A BACKPACK WORTH 4999/- FOR 499/-</t>
  </si>
  <si>
    <t>US POLO GWP OFFER SS'26.pdf</t>
  </si>
  <si>
    <t>BUY 11999/- &amp; GET A DUFFEL BAG WORTH 6999/- FOR 699/-</t>
  </si>
  <si>
    <t>BUY 19999/- &amp; GET A TROLLEY WORTH 8999/- FOR 899/-</t>
  </si>
  <si>
    <t>ARTWORK NOT RECEIVED</t>
  </si>
  <si>
    <t>BUY 7995/- &amp; GET A BACKPACK WORTH 4999/- FOR 599/-</t>
  </si>
  <si>
    <t>US POLO KIDS GWP OFFER SS'26.pdf</t>
  </si>
  <si>
    <t>BUY 12995/- &amp; GET A TROLLEY WORTH 7999/- FOR 799/-</t>
  </si>
  <si>
    <t>BUY 4999/- GET 500/- OFF &amp; BUY 6999/- GET 1000/- OFF</t>
  </si>
  <si>
    <t>FLYING MACHINE ATV OFFER SS'26.pdf</t>
  </si>
  <si>
    <t>BUY 2 GET 1000/- OFF, BUY 3 GET 1500/- OFF &amp; BUY 4 GET 2000/- OFF</t>
  </si>
  <si>
    <t>LINEN CLUB SS'26 ATV OFFER ARTWORK.pdf</t>
  </si>
  <si>
    <t>BUY 3 DENIMS IN KANO/SUPPER SKINNY/SKINNY FIT (MRR RS.2999 &amp; ABOVE) &amp; GET RS.2000</t>
  </si>
  <si>
    <t>SPYKAR DENIM OFFER SS'26.pdf</t>
  </si>
  <si>
    <t>BUY 2 DENIMS IN KANO/SUPPER SKINNY/SKINNY FIT (MRR RS.2999 &amp; ABOVE) &amp; GET RS.1200</t>
  </si>
  <si>
    <t>BUY 1 DENIMS IN KANO/SUPPER SKINNY/SKINNY FIT (MRR RS.2999 &amp; ABOVE) &amp; GET RS.500</t>
  </si>
  <si>
    <t>BUY 2 GET 1 FREE &amp; BUY 1 &amp; GET 20% OFF</t>
  </si>
  <si>
    <t>SPYKAR MENS EOSS OFFER B2G1, B1@G20..pdf</t>
  </si>
  <si>
    <t>BUY 1-30%,BUY 2-40% &amp; B2G2</t>
  </si>
  <si>
    <t>LINEN CLUB SS'26 EOSS OFFER B2G2 &amp; B2@40%.pdf</t>
  </si>
  <si>
    <t>B1G1 &amp; FLAT 40%</t>
  </si>
  <si>
    <t>SPYKAR EOSS OFFER B1G1, Flat 40%.pdf</t>
  </si>
  <si>
    <t>PARTY NAME</t>
  </si>
  <si>
    <t>Location</t>
  </si>
  <si>
    <t>Credit Days</t>
  </si>
  <si>
    <t>CD</t>
  </si>
  <si>
    <t>Agency Company</t>
  </si>
  <si>
    <t>Agent Name</t>
  </si>
  <si>
    <t>Agent Number</t>
  </si>
  <si>
    <t>Agency Accounts Name</t>
  </si>
  <si>
    <t>Accounts Desk Number</t>
  </si>
  <si>
    <t>Account Holder Name</t>
  </si>
  <si>
    <t>Bank Account</t>
  </si>
  <si>
    <t>IFSC Code</t>
  </si>
  <si>
    <t>A P TEXTILES</t>
  </si>
  <si>
    <t>-</t>
  </si>
  <si>
    <t>AARI</t>
  </si>
  <si>
    <t>AARNA VENTURES PRIVATE LIMITED</t>
  </si>
  <si>
    <t>AAROHI FASHION</t>
  </si>
  <si>
    <t>AD EDGE (VH-KANK)</t>
  </si>
  <si>
    <t>ADITYA BIRLA</t>
  </si>
  <si>
    <t>ADITYA VISION LTD (JH)</t>
  </si>
  <si>
    <t>AGWANI FASHION</t>
  </si>
  <si>
    <t>SUCCESS</t>
  </si>
  <si>
    <t>AJJAWAM DESIGNER PRIVATE LIMITED</t>
  </si>
  <si>
    <t>SURAT</t>
  </si>
  <si>
    <t>NO</t>
  </si>
  <si>
    <t>SURYAM TEXTILE AGENCY</t>
  </si>
  <si>
    <t>AKASH</t>
  </si>
  <si>
    <t>91044 89871</t>
  </si>
  <si>
    <t>925020021188499</t>
  </si>
  <si>
    <t>UTIB0004665</t>
  </si>
  <si>
    <t>ANAND FABRICS</t>
  </si>
  <si>
    <t>ARVIND LIMITED</t>
  </si>
  <si>
    <t>ARVIND LIMITED (GUJ)</t>
  </si>
  <si>
    <t>ARVIND LIMITED (KAR)</t>
  </si>
  <si>
    <t>AS TEXTILE</t>
  </si>
  <si>
    <t>50200012846193</t>
  </si>
  <si>
    <t>HDFC0001249</t>
  </si>
  <si>
    <t>ASHMITA BOUTIQUE PVT. LTD.</t>
  </si>
  <si>
    <t>KOLKATA</t>
  </si>
  <si>
    <t>NEPOLIAN</t>
  </si>
  <si>
    <t>MUKESH</t>
  </si>
  <si>
    <t>627951000036</t>
  </si>
  <si>
    <t>ICICI0006279</t>
  </si>
  <si>
    <t>B B FASHIONS</t>
  </si>
  <si>
    <t>4913058844</t>
  </si>
  <si>
    <t>KKBK0004599</t>
  </si>
  <si>
    <t>B.K ENTERPRISES</t>
  </si>
  <si>
    <t>RANCHI</t>
  </si>
  <si>
    <t>LITTLE PINK</t>
  </si>
  <si>
    <t>B.K.SILK MILLS NX LLP</t>
  </si>
  <si>
    <t>58451000050</t>
  </si>
  <si>
    <t>ICIC0000584</t>
  </si>
  <si>
    <t>BALTIC LEI INDIA PRIVATE LIMITED</t>
  </si>
  <si>
    <t>BANSAL TEXTILES</t>
  </si>
  <si>
    <t>BINOD KUMAR SINGHANIA</t>
  </si>
  <si>
    <t>BLAZO CLOTHING MANUFACTURING CO PVT LTD</t>
  </si>
  <si>
    <t>BLAZO</t>
  </si>
  <si>
    <t>C2D VENTURES LLP</t>
  </si>
  <si>
    <t>DHANBAD</t>
  </si>
  <si>
    <t>WELSPUN, VAN HEUSEN</t>
  </si>
  <si>
    <t>DIRECT</t>
  </si>
  <si>
    <t>50484840037</t>
  </si>
  <si>
    <t>IDIB000D600</t>
  </si>
  <si>
    <t>COMNET SOLUTIONS</t>
  </si>
  <si>
    <t>CRYSTAL BY TARUN DESIGN</t>
  </si>
  <si>
    <t>DELHI</t>
  </si>
  <si>
    <t>D APPAREL</t>
  </si>
  <si>
    <t>KHUSHAL/STATUS QUO</t>
  </si>
  <si>
    <t>722501010050397</t>
  </si>
  <si>
    <t>UBIN0572250</t>
  </si>
  <si>
    <t>D D APPARELS</t>
  </si>
  <si>
    <t>SWEET DREAMS</t>
  </si>
  <si>
    <t>029205007835</t>
  </si>
  <si>
    <t>ICIC0000292</t>
  </si>
  <si>
    <t>D D DEVELOPER</t>
  </si>
  <si>
    <t>BHAGALPUR</t>
  </si>
  <si>
    <t>JOCKEY</t>
  </si>
  <si>
    <t>D D SALES CO</t>
  </si>
  <si>
    <t>KILLER</t>
  </si>
  <si>
    <t>29205007835</t>
  </si>
  <si>
    <t>D S CREATION</t>
  </si>
  <si>
    <t>YES MAAM</t>
  </si>
  <si>
    <t>9830047013</t>
  </si>
  <si>
    <t>KKBK0006562</t>
  </si>
  <si>
    <t>D.D.SALES CO</t>
  </si>
  <si>
    <t>JOCKEY, KILLER, NEXTBIT</t>
  </si>
  <si>
    <t>D.S.CREATION</t>
  </si>
  <si>
    <t>DAULAL NANDLAL</t>
  </si>
  <si>
    <t>DEVTA GARMENTS</t>
  </si>
  <si>
    <t>DHANVI RITIKA FASHION</t>
  </si>
  <si>
    <t>SANSKAR</t>
  </si>
  <si>
    <t>DIL SE</t>
  </si>
  <si>
    <t>11197610000574</t>
  </si>
  <si>
    <t>HDFC0001119</t>
  </si>
  <si>
    <t>DIYA CREATION</t>
  </si>
  <si>
    <t>MUMBAI</t>
  </si>
  <si>
    <t>MAULIK AJMERA</t>
  </si>
  <si>
    <t>199502000000874</t>
  </si>
  <si>
    <t>IOBA0001995</t>
  </si>
  <si>
    <t>ELA DESIGNER PRIVATE LIMITED</t>
  </si>
  <si>
    <t>ELITE EDITION</t>
  </si>
  <si>
    <t>183605501803</t>
  </si>
  <si>
    <t>ICIC0001836</t>
  </si>
  <si>
    <t>EMPORIO SIDDHARTH SALES PRIVATE LIMITED</t>
  </si>
  <si>
    <t>PATNA</t>
  </si>
  <si>
    <t>GOCOLOURS</t>
  </si>
  <si>
    <t>50200111968638</t>
  </si>
  <si>
    <t>HDFC000186</t>
  </si>
  <si>
    <t>EUROPE ONE</t>
  </si>
  <si>
    <t>5205505189</t>
  </si>
  <si>
    <t>ICIC0000052</t>
  </si>
  <si>
    <t>EVERGREEN INDUSTRIES</t>
  </si>
  <si>
    <t>FASHION EARTH GARMENTS PVT LTD</t>
  </si>
  <si>
    <t>SEWBERRY</t>
  </si>
  <si>
    <t>59209830559685</t>
  </si>
  <si>
    <t>HDFC0000219</t>
  </si>
  <si>
    <t>FASHION MARKETING</t>
  </si>
  <si>
    <t>FASHION STUDIO</t>
  </si>
  <si>
    <t>DEOGARH</t>
  </si>
  <si>
    <t>FS-DEO</t>
  </si>
  <si>
    <t>FASHION WORLD</t>
  </si>
  <si>
    <t>9111902302</t>
  </si>
  <si>
    <t>KKBK000284</t>
  </si>
  <si>
    <t>FASHION WORLD GARMENTS PVT LTD</t>
  </si>
  <si>
    <t>FW</t>
  </si>
  <si>
    <t>3613991079</t>
  </si>
  <si>
    <t>KKBK0006584</t>
  </si>
  <si>
    <t>FINE TOUCH</t>
  </si>
  <si>
    <t>FIRE TRACE ENGINEERS</t>
  </si>
  <si>
    <t>FLAIR KIDS CAMP</t>
  </si>
  <si>
    <t>PRETTY GIRL</t>
  </si>
  <si>
    <t>GAJENDRA OVERSEAS</t>
  </si>
  <si>
    <t>777705312611</t>
  </si>
  <si>
    <t>ICIC0001387</t>
  </si>
  <si>
    <t>GALA CREATION</t>
  </si>
  <si>
    <t>GEETANSHI APPARELS</t>
  </si>
  <si>
    <t>PEPPER MINT</t>
  </si>
  <si>
    <t>50200083410855</t>
  </si>
  <si>
    <t>HDFC0005189</t>
  </si>
  <si>
    <t>GHARAUNDA</t>
  </si>
  <si>
    <t>GHASIRAM TEXTOFIN PVT LTD</t>
  </si>
  <si>
    <t>GHASIRAMTEX</t>
  </si>
  <si>
    <t>GODDA CONSTRUCTION TILES</t>
  </si>
  <si>
    <t>GOMTEE FASHIONS LLP</t>
  </si>
  <si>
    <t>GTN ENGINEERING INDIA LTD</t>
  </si>
  <si>
    <t>4437002100000153</t>
  </si>
  <si>
    <t>PUNB0020700</t>
  </si>
  <si>
    <t>HIDDEN CONFIDENCE</t>
  </si>
  <si>
    <t>HYPHEN GARMENTS PVT. LTD.</t>
  </si>
  <si>
    <t>HYPHEN</t>
  </si>
  <si>
    <t>0303261100828</t>
  </si>
  <si>
    <t>CNRB0000303</t>
  </si>
  <si>
    <t>IBEX NET PRIVATE LIMITED</t>
  </si>
  <si>
    <t>INDRA VALUES</t>
  </si>
  <si>
    <t>ISHANA FASHION LLP</t>
  </si>
  <si>
    <t>ISHANA</t>
  </si>
  <si>
    <t>99999830093861</t>
  </si>
  <si>
    <t>J.V. PLASTIC INDUSTRIES INDIA PVT LTD</t>
  </si>
  <si>
    <t>JAI MATA DI FASHION</t>
  </si>
  <si>
    <t>JAIN ADISHWAR HOSIERY WORKS LLP</t>
  </si>
  <si>
    <t>99917644444444</t>
  </si>
  <si>
    <t>HDFC0002063</t>
  </si>
  <si>
    <t>JAIN RETAIL</t>
  </si>
  <si>
    <t>JAY AMBEY SAREES</t>
  </si>
  <si>
    <t>50200027562802</t>
  </si>
  <si>
    <t>HDFC0009027</t>
  </si>
  <si>
    <t>JAY AMBEY SILK MILLS</t>
  </si>
  <si>
    <t>5% IN BILL</t>
  </si>
  <si>
    <t>655705504287</t>
  </si>
  <si>
    <t>ICIC0006557</t>
  </si>
  <si>
    <t>JAY AMBEY TEXTILE</t>
  </si>
  <si>
    <t>9725605738</t>
  </si>
  <si>
    <t>KKBK0002847</t>
  </si>
  <si>
    <t>JB ENTERPRISES</t>
  </si>
  <si>
    <t>KAKAMAA BUSINESS HOUSE PVT LTD (RANCHI)</t>
  </si>
  <si>
    <t>KASHNI</t>
  </si>
  <si>
    <t>99999326997373</t>
  </si>
  <si>
    <t>KAUSTUKI</t>
  </si>
  <si>
    <t>KHATUDHISH SAREES</t>
  </si>
  <si>
    <t>KHYAATI LEATHER INNOVATIONS PRIVATE LIMITED</t>
  </si>
  <si>
    <t>KIDCITY SOLUTIONS PRIVATE LIMITED</t>
  </si>
  <si>
    <t>KIMORA FASHION PVT LTD</t>
  </si>
  <si>
    <t>138751000019</t>
  </si>
  <si>
    <t>KIRAN CREATION</t>
  </si>
  <si>
    <t>50200007524171</t>
  </si>
  <si>
    <t>HDFC0000765</t>
  </si>
  <si>
    <t>KISHORI TRADELINK</t>
  </si>
  <si>
    <t>WITHOUT BRAND</t>
  </si>
  <si>
    <t>5449027625</t>
  </si>
  <si>
    <t>KKBK0006739</t>
  </si>
  <si>
    <t>KRUTHI CREATIONS</t>
  </si>
  <si>
    <t>LADDU PRINTS</t>
  </si>
  <si>
    <t>NET</t>
  </si>
  <si>
    <t>915020029941646</t>
  </si>
  <si>
    <t>UTIB0000236</t>
  </si>
  <si>
    <t>LAKHMI CHAND TEJOO MAL</t>
  </si>
  <si>
    <t>LALIT ENTERPRISES</t>
  </si>
  <si>
    <t>LAVANYA</t>
  </si>
  <si>
    <t>624605503579</t>
  </si>
  <si>
    <t>ICICI0006246</t>
  </si>
  <si>
    <t>LITES N MORE</t>
  </si>
  <si>
    <t>M B ENTERPRISES</t>
  </si>
  <si>
    <t>50200035172636</t>
  </si>
  <si>
    <t>HDFC0002834</t>
  </si>
  <si>
    <t>M NIRMAL KUMAR PRIVATE LIMITED</t>
  </si>
  <si>
    <t>M. N. GARMENTS</t>
  </si>
  <si>
    <t>TWILLS</t>
  </si>
  <si>
    <t>50200058436598</t>
  </si>
  <si>
    <t>HDFC0001470</t>
  </si>
  <si>
    <t>M.B. ENTERPRISES</t>
  </si>
  <si>
    <t>M/S A.R. MEDIA</t>
  </si>
  <si>
    <t>M/S ARIHANT TRADING AGENCY</t>
  </si>
  <si>
    <t>M/S JAI MATA JEANS CENTRE</t>
  </si>
  <si>
    <t>NARAYANI DISTRIBUTORS</t>
  </si>
  <si>
    <t>926030011158790</t>
  </si>
  <si>
    <t>UTIB0004102</t>
  </si>
  <si>
    <t>MAAHIMA FASHIONS PRIVATE LIMITED</t>
  </si>
  <si>
    <t>MAHAVIR TEX TREND</t>
  </si>
  <si>
    <t>MAHIMA FASHIONS PVT LTD</t>
  </si>
  <si>
    <t>MALHOTRA GARMENTS</t>
  </si>
  <si>
    <t>MALHOTRA MARKETING</t>
  </si>
  <si>
    <t>MANIYAR SYNTHETICS PRIVATE LIMITED</t>
  </si>
  <si>
    <t>MANOHAR SONS</t>
  </si>
  <si>
    <t>50200032851542</t>
  </si>
  <si>
    <t>HDFC0001416</t>
  </si>
  <si>
    <t>MEEVA</t>
  </si>
  <si>
    <t>510909010155384</t>
  </si>
  <si>
    <t>CIUB0000100</t>
  </si>
  <si>
    <t>MEGHA DRESSES</t>
  </si>
  <si>
    <t>INDORE</t>
  </si>
  <si>
    <t>RTC</t>
  </si>
  <si>
    <t>92664 51177</t>
  </si>
  <si>
    <t>RTC Garmentex India Pvgt LTd</t>
  </si>
  <si>
    <t>112605502571</t>
  </si>
  <si>
    <t>ICIC0001126</t>
  </si>
  <si>
    <t>MINI LUGGAGE</t>
  </si>
  <si>
    <t>MISS ART GARMENTS PRIVATE LIMITED</t>
  </si>
  <si>
    <t>277010200013208</t>
  </si>
  <si>
    <t>UTIB0000277</t>
  </si>
  <si>
    <t>MOHAN CLOTHING COMPANY PVT LTD</t>
  </si>
  <si>
    <t>NEW DELHI</t>
  </si>
  <si>
    <t>BLACKBERRY</t>
  </si>
  <si>
    <t>0710096023</t>
  </si>
  <si>
    <t>CITI0000002</t>
  </si>
  <si>
    <t>MORVINDAN</t>
  </si>
  <si>
    <t>MUKESH AGRAWAL</t>
  </si>
  <si>
    <t>HAZARIBAGH</t>
  </si>
  <si>
    <t>3581044998</t>
  </si>
  <si>
    <t>CBIN0281277</t>
  </si>
  <si>
    <t>MUKESH KUMAR BAJAJ</t>
  </si>
  <si>
    <t>MUMTAZ ARTS</t>
  </si>
  <si>
    <t>MURARKA TEXTILES</t>
  </si>
  <si>
    <t>N R GARMENT</t>
  </si>
  <si>
    <t>NAMO SHREE DESIGNER</t>
  </si>
  <si>
    <t>9510086249</t>
  </si>
  <si>
    <t>KKBK0002867</t>
  </si>
  <si>
    <t>NAMSHVI FASHION</t>
  </si>
  <si>
    <t>002130200005698</t>
  </si>
  <si>
    <t>SUNB0000002</t>
  </si>
  <si>
    <t>NARESH TRADING COMPANY</t>
  </si>
  <si>
    <t>NARVADA TEXTILES</t>
  </si>
  <si>
    <t>72610200000442</t>
  </si>
  <si>
    <t>BARB0DBRANC</t>
  </si>
  <si>
    <t>NEEL KAMAL SAREES</t>
  </si>
  <si>
    <t>NEMI CHAND JAIN (HUF)</t>
  </si>
  <si>
    <t>NEW AVTAR APPARELS PVT LTD</t>
  </si>
  <si>
    <t>NEW CASTLE KNITWEAR</t>
  </si>
  <si>
    <t>OM GANPATI ENTERPRISES</t>
  </si>
  <si>
    <t>OPA INDIA</t>
  </si>
  <si>
    <t>OVERSEAS ENTERPRISES PVT LTD</t>
  </si>
  <si>
    <t>P M SONS</t>
  </si>
  <si>
    <t>8084600000325</t>
  </si>
  <si>
    <t>YESB0000080</t>
  </si>
  <si>
    <t>P R MODI AND SONS</t>
  </si>
  <si>
    <t>490930150000030</t>
  </si>
  <si>
    <t>BKID0004909</t>
  </si>
  <si>
    <t>PADMAVATI CREATION</t>
  </si>
  <si>
    <t>85105001046</t>
  </si>
  <si>
    <t>ICIC0000851</t>
  </si>
  <si>
    <t>PARAS TEXTILES</t>
  </si>
  <si>
    <t>1574210665</t>
  </si>
  <si>
    <t>CBIN0281393</t>
  </si>
  <si>
    <t>PARI DESIGNER</t>
  </si>
  <si>
    <t>PARIS FASHION</t>
  </si>
  <si>
    <t>PAYAL GARMENTS</t>
  </si>
  <si>
    <t>DMG/KRMS/TME/S</t>
  </si>
  <si>
    <t>99921800000005</t>
  </si>
  <si>
    <t>PLAZER FABRICS</t>
  </si>
  <si>
    <t>50200014256984</t>
  </si>
  <si>
    <t>PLAZER GARMENTS</t>
  </si>
  <si>
    <t>50200065043307</t>
  </si>
  <si>
    <t>HDFC0000150</t>
  </si>
  <si>
    <t>POOJA DESIGNERS PRIVATE LIMITED</t>
  </si>
  <si>
    <t>POONAM FASHION</t>
  </si>
  <si>
    <t>50200033738992</t>
  </si>
  <si>
    <t>HDFC0001007</t>
  </si>
  <si>
    <t>PRABHAKAR KUMAR GUPTA</t>
  </si>
  <si>
    <t>PRAKASH TRADERS</t>
  </si>
  <si>
    <t>PRIYAM FASHION</t>
  </si>
  <si>
    <t>35640500000267</t>
  </si>
  <si>
    <t>BARBOPUNSUR</t>
  </si>
  <si>
    <t>PUNEET APPARELS PVT LTD</t>
  </si>
  <si>
    <t>CHARCHIT</t>
  </si>
  <si>
    <t>PUNEET READYMADE GARMENTS</t>
  </si>
  <si>
    <t>RAINBOW MARKETINGS</t>
  </si>
  <si>
    <t>RAJ GLASS AND HARDWARE</t>
  </si>
  <si>
    <t>RANGI SANGI LLP</t>
  </si>
  <si>
    <t>7349400805</t>
  </si>
  <si>
    <t>KKBK0002881</t>
  </si>
  <si>
    <t>RATHOD SAREE EDITION</t>
  </si>
  <si>
    <t>311105040080244</t>
  </si>
  <si>
    <t>UBIN0531111</t>
  </si>
  <si>
    <t>RELIABLE SYSTEMS</t>
  </si>
  <si>
    <t>REVNATH TRADELINKS</t>
  </si>
  <si>
    <t>RICHBORN</t>
  </si>
  <si>
    <t>RISHABH AGENCY</t>
  </si>
  <si>
    <t>ROOP LAXMI SAREES (P) LTD</t>
  </si>
  <si>
    <t>रूप लक्ष्मी</t>
  </si>
  <si>
    <t>0221083000003432</t>
  </si>
  <si>
    <t>SIBL0000221</t>
  </si>
  <si>
    <t>ROOP RASHMI</t>
  </si>
  <si>
    <t>RR CREATION</t>
  </si>
  <si>
    <t>RTC GARMENTEX PVT LTD</t>
  </si>
  <si>
    <t>SAAGEDO INTERNATIONAL</t>
  </si>
  <si>
    <t>06261300053929</t>
  </si>
  <si>
    <t>PSIB0000626</t>
  </si>
  <si>
    <t>SAAJAN STUDIO</t>
  </si>
  <si>
    <t>SAAKSH APPARELS</t>
  </si>
  <si>
    <t>SAESHA CREATION</t>
  </si>
  <si>
    <t>8141048013</t>
  </si>
  <si>
    <t>KKBK0002852</t>
  </si>
  <si>
    <t>SAFEXPRESS PRIVATE LTD.</t>
  </si>
  <si>
    <t>SAIYAM SAREES</t>
  </si>
  <si>
    <t>1335102000030676</t>
  </si>
  <si>
    <t>IBKL0001335</t>
  </si>
  <si>
    <t>SAKTI TRADERS</t>
  </si>
  <si>
    <t>MULTI BRAND</t>
  </si>
  <si>
    <t>916020082816379</t>
  </si>
  <si>
    <t>UTIB0000870</t>
  </si>
  <si>
    <t>SANJAY SEKSARIA (PE SERAIKELA)</t>
  </si>
  <si>
    <t>SANMATI TEXTORIUM</t>
  </si>
  <si>
    <t>SARAOGI SUPER SALES PVT LTD</t>
  </si>
  <si>
    <t>SASUSP011006</t>
  </si>
  <si>
    <t>ICIC0000106</t>
  </si>
  <si>
    <t>SAS INC (CREDITOR)</t>
  </si>
  <si>
    <t>SATYA NARAYAN SITA RAM</t>
  </si>
  <si>
    <t>SHAKTI FASHION</t>
  </si>
  <si>
    <t>4711997932</t>
  </si>
  <si>
    <t>SHAKTI TRADERS</t>
  </si>
  <si>
    <t>SHREE BALAJI</t>
  </si>
  <si>
    <t>RUH</t>
  </si>
  <si>
    <t>3845084693</t>
  </si>
  <si>
    <t>KKBK0006605</t>
  </si>
  <si>
    <t>SHREE EMPORIUM</t>
  </si>
  <si>
    <t>SHREE KUNDAN PRINTS</t>
  </si>
  <si>
    <t>SHREE MANOJ APPAREL</t>
  </si>
  <si>
    <t>SHREE NARAYANI ENTERPRISE</t>
  </si>
  <si>
    <t>29205005382</t>
  </si>
  <si>
    <t>SHREE RADHA STUDIO</t>
  </si>
  <si>
    <t>SHREE SHYAM HANDLOOM</t>
  </si>
  <si>
    <t>627905502909</t>
  </si>
  <si>
    <t>ICIC0006279</t>
  </si>
  <si>
    <t>SHREEJA VENTURES</t>
  </si>
  <si>
    <t>SHREEJI CREATION</t>
  </si>
  <si>
    <t>SHRI AMBIKA GARMENTS</t>
  </si>
  <si>
    <t>SHRI GEETA SAREES</t>
  </si>
  <si>
    <t>SHRI MAHAVIR ENTERPRISES</t>
  </si>
  <si>
    <t>048905500722</t>
  </si>
  <si>
    <t>ICIC0000489</t>
  </si>
  <si>
    <t>SHRI SIDHI VINAYAK</t>
  </si>
  <si>
    <t>SHRIJEE ENTERPRISES</t>
  </si>
  <si>
    <t>31849543930</t>
  </si>
  <si>
    <t>SBIN0001521</t>
  </si>
  <si>
    <t>SHRING APPARELS</t>
  </si>
  <si>
    <t>MUFTI</t>
  </si>
  <si>
    <t>50200030713091</t>
  </si>
  <si>
    <t>HDFC0000186</t>
  </si>
  <si>
    <t>SHRITHIK DESIGNER LLP</t>
  </si>
  <si>
    <t>339805000598</t>
  </si>
  <si>
    <t>ICIC0003398</t>
  </si>
  <si>
    <t>SHROFF ENTERPRISES</t>
  </si>
  <si>
    <t>SHUBH SHRI CLOTHING PVT LTD</t>
  </si>
  <si>
    <t>BANGALORE</t>
  </si>
  <si>
    <t>MINELLI</t>
  </si>
  <si>
    <t>002225010000006</t>
  </si>
  <si>
    <t>UBIN0900222</t>
  </si>
  <si>
    <t>SIDDHARTH ENTERPRISES</t>
  </si>
  <si>
    <t>SIDDHARTH FASHION</t>
  </si>
  <si>
    <t>SIKOTAR</t>
  </si>
  <si>
    <t>SIKOTAR ENTERPRISES</t>
  </si>
  <si>
    <t>SIYA FASHION</t>
  </si>
  <si>
    <t>0579102000010584</t>
  </si>
  <si>
    <t>IBKL0000579</t>
  </si>
  <si>
    <t>SIYARAM SILK MILLS</t>
  </si>
  <si>
    <t>SIYARAM SILK MILLS LIMITED</t>
  </si>
  <si>
    <t>SKY CLOTHING</t>
  </si>
  <si>
    <t>SNEHA ENTERPRISES</t>
  </si>
  <si>
    <t>SOUL INDIA</t>
  </si>
  <si>
    <t>250705501258</t>
  </si>
  <si>
    <t>ICIC0002507</t>
  </si>
  <si>
    <t>SOURABH GARMENTS PRIVATE LIMITED</t>
  </si>
  <si>
    <t>HARISH</t>
  </si>
  <si>
    <t>072105501101</t>
  </si>
  <si>
    <t>ICIC0000721</t>
  </si>
  <si>
    <t>SPACE CREATION</t>
  </si>
  <si>
    <t>SPYKAR LIFESTYLE PVT LTD</t>
  </si>
  <si>
    <t>SRI KRISHNA AGENCIES</t>
  </si>
  <si>
    <t>SRI RADHEY MACHING CENTER</t>
  </si>
  <si>
    <t>PETTY COAT</t>
  </si>
  <si>
    <t>3626026563</t>
  </si>
  <si>
    <t>SRI RAM TRADERS</t>
  </si>
  <si>
    <t>SRISTI TRADING</t>
  </si>
  <si>
    <t>SUNDRY CREDITORS UNREGISTER</t>
  </si>
  <si>
    <t>SUSHILA ENTERPRISES</t>
  </si>
  <si>
    <t>VAN HEUSEN</t>
  </si>
  <si>
    <t>747805000665</t>
  </si>
  <si>
    <t>ICIC0007478</t>
  </si>
  <si>
    <t>SUSHMA DISTRIBUTORS</t>
  </si>
  <si>
    <t>SWETA ELECTRICALS &amp; CO</t>
  </si>
  <si>
    <t>T T APPAREL</t>
  </si>
  <si>
    <t>TARUN APPARELS</t>
  </si>
  <si>
    <t>TATHASTU ENTERPRISE</t>
  </si>
  <si>
    <t>10% IN BILL</t>
  </si>
  <si>
    <t>50200043443581</t>
  </si>
  <si>
    <t>HDFC0001704</t>
  </si>
  <si>
    <t>TAYAL GARMENTS PVT. LTD.</t>
  </si>
  <si>
    <t>JOCKEY, LIBAS, ROCKIT, INTIGRITI, AMERICAN TOURISTER</t>
  </si>
  <si>
    <t>1199911999</t>
  </si>
  <si>
    <t>KKBK0005632</t>
  </si>
  <si>
    <t>THASVIEK INC.</t>
  </si>
  <si>
    <t>THE APPAREL COMPANY</t>
  </si>
  <si>
    <t>SHRUTI</t>
  </si>
  <si>
    <t>127605000421</t>
  </si>
  <si>
    <t>ICIC0001276</t>
  </si>
  <si>
    <t>THE SPECTRUM</t>
  </si>
  <si>
    <t>TOPSEL SERVICES PRIVATE LIMITED</t>
  </si>
  <si>
    <t>TRIDEV EXPRESS CARGO</t>
  </si>
  <si>
    <t>TRIDEV EXPRESS CARGO (WB)</t>
  </si>
  <si>
    <t>TURTLE LIMITED</t>
  </si>
  <si>
    <t>UDHAV ENTERPRISES</t>
  </si>
  <si>
    <t>UNNATI CREATION</t>
  </si>
  <si>
    <t>99992001015861</t>
  </si>
  <si>
    <t>GSCB0ASCB02</t>
  </si>
  <si>
    <t>V D CREATION</t>
  </si>
  <si>
    <t>NIL</t>
  </si>
  <si>
    <t>50200066449520</t>
  </si>
  <si>
    <t>HDFC0000533</t>
  </si>
  <si>
    <t>V N TEXTILE</t>
  </si>
  <si>
    <t>252005000323</t>
  </si>
  <si>
    <t>ICIC0002520</t>
  </si>
  <si>
    <t>VANYA DESIGNER</t>
  </si>
  <si>
    <t>50200051057501</t>
  </si>
  <si>
    <t>HDFC0000955</t>
  </si>
  <si>
    <t>VAREITY TEXTILE</t>
  </si>
  <si>
    <t>VEEDAM FASHIONS</t>
  </si>
  <si>
    <t>176115090000015</t>
  </si>
  <si>
    <t>UBIN0817619</t>
  </si>
  <si>
    <t>VEER DESIGNERS</t>
  </si>
  <si>
    <t>VIDHI ENTERPRISES</t>
  </si>
  <si>
    <t>VINAYAK EMPORIUM PVT LIMITED</t>
  </si>
  <si>
    <t>BANJARAN</t>
  </si>
  <si>
    <t>2192790001113</t>
  </si>
  <si>
    <t>VIP INDUSTRIES LIMITED (GODDA)JH</t>
  </si>
  <si>
    <t>VISHAL MARKETING &amp; CO.</t>
  </si>
  <si>
    <t>1091008700001025</t>
  </si>
  <si>
    <t>PUNB0109100</t>
  </si>
  <si>
    <t>WEAR ON ENSEMBLES PRIVATE LIMITED</t>
  </si>
  <si>
    <t>WO</t>
  </si>
  <si>
    <t>627905502440</t>
  </si>
  <si>
    <t>WILSON PRINTS</t>
  </si>
  <si>
    <t>510044017719</t>
  </si>
  <si>
    <t>ZAHEDA SILK SAREES</t>
  </si>
  <si>
    <t>ZENITH FABRICS</t>
  </si>
  <si>
    <t>ANAYA DESIGNER</t>
  </si>
  <si>
    <t>2650415227</t>
  </si>
  <si>
    <t>KKBK0000884</t>
  </si>
  <si>
    <t>WORTH APPAREL</t>
  </si>
  <si>
    <t>KEVIN ENTERPRISE</t>
  </si>
  <si>
    <t>SUNRISE AGENCY</t>
  </si>
  <si>
    <t>99300 50607</t>
  </si>
  <si>
    <t>89700200003263</t>
  </si>
  <si>
    <t>BARB0VJBAND</t>
  </si>
  <si>
    <t>DS YUVRAAJ</t>
  </si>
  <si>
    <t>6912012063</t>
  </si>
  <si>
    <t>KKBK0004586</t>
  </si>
  <si>
    <t>RAASHI</t>
  </si>
  <si>
    <t>NIRZARI/RAASHI</t>
  </si>
  <si>
    <t>7511957908</t>
  </si>
  <si>
    <t>KKBK 0001376</t>
  </si>
  <si>
    <t>MADAM</t>
  </si>
  <si>
    <t>19267630000070</t>
  </si>
  <si>
    <t>HDFC0001926</t>
  </si>
  <si>
    <t>GAURAV TEXTILES</t>
  </si>
  <si>
    <t>19268730000279</t>
  </si>
  <si>
    <t>SURYA ETHNIC FASHION(INDIA) PVT. LTD.</t>
  </si>
  <si>
    <t>99909810046731</t>
  </si>
  <si>
    <t>HDFC0001981</t>
  </si>
  <si>
    <t>SIDDHI CLOTHING CO.</t>
  </si>
  <si>
    <t>50200008024296</t>
  </si>
  <si>
    <t>SHRI SAI ENTERPRISES</t>
  </si>
  <si>
    <t>114905500994</t>
  </si>
  <si>
    <t>ICIC0001149</t>
  </si>
  <si>
    <t>ARP FASHION PVT LTD</t>
  </si>
  <si>
    <t>925020022342072</t>
  </si>
  <si>
    <t>UTIB0005749</t>
  </si>
  <si>
    <t>NATIONAL COTTAGE INDUSTRIES</t>
  </si>
  <si>
    <t>SONEPAT</t>
  </si>
  <si>
    <t>10002000001111</t>
  </si>
  <si>
    <t>HDFC0001000</t>
  </si>
  <si>
    <t>INDTECH APPARELS PVT. LTD.</t>
  </si>
  <si>
    <t>LUDHIANA</t>
  </si>
  <si>
    <t>SUVIDHI TEXTILES PVT. LTD.</t>
  </si>
  <si>
    <t>KDPS LIFESTYLE PVT LTD</t>
  </si>
  <si>
    <t>EK OMKAR</t>
  </si>
  <si>
    <t>SAI ENTERPRISE</t>
  </si>
  <si>
    <t>JAY AMBEY DESIGNER</t>
  </si>
  <si>
    <t>SAGAR ENTERPRISES</t>
  </si>
  <si>
    <t>HS CREATION</t>
  </si>
  <si>
    <t>WONDERS</t>
  </si>
  <si>
    <t>A &amp; T ENGROS PVT LTD</t>
  </si>
  <si>
    <t>C2D DISTRIBUTORS</t>
  </si>
  <si>
    <t>WELSPUN</t>
  </si>
  <si>
    <t>50507532165</t>
  </si>
  <si>
    <t>DAVINDER SANDHU IMPEX PRIVATE LIMITED</t>
  </si>
  <si>
    <t>MYGLAM</t>
  </si>
  <si>
    <t>9876551919</t>
  </si>
  <si>
    <t>KKBK0003910</t>
  </si>
  <si>
    <t>SINGLA COLLECTIONS PVT. LTD</t>
  </si>
  <si>
    <t>112605500650</t>
  </si>
  <si>
    <t>SHREE SANSKRUTI</t>
  </si>
  <si>
    <t>50200012886505</t>
  </si>
  <si>
    <t>HDFC0000146</t>
  </si>
  <si>
    <t>RAMESHWAR TRADING CO.</t>
  </si>
  <si>
    <t>00000043011374497</t>
  </si>
  <si>
    <t>SBIN0020377</t>
  </si>
  <si>
    <t>ADITYA BIRLA LIFESTYLE BRAND LIMITED(VH-IW)</t>
  </si>
  <si>
    <t>ADITYA BIRLA LIFESTYLE BRANDS LIMITED</t>
  </si>
  <si>
    <t>05230310001322</t>
  </si>
  <si>
    <t>HDFC0000523</t>
  </si>
  <si>
    <t>Other Invoice Details</t>
  </si>
  <si>
    <t>TOTAL INVOICE COUNT</t>
  </si>
  <si>
    <t>CD %</t>
  </si>
  <si>
    <t>Invoice No</t>
  </si>
  <si>
    <t>Invoice Qty</t>
  </si>
  <si>
    <t>Invoice Value</t>
  </si>
  <si>
    <t>PT File Excel Sheet</t>
  </si>
  <si>
    <t>TEN Uploaded Date</t>
  </si>
  <si>
    <t>Invoice Ageing</t>
  </si>
  <si>
    <t>Bank Name</t>
  </si>
  <si>
    <t>Payment Amount</t>
  </si>
  <si>
    <t>Payment Date</t>
  </si>
  <si>
    <t>CD Amount</t>
  </si>
  <si>
    <t>GR Amount</t>
  </si>
  <si>
    <t>Remarks</t>
  </si>
  <si>
    <t>Accounting Year</t>
  </si>
  <si>
    <t>JKL-159</t>
  </si>
  <si>
    <t>DD SALES -159.pdf</t>
  </si>
  <si>
    <t>MSF2252000010422</t>
  </si>
  <si>
    <t>ADITYA BIRLA -MSF2252000010422.pdf</t>
  </si>
  <si>
    <t>MSF2251000012742</t>
  </si>
  <si>
    <t>ADITYA BIRLA -MSF2251000012742.PDF</t>
  </si>
  <si>
    <t>RL/8362/25-26</t>
  </si>
  <si>
    <t>Room Laxmi sarees 8362 (1).pdf</t>
  </si>
  <si>
    <t>RL/8360/25-26</t>
  </si>
  <si>
    <t>Roop laxmi sarees 8360 (1).pdf</t>
  </si>
  <si>
    <t>DA/25-26/0605</t>
  </si>
  <si>
    <t>D APPAREL(KHUSHAAL)_INV0605_JSL.pdf</t>
  </si>
  <si>
    <t>D/1212</t>
  </si>
  <si>
    <t>VISHAL MARKETING &amp; CO(SPYKAR)_1212_2025-26.pdf</t>
  </si>
  <si>
    <t>MSF2251000022820</t>
  </si>
  <si>
    <t>ADITYA BIRLA -MSF2251000022820.pdf</t>
  </si>
  <si>
    <t>MSF2251000022940</t>
  </si>
  <si>
    <t>ADITYA BIRLA -MSF2251000022940.pdf</t>
  </si>
  <si>
    <t>MSF2251000923014</t>
  </si>
  <si>
    <t>ADITYA BIRLA -MSF2251000923014.pdf</t>
  </si>
  <si>
    <t>MSF2252000024323</t>
  </si>
  <si>
    <t>ADITYA BIRLA -MSF2252000024323.pdf</t>
  </si>
  <si>
    <t>EOS1-48</t>
  </si>
  <si>
    <t>SOUL INDIA EOS1-48.pdf</t>
  </si>
  <si>
    <t>MSF2251000025530</t>
  </si>
  <si>
    <t>ADITYA BIRLA -MSF2251000025530.pdf</t>
  </si>
  <si>
    <t>MSF2251000025536</t>
  </si>
  <si>
    <t>ADITYA BIRLA -MSF2251000025536.pdf</t>
  </si>
  <si>
    <t>DS/5296/25-26</t>
  </si>
  <si>
    <t>D S creation 5296.pdf</t>
  </si>
  <si>
    <t>PLAZER FABRICS -2265.pdf</t>
  </si>
  <si>
    <t>P R MODI AND SON'S -19221.pdf</t>
  </si>
  <si>
    <t>P R MODI AND SON'S -19222.pdf</t>
  </si>
  <si>
    <t>P R MODI AND SON'S -19220.pdf</t>
  </si>
  <si>
    <t>P R MODI AND SON'S -19240.pdf</t>
  </si>
  <si>
    <t>IH/25-26/965</t>
  </si>
  <si>
    <t>C2D VENTURES -965.pdf</t>
  </si>
  <si>
    <t>IH/25-26/964</t>
  </si>
  <si>
    <t>C2D VENTURES -964.pdf</t>
  </si>
  <si>
    <t>2025-26/1316</t>
  </si>
  <si>
    <t>Dil se 1316.pdf</t>
  </si>
  <si>
    <t>25-26/BBS13151</t>
  </si>
  <si>
    <t>Saraogi Super Sales 13151.pdf</t>
  </si>
  <si>
    <t>SOCCRS25/770</t>
  </si>
  <si>
    <t>KIRAN CREATION -770.pdf</t>
  </si>
  <si>
    <t>IH/25-26/984</t>
  </si>
  <si>
    <t>C2D VENTURES -984.pdf</t>
  </si>
  <si>
    <t>THCRS25/430</t>
  </si>
  <si>
    <t>SHRIJEE ENTERPRISES -430.pdf</t>
  </si>
  <si>
    <t>Tathastu enterprise 8579.pdf</t>
  </si>
  <si>
    <t>J/25-26/10186</t>
  </si>
  <si>
    <t>JAIN ADISHWAR  -10186.pdf</t>
  </si>
  <si>
    <t>SHRITHIK DESIGNER -1953.pdf</t>
  </si>
  <si>
    <t>416/PF</t>
  </si>
  <si>
    <t>Unnati creation 416.pdf</t>
  </si>
  <si>
    <t>A S Textile 131.pdf</t>
  </si>
  <si>
    <t>A S Textile 132.pdf</t>
  </si>
  <si>
    <t>A S Textile 125.pdf</t>
  </si>
  <si>
    <t>A S Textile 122.pdf</t>
  </si>
  <si>
    <t>A S Textile 135.pdf</t>
  </si>
  <si>
    <t>A S Textile 134.pdf</t>
  </si>
  <si>
    <t>A S Textile 120.pdf</t>
  </si>
  <si>
    <t>A S Textile 121.pdf</t>
  </si>
  <si>
    <t>A S Textile 119.pdf</t>
  </si>
  <si>
    <t>A S Textile 118.pdf</t>
  </si>
  <si>
    <t>A S Textile 133.pdf</t>
  </si>
  <si>
    <t>A S Textile 124.pdf</t>
  </si>
  <si>
    <t>A S Textile 123.pdf</t>
  </si>
  <si>
    <t>A S Textile 130.pdf</t>
  </si>
  <si>
    <t>A S Textile 126.pdf</t>
  </si>
  <si>
    <t>A s textile 128.pdf</t>
  </si>
  <si>
    <t>A S Textile 129.pdf</t>
  </si>
  <si>
    <t>A S Textile 127.pdf</t>
  </si>
  <si>
    <t>Wilson prints 2581.pdf</t>
  </si>
  <si>
    <t>SCRS25/1953</t>
  </si>
  <si>
    <t>Narvada Textile -1953.pdf</t>
  </si>
  <si>
    <t>VN/G/25/2489</t>
  </si>
  <si>
    <t>V N textile 2489.pdf</t>
  </si>
  <si>
    <t>P2CRS25/2606</t>
  </si>
  <si>
    <t>Shree Narayani Enterprises 2606.pdf</t>
  </si>
  <si>
    <t>P2CRS25/2605</t>
  </si>
  <si>
    <t>SHREE NARAYANI ENTERPRISE-2605.pdf</t>
  </si>
  <si>
    <t>Jay ambey sarees 6635.pdf</t>
  </si>
  <si>
    <t>Jay ambey sarees 6636.pdf</t>
  </si>
  <si>
    <t>A S Textile 162.pdf</t>
  </si>
  <si>
    <t>A S Textile 161.pdf</t>
  </si>
  <si>
    <t>252193/25-26</t>
  </si>
  <si>
    <t>GTN Engineering 252193.pdf</t>
  </si>
  <si>
    <t>252194/25-26</t>
  </si>
  <si>
    <t>GTN Engineering 252194.pdf</t>
  </si>
  <si>
    <t>ANAYA DESIGNER_2864_25-26 .pdf</t>
  </si>
  <si>
    <t>ANAYA DESIGNER_2865 _25-26.pdf</t>
  </si>
  <si>
    <t>BILL 33 &amp; 34 PAID TOGETHER</t>
  </si>
  <si>
    <t>A S Textile 175.pdf</t>
  </si>
  <si>
    <t>GSTN-964</t>
  </si>
  <si>
    <t>DD Sales GSTN 946.pdf</t>
  </si>
  <si>
    <t>RE/20/25-26</t>
  </si>
  <si>
    <t>MUKESH AGARWAL(PETICOAT)_INVRE20_HZB_282PCS.pdf</t>
  </si>
  <si>
    <t>DA/25-26/0754</t>
  </si>
  <si>
    <t>D apparel 754.pdf</t>
  </si>
  <si>
    <t>GSTN-965</t>
  </si>
  <si>
    <t>DD sales 965.pdf</t>
  </si>
  <si>
    <t>GSTN-962</t>
  </si>
  <si>
    <t>D D SALES(KILLER)_GSTN962_DUMKA_238PCS.pdf</t>
  </si>
  <si>
    <t>B B FASHION 3001.pdf</t>
  </si>
  <si>
    <t>Gajendra overseas 3991.pdf</t>
  </si>
  <si>
    <t>J/25-26/10323</t>
  </si>
  <si>
    <t>Jain Adishwar 10323.pdf</t>
  </si>
  <si>
    <t>J/25-26/10335</t>
  </si>
  <si>
    <t>Jain Adishwar 10335.pdf</t>
  </si>
  <si>
    <t>GSTN-988</t>
  </si>
  <si>
    <t>D D SALES CO- 998.pdf</t>
  </si>
  <si>
    <t>J/25-26/10388</t>
  </si>
  <si>
    <t>Jain Adishwar 10388.pdf</t>
  </si>
  <si>
    <t>Shree radhe matching 597.pdf</t>
  </si>
  <si>
    <t>25-26/BLRS1700</t>
  </si>
  <si>
    <t>saraogi super sales 1700.pdf</t>
  </si>
  <si>
    <t>MSF2252000027777</t>
  </si>
  <si>
    <t>MSFS2252000027777 JS HAZARIBAG.pdf</t>
  </si>
  <si>
    <t>MSF2252000027759</t>
  </si>
  <si>
    <t>MSF2252000027759 JS HAZARIBAG.pdf</t>
  </si>
  <si>
    <t>MSF2252000027872</t>
  </si>
  <si>
    <t>MSF2252000027872 JS HAZARIBAG.pdf</t>
  </si>
  <si>
    <t>MSF2252000027910</t>
  </si>
  <si>
    <t>MSF2252000027910 JS HAZARIBAG.pdf</t>
  </si>
  <si>
    <t>MSF2252000027897</t>
  </si>
  <si>
    <t>MSF2252000027897 JS HAZARIBAG.pdf</t>
  </si>
  <si>
    <t>MSF2252000027883</t>
  </si>
  <si>
    <t>MSF2252000027883 JS HAZARIBAG.pdf</t>
  </si>
  <si>
    <t>MSF2252000027853</t>
  </si>
  <si>
    <t>ADITYA BIRLA_MSF2252000027853_AS_S-RATU_25-26.pdf</t>
  </si>
  <si>
    <t>25-26/BLRS1730</t>
  </si>
  <si>
    <t>Saraogi super sales 1730.pdf</t>
  </si>
  <si>
    <t>MSF2252000027975</t>
  </si>
  <si>
    <t>MSF2252000027975 js hazaribag.pdf</t>
  </si>
  <si>
    <t>MSF2252000027998</t>
  </si>
  <si>
    <t>MSF2252000027998 JS HAZARIBAG.pdf</t>
  </si>
  <si>
    <t>MSF2252000027977</t>
  </si>
  <si>
    <t>MSF2252000027977 JS HAZARIBAG.pdf</t>
  </si>
  <si>
    <t>MSF2252000028200</t>
  </si>
  <si>
    <t>MSF2252000028200 SAHEBGANJ.pdf</t>
  </si>
  <si>
    <t>MSF2252000028211</t>
  </si>
  <si>
    <t>MSF2252000028211 DUMKA.pdf</t>
  </si>
  <si>
    <t>MSF2252000028202</t>
  </si>
  <si>
    <t>MSF2252000028202 DUMKA.pdf</t>
  </si>
  <si>
    <t>MSF2252000028210</t>
  </si>
  <si>
    <t>MSF2252000028210 Bokaro.pdf</t>
  </si>
  <si>
    <t>MSF2252000028198</t>
  </si>
  <si>
    <t>MSF2252000028198 JS HAZARIBAG.pdf</t>
  </si>
  <si>
    <t>25-26/3058</t>
  </si>
  <si>
    <t>MEGHA DRESSES_3058_SANSKAR_2025-26.pdf</t>
  </si>
  <si>
    <t>MSF2252000028201</t>
  </si>
  <si>
    <t>ADITYA BIRLA_MSF2252000028201_AS_HZB_10PCS.pdf</t>
  </si>
  <si>
    <t>25-26/BLRS1755</t>
  </si>
  <si>
    <t>saraogi super sales 1755.pdf</t>
  </si>
  <si>
    <t>25-26/BLRS1753</t>
  </si>
  <si>
    <t>saraogi super sales 1753.pdf</t>
  </si>
  <si>
    <t>MSF2252000028299</t>
  </si>
  <si>
    <t>VSN DEO MSF 2252000028299.pdf</t>
  </si>
  <si>
    <t>SS/25-26/04989</t>
  </si>
  <si>
    <t>BILL PAY - 04989/05247/05364</t>
  </si>
  <si>
    <t>MSF2252000028380</t>
  </si>
  <si>
    <t>MSF2252000028380 SAHEBGANJ.pdf</t>
  </si>
  <si>
    <t>25-26/MUMS6190</t>
  </si>
  <si>
    <t>saraogi super sales 6190.pdf</t>
  </si>
  <si>
    <t>25-26/MUMS6191</t>
  </si>
  <si>
    <t>saraogi super sales 6191.pdf</t>
  </si>
  <si>
    <t>25-26/MUMS6192</t>
  </si>
  <si>
    <t>saraogi super sales 6192.pdf</t>
  </si>
  <si>
    <t>25-26/MUMS6194</t>
  </si>
  <si>
    <t>saraogi super sales 6194.pdf</t>
  </si>
  <si>
    <t>25-26/MUMS6196</t>
  </si>
  <si>
    <t>saraogi super sales 6196.pdf</t>
  </si>
  <si>
    <t>25-26/MUMS6195</t>
  </si>
  <si>
    <t>saraogi super sales 6195.pdf</t>
  </si>
  <si>
    <t>25-26/MUMS6193</t>
  </si>
  <si>
    <t>saraogi super sales 6193.pdf</t>
  </si>
  <si>
    <t>25-26/3057</t>
  </si>
  <si>
    <t>MEGHA DRESSES__3057_SANSKAR_2025-26.pdf</t>
  </si>
  <si>
    <t>MSF2252000028382</t>
  </si>
  <si>
    <t>ADITYA BIRLA_MSF2252000028382_AS_S-RATU_25-26.pdf</t>
  </si>
  <si>
    <t>25-26/BLRS1783</t>
  </si>
  <si>
    <t>saraogi super sales 1783.pdf</t>
  </si>
  <si>
    <t>GST/SALES/232</t>
  </si>
  <si>
    <t>New avtar apparel 232.pdf</t>
  </si>
  <si>
    <t>25-26/BLRS1798</t>
  </si>
  <si>
    <t>saraogi super sales 1798.pdf</t>
  </si>
  <si>
    <t>MSF2252000028554</t>
  </si>
  <si>
    <t>MSF2252000028554 SAHEBGANJ.pdf</t>
  </si>
  <si>
    <t>MSF2252000028541</t>
  </si>
  <si>
    <t>MSF2252000028541 SAHEBGANJ.pdf</t>
  </si>
  <si>
    <t>MSF2252000028545</t>
  </si>
  <si>
    <t>MSF2252000028545 DUMKA.pdf</t>
  </si>
  <si>
    <t>MSF2252000028542</t>
  </si>
  <si>
    <t>MSF2252000028542 DUMKA.pdf</t>
  </si>
  <si>
    <t>Tathastu enterprise 9309.pdf</t>
  </si>
  <si>
    <t>SMFS25-26-001885</t>
  </si>
  <si>
    <t>SHRING APPARELS(MUFTI)_INV1885_LEEDEO_95PCS.pdf</t>
  </si>
  <si>
    <t>SMFS25-26-001884</t>
  </si>
  <si>
    <t>SHRING APPARELS(MUFTI)_INV1884_LEEDEO_142PCS.pdf</t>
  </si>
  <si>
    <t>MSF2251000030462</t>
  </si>
  <si>
    <t>MSF2251000030462 Allen Solly Gaya 56pc.pdf</t>
  </si>
  <si>
    <t>MSF2252000028540</t>
  </si>
  <si>
    <t>MSF2252000028540 SINGHMORE RANCHI.pdf</t>
  </si>
  <si>
    <t>MSF2252000028548</t>
  </si>
  <si>
    <t>MSF2252000028548 SINGHMORE RANCHI.pdf</t>
  </si>
  <si>
    <t>MSF2252000028544</t>
  </si>
  <si>
    <t>VSN DEO MSF 2252000028544.pdf</t>
  </si>
  <si>
    <t>SG-1331</t>
  </si>
  <si>
    <t>SHREEJI CREATION_1331_SANSKAR_2025-26.pdf</t>
  </si>
  <si>
    <t>MSF2252000028641</t>
  </si>
  <si>
    <t>MSF2252000028641 Bokaro.pdf</t>
  </si>
  <si>
    <t>25-26/2646</t>
  </si>
  <si>
    <t>WORTH Apparel 2646.pdf</t>
  </si>
  <si>
    <t>A S Textile 294.pdf</t>
  </si>
  <si>
    <t>MSF2252000028635</t>
  </si>
  <si>
    <t>MSF2252000028635 hazaribag.pdf</t>
  </si>
  <si>
    <t>Jay ambey sarees 7592.pdf</t>
  </si>
  <si>
    <t>Puneet apparel 12514935.pdf</t>
  </si>
  <si>
    <t>MSF2252000028796</t>
  </si>
  <si>
    <t>MSF2252000028796 FASHION STUDIO.pdf</t>
  </si>
  <si>
    <t>25-26/2665</t>
  </si>
  <si>
    <t>Worth Apparel 2665.pdf</t>
  </si>
  <si>
    <t>puneet apparel 12514978.pdf</t>
  </si>
  <si>
    <t>Puneet apparel 12514950.pdf</t>
  </si>
  <si>
    <t>Puneet apparel 12514955.pdf</t>
  </si>
  <si>
    <t>puneet apparel 12514954.pdf</t>
  </si>
  <si>
    <t>puneet apparel 12514975.pdf</t>
  </si>
  <si>
    <t>MSF2252000028853</t>
  </si>
  <si>
    <t>MSF2252000028853 SAHEBGANJ.pdf</t>
  </si>
  <si>
    <t>MSF2252000028859</t>
  </si>
  <si>
    <t>MSF2252000028859 Bokaro.pdf</t>
  </si>
  <si>
    <t>MSF2252000028852</t>
  </si>
  <si>
    <t>MSF2252000028852 DUMKA.pdf</t>
  </si>
  <si>
    <t>25-26/2240</t>
  </si>
  <si>
    <t>MN GARMENTS(TWILLS)_WH_INV2240_46PCS.pdf</t>
  </si>
  <si>
    <t>Kevin enterprises 3147.pdf</t>
  </si>
  <si>
    <t>A S Textile 306.pdf</t>
  </si>
  <si>
    <t>SAG-0720-2526</t>
  </si>
  <si>
    <t>SHRI AMBIKA GARMENTS_720_SANSKAR_2025-26.pdf</t>
  </si>
  <si>
    <t>MSF2252000028854</t>
  </si>
  <si>
    <t>ADITYA BIRLA_MSF2252000028854_AS_SANSKAR.pdf</t>
  </si>
  <si>
    <t>MSF2250600580154</t>
  </si>
  <si>
    <t>VSN DEO MSF 2250600580154.pdf</t>
  </si>
  <si>
    <t>MSF2252000028943</t>
  </si>
  <si>
    <t>MSF2252000028943 fashion studio deoghar.pdf</t>
  </si>
  <si>
    <t>MSF2252000028948</t>
  </si>
  <si>
    <t>MSF2252000028948 Bokaro.pdf</t>
  </si>
  <si>
    <t>MSF2252000028945</t>
  </si>
  <si>
    <t>VSN DEO MSF2252000028945.PDF</t>
  </si>
  <si>
    <t>MSF2252000028953</t>
  </si>
  <si>
    <t>VSN DEO MSF 2252000028953.pdf</t>
  </si>
  <si>
    <t>MOHAN CLOTHING(BB)_INV8500266551_HZB_55PCS.pdf</t>
  </si>
  <si>
    <t>JAY Ambey sarees 7722.pdf</t>
  </si>
  <si>
    <t>MSF2252000028944</t>
  </si>
  <si>
    <t>ADITYA BIRLA_MSF2252000028944_VW_HZB_4PCS.pdf</t>
  </si>
  <si>
    <t>MSF2252000028952</t>
  </si>
  <si>
    <t>ADITYA BIRLA_MSF2252000028952_VH_HZB_1PC.pdf</t>
  </si>
  <si>
    <t>25-26/MUMS 6626</t>
  </si>
  <si>
    <t>Saraogi super sales 6626.pdf</t>
  </si>
  <si>
    <t>GSTN-1079</t>
  </si>
  <si>
    <t>DD SALES-1079.pdf</t>
  </si>
  <si>
    <t>IH/321912/755</t>
  </si>
  <si>
    <t>SUSHILA ENTERPRISES-755.pdf</t>
  </si>
  <si>
    <t>VHS/321910/332</t>
  </si>
  <si>
    <t>SUSHILA ENTERPRISES-332.pdf</t>
  </si>
  <si>
    <t>MSF2251000031118</t>
  </si>
  <si>
    <t>MSF2251000031118 Allen Solly Gaya 13pc.pdf</t>
  </si>
  <si>
    <t>IH/25-26/1081</t>
  </si>
  <si>
    <t>C2D VENTURES-1081.pdf</t>
  </si>
  <si>
    <t>GSTN-1080</t>
  </si>
  <si>
    <t>DD SALES-1080.pdf</t>
  </si>
  <si>
    <t>ADD-253</t>
  </si>
  <si>
    <t>VSN DEO MSF ADD-253.pdf</t>
  </si>
  <si>
    <t>MOHAN CLOTHING(BB)_INV8500267105_HZB_27PCS.pdf</t>
  </si>
  <si>
    <t>MSF2252000029021</t>
  </si>
  <si>
    <t>MSF2252000029021 ALLEN SOLLY DEOGHAR.pdf</t>
  </si>
  <si>
    <t>MSF2252000029023</t>
  </si>
  <si>
    <t>MSF2252000029023 AS DUMKA.pdf</t>
  </si>
  <si>
    <t>INT/192</t>
  </si>
  <si>
    <t>TAYAL GARMENTS_2025-26.pdf</t>
  </si>
  <si>
    <t>IH/321912/756</t>
  </si>
  <si>
    <t>SUSHILA ENTERPRISES_756_2025-26.pdf</t>
  </si>
  <si>
    <t>IH/321910/333</t>
  </si>
  <si>
    <t>SUSHILA ENTERPRISES_333_2025-26.pdf</t>
  </si>
  <si>
    <t>25-26/BLRS/1855</t>
  </si>
  <si>
    <t>SARAOGI SUPER SALES_1855_2025-26.pdf</t>
  </si>
  <si>
    <t>MSF2252000029022</t>
  </si>
  <si>
    <t>ADITYA BIRLA_MSF2252000029022_SBJ_25-26.pdf</t>
  </si>
  <si>
    <t>2GCS25-26-000006</t>
  </si>
  <si>
    <t>EMPORIO SIDDHARTH SALES(SGOCOLORS)_WH_INV000006_25PCS.pdf</t>
  </si>
  <si>
    <t>Variety textile 40091.pdf</t>
  </si>
  <si>
    <t>DS/01028/25-26</t>
  </si>
  <si>
    <t>DS YUVRAAJ(DSY)_JSL_INV1028_23PCS.pdf</t>
  </si>
  <si>
    <t>N/1581</t>
  </si>
  <si>
    <t>RAASHI 1581.pdf</t>
  </si>
  <si>
    <t>25-26/BLRS/1868</t>
  </si>
  <si>
    <t>SARAOGI SUPER SALES_1868_2025-26.pdf</t>
  </si>
  <si>
    <t>Poonam fashion 2830.pdf</t>
  </si>
  <si>
    <t>JAy ambey sarees 7813.pdf</t>
  </si>
  <si>
    <t>Flair kids camp 6708.pdf</t>
  </si>
  <si>
    <t>25-26/JPS5322</t>
  </si>
  <si>
    <t>Saraogi super sales 5322.pdf</t>
  </si>
  <si>
    <t>25-26/JPS5320</t>
  </si>
  <si>
    <t>Saraogi super sales 5320.pdf</t>
  </si>
  <si>
    <t>25-26/JPS5319</t>
  </si>
  <si>
    <t>saraogi super sales 5319.pdf</t>
  </si>
  <si>
    <t>25-26/JPS5318</t>
  </si>
  <si>
    <t>saraogi super sales 5318.pdf</t>
  </si>
  <si>
    <t>KZ/25-26/0421</t>
  </si>
  <si>
    <t>RR CREATION_421_SANSKAR_2025-26.pdf</t>
  </si>
  <si>
    <t>25-26/JPS5335</t>
  </si>
  <si>
    <t>Saraogi super sales 5335.pdf</t>
  </si>
  <si>
    <t>25-26/JPS5334</t>
  </si>
  <si>
    <t>saraogi super sales 5334.pdf</t>
  </si>
  <si>
    <t>25-26/JPS5333</t>
  </si>
  <si>
    <t>saraogi super sales 5333.pdf</t>
  </si>
  <si>
    <t>25-26/JPS5332</t>
  </si>
  <si>
    <t>Saraogi super sales 5332.pdf</t>
  </si>
  <si>
    <t>25-26/CCKS4634</t>
  </si>
  <si>
    <t>saraogi super sales 4634.pdf</t>
  </si>
  <si>
    <t>DS/6581/25-26</t>
  </si>
  <si>
    <t>D S creation 6581.pdf</t>
  </si>
  <si>
    <t>DS/6582/25-26</t>
  </si>
  <si>
    <t>D S creation 6582.pdf</t>
  </si>
  <si>
    <t>AB/008931/25-26</t>
  </si>
  <si>
    <t>Ashmita boutique 8931.pdf</t>
  </si>
  <si>
    <t>SG-1414</t>
  </si>
  <si>
    <t>SHREEJI CREATION_1414_SANSKAR_2025-26.pdf</t>
  </si>
  <si>
    <t>25-26/BLRS/1898</t>
  </si>
  <si>
    <t>SARAOGI SUPER SALES_1898_2025-26.pdf</t>
  </si>
  <si>
    <t>A S TEXTILE_311_2025-26.pdf</t>
  </si>
  <si>
    <t>SKA/25-26/0951</t>
  </si>
  <si>
    <t>Sri Krishna Agencies - 0951.pdf</t>
  </si>
  <si>
    <t>MDM/1147/25-26</t>
  </si>
  <si>
    <t>Madam 1147.pdf</t>
  </si>
  <si>
    <t>2166GT-25-26</t>
  </si>
  <si>
    <t>Gaurav textile 2166.pdf</t>
  </si>
  <si>
    <t>25-26/2326</t>
  </si>
  <si>
    <t>MN GARMENTS(TWILLS)_WH_IN2V2326_132PCS.pdf</t>
  </si>
  <si>
    <t>GST/019056/25-26</t>
  </si>
  <si>
    <t>Fashion world garments 19056.pdf</t>
  </si>
  <si>
    <t>SEF/060721/25-26</t>
  </si>
  <si>
    <t>Surya ethenic 60721.pdf</t>
  </si>
  <si>
    <t>1279/25-26</t>
  </si>
  <si>
    <t>SKY CLOTHING_1279_SANSKAR_2025-26.pdf</t>
  </si>
  <si>
    <t>25-26/CCKS4685</t>
  </si>
  <si>
    <t>SARAOGI SUPER SALES - 4685.pdf</t>
  </si>
  <si>
    <t>TCRS25/386</t>
  </si>
  <si>
    <t>NARVADA TEXTILES-TCRS25-386.pdf</t>
  </si>
  <si>
    <t>MDCRS25/3739</t>
  </si>
  <si>
    <t>TARUN APPARELS-MDCRS25-3739.pdf</t>
  </si>
  <si>
    <t>P.R Modi &amp; Sons 23090.pdf</t>
  </si>
  <si>
    <t>INV2526-3409</t>
  </si>
  <si>
    <t>kanak fashion 3409.pdf</t>
  </si>
  <si>
    <t>DDSL-114</t>
  </si>
  <si>
    <t>DD APPARELS(SWEET DREAMS)_2WH_INV114_110PCS.pdf</t>
  </si>
  <si>
    <t>VN/G/25/2712</t>
  </si>
  <si>
    <t>V N textiles 2712.pdf</t>
  </si>
  <si>
    <t>P2CRS25/2873</t>
  </si>
  <si>
    <t>shree Narayani enterprises 2873.pdf</t>
  </si>
  <si>
    <t>DDSL-111</t>
  </si>
  <si>
    <t>DD APPARELS(SWEET DREAMS)_WH_INV111_104PCS.pdf</t>
  </si>
  <si>
    <t>SCRS25/805</t>
  </si>
  <si>
    <t>GHARUNDA(JOCKEY)_JSL_INV805_43PCS.pdf</t>
  </si>
  <si>
    <t>DA/25-26/0772</t>
  </si>
  <si>
    <t>D APPAREL-0772.pdf</t>
  </si>
  <si>
    <t>MSF2251000031884</t>
  </si>
  <si>
    <t>MSF2251000031884 PE KANKARBAGH.pdf</t>
  </si>
  <si>
    <t>25-26/SC1813</t>
  </si>
  <si>
    <t>SIDDHI CLOTHING(7STITCH)_WH_INV1813_20PCS.pdf</t>
  </si>
  <si>
    <t>25-26/BLRS/1954</t>
  </si>
  <si>
    <t>SARAOGI SUPER SALES_1954_2025-26.pdf</t>
  </si>
  <si>
    <t>A S TEXTILE_318_2025-26.pdf</t>
  </si>
  <si>
    <t>MSF2252000029532</t>
  </si>
  <si>
    <t>ADITYA BIRLA_MSF2252000029532_PE_SR_2025-26.pdf</t>
  </si>
  <si>
    <t>SIYA FASHION_1606_25-26.pdf</t>
  </si>
  <si>
    <t>AS TEXTILE_319.pdf</t>
  </si>
  <si>
    <t>SS/25-26/05247</t>
  </si>
  <si>
    <t>2025-26/2161</t>
  </si>
  <si>
    <t>SHRI SAI ENTERPRISES(ANOKKHI)_WH_INV2161_16PCS.pdf</t>
  </si>
  <si>
    <t>2025-26/2162</t>
  </si>
  <si>
    <t>SHRI SAI ENTERPRISES(AMIDHARA)_WH_INV2162_48PCS.pdf</t>
  </si>
  <si>
    <t>DA/25-26/0794</t>
  </si>
  <si>
    <t>D APPAREL-0794 STATUS QUO SANSHKAR RATU.pdf</t>
  </si>
  <si>
    <t>SB/2025-26/1509</t>
  </si>
  <si>
    <t>Shree balaji 1509.pdf</t>
  </si>
  <si>
    <t>VHS/321910/338</t>
  </si>
  <si>
    <t>SUSHILA_338_2025-26.pdf</t>
  </si>
  <si>
    <t>IH/321912/776</t>
  </si>
  <si>
    <t>SUSHILA ENTERPRISES_776_2025-26.pdf</t>
  </si>
  <si>
    <t>SI/25-26/000675</t>
  </si>
  <si>
    <t>SAAGEDO INTERNATIONAL_00675_2025-26.pdf</t>
  </si>
  <si>
    <t>A S TEXTILE_317_2025-26.pdf</t>
  </si>
  <si>
    <t>MSF2251000031981</t>
  </si>
  <si>
    <t>ADITYA BIRLA_MSF2251000031981_PE_2025-26.pdf</t>
  </si>
  <si>
    <t>MSF2252000029569</t>
  </si>
  <si>
    <t>ADITYA BIRLA_MSF2252000029569_PE_SR_2025-26.pdf</t>
  </si>
  <si>
    <t>MSF2252000029599</t>
  </si>
  <si>
    <t>ADITYA BIRLA_MSF2252000029599_PE_SR_2025-26.pdf</t>
  </si>
  <si>
    <t>ARP/FS/201/25-26</t>
  </si>
  <si>
    <t>ARP Fashion 201.pdf</t>
  </si>
  <si>
    <t>SMFS25-26-002129</t>
  </si>
  <si>
    <t>SHRING APPARELS_2129_LDEO_2025-26.pdf</t>
  </si>
  <si>
    <t>JS13807</t>
  </si>
  <si>
    <t>Ek Omkar-13807.pdf</t>
  </si>
  <si>
    <t>DA/25-26/0798</t>
  </si>
  <si>
    <t>D APPAREL-0798  STATUS QUO SANSHKAR RATU PT FILE.pdf</t>
  </si>
  <si>
    <t>DA/25-26/0799</t>
  </si>
  <si>
    <t>D APPAREL(KHUSHAAL)_INV0799_HZB_2PCS.pdf</t>
  </si>
  <si>
    <t>MSF2251000032277</t>
  </si>
  <si>
    <t>ABFB_MSF2251000032277_2025-26_PE-KANKARBAGH.pdf</t>
  </si>
  <si>
    <t>MSF2252000029793</t>
  </si>
  <si>
    <t>ADITYA BIRLA_MSF2252000029793_PE_FS_2025-26.pdf</t>
  </si>
  <si>
    <t>25-26/JPS 5548</t>
  </si>
  <si>
    <t>LAXMI_SSS_5548_25-26.pdf</t>
  </si>
  <si>
    <t>161/25-26</t>
  </si>
  <si>
    <t>SAI ENTERPRISE(MAXQ`S)_INV161_HZB.pdf</t>
  </si>
  <si>
    <t>DVN/25-26/1422</t>
  </si>
  <si>
    <t>DAVINDER SANDHU IMPEX PRIVATE LIMITED_1422.pdf</t>
  </si>
  <si>
    <t>25-26/JPS/5590</t>
  </si>
  <si>
    <t>SARAOGI SUPER SALES_5590_2025-26.pdf</t>
  </si>
  <si>
    <t>25-26/JPS/5589</t>
  </si>
  <si>
    <t>SARAOGI SUPER SALES_5589_2025-26.pdf</t>
  </si>
  <si>
    <t>MOHAN CLOTHING(BB)_8500270722_HZB_2025-26.pdf</t>
  </si>
  <si>
    <t>25-26/LDHS11142</t>
  </si>
  <si>
    <t>SARAOGI SUPER SALES_11142.pdf</t>
  </si>
  <si>
    <t>VF/25-26/00767</t>
  </si>
  <si>
    <t>VEEDAM FASHION 767.pdf</t>
  </si>
  <si>
    <t>DONE</t>
  </si>
  <si>
    <t>25-26/2385</t>
  </si>
  <si>
    <t>MN GARMENTS(BLAZER.COM)_WH_INV2385_17PCS.pdf</t>
  </si>
  <si>
    <t>P R MODI and son's 23711.pdf</t>
  </si>
  <si>
    <t>SHREE RADHE MATCHING CENTER_679_2025-26.pdf</t>
  </si>
  <si>
    <t>Diya Creation_835_2025-26.pdf</t>
  </si>
  <si>
    <t>Flair Kids Camp_7055_2025-26.pdf</t>
  </si>
  <si>
    <t>MOHAN CLOTHING(BB)_8500271636_HZB_2025-26.pdf</t>
  </si>
  <si>
    <t>DA/25-26/0814</t>
  </si>
  <si>
    <t>D APPAREL(KHUSHAAL)_INV0814_25-26.pdf</t>
  </si>
  <si>
    <t>SS/25-26/05364</t>
  </si>
  <si>
    <t>SHUBH SHRI CLOTHING(MINELLI)_INV5364_J-HZB_25-26.pdf</t>
  </si>
  <si>
    <t>GSTN-1146</t>
  </si>
  <si>
    <t>DD Sales GSTN-1146 Bokaro.pdf</t>
  </si>
  <si>
    <t>WB106</t>
  </si>
  <si>
    <t>M B Enterprises 106.pdf</t>
  </si>
  <si>
    <t>DD SALES_1146_2025-26.pdf</t>
  </si>
  <si>
    <t>DD SALES_1135_2025-26.pdf</t>
  </si>
  <si>
    <t>DD SALES_221_2025-26.pdf</t>
  </si>
  <si>
    <t>25-26/DEL/0411</t>
  </si>
  <si>
    <t>SOURABH GARMENTS_411_2025-26.pdf</t>
  </si>
  <si>
    <t>KC/25-26/1205</t>
  </si>
  <si>
    <t>KIDSCITY SOLUTIONS_1205_SGMR_2025-26.pdf</t>
  </si>
  <si>
    <t>KC/25-26/1206</t>
  </si>
  <si>
    <t>KIDSCITY SOLUTIONS_1206_SGMR_2025-26.pdf</t>
  </si>
  <si>
    <t>MOHAN CLOTHING(BB)_8500272297_HZB_2025-26.pdf</t>
  </si>
  <si>
    <t>MSF2252000030105</t>
  </si>
  <si>
    <t>ADITYA BIRLA_MSF2252000030105_J-HZB_25-26.pdf</t>
  </si>
  <si>
    <t>INV/2025-26/416</t>
  </si>
  <si>
    <t>MYGLAM_INV416_HZB_32PCS.pdf</t>
  </si>
  <si>
    <t>25-26/02717</t>
  </si>
  <si>
    <t>NATIONAL COTTAGE(ST.VALENTINE)_INV2717_J-HZB.pdf</t>
  </si>
  <si>
    <t>Singla Collection_719.pdf</t>
  </si>
  <si>
    <t>25-26/BLRS2006</t>
  </si>
  <si>
    <t>SARAOGI SUPER SALES_2006.pdf</t>
  </si>
  <si>
    <t>R-0413/25-26</t>
  </si>
  <si>
    <t>RAMESHWAR TRADING_413.pdf</t>
  </si>
  <si>
    <t>BN-PMS/25-26/3430</t>
  </si>
  <si>
    <t>P M Son's 3430.pdf</t>
  </si>
  <si>
    <t>25-26/2433</t>
  </si>
  <si>
    <t>M N GARMENTS 2433.pdf</t>
  </si>
  <si>
    <t>25-26/2434</t>
  </si>
  <si>
    <t>M N GARMENTS 2434.pdf</t>
  </si>
  <si>
    <t>SB/2025-26/1579</t>
  </si>
  <si>
    <t>SHREE BALAJI_1579_2025-26.pdf</t>
  </si>
  <si>
    <t>MSF2251000032852</t>
  </si>
  <si>
    <t>ADITYA BIRLA_MSF2251000032852_ASG_2025-26.pdf</t>
  </si>
  <si>
    <t>MSF2252000030229</t>
  </si>
  <si>
    <t>ADITYA BIRLA_MSF2252000030229_FS_2025-26.pdf</t>
  </si>
  <si>
    <t>MSF2252000030244</t>
  </si>
  <si>
    <t>ADITYA BIRLA_MSF2252000030244_SR_2025-26.pdf</t>
  </si>
  <si>
    <t>MSF2252000030280</t>
  </si>
  <si>
    <t>ADITYA BIRLA_MSF2252000030280_MBOB_2025-26.pdf</t>
  </si>
  <si>
    <t>MSF2251000032901</t>
  </si>
  <si>
    <t>ADITYA BIRLA_MSF2251000032901_ASG_2025-26.pdf</t>
  </si>
  <si>
    <t>MSF2252000030226</t>
  </si>
  <si>
    <t>ADITYA BIRLA_MSF2252000030226_SR_2025-26.pdf</t>
  </si>
  <si>
    <t>HPNS25-26-011915</t>
  </si>
  <si>
    <t>HYPHEN GARMENTS_011915_HZB_2025-26.pdf</t>
  </si>
  <si>
    <t>MSF2252000030227</t>
  </si>
  <si>
    <t>ADITYA BIRLA_MSF2252000030227-J-HZB_25-26.pdf</t>
  </si>
  <si>
    <t>MSF2252000030265</t>
  </si>
  <si>
    <t>ADITYA BIRLA_MSF2252000030265_SBJ_25-26.pdf</t>
  </si>
  <si>
    <t>MSF2252000030266</t>
  </si>
  <si>
    <t>ADITYA BIRLA_MSF2252000030266_AS_DMK_25-26.pdf</t>
  </si>
  <si>
    <t>MSF2252000030281</t>
  </si>
  <si>
    <t>ADITYA BIRLA_MSF2252000030281_J-HZB_25-26.pdf</t>
  </si>
  <si>
    <t>MSF2252000030288</t>
  </si>
  <si>
    <t>ADITYA BIRLA_MSF2252000030288_SBJ_25-26.pdf</t>
  </si>
  <si>
    <t>MSF2252000030257</t>
  </si>
  <si>
    <t>ADITYA BIRLA_MSF22502000030257_J-HZB_25-26.pdf</t>
  </si>
  <si>
    <t>MSF2252000030233</t>
  </si>
  <si>
    <t>ADITYA BIRLA_MSF2252000030233_V-DEO_25-26.pdf</t>
  </si>
  <si>
    <t>MSF2252000030240</t>
  </si>
  <si>
    <t>ADITYA BIRLA_MSF2252000030240_AK_FS-DEO_25-26.pdf</t>
  </si>
  <si>
    <t>MSF2252000030242</t>
  </si>
  <si>
    <t>ADITYA BIRLA_MSF2252000030242_AS_FS-DEO_25-26.pdf</t>
  </si>
  <si>
    <t>MSF2252000030243</t>
  </si>
  <si>
    <t>ADITYA BIRLA_MSF2252000030243_AS_FS-DEO_25-26.pdf</t>
  </si>
  <si>
    <t>6352/E</t>
  </si>
  <si>
    <t>SAESHA CREATION_6352_25-26.pdf</t>
  </si>
  <si>
    <t>MSF2250600616404</t>
  </si>
  <si>
    <t>ADITYA BIRLA_MSF2250600616404_V-DEO.pdf</t>
  </si>
  <si>
    <t>MSF2252000030230</t>
  </si>
  <si>
    <t>ADITYA BIRLA_MSF2252000030230_AK_HZB_14PCS.pdf</t>
  </si>
  <si>
    <t>2GCS25-26-000016</t>
  </si>
  <si>
    <t>EMPORIO SIDDHARTH SALES(GOCOLORS)_WH_INV000016_23PCS.pdf</t>
  </si>
  <si>
    <t>DA/25-26/0834</t>
  </si>
  <si>
    <t>D APPAREL_0834_2025-26.pdf</t>
  </si>
  <si>
    <t>PMNT/2526/137</t>
  </si>
  <si>
    <t>GEETANSHI APPARELS_137_2025-26.pdf</t>
  </si>
  <si>
    <t>SOCCRS25/517</t>
  </si>
  <si>
    <t>SHRI MAHAVIR ENTERPRISES_517_2025-26.pdf</t>
  </si>
  <si>
    <t>PR2CRS25/651</t>
  </si>
  <si>
    <t>SHRI MAHAVIR ENTERPRISES_651_2025-26.pdf</t>
  </si>
  <si>
    <t>MDCCRS25/777</t>
  </si>
  <si>
    <t>SHRI MAHAVIR ENTERPRISES_777_2025-26.pdf</t>
  </si>
  <si>
    <t>MSF2252000030436</t>
  </si>
  <si>
    <t>ADITYA BIRLA_MSF2252000030436_SR_2025-26.pdf</t>
  </si>
  <si>
    <t>MSF2251000033093</t>
  </si>
  <si>
    <t>ADITYA BIRLA_MSF2251000033093_PEK_2025-26.pdf</t>
  </si>
  <si>
    <t>MSF2252000030388</t>
  </si>
  <si>
    <t>ADITYA BIRLA_MSF2252000030388_SR_2025-26.pdf</t>
  </si>
  <si>
    <t>MSF2252000030308</t>
  </si>
  <si>
    <t>ADITYA BIRLA_MSF2252000030308_J-HZB_25-26.pdf</t>
  </si>
  <si>
    <t>MSF2252000030310</t>
  </si>
  <si>
    <t>ADITYA BIRLA_MSF2252000030310_J-HZB_25-26.pdf</t>
  </si>
  <si>
    <t>MSF2252000030315</t>
  </si>
  <si>
    <t>ADITYA BIRLA_MSF2252000030315_J-HZB_25-26.pdf</t>
  </si>
  <si>
    <t>MSF2252000030381</t>
  </si>
  <si>
    <t>ADITYA BIRLA_MSF2252000030381_J-HZB_25-26.pdf</t>
  </si>
  <si>
    <t>MSF2252000030389</t>
  </si>
  <si>
    <t>ADITYA BIRLA_MSF2252000030389_J-HZB_25-26.pdf</t>
  </si>
  <si>
    <t>MSF2252000030390</t>
  </si>
  <si>
    <t>ADITYA BIRLA_MSF2252000030390_LP_DMK_25-26.pdf</t>
  </si>
  <si>
    <t>MSF2252000030420</t>
  </si>
  <si>
    <t>ADITYA BIRLA_MSF2252000030420_J-HZB_25-26.pdf</t>
  </si>
  <si>
    <t>MSF2252000030427</t>
  </si>
  <si>
    <t>ADITYA BIRLA_MSF2252000030427_J-HZB_25-26.pdf</t>
  </si>
  <si>
    <t>MSF2252000030434</t>
  </si>
  <si>
    <t>ADITYA BIRLA_MSF2252000030434_SBJ_25-26.pdf</t>
  </si>
  <si>
    <t>MSF2252000030470</t>
  </si>
  <si>
    <t>ADITYA BIRLA_MSF2252000030470_PE_SBJ_25-26.pdf</t>
  </si>
  <si>
    <t>DA/25-26/0849</t>
  </si>
  <si>
    <t>D APPAREL_0849_V-DEO_25-26.pdf</t>
  </si>
  <si>
    <t>MOHAN CLOTHING(BB)_INV8500273403_HZB_25-26.pdf</t>
  </si>
  <si>
    <t>MSF2251000033095</t>
  </si>
  <si>
    <t>ADITYA BIRLA_MSF2251000033095_PE_GYA_25-26.pdf</t>
  </si>
  <si>
    <t>MSF2252000030305</t>
  </si>
  <si>
    <t>ADITYA BIRLA_MSF2252000030305_V-DEO_25-26.pdf</t>
  </si>
  <si>
    <t>MSF2252000030339</t>
  </si>
  <si>
    <t>ADITYA BIRLA_MSF2252000030339_FS-DEO_25-26.pdf</t>
  </si>
  <si>
    <t>MSF2252000030378</t>
  </si>
  <si>
    <t>ADITYA BIRLA_MSF2252000030378_V-DEO_25-26.pdf</t>
  </si>
  <si>
    <t>MSF2252000030380</t>
  </si>
  <si>
    <t>ADITYA BIRLA_MSF2252000030380_AK_FS-DEO_25-26.pdf</t>
  </si>
  <si>
    <t>MSF2252000030382</t>
  </si>
  <si>
    <t>ADITYA BIRLA_MSF2252000030382_PE_FS-DEO_25-26.pdf</t>
  </si>
  <si>
    <t>MSF2252000030387</t>
  </si>
  <si>
    <t>ADITYA BIRLA_MSF2252000030387_FS-DEO_25-26.pdf</t>
  </si>
  <si>
    <t>MSF2252000030397</t>
  </si>
  <si>
    <t>ADITYA BIRLA_MSF2252000030397_25-26.pdf</t>
  </si>
  <si>
    <t>MSF2252000030426</t>
  </si>
  <si>
    <t>ADITYA BIRLA_MSF2252000030426_V-DEO_25-26.pdf</t>
  </si>
  <si>
    <t>MSF2252000030433</t>
  </si>
  <si>
    <t>ADITYA BIRLA_MSF2252000030433_FS-DEO_25-26.pdf</t>
  </si>
  <si>
    <t>MSF22502000030398</t>
  </si>
  <si>
    <t>ADITYA BIRLA_MSF2252000030398_LP_SANSKAR.pdf</t>
  </si>
  <si>
    <t>MSF2252000030451</t>
  </si>
  <si>
    <t>ADITYA BIRLA_MSF2252000030451_VDEO.pdf</t>
  </si>
  <si>
    <t>MSF2252000030385</t>
  </si>
  <si>
    <t>ADITYA BIRLA_MSF2252000030385_AH_FS.pdf</t>
  </si>
  <si>
    <t>25-26/2008</t>
  </si>
  <si>
    <t>Sidharth Fashion_2008.pdf</t>
  </si>
  <si>
    <t>25-26/1165</t>
  </si>
  <si>
    <t>SIDDHARTHA FASHION_KRISHNA CREATION_1165.pdf</t>
  </si>
  <si>
    <t>DS/01136/25-26</t>
  </si>
  <si>
    <t>DS Yuvraaj_1136.pdf</t>
  </si>
  <si>
    <t>MSF2250600619944</t>
  </si>
  <si>
    <t>ADITYA BIRLA_MSF2250600619944_VH_DEO_2CS.pdf</t>
  </si>
  <si>
    <t>WS2637</t>
  </si>
  <si>
    <t>OM GANPATI ENTERPRISES_WS2637_LDEO_2025-26.pdf</t>
  </si>
  <si>
    <t>WS2638</t>
  </si>
  <si>
    <t>OM GANPATI ENTERPRISES_WS2638_SBG_2025-26.pdf</t>
  </si>
  <si>
    <t>25-26/SAN/11127</t>
  </si>
  <si>
    <t>SAFARI_INV11127_9PCS_SGMR.pdf</t>
  </si>
  <si>
    <t>MSF2250600622236</t>
  </si>
  <si>
    <t>ADITYA BIRLA_MSF2250600622236_V-DEO.pdf</t>
  </si>
  <si>
    <t>MSF2252000030635</t>
  </si>
  <si>
    <t>ADITYA BIRLA_MSF2252000030635_FS-DEO.pdf</t>
  </si>
  <si>
    <t>MSF2252000030651</t>
  </si>
  <si>
    <t>ADITYA BIRLA_MSF2252000030651_BOKARO.pdf</t>
  </si>
  <si>
    <t>SHRITHIK_2242.pdf</t>
  </si>
  <si>
    <t>MSF2252000030653</t>
  </si>
  <si>
    <t>ADITYA BIRLA_MSF2252000030653_V-DEO.pdf</t>
  </si>
  <si>
    <t>MSF2252000030661</t>
  </si>
  <si>
    <t>ADITYA BIRLA_MSF2252000030661_AK_FS.pdf</t>
  </si>
  <si>
    <t>MSF2252000030675</t>
  </si>
  <si>
    <t>ADITYA BIRLA_MSF2252000030675_AS_DEO.pdf</t>
  </si>
  <si>
    <t>MSF2252000030677</t>
  </si>
  <si>
    <t>ADITYA BIRLA_MSF2252000030677_AS_SANSHKAR.pdf</t>
  </si>
  <si>
    <t>MSF2252000030693</t>
  </si>
  <si>
    <t>ADITYA BIRLA_MSF2252000030693_V-DEO.pdf</t>
  </si>
  <si>
    <t>MSF2252000030652</t>
  </si>
  <si>
    <t>ADITYA BIRLA_MSF2252000030652_LP_SANSHKAR.pdf</t>
  </si>
  <si>
    <t>SB4650/25-26</t>
  </si>
  <si>
    <t>Sajan Shree Apparel_4650.pdf</t>
  </si>
  <si>
    <t>MOHAN CLOTHING(BB)_INV8500274196_J-HZB.pdf</t>
  </si>
  <si>
    <t>MSF2252000030662</t>
  </si>
  <si>
    <t>ADITYA BIRLA_MSF2252000030662_AK_J-HZB.pdf</t>
  </si>
  <si>
    <t>MSF2252000030676</t>
  </si>
  <si>
    <t>ADITYA BIRLA_MSF2252000030676_AS_J-HZB.pdf</t>
  </si>
  <si>
    <t>MOHAN CLOTHING(BB)_INV8500273795_J-HZB.pdf</t>
  </si>
  <si>
    <t>MSF2252000030678</t>
  </si>
  <si>
    <t>ADITYA BIRLA_MSF2252000030678.pdf</t>
  </si>
  <si>
    <t>MSF2252000030694</t>
  </si>
  <si>
    <t>ADITYA BIRLA_MSF2252000030694.pdf</t>
  </si>
  <si>
    <t>MSF2252000030692</t>
  </si>
  <si>
    <t>ADITYA BIRLA_MSF2252000030692_VH_HZB_2PCS.pdf</t>
  </si>
  <si>
    <t>PUNEET APPAREL_12516352.pdf</t>
  </si>
  <si>
    <t>MSF2252000030755</t>
  </si>
  <si>
    <t>ADITYA BIRLA_MSF2252000030755_AK_FS-DEO_25-26.pdf</t>
  </si>
  <si>
    <t>WB117</t>
  </si>
  <si>
    <t>M B ENTERPRISES_117_25-26.pdf</t>
  </si>
  <si>
    <t>MSF2252000030765</t>
  </si>
  <si>
    <t>ADITYA BIRLA_MSF2252000030765_DEO.pdf</t>
  </si>
  <si>
    <t>MSF2252000030766</t>
  </si>
  <si>
    <t>ADITYA BIRLA_MSF2252000030766_DEO.pdf</t>
  </si>
  <si>
    <t>MSF2252000030792</t>
  </si>
  <si>
    <t>ADITYA BIRLA_MSF2252000030792_DEO.pdf</t>
  </si>
  <si>
    <t>MSF2252000030775</t>
  </si>
  <si>
    <t>ADITYA BIRLA_MSF2252000030775_V-DEO.pdf</t>
  </si>
  <si>
    <t>SCRS25/852</t>
  </si>
  <si>
    <t>GHARUNDA(JOCKEY)_INV852_JSL.pdf</t>
  </si>
  <si>
    <t>MOHAN CLOTHING(BB)_INV8500274639_J-HZB.pdf</t>
  </si>
  <si>
    <t>A S TEXTILE_338.pdf</t>
  </si>
  <si>
    <t>A S TEXTILE_339.pdf</t>
  </si>
  <si>
    <t>MSF2252000030774</t>
  </si>
  <si>
    <t>ADITYA BIRLA_MSF2252000030774.pdf</t>
  </si>
  <si>
    <t>MSF2252000030779</t>
  </si>
  <si>
    <t>ADITYA BIRLA_MSF2252000030779.pdf</t>
  </si>
  <si>
    <t>MSF2252000030793</t>
  </si>
  <si>
    <t>ADITYA BIRLA_MSF2252000030793.pdf</t>
  </si>
  <si>
    <t>MSF2252000030816</t>
  </si>
  <si>
    <t>ADITYA BIRLA_MSF2252000030816_BOKARO.pdf</t>
  </si>
  <si>
    <t>MSF2252000030828</t>
  </si>
  <si>
    <t>ADITYA BIRLA_MSF2252000030828_AS_DEO.pdf</t>
  </si>
  <si>
    <t>FLAIR KIDS CAMP_7081.pdf</t>
  </si>
  <si>
    <t>MSF2252000030811</t>
  </si>
  <si>
    <t>ADITYA BIRLA_MSF2252000030811_FS-DEO.pdf</t>
  </si>
  <si>
    <t>MSF2252000030822</t>
  </si>
  <si>
    <t>ADITYA BIRLA_MSF2252000030822_SANSHKAR.pdf</t>
  </si>
  <si>
    <t>MSF2252000030844</t>
  </si>
  <si>
    <t>ADITYA BIRLA_MSF2252000030844_V-DEO.pdf</t>
  </si>
  <si>
    <t>MSF2252000030819</t>
  </si>
  <si>
    <t>ADITYA BIRLA_MSF2252000030819_LP_SANSHKAR.pdf</t>
  </si>
  <si>
    <t>MSF2251000033778</t>
  </si>
  <si>
    <t>ADITYA BIRLA_MSF2251000033778_AS_GAYA.pdf</t>
  </si>
  <si>
    <t>MSF2252000030813</t>
  </si>
  <si>
    <t>ADITYA BIRLA_MSF2252000030813.pdf</t>
  </si>
  <si>
    <t>MSF2252000030817</t>
  </si>
  <si>
    <t>ADITYA BIRLA_MSF2252000030817_LR_DMK.pdf</t>
  </si>
  <si>
    <t>MSF2252000030830</t>
  </si>
  <si>
    <t>ADITYA BIRLA_MSF2252000030830_AS_DMK.pdf</t>
  </si>
  <si>
    <t>MSF2252000030831</t>
  </si>
  <si>
    <t>ADITYA BIRLA_MSF2252000030831.pdf</t>
  </si>
  <si>
    <t>MSF2252000030843</t>
  </si>
  <si>
    <t>ADITYA BIRLA_MSF2252000030843.pdf</t>
  </si>
  <si>
    <t>MSF2252000030829</t>
  </si>
  <si>
    <t>ADITYA BIRLA_MSF2252000030829.pdf</t>
  </si>
  <si>
    <t>MSF2252000030832</t>
  </si>
  <si>
    <t>ADITYA BIRLA_MSF2252000030832.pdf</t>
  </si>
  <si>
    <t>MSF2252000030958</t>
  </si>
  <si>
    <t>ADITYA BIRLA_MSF2252000030958_SANSHKAR.pdf</t>
  </si>
  <si>
    <t>MOHAN CLOTHING(BB)_INV8500275412_J-HZB.pdf</t>
  </si>
  <si>
    <t>SL00001505</t>
  </si>
  <si>
    <t>Shree Sanskruti-1505.pdf</t>
  </si>
  <si>
    <t>SL00001506</t>
  </si>
  <si>
    <t>Shri Gurunank-1506.pdf</t>
  </si>
  <si>
    <t>S/428</t>
  </si>
  <si>
    <t>VISHAL MARKETING &amp; CO(CB)_428_2025-26.pdf</t>
  </si>
  <si>
    <t>J/25-26/11427</t>
  </si>
  <si>
    <t>JAIN ADISHWAR_11427_MBOB_2025-26.pdf</t>
  </si>
  <si>
    <t>J/25-26/11421</t>
  </si>
  <si>
    <t>JAIN ADISHWAR_11421_J-HZB_25-26.pdf</t>
  </si>
  <si>
    <t>PLAZER GARMENTS_3544_25-26.pdf</t>
  </si>
  <si>
    <t>BN-PMS/25-26/3496</t>
  </si>
  <si>
    <t>PM SONS_3496_25-26.pdf</t>
  </si>
  <si>
    <t>FES/003314/25-26</t>
  </si>
  <si>
    <t>FASHION EARTH GARMENTS_3314_25-26.pdf</t>
  </si>
  <si>
    <t>FES/003315/25-26</t>
  </si>
  <si>
    <t>FASHION EARTH GARMENTS_3315_25-26.pdf</t>
  </si>
  <si>
    <t>J/25-26/11415</t>
  </si>
  <si>
    <t>JAIN ADISHWAR_11415_AS-DEO_25-26.pdf</t>
  </si>
  <si>
    <t>MSF2252000031045</t>
  </si>
  <si>
    <t>ADITYA BIRLA_MSF2252000031045.pdf</t>
  </si>
  <si>
    <t>MSF2252000031050</t>
  </si>
  <si>
    <t>ADITYA BIRLA_MSF2252000031050_AS_S-RATU.pdf</t>
  </si>
  <si>
    <t>SHREE FASHION_3898.pdf</t>
  </si>
  <si>
    <t>DA/25-26/0865</t>
  </si>
  <si>
    <t>D Apparel(Status Quo)_865.pdf</t>
  </si>
  <si>
    <t>P2CRS25/3060</t>
  </si>
  <si>
    <t>MS SHREE NARAYANI ENTERPRISES_3060_2025-26.pdf</t>
  </si>
  <si>
    <t>J/25-26/11454</t>
  </si>
  <si>
    <t>JAIN ADISHWAR_11454_J-HZB_25-26.pdf</t>
  </si>
  <si>
    <t>J/25-26/11455</t>
  </si>
  <si>
    <t>JAIN ADISHWAR_11455_AS-DEO_25-26.pdf</t>
  </si>
  <si>
    <t>25-26/2472</t>
  </si>
  <si>
    <t>PAYAL GARMENTS_2472_25-26.pdf</t>
  </si>
  <si>
    <t>258 &amp; 196 PAID</t>
  </si>
  <si>
    <t>25-26/2474</t>
  </si>
  <si>
    <t>PAYAL GARMENTS_2474_25-26.pdf</t>
  </si>
  <si>
    <t>PLAZER FABRICS_3031_25-26.pdf</t>
  </si>
  <si>
    <t>PLAZER GARMENTS_3602_25-26.pdf</t>
  </si>
  <si>
    <t>D/1584</t>
  </si>
  <si>
    <t>VISHAL MARKETING &amp; CO(SPYKAR)_1584_25-26.pdf</t>
  </si>
  <si>
    <t>D/1585</t>
  </si>
  <si>
    <t>VISHAL MARKETING &amp; CO(SPYKAR)_1585_25-26.pdf</t>
  </si>
  <si>
    <t>D/1586</t>
  </si>
  <si>
    <t>VISHAL MARKETING &amp; CO(SPYKAR)_1586_25-26.pdf</t>
  </si>
  <si>
    <t>S/25-26/3379</t>
  </si>
  <si>
    <t>VISHAL MARKETING &amp; CO(US POLO)_3379_25-26.pdf</t>
  </si>
  <si>
    <t>S/25-26/3380</t>
  </si>
  <si>
    <t>VISHAL MARKETING &amp; CO(US POLO)_3380_25-26.pdf</t>
  </si>
  <si>
    <t>J/25-26/11463</t>
  </si>
  <si>
    <t>JAIN ADISHWAR_11463_BKR_25-26.pdf</t>
  </si>
  <si>
    <t>DA/25-26/0873</t>
  </si>
  <si>
    <t>D APPAREL(SQ)_0873_SBJ.pdf</t>
  </si>
  <si>
    <t>DA/25-26/0874</t>
  </si>
  <si>
    <t>D APPAREL(SQ)_0874_SBJ.pdf</t>
  </si>
  <si>
    <t>J/25-26/11483</t>
  </si>
  <si>
    <t>Jain Adhishwar_11483.pdf</t>
  </si>
  <si>
    <t>J/25-26/11485</t>
  </si>
  <si>
    <t>Jain Adhishwar_11485.pdf</t>
  </si>
  <si>
    <t>J/25-26/11486</t>
  </si>
  <si>
    <t>Jain Adhishwar_11486.pdf</t>
  </si>
  <si>
    <t>J/25-26/11484</t>
  </si>
  <si>
    <t>Jain Adhishwar_14484.pdf</t>
  </si>
  <si>
    <t>J/25-26/11452</t>
  </si>
  <si>
    <t>Jain Adhishwar(easies)_11452_Ratu.pdf</t>
  </si>
  <si>
    <t>MSF2251000034124</t>
  </si>
  <si>
    <t>ADITYA BIRLA_MSF2251000034124_PE_Gaya.pdf</t>
  </si>
  <si>
    <t>J/25-26/11470</t>
  </si>
  <si>
    <t>Jain Adishwar__11470 (1).pdf</t>
  </si>
  <si>
    <t>J/25-26/11475</t>
  </si>
  <si>
    <t>Jain Adishwar_J-25-26-11475.pdf</t>
  </si>
  <si>
    <t>BN-PMS/25-26/ 3517</t>
  </si>
  <si>
    <t>PM SONS_3517.pdf</t>
  </si>
  <si>
    <t>25-26/2079</t>
  </si>
  <si>
    <t>Sidhartha Fashion-2079.pdf</t>
  </si>
  <si>
    <t>D/1595</t>
  </si>
  <si>
    <t>VISHAL MARKETING &amp; CO(SPYKAR)_1595_25-26.pdf</t>
  </si>
  <si>
    <t>Kishore Textiles_1019.pdf</t>
  </si>
  <si>
    <t>BN-PMS/25-26/3543</t>
  </si>
  <si>
    <t>P M Son's_3543.pdf</t>
  </si>
  <si>
    <t>252565/25-26</t>
  </si>
  <si>
    <t>GTN Engineering-252565.pdf</t>
  </si>
  <si>
    <t>252566/25-26</t>
  </si>
  <si>
    <t>GTN Engineering-252566.pdf</t>
  </si>
  <si>
    <t>MSF2251000034398</t>
  </si>
  <si>
    <t>ADITYA BIRLA_MSF2251000034398_PE_KKBG.pdf</t>
  </si>
  <si>
    <t>MSF2251000034399</t>
  </si>
  <si>
    <t>ADITYA BIRLA_MSF2251000034399_PE.pdf</t>
  </si>
  <si>
    <t>MSF2251000034400</t>
  </si>
  <si>
    <t>ADITYA BIRLA_MSF2251000034400_PE.pdf</t>
  </si>
  <si>
    <t>BN-PMS/25-26/ 3540</t>
  </si>
  <si>
    <t>P M SONS_3540.pdf</t>
  </si>
  <si>
    <t>MOHAN CLOTHING(BB)_INV8500277677_J-HZB.pdf</t>
  </si>
  <si>
    <t>MSF2251000034518</t>
  </si>
  <si>
    <t>ADITYA BIRLA_MSF2251000034518_AS.pdf</t>
  </si>
  <si>
    <t>MSF2252000031260</t>
  </si>
  <si>
    <t>ADITYA BIRLA_MSF2252000031260_RE_S-RATU.pdf</t>
  </si>
  <si>
    <t>MSF2252000031371</t>
  </si>
  <si>
    <t>ADITYA BIRLA_MSF2252000031371_AS_DMK.pdf</t>
  </si>
  <si>
    <t>MSF2252000031376</t>
  </si>
  <si>
    <t>ADITYA BIRLA_MSF2252000031376_AS.pdf</t>
  </si>
  <si>
    <t>MSF2252000031377</t>
  </si>
  <si>
    <t>ADITYA BIRLA_MSF2252000031377_AS_S-RATU.pdf</t>
  </si>
  <si>
    <t>MSF2252000031382</t>
  </si>
  <si>
    <t>ADITYA BIRLA_MSF2252000031382_LP_S-RATU.pdf</t>
  </si>
  <si>
    <t>MSF2252000031383</t>
  </si>
  <si>
    <t>ADITYA BIRLA_MSF2252000031383_V-DEO.pdf</t>
  </si>
  <si>
    <t>MSF2252000031395</t>
  </si>
  <si>
    <t>ADITYA BIRLA_MSF2252000031395_V-DEO.pdf</t>
  </si>
  <si>
    <t>GSTN-1163</t>
  </si>
  <si>
    <t>DD SALES_KILLER_1163.pdf</t>
  </si>
  <si>
    <t>MI1216</t>
  </si>
  <si>
    <t>Mine Innovation_1216.pdf</t>
  </si>
  <si>
    <t>MSF2252000031363</t>
  </si>
  <si>
    <t>ADITYA BIRLA_MSF2252000031363_AK_HZB_4PCS.pdf</t>
  </si>
  <si>
    <t>MSF2252000031372</t>
  </si>
  <si>
    <t>ADITYA BIRLA_MSF2252000031372_AS_HZB_11PCS.pdf</t>
  </si>
  <si>
    <t>MSF2252000031396</t>
  </si>
  <si>
    <t>ADITYA BIRLA_MSF2252000031396_VH_SBJ_79PCS.pdf</t>
  </si>
  <si>
    <t>MSF2252000031398</t>
  </si>
  <si>
    <t>ADITYA BIRLA_MSF2252000031398_VH_HZB_54PCS.pdf</t>
  </si>
  <si>
    <t>MSF2252000031261</t>
  </si>
  <si>
    <t>ADITYA BIRLA_MSF2252000031261_PE_FS_4PCS.pdf</t>
  </si>
  <si>
    <t>MSF2252000031362</t>
  </si>
  <si>
    <t>ADITYA BIRLA_MSF2252000031362_AS_FS_8PCS.pdf</t>
  </si>
  <si>
    <t>MSF2252000031364</t>
  </si>
  <si>
    <t>ADITYA BIRLA_MSF2252000031364_AS_FS_5PCS.pdf</t>
  </si>
  <si>
    <t>MSF2252000031370</t>
  </si>
  <si>
    <t>ADITYA BIRLA_MSF2252000031370_AS_SBJ_11PCS.pdf</t>
  </si>
  <si>
    <t>1760/25-26</t>
  </si>
  <si>
    <t>N TIQUE KIDS_1760.pdf</t>
  </si>
  <si>
    <t>NOT AVAILABLE</t>
  </si>
  <si>
    <t>F.S TO KDPS 985 PIC DETAIL.xlsx</t>
  </si>
  <si>
    <t>S/25-26/3437</t>
  </si>
  <si>
    <t>VISHAL MARKETING &amp; CO(REX STRAUT)_3437.pdf</t>
  </si>
  <si>
    <t>S/25-26/3456</t>
  </si>
  <si>
    <t>VISHAL MARKETING &amp; CO(TADPOLE)_3456.pdf</t>
  </si>
  <si>
    <t>Shree Radhe Matching Center_707.pdf</t>
  </si>
  <si>
    <t>GSTN-1181</t>
  </si>
  <si>
    <t>DD Sales_1181_Bokaro.pdf</t>
  </si>
  <si>
    <t>Kishore Textiles_1020.pdf</t>
  </si>
  <si>
    <t>S/25-26/3443</t>
  </si>
  <si>
    <t>VISHAL MARKETING &amp; CO(ARROW)-3443.pdf</t>
  </si>
  <si>
    <t>S/25-26/3460</t>
  </si>
  <si>
    <t>VISHAL MARKETING &amp; CO(DEAL)-3460.pdf</t>
  </si>
  <si>
    <t>S/25-26/3440</t>
  </si>
  <si>
    <t>VISHAL MARKETING &amp; CO(US POLO)-3440.pdf</t>
  </si>
  <si>
    <t>S/25-26/3441</t>
  </si>
  <si>
    <t>VISHAL MARKETING &amp; CO(US POLO)-3441.pdf</t>
  </si>
  <si>
    <t>S/25-26/3454</t>
  </si>
  <si>
    <t>VISHAL MARKETING &amp; CO(US POLO)-3454.pdf</t>
  </si>
  <si>
    <t>MSF2251000034632</t>
  </si>
  <si>
    <t>ADITYA BIRLA_MSF2251000034632_PE.pdf</t>
  </si>
  <si>
    <t>MSF2251000034633</t>
  </si>
  <si>
    <t>ADITYA BIRLA_MSF2251000034633_PE.pdf</t>
  </si>
  <si>
    <t>DA/25-26/0889</t>
  </si>
  <si>
    <t>D APPAREL(KHUSHAAL)_INV0889_J-HZB.pdf</t>
  </si>
  <si>
    <t>DA/25-26/0890</t>
  </si>
  <si>
    <t>D APPAREL(STATUS QUO)_INV0890_J-HZB.pdf</t>
  </si>
  <si>
    <t>MSF2252000031468</t>
  </si>
  <si>
    <t>ADITYA BIRLA_MSF2252000031468_V-DEO.pdf</t>
  </si>
  <si>
    <t>SMFS25-26-002294</t>
  </si>
  <si>
    <t>SHRING APPARELS(MUFTI)_INV2294_L-DEO.pdf</t>
  </si>
  <si>
    <t>MOHAN CLOTHING(BB)_INV8500278375_J-HZB.pdf</t>
  </si>
  <si>
    <t>MSF2251000034667</t>
  </si>
  <si>
    <t>ADITYA BIRLA_MSF2251000034667_AS_GAYA.pdf</t>
  </si>
  <si>
    <t>J/25-26/11568</t>
  </si>
  <si>
    <t>JAIN ADHISHWAR_11568.pdf</t>
  </si>
  <si>
    <t>MSF2252000031484</t>
  </si>
  <si>
    <t>ADITYA BIRLA_MSF2252000031484_AS.pdf</t>
  </si>
  <si>
    <t>MSF2252000031486</t>
  </si>
  <si>
    <t>ADITYA BIRLA_MSF2252000031486_AS_DMK.pdf</t>
  </si>
  <si>
    <t>MSF2252000031488</t>
  </si>
  <si>
    <t>ADITYA BIRLA_MSF2252000031488_AS_S-RATU.pdf</t>
  </si>
  <si>
    <t>MSF2252000031493</t>
  </si>
  <si>
    <t>ADITYA BIRLA_MSF2252000031493_V-DEO.pdf</t>
  </si>
  <si>
    <t>MSF2252000031487</t>
  </si>
  <si>
    <t>ADITYA BIRLA_MSF2252000031487_AS-HZB_11PCS.pdf</t>
  </si>
  <si>
    <t>KZ/25-26/0471</t>
  </si>
  <si>
    <t>R R Creation_471.pdf</t>
  </si>
  <si>
    <t>SG-1647</t>
  </si>
  <si>
    <t>Shreeji Creation_1647.pdf</t>
  </si>
  <si>
    <t>MSF2252000031491</t>
  </si>
  <si>
    <t>ADITYA BIRLA_MSF2252000031491_LP_HZB_15PCS.pdf</t>
  </si>
  <si>
    <t>MSF2252000031494</t>
  </si>
  <si>
    <t>ADITYA BIRLA_MSF2252000031494_VH_SBJ_91PCS.pdf</t>
  </si>
  <si>
    <t>MSF2252000031485</t>
  </si>
  <si>
    <t>ADITYA BIRLA_MSF2252000031485_AS_SBJ_14PCS.pdf</t>
  </si>
  <si>
    <t>DDSL-122</t>
  </si>
  <si>
    <t>DD APPARELS(SWEET DREAMS)_INV122_WH.pdf</t>
  </si>
  <si>
    <t>DA/25-26/0898</t>
  </si>
  <si>
    <t>D APPAREL(SQ)_0898_SANSHKAR.pdf</t>
  </si>
  <si>
    <t>PROM-34</t>
  </si>
  <si>
    <t>DD SALES_PROM-34_V-SM.pdf</t>
  </si>
  <si>
    <t>GSTN-1200</t>
  </si>
  <si>
    <t>DD SALES(KILLER)_INV1200_V-SM.pdf</t>
  </si>
  <si>
    <t>J/25-26/11616</t>
  </si>
  <si>
    <t>Jain Adishwar_11616_J-HZB.pdf</t>
  </si>
  <si>
    <t>D/1632</t>
  </si>
  <si>
    <t>VISHAL MARKETING &amp; CO(SPYKAR)_1632.pdf</t>
  </si>
  <si>
    <t>J/25-26/11624</t>
  </si>
  <si>
    <t>Jain Adishwar_11624_Deoghar.pdf</t>
  </si>
  <si>
    <t>J/25-26/11629</t>
  </si>
  <si>
    <t>Jain Adishwar_11629_Bokaro.pdf</t>
  </si>
  <si>
    <t>S/25-26/3479</t>
  </si>
  <si>
    <t>VISHAL MARKETING &amp; CO(ARROW)-3479.pdf</t>
  </si>
  <si>
    <t>S/25-26/3483</t>
  </si>
  <si>
    <t>VISHAL MARKETING &amp; CO(ARROW)-3483.pdf</t>
  </si>
  <si>
    <t>S/25-26/3480</t>
  </si>
  <si>
    <t>VISHAL MARKETING &amp; CO(FM)-3480.pdf</t>
  </si>
  <si>
    <t>MSF2250600640900</t>
  </si>
  <si>
    <t>ADITYA BIRLA_MSF2250600640900_LP_AS-DEO.pdf</t>
  </si>
  <si>
    <t>GSTN-1205</t>
  </si>
  <si>
    <t>D D SALES_ 1205_DMK.pdf</t>
  </si>
  <si>
    <t>KL-25260506</t>
  </si>
  <si>
    <t>INDTECH APPARELS(FAHRENHEIT )_INV3506_J-HZB.pdf</t>
  </si>
  <si>
    <t>KCS252636257</t>
  </si>
  <si>
    <t>SUVIDHI TEXTILES(CELSIUS)_INV36257_J-HZB.pdf</t>
  </si>
  <si>
    <t>MSF2252000031591</t>
  </si>
  <si>
    <t>ADITYA BIRLA_MSF2252000031591.pdf</t>
  </si>
  <si>
    <t>MSF2252000031595</t>
  </si>
  <si>
    <t>MSF2252000031595_AS_HZB_6PCS.pdf</t>
  </si>
  <si>
    <t>MSF2252000031600</t>
  </si>
  <si>
    <t>MSF2252000031600_AS_HZB_7PCS.pdf</t>
  </si>
  <si>
    <t>MSF2252000031602</t>
  </si>
  <si>
    <t>MSF2252000031602_VH_HZB_6PCS.pdf</t>
  </si>
  <si>
    <t>MSF2251000034700</t>
  </si>
  <si>
    <t>ADITYA BIRLA_MSF2251000034700_PE_GAYA_13PCS.pdf</t>
  </si>
  <si>
    <t>25-26/MUMS7536</t>
  </si>
  <si>
    <t>SARAOGI SUPER SALES_7536.pdf</t>
  </si>
  <si>
    <t>25-26/MUMS7537</t>
  </si>
  <si>
    <t>SARAOGI SUPER SALES_7537.pdf</t>
  </si>
  <si>
    <t>MSF2252000031599</t>
  </si>
  <si>
    <t>ADITYA BIRLA_MSF2252000031599_AS_DEO_12PCS.pdf</t>
  </si>
  <si>
    <t>MSF2252000031601</t>
  </si>
  <si>
    <t>ADITYA BIRLA_MSF2252000031601_LP_DEO_6PCS.pdf</t>
  </si>
  <si>
    <t>MSF2252000031604</t>
  </si>
  <si>
    <t>ADITYA BIRLA_MSF2252000031604_VH_VASDEO_7PCS.pdf</t>
  </si>
  <si>
    <t>DDLS-128</t>
  </si>
  <si>
    <t>DD APPARELS(SWEET DREAMS)_INV128_HZB_42PCS.pdf</t>
  </si>
  <si>
    <t>1777/25-26</t>
  </si>
  <si>
    <t>N TIQUE KIDS_1777.pdf</t>
  </si>
  <si>
    <t>MSF2252000031594</t>
  </si>
  <si>
    <t>ADITYA BIRLA_MSF2252000031594_AK_FS_6PCS.pdf</t>
  </si>
  <si>
    <t>MSF2252000031714</t>
  </si>
  <si>
    <t>MSF2252000031714_VH_SBJ_17PCS.pdf</t>
  </si>
  <si>
    <t>S/25-26/3488</t>
  </si>
  <si>
    <t>VISHAL MARKETING &amp; CO(SPYKAR)-3488.pdf</t>
  </si>
  <si>
    <t>VEP/003136/25-26</t>
  </si>
  <si>
    <t>VINAYAK EMPORIUM_3136.pdf</t>
  </si>
  <si>
    <t>CONSIGNMENT</t>
  </si>
  <si>
    <t>DA/25-26/0911</t>
  </si>
  <si>
    <t>D APPARELS_0911_V-DEO.pdf</t>
  </si>
  <si>
    <t>VAS  BANKA.xlsx</t>
  </si>
  <si>
    <t>VEP/003137/25-26</t>
  </si>
  <si>
    <t>VINAYAK EMPORIUM_003137_BLG.pdf</t>
  </si>
  <si>
    <t>MSF2252000031716</t>
  </si>
  <si>
    <t>MSF2252000031716_VH_HZB_16PCS.pdf</t>
  </si>
  <si>
    <t>MSF2252000031711</t>
  </si>
  <si>
    <t>ADITYA BIRLA_MSF2252000031711_LP_DEO_ 15PCS.pdf</t>
  </si>
  <si>
    <t>MSF2252000031712</t>
  </si>
  <si>
    <t>ADITYA BIRLA_MSF2252000031712_LP_BOK.pdf</t>
  </si>
  <si>
    <t>MSF2252000031715</t>
  </si>
  <si>
    <t>ADITYA BIRLA_MSF2252000031715_VH_VASDEO_17PCS.pdf</t>
  </si>
  <si>
    <t>MSF2252000031629</t>
  </si>
  <si>
    <t>ADITYA BIRLA_MSF2252000031629_PE_SAN_2PCS.pdf</t>
  </si>
  <si>
    <t>MOHAN CLOTHING(BB)_INV8500279719_HZB_50PCS.pdf</t>
  </si>
  <si>
    <t>G/1358</t>
  </si>
  <si>
    <t>Jay Ambey textile-1358.pdf</t>
  </si>
  <si>
    <t>VIP INDUSTRIES(ARISTROCAT)_INV2576109809_RATU_250PCS.pdf</t>
  </si>
  <si>
    <t>VIP INDUSTRIES(ARISTROCAT)_INV2576109810_RATU_150PCS.pdf</t>
  </si>
  <si>
    <t>TR/25-26/78</t>
  </si>
  <si>
    <t>M N GARMENTS_78.pdf</t>
  </si>
  <si>
    <t>EDCRS25/529</t>
  </si>
  <si>
    <t>TARUN APPARELS(JOCKEY)_INV529_WH.pdf</t>
  </si>
  <si>
    <t>SCRS25/2295</t>
  </si>
  <si>
    <t>TARUN APPARELS(JOCKEY)_INV2295_WH.pdf</t>
  </si>
  <si>
    <t>MDCRS25/4114</t>
  </si>
  <si>
    <t>TARUN APPARELS(JOCKEY)_INV4114_WH.pdf</t>
  </si>
  <si>
    <t>VIP INDUSTRIES(ARISTROCAT)_INV103685_WH.pdf</t>
  </si>
  <si>
    <t>MSF2251000034981</t>
  </si>
  <si>
    <t>ADITYA BIRLA_MSF2251000034981_PE.pdf</t>
  </si>
  <si>
    <t>MSF2251000034982</t>
  </si>
  <si>
    <t>ADITYA BIRLA_MSF2251000034982_PE.pdf</t>
  </si>
  <si>
    <t>MSF2251000034983</t>
  </si>
  <si>
    <t>ADITYA BIRLA_MSF2251000034983_PE.pdf</t>
  </si>
  <si>
    <t>MSF2251000034984</t>
  </si>
  <si>
    <t>ADITYA BIRLA_MSF2251000034984_PE_Gaya.pdf</t>
  </si>
  <si>
    <t>MSF2251000034985</t>
  </si>
  <si>
    <t>ADITYA BIRLA_MSF2251000034985_PE_GAYA.pdf</t>
  </si>
  <si>
    <t>MSF2251000034986</t>
  </si>
  <si>
    <t>ADITYA BIRLA_MSF2251000034986_PE_GAYA.pdf</t>
  </si>
  <si>
    <t>MSF2251000034987</t>
  </si>
  <si>
    <t>ADITYA BIRLA_MSF2251000034987_PE_KANKARBAGH.pdf</t>
  </si>
  <si>
    <t>MSF2251000034988</t>
  </si>
  <si>
    <t>ADITYA BIRLA_MSF2251000034988_PE_GAYA.pdf</t>
  </si>
  <si>
    <t>MSF2251000034989</t>
  </si>
  <si>
    <t>ADITYA BIRLA_MSF2251000034989_PE.pdf</t>
  </si>
  <si>
    <t>MSF2251000034990</t>
  </si>
  <si>
    <t>ADITYA BIRLA_MSF2251000034990_PE_GAYA.pdf</t>
  </si>
  <si>
    <t>14820/25-26</t>
  </si>
  <si>
    <t>ANAND FABRICS(USPA INNERWARE)_INV14820_PATNA.pdf</t>
  </si>
  <si>
    <t>14821/25-26</t>
  </si>
  <si>
    <t>ANAND FABRICS(USPA INNERWARE)_INV14821_J-HZB.pdf</t>
  </si>
  <si>
    <t>Kevin Enterprises_3576.pdf</t>
  </si>
  <si>
    <t>SMFS25-26-002336</t>
  </si>
  <si>
    <t>SHRING APPARELS(MUFTI)_INV2336_LEEDEO_43PCS.pdf</t>
  </si>
  <si>
    <t>SS/25-26/05719</t>
  </si>
  <si>
    <t>SHUBH SHRI CLOTHING(MINELLI)_INV05719_HZB_53PCS.pdf</t>
  </si>
  <si>
    <t>Shree kundan prints-8540.pdf</t>
  </si>
  <si>
    <t>SA144/25-26</t>
  </si>
  <si>
    <t>SAAKSH APPARELS(XERICS)_INV144_WH.pdf</t>
  </si>
  <si>
    <t>S/25-26/3520</t>
  </si>
  <si>
    <t>VISHAL MARKETING &amp; CO(ARROW)-3520.pdf</t>
  </si>
  <si>
    <t>S/25-26/3508</t>
  </si>
  <si>
    <t>VISHAL MARKETING &amp; CO(SPYKAR)-3508.pdf</t>
  </si>
  <si>
    <t>S/25-26/3509</t>
  </si>
  <si>
    <t>VISHAL MARKETING &amp; CO(SPYKAR)-3509.pdf</t>
  </si>
  <si>
    <t>S/25-26/3519</t>
  </si>
  <si>
    <t>VISHAL MARKETING &amp; CO(USPA KIDS)-3519.pdf</t>
  </si>
  <si>
    <t>J/25-26/11744</t>
  </si>
  <si>
    <t>JAIN ADHISHWAR_11744.pdf</t>
  </si>
  <si>
    <t>SB/2025-26/1666</t>
  </si>
  <si>
    <t>SHREE BALAJI_1666.pdf</t>
  </si>
  <si>
    <t>HPNS25-26-012802</t>
  </si>
  <si>
    <t>HYPHEN GARMENTS (HYPHEN)_INV012802_HZB_8PCS.pdf</t>
  </si>
  <si>
    <t>DIYA CREATION_937.pdf</t>
  </si>
  <si>
    <t>FY 26-27</t>
  </si>
  <si>
    <t>ACE-161</t>
  </si>
  <si>
    <t>ACE VALISE(VIP)_INV161_WH.pdf</t>
  </si>
  <si>
    <t>IH/321912/819</t>
  </si>
  <si>
    <t>SUSHILA ENTERPRISES (IH-321912-819).pdf</t>
  </si>
  <si>
    <t>MSF2252000032060</t>
  </si>
  <si>
    <t>MSF2252000032060_PE_FS_1PC.pdf</t>
  </si>
  <si>
    <t>MSF2252000032059</t>
  </si>
  <si>
    <t>MSF2252000032059_PE_SAN_1PC.pdf</t>
  </si>
  <si>
    <t>N/1735</t>
  </si>
  <si>
    <t>Raashi fashion-1735.pdf</t>
  </si>
  <si>
    <t>25-26/JPS6037</t>
  </si>
  <si>
    <t>Saraogi Super Sales-6037.pdf</t>
  </si>
  <si>
    <t>S/25-26/3540</t>
  </si>
  <si>
    <t>VISHAL MARKETING &amp; CO(ARROW)_3540.pdf</t>
  </si>
  <si>
    <t>S/25-26/3539</t>
  </si>
  <si>
    <t>VISHAL MARKETING &amp; CO(USPA KIDS)_3539.pdf</t>
  </si>
  <si>
    <t>MOHAN CLOTHING(BB)_INV8500282683_HZB_31PCS.pdf</t>
  </si>
  <si>
    <t>J/25-26/11793</t>
  </si>
  <si>
    <t>JAIN ADHISWAR_11793.pdf</t>
  </si>
  <si>
    <t>SS/25-26/05761</t>
  </si>
  <si>
    <t>SHUBH SHRI CLOTHING(MINELLI)_JSL_INV5761_56PCS.pdf</t>
  </si>
  <si>
    <t>ADD-289</t>
  </si>
  <si>
    <t>TT APPARELS(AS)_INV289_HZB_155PCS.pdf</t>
  </si>
  <si>
    <t>CI/25-26/000673</t>
  </si>
  <si>
    <t>Chancellor industries india-673.pdf</t>
  </si>
  <si>
    <t>KC/25-26/1317</t>
  </si>
  <si>
    <t>KIDSCITY SOLUTIONS(KIDSCITY)_INV1317_HZB_72PCS.pdf</t>
  </si>
  <si>
    <t>KC/25-26/1316</t>
  </si>
  <si>
    <t>KIDSCITY SOLUTIONS(KIDSCITY)_INV1316_HZB_440PCS.pdf</t>
  </si>
  <si>
    <t>OD/0885</t>
  </si>
  <si>
    <t>KHODIYAR CLOTHING-0885.pdf</t>
  </si>
  <si>
    <t>Shree Kundan Prints-8653.pdf</t>
  </si>
  <si>
    <t>Shree Kundan Prints-8654.pdf</t>
  </si>
  <si>
    <t>Shree Kundan Prints-8655.pdf</t>
  </si>
  <si>
    <t>OD/0886</t>
  </si>
  <si>
    <t>Khodiyar Clothing-886.pdf</t>
  </si>
  <si>
    <t>GSTN-1260</t>
  </si>
  <si>
    <t>DD SALES_1260.pdf</t>
  </si>
  <si>
    <t>ROCK/122</t>
  </si>
  <si>
    <t>TAYAL GARMENTS(ROCK IT)_INV122_WH_353PCS.PDF</t>
  </si>
  <si>
    <t>LIB/056</t>
  </si>
  <si>
    <t>TAYAL GARMENTS(LIBAS)_INV056_DEO_206PCS.PDF</t>
  </si>
  <si>
    <t>KAM/299</t>
  </si>
  <si>
    <t>TAYAL GARMENTS(LIBAS)_INV299_DEO_32PCS.PDF</t>
  </si>
  <si>
    <t>G/1365</t>
  </si>
  <si>
    <t>Jay Ambey Textile-1365.pdf</t>
  </si>
  <si>
    <t>MOHAN CLOTHING(BB)_INV8500284054_HZB_15PCS.pdf</t>
  </si>
  <si>
    <t>S/463</t>
  </si>
  <si>
    <t>VISHAL MARKETING &amp; CO(LITTLE PINK)-463.pdf</t>
  </si>
  <si>
    <t>J/25-26/11869</t>
  </si>
  <si>
    <t>JAIN ADISHWAR_AS-DEO_11869.pdf</t>
  </si>
  <si>
    <t>KL-25260518</t>
  </si>
  <si>
    <t>INDTECH APPARELS(FAHRENHEIT )_INV60518_JSL_35PCS.pdf</t>
  </si>
  <si>
    <t>25-26/2612</t>
  </si>
  <si>
    <t>MN GARMENTS(TWILLS)_WH_INV2612_69PCS.pdf</t>
  </si>
  <si>
    <t>PMNT/2526/168</t>
  </si>
  <si>
    <t>GEETANSHI APPARELS(PEPPERMINT)_HZB_INV168_28PCS.pdf</t>
  </si>
  <si>
    <t>VL/2526/BLU-220</t>
  </si>
  <si>
    <t>Vasu Lifestyle Indore-220.pdf</t>
  </si>
  <si>
    <t>MOHAN CLOTHING(BB)_INV8500285263_HZB_25PCS.pdf</t>
  </si>
  <si>
    <t>SMFS25-26-002373</t>
  </si>
  <si>
    <t>SHRING APPARELS(MUFTI)_INV2373_JSL_9PCS.pdf</t>
  </si>
  <si>
    <t>S/25-26/3588</t>
  </si>
  <si>
    <t>VISHAL MARKETING &amp; CO(REX STRAUT)-3588.pdf</t>
  </si>
  <si>
    <t>J/25-26/11897</t>
  </si>
  <si>
    <t>JAIN ADISHWAR_BKR_11897.pdf</t>
  </si>
  <si>
    <t>SS/25-26/05869</t>
  </si>
  <si>
    <t>SHUBH SHRI CLOTHING(MINELLI)_JSL_INV5569_45PCS.pdf</t>
  </si>
  <si>
    <t>A S textile-365.pdf</t>
  </si>
  <si>
    <t>A S Textile-364.pdf</t>
  </si>
  <si>
    <t>DA/25-26/0951</t>
  </si>
  <si>
    <t>D APPAREL_0951_V-DEO.pdf</t>
  </si>
  <si>
    <t>IL/321913/162</t>
  </si>
  <si>
    <t>SUSHILA ENTERPRISES (IL-321913-162).pdf</t>
  </si>
  <si>
    <t>IH/32191/835</t>
  </si>
  <si>
    <t>SUSHILA ENTERPRISES (IH-312912-835).pdf</t>
  </si>
  <si>
    <t>DA/25-26/0954</t>
  </si>
  <si>
    <t>D APPAREL-0954.pdf</t>
  </si>
  <si>
    <t>DA/25-26/0952</t>
  </si>
  <si>
    <t>D APPAREL(STATUS QUO)_INV0952_GAYA_194PCS.pdf</t>
  </si>
  <si>
    <t>DA/25-26/0953</t>
  </si>
  <si>
    <t>D APPAREL(STATUS QUO)_INV0953_GAYA_128PCS.pdf</t>
  </si>
  <si>
    <t>MSF2251000035952</t>
  </si>
  <si>
    <t>MSF2251000035952_PE_KANKARBAGH_4PCS.pdf</t>
  </si>
  <si>
    <t>MSF2251000035949</t>
  </si>
  <si>
    <t>MSF2251000035949_PE_KANKARBAGH_6PCS.pdf</t>
  </si>
  <si>
    <t>DA/25-26/0955</t>
  </si>
  <si>
    <t>D APPAREL(STATUS QUO)_INV0955_HZB_67PCS.pdf</t>
  </si>
  <si>
    <t>MSF2251000036004</t>
  </si>
  <si>
    <t>MSF2251000036004_PE_GAYA_17PCS.pdf</t>
  </si>
  <si>
    <t>MSF2251000035954</t>
  </si>
  <si>
    <t>MSF2251000035954_PE_GAYA_2PCS.pdf</t>
  </si>
  <si>
    <t>MSF2251000035953</t>
  </si>
  <si>
    <t>MSF2251000035953_PE_GAYA_1PC.pdf</t>
  </si>
  <si>
    <t>MSF2251000035950</t>
  </si>
  <si>
    <t>MSF2251000035950_PE_GAYA_5PCS.pdf</t>
  </si>
  <si>
    <t>MSF2252000032499</t>
  </si>
  <si>
    <t>MSF2252000032499_PE_SAN_2PC.pdf</t>
  </si>
  <si>
    <t>MSF2252000032500</t>
  </si>
  <si>
    <t>MSF2252000032500_PE_FSDEO_4PCS.pdf</t>
  </si>
  <si>
    <t>IH/25-26/1201</t>
  </si>
  <si>
    <t>C2D VENTURES-1201.pdf</t>
  </si>
  <si>
    <t>P R MODI and son's-25289.pdf</t>
  </si>
  <si>
    <t>P R MODI and son's-25286.pdf</t>
  </si>
  <si>
    <t>P R MODI and son's-25285.pdf</t>
  </si>
  <si>
    <t>P R MODI and son's-25291.pdf</t>
  </si>
  <si>
    <t>P R MODI and son's-25290.pdf</t>
  </si>
  <si>
    <t>P R MODI &amp; SONS_25203.pdf</t>
  </si>
  <si>
    <t>S/25-26/3607</t>
  </si>
  <si>
    <t>VISHAL MARKETING &amp; CO(US POLO PROMO)-3607.pdf</t>
  </si>
  <si>
    <t>SMFS25-26-002454</t>
  </si>
  <si>
    <t>SHRING APPARELS(MUFTI)_INV2454_LEEDEO_99PCS.pdf</t>
  </si>
  <si>
    <t>SMFS25-26-002449</t>
  </si>
  <si>
    <t>SHRING APPARELS(MUFTI)_INV2449_JSL_140 PCS.pdf</t>
  </si>
  <si>
    <t>SMFS25-26-002455</t>
  </si>
  <si>
    <t>SHRING APPARELS(MUFTI)_INV2455_JSL_90PCS.pdf</t>
  </si>
  <si>
    <t>SMFS25-26-002476</t>
  </si>
  <si>
    <t>SHRING APPARELS(MUFTI)_INV2476_JSL_107PCS.pdf</t>
  </si>
  <si>
    <t>HPNS25-26-013192</t>
  </si>
  <si>
    <t>HYPHEN GARMENTS (HYPHEN)_INV013192_HZB_10PCS.pdf</t>
  </si>
  <si>
    <t>SMFS25-26-002477</t>
  </si>
  <si>
    <t>SHRING APPARELS(MUFTI)_INV2477_JSL_142PCS.pdf</t>
  </si>
  <si>
    <t>MSF2251000036173</t>
  </si>
  <si>
    <t>MSF2251000036173_PE_GAYA_1PC.pdf</t>
  </si>
  <si>
    <t>25-26/BLRS2119</t>
  </si>
  <si>
    <t>Saraogi Super Sales-2119.pdf</t>
  </si>
  <si>
    <t>MOHAN CLOTHING(BB)_INV8500286716_HZB_5PCS.pdf</t>
  </si>
  <si>
    <t>M N GARMENTS 2665.pdf</t>
  </si>
  <si>
    <t>25-26/2666</t>
  </si>
  <si>
    <t>M N GARMENTS 2666.pdf</t>
  </si>
  <si>
    <t>25-26/2667</t>
  </si>
  <si>
    <t>M N GARMENTS 2667.pdf</t>
  </si>
  <si>
    <t>Plazer Garments-3826.pdf</t>
  </si>
  <si>
    <t>J/25-26/12024</t>
  </si>
  <si>
    <t>Jain Adishwar-12024.pdf</t>
  </si>
  <si>
    <t>J/25-26/12020</t>
  </si>
  <si>
    <t>Jain Adishwar-12020 (Deoghar).pdf</t>
  </si>
  <si>
    <t>2GCS25-26-000023</t>
  </si>
  <si>
    <t>EMPORIO SIDDHARTH SALES(GOCOLORS)_HZB_INV000023_46PCS.pdf</t>
  </si>
  <si>
    <t>Shirithik Designer LLP-2382.pdf</t>
  </si>
  <si>
    <t>489/PF</t>
  </si>
  <si>
    <t>Unnati Creation-489.pdf</t>
  </si>
  <si>
    <t>2GCS2S-26-000024</t>
  </si>
  <si>
    <t>EMPORIO SIDDHARTH SALES(GOCOLORS)_HZB_INV000024_43PCSS.pdf</t>
  </si>
  <si>
    <t>Jay Ambey Sarees-9119.pdf</t>
  </si>
  <si>
    <t>L03TI25/1102</t>
  </si>
  <si>
    <t>ZENITH FABRICS-1102.pdf</t>
  </si>
  <si>
    <t>ROCK/124</t>
  </si>
  <si>
    <t>TAYAL GARMENTS-124.PDF</t>
  </si>
  <si>
    <t>PLAZER garments-3848.pdf</t>
  </si>
  <si>
    <t>MSF2251000036390</t>
  </si>
  <si>
    <t>MSF2251000036390_PE_GAYA_5PCS.pdf</t>
  </si>
  <si>
    <t>MSF2251000036388</t>
  </si>
  <si>
    <t>MSF2251000036388_PE_GAYA_2PCS.pdf</t>
  </si>
  <si>
    <t>MSF2251000036394</t>
  </si>
  <si>
    <t>MSF2251000036394_PE_KANKARBAGH_110PCS.pdf</t>
  </si>
  <si>
    <t>MSF2252000032816</t>
  </si>
  <si>
    <t>MSF2252000032816_PE_SAN_1PC.pdf</t>
  </si>
  <si>
    <t>MOHAN CLOTHING(BB)_INV8500288043_HZB_18PCS.pdf</t>
  </si>
  <si>
    <t>MSF2252000032818</t>
  </si>
  <si>
    <t>MSF2252000032818_PE_HZB_178PCS.pdf</t>
  </si>
  <si>
    <t>MSF2252000032817</t>
  </si>
  <si>
    <t>MSF2252000032817_PE_FSDEO_24PCS.pdf</t>
  </si>
  <si>
    <t>25-26/SC2007</t>
  </si>
  <si>
    <t>Siddhi Clothing-2007.pdf</t>
  </si>
  <si>
    <t>J/25-26/12105</t>
  </si>
  <si>
    <t>Jain Adishwar-12105 (Bokaro).pdf</t>
  </si>
  <si>
    <t>GSTN-1278</t>
  </si>
  <si>
    <t>D D sales-1278.pdf</t>
  </si>
  <si>
    <t>VEP/003216/25-26</t>
  </si>
  <si>
    <t>VINAYAK EMPORIUM(BANJARAN)_INV3216_BGP_37PCS.pdf</t>
  </si>
  <si>
    <t>VEP/003217/25-26</t>
  </si>
  <si>
    <t>VINAYAK EMPORIUM(BANJARAN)_INV3217_SGMR_38PCS.pdf</t>
  </si>
  <si>
    <t>MSF2251000036500</t>
  </si>
  <si>
    <t>MSF2251000036500_PE_GAYA_3PCS.pdf</t>
  </si>
  <si>
    <t>MSF2251000036499</t>
  </si>
  <si>
    <t>MSF2251000036499_PE_GAYA_1PC.pdf</t>
  </si>
  <si>
    <t>VL/2526/BLU-233</t>
  </si>
  <si>
    <t>Vasu Lifestyle-233.pdf</t>
  </si>
  <si>
    <t>MSF2252000032893</t>
  </si>
  <si>
    <t>MSF2252000032893_PE_HZB_29PCS.pdf</t>
  </si>
  <si>
    <t>VEP/003230/25-26</t>
  </si>
  <si>
    <t>VINAYAK EMPORIUM(BANJARAN)_INV3230_SGMR_15PCS.pdf</t>
  </si>
  <si>
    <t>2071-GST/2025-26</t>
  </si>
  <si>
    <t>OVERSEAS ENTERPRISES(AMBRELI)_INV2071_BGP_277PCS.pdf</t>
  </si>
  <si>
    <t>MOHAN CLOTHING(BB)_INV8500288967_HZB_8PCS.pdf</t>
  </si>
  <si>
    <t>VEP/003231/25-26</t>
  </si>
  <si>
    <t>VINAYAK EMPORIUM(BANJARAN)_INV3231_BGP_15PCS.pdf</t>
  </si>
  <si>
    <t>MSF2251000036605</t>
  </si>
  <si>
    <t>MSF2251000036605_PE_KANKARBAGH_2PCS.pdf</t>
  </si>
  <si>
    <t>MSF2252000032977</t>
  </si>
  <si>
    <t>MSF2252000032977_PE_HZB_3PCS.pdf</t>
  </si>
  <si>
    <t>MSF2252000032976</t>
  </si>
  <si>
    <t>MSF2252000032976_PE_FSDEO_2PCS.pdf</t>
  </si>
  <si>
    <t>Shirithik Designer LLP-2401.pdf</t>
  </si>
  <si>
    <t>S/25-26/3659</t>
  </si>
  <si>
    <t>VISHAL MARKETING &amp; CO(SMAG)-3659.pdf</t>
  </si>
  <si>
    <t>J/25-26/12164</t>
  </si>
  <si>
    <t>JAIN ADISHWAR HOSIERY WORKS LLP-12164 BOKARO.pdf</t>
  </si>
  <si>
    <t>J/25-26/12155</t>
  </si>
  <si>
    <t>Jain Adishwat-12155 (Bokaro).pdf</t>
  </si>
  <si>
    <t>A S Textile 433.pdf</t>
  </si>
  <si>
    <t>SB1134</t>
  </si>
  <si>
    <t>Kalyanlakshmi Apparels-1134.pdf</t>
  </si>
  <si>
    <t>DLS/25228/25-26</t>
  </si>
  <si>
    <t>RTC GARMENTEX INDIA-25228.pdf</t>
  </si>
  <si>
    <t>A S Textile-432.pdf</t>
  </si>
  <si>
    <t>MSF2251000036685</t>
  </si>
  <si>
    <t>MSF2251000036685_PE_KANKARBAGH_1PC.pdf</t>
  </si>
  <si>
    <t>MSF2251000036686</t>
  </si>
  <si>
    <t>MSF2251000036686_PE_GAYA_2PCS.pdf</t>
  </si>
  <si>
    <t>SS/25-26/06058</t>
  </si>
  <si>
    <t>SHUBH SHRI CLOTHING(MINELLI)_JSL_INV6058_83PCS.pdf</t>
  </si>
  <si>
    <t>Shirithik Designer LLP-2408.pdf</t>
  </si>
  <si>
    <t>25-26/BLRS2138</t>
  </si>
  <si>
    <t>Saraogi Super Sales-2138.pdf</t>
  </si>
  <si>
    <t>25-26/BLRS2134</t>
  </si>
  <si>
    <t>Saraogi Super Sales-2134.pdf</t>
  </si>
  <si>
    <t>25-26/BLRS2133</t>
  </si>
  <si>
    <t>Saraogi Super Sales-2133.pdf</t>
  </si>
  <si>
    <t>25-26/BLRS2130</t>
  </si>
  <si>
    <t>Saraogi Super Sales-2130.pdf</t>
  </si>
  <si>
    <t>25-26/BLRS2131</t>
  </si>
  <si>
    <t>Saraogi Super Sales-2131.pdf</t>
  </si>
  <si>
    <t>25-26/BLRS2132</t>
  </si>
  <si>
    <t>Saraogi Super Sales-2132.pdf</t>
  </si>
  <si>
    <t>Radha Madhav NX-5010.pdf</t>
  </si>
  <si>
    <t>A S Textile-434.pdf</t>
  </si>
  <si>
    <t>25-26/2269</t>
  </si>
  <si>
    <t>SIDDARTHA FASHION-2269.pdf</t>
  </si>
  <si>
    <t>INT/214</t>
  </si>
  <si>
    <t>TAYAL GARMENTS PVT. LTD-214.PDF</t>
  </si>
  <si>
    <t>DDSL-138</t>
  </si>
  <si>
    <t>DD APPARELS(SWEET DREAMS)_WH_INV138_49PCS.pdf</t>
  </si>
  <si>
    <t>Variety Textile-46438.pdf</t>
  </si>
  <si>
    <t>Variety Textile-46470.pdf</t>
  </si>
  <si>
    <t>Variety Textile-46468.pdf</t>
  </si>
  <si>
    <t>MSF2252000033373</t>
  </si>
  <si>
    <t>MSF2252000033373_PE_HZB_72PCS.pdf</t>
  </si>
  <si>
    <t>MSF2252000033338</t>
  </si>
  <si>
    <t>MSF2252000033338_PE_HZB_173PCS.pdf</t>
  </si>
  <si>
    <t>MSF2252000033339</t>
  </si>
  <si>
    <t>MSF2252000033339_PE_HZB_3PCS.pdf</t>
  </si>
  <si>
    <t>SS/25-26/06161</t>
  </si>
  <si>
    <t>SHUBH SHRI CLOTHING(MINELLI)_JSL_INV6161_10PCS.pdf</t>
  </si>
  <si>
    <t>MSF2251000037277</t>
  </si>
  <si>
    <t>MSF2251000037277_PE_GAYA 2PCS.pdf</t>
  </si>
  <si>
    <t>MSF2251000037272</t>
  </si>
  <si>
    <t>MSF2251000037272_PE_GAYA 14PCS.pdf</t>
  </si>
  <si>
    <t>MSF2251000037275</t>
  </si>
  <si>
    <t>MSF2251000037275_PE_GAYA_7PCS.pdf</t>
  </si>
  <si>
    <t>MSF2251000037276</t>
  </si>
  <si>
    <t>MSF2251000037276_PE_GAYA_1PC.pdf</t>
  </si>
  <si>
    <t>MSF2251000037207</t>
  </si>
  <si>
    <t>MSF2251000037207_PE_GAYA_79PCS.pdf</t>
  </si>
  <si>
    <t>MSF2251000037273</t>
  </si>
  <si>
    <t>MSF2251000037273_PE_KANKARBAGH_2PCS.pdf</t>
  </si>
  <si>
    <t>MSF2251000037208</t>
  </si>
  <si>
    <t>MSF2251000037208_PE_KANKARBAGH_1PC.pdf</t>
  </si>
  <si>
    <t>IL/321913/165</t>
  </si>
  <si>
    <t>SUSHILA ENTERPRISES-165.pdf</t>
  </si>
  <si>
    <t>IH/321912/854</t>
  </si>
  <si>
    <t>SUSHILA ENTERPRISES-854.pdf</t>
  </si>
  <si>
    <t>Agam Creation-4707.pdf</t>
  </si>
  <si>
    <t>26-27/BLRS3</t>
  </si>
  <si>
    <t>Saraogi Super Sales-3.pdf</t>
  </si>
  <si>
    <t>Saraogi Super Sales-3.xlsx</t>
  </si>
  <si>
    <t>RE/1/26-27</t>
  </si>
  <si>
    <t>MUKESH AGARWAL(PETICOAT)_INVRE01_HZB_140PCS.</t>
  </si>
  <si>
    <t>MUKESH AGARWAL(PETICOAT)_INVRE01_HZB_140PCS.xlsx</t>
  </si>
  <si>
    <t>DA/26-27/0005</t>
  </si>
  <si>
    <t>D APPAREL(KHUSHAAL)_INV0005_JSL_13PCS.pdf</t>
  </si>
  <si>
    <t>D APPAREL(KHUSHAAL)_INV0005_JSL_13PCS.xlsx</t>
  </si>
  <si>
    <t>Harshit Fashions-2444.pdf</t>
  </si>
  <si>
    <t>Harshit Fashions-2444.xlsx</t>
  </si>
  <si>
    <t>Variety Textile-13.pdf</t>
  </si>
  <si>
    <t>Variety Textile-13.xlsx</t>
  </si>
  <si>
    <t>26-27/JPS72</t>
  </si>
  <si>
    <t>Saraogi Super Sales-72.pdf</t>
  </si>
  <si>
    <t>Saraogi Super Sales-72.xlsx</t>
  </si>
  <si>
    <t>GSTN-22</t>
  </si>
  <si>
    <t>D D SALES-22.pdf</t>
  </si>
  <si>
    <t>D D SALES-22.xlsx</t>
  </si>
  <si>
    <t>GSTN-18</t>
  </si>
  <si>
    <t>D D SALES-18.pdf</t>
  </si>
  <si>
    <t>D D SALES-18.xlsx</t>
  </si>
  <si>
    <t>GSTN-12</t>
  </si>
  <si>
    <t>D D SALES-12.pdf</t>
  </si>
  <si>
    <t>D D SALES-12.xlsx</t>
  </si>
  <si>
    <t>S/10</t>
  </si>
  <si>
    <t>VISHAL MARKETING &amp; CO(CHOCOLATE BABY)-010.pdf</t>
  </si>
  <si>
    <t>VISHAL MARKETING &amp; CO(CHOCOLATE BABY)-010.xlsx</t>
  </si>
  <si>
    <t>Variety Creation-151.pdf</t>
  </si>
  <si>
    <t>Variety Creation-151.xlsx</t>
  </si>
  <si>
    <t>SMFS26-27-000045</t>
  </si>
  <si>
    <t>SHRING APPARELS(MUFTI)_INV45_JSL_109PCS.pdf</t>
  </si>
  <si>
    <t>SHRING APPARELS(MUFTI)_INV45_JSL_109PCS.xlsx</t>
  </si>
  <si>
    <t>DA/26-27/0022</t>
  </si>
  <si>
    <t>D Apparel-0022.pdf</t>
  </si>
  <si>
    <t>D Apparel-0022.xlsx</t>
  </si>
  <si>
    <t>SEF/000394/26-27</t>
  </si>
  <si>
    <t>Surya Ethenic-394.pdf</t>
  </si>
  <si>
    <t>Surya Ethenic-394.xlsx</t>
  </si>
  <si>
    <t>J/26-27/60</t>
  </si>
  <si>
    <t>Jain Adishwar-60(Deoghar).pdf</t>
  </si>
  <si>
    <t>Jain Adishwar-60(Deoghar).xlsx</t>
  </si>
  <si>
    <t>Plazer Garments-43.pdf</t>
  </si>
  <si>
    <t>Plazer Garments-43.xlsx</t>
  </si>
  <si>
    <t>S/26-27/42</t>
  </si>
  <si>
    <t>VISHAL MARKETING &amp; CO(USPA KIDS)-0042.pdf</t>
  </si>
  <si>
    <t>VISHAL MARKETING &amp; CO(USPA KIDS)-0042.xlsx</t>
  </si>
  <si>
    <t>S/26-27/41</t>
  </si>
  <si>
    <t>VISHAL MARKETING &amp; CO(USPA KIDS)-0041.pdf</t>
  </si>
  <si>
    <t>VISHAL MARKETING &amp; CO(USPA KIDS)-0041.xlsx</t>
  </si>
  <si>
    <t>S/26-27/40</t>
  </si>
  <si>
    <t>VISHAL MARKETING &amp; CO(US POLO)-0040.pdf</t>
  </si>
  <si>
    <t>VISHAL MARKETING &amp; CO(US POLO)-0040.xlsx</t>
  </si>
  <si>
    <t>S/26-27/39</t>
  </si>
  <si>
    <t>VISHAL MARKETING &amp; CO(US POLO)-0039.pdf</t>
  </si>
  <si>
    <t>VISHAL MARKETING &amp; CO(US POLO)-0039.xlsx</t>
  </si>
  <si>
    <t>S/26-27/37</t>
  </si>
  <si>
    <t>VISHAL MARKETING &amp; CO(US POLO)-0037.pdf</t>
  </si>
  <si>
    <t>VISHAL MARKETING &amp; CO(US POLO)-0037.xlsx</t>
  </si>
  <si>
    <t>S/26-27/30</t>
  </si>
  <si>
    <t>VISHAL MARKETING &amp; CO(US POLO)-0030.pdf</t>
  </si>
  <si>
    <t>VISHAL MARKETING &amp; CO(US POLO)-0030.xlsx</t>
  </si>
  <si>
    <t>J/26-27/64</t>
  </si>
  <si>
    <t>Jain Adishwar-64(109 Qty).pdf</t>
  </si>
  <si>
    <t>Jain Adishwar-64(109 Qty).xlsx</t>
  </si>
  <si>
    <t>J/26-27/68</t>
  </si>
  <si>
    <t>Jain Adishwar-68 (Hazaribagh).pdf</t>
  </si>
  <si>
    <t>Jain Adishwar-68 (Hazaribagh).xlsx</t>
  </si>
  <si>
    <t>S/26-27/5</t>
  </si>
  <si>
    <t>VISHAL MARKETING &amp; CO(SPYKAR)-0005.pdf</t>
  </si>
  <si>
    <t>VISHAL MARKETING &amp; CO(SPYKAR)-0005.xlsx</t>
  </si>
  <si>
    <t>S/26-27/2</t>
  </si>
  <si>
    <t>VISHAL MARKETING &amp; CO(SPYKAR)-0002.pdf</t>
  </si>
  <si>
    <t>VISHAL MARKETING &amp; CO(SPYKAR)-0002.xlsx</t>
  </si>
  <si>
    <t>S/26-27/4</t>
  </si>
  <si>
    <t>VISHAL MARKETING &amp; CO(SPYKAR)-0004.pdf</t>
  </si>
  <si>
    <t>VISHAL MARKETING &amp; CO(SPYKAR)-0004.xlsx</t>
  </si>
  <si>
    <t>S/26-27/3</t>
  </si>
  <si>
    <t>VISHAL MARKETING &amp; CO(SPYKAR)-0003.pdf</t>
  </si>
  <si>
    <t>VISHAL MARKETING &amp; CO(SPYKAR)-0003.xlsx</t>
  </si>
  <si>
    <t>26-27/BLRS33</t>
  </si>
  <si>
    <t>SARAOGI SUPER SALES(FOGA)_INV33_WH_24PCS.pdf</t>
  </si>
  <si>
    <t>SARAOGI SUPER SALES(FOGA)_INV33_WH_24PCS (Part-1).xlsx</t>
  </si>
  <si>
    <t>A S TEXTILE-15.pdf</t>
  </si>
  <si>
    <t>A S TEXTILE-15.xlsx</t>
  </si>
  <si>
    <t>A S TEXTILE-16.pdf</t>
  </si>
  <si>
    <t>A S TEXTILE-16.xlsx</t>
  </si>
  <si>
    <t>A S TEXTILE-17.pdf</t>
  </si>
  <si>
    <t>A S TEXTILE-17.xlsx</t>
  </si>
  <si>
    <t>A S TEXTILE-18.pdf</t>
  </si>
  <si>
    <t>A S TEXTILE-18.xlsx</t>
  </si>
  <si>
    <t>J/26-27/97</t>
  </si>
  <si>
    <t>Jain Adishwar - 97 Hazaribhagh  (Qty-29).pdf</t>
  </si>
  <si>
    <t>Jain Adishwar - 97 Hazaribhagh  (Qty-29).xlsx</t>
  </si>
  <si>
    <t>J/26-27/91</t>
  </si>
  <si>
    <t>Jain Adishwar - 91 (Qty-109).pdf</t>
  </si>
  <si>
    <t>Jain Adishwar - 91 (Qty-109).xlsx</t>
  </si>
  <si>
    <t>J/26-27/96</t>
  </si>
  <si>
    <t>Jain Adishwar - 96  Deoghar ( Qty -36).pdf</t>
  </si>
  <si>
    <t>Jain Adishwar - 96  Deoghar ( Qty -36).xlsx</t>
  </si>
  <si>
    <t>Variety Textiles-1112.pdf</t>
  </si>
  <si>
    <t>Variety Textiles-1112.xlsx</t>
  </si>
  <si>
    <t>JKL-10</t>
  </si>
  <si>
    <t>D D SALES-10.pdf</t>
  </si>
  <si>
    <t>D D SALES-10.xlsx</t>
  </si>
  <si>
    <t>Variety Textiles-1111.pdf</t>
  </si>
  <si>
    <t>Variety Textiles-1111.xlsx</t>
  </si>
  <si>
    <t>Variety Textiles-1121.pdf</t>
  </si>
  <si>
    <t>Variety Textiles-1121.xlsx</t>
  </si>
  <si>
    <t>J/26-27/156</t>
  </si>
  <si>
    <t>Jain Adishwar -156 Ratu (36 Qty).pdf</t>
  </si>
  <si>
    <t>Jain Adishwar -156 Ratu (36 Qty).xlsx</t>
  </si>
  <si>
    <t>P2CRS26/38</t>
  </si>
  <si>
    <t>SHREE NARAYANI(JOCKEY)_INV38_WH_65PCS.pdf</t>
  </si>
  <si>
    <t>SHREE NARAYANI(JOCKEY)_INV38_WH_65PCS.xlsx</t>
  </si>
  <si>
    <t>BN-PMS/26-27/77</t>
  </si>
  <si>
    <t>P M Son's-77.pdf</t>
  </si>
  <si>
    <t>P M Son's-77.xlsx</t>
  </si>
  <si>
    <t>Plazer Fabrics-71.pdf</t>
  </si>
  <si>
    <t>Plazer Fabrics-71.xlsx</t>
  </si>
  <si>
    <t>VN/GI26/70</t>
  </si>
  <si>
    <t>VN TEXTILES(JOCKEY)_INV70_LEEDEO_1PC.pdf</t>
  </si>
  <si>
    <t>VN TEXTILES(JOCKEY)_INV70_LEEDEO_1PC.xlsx</t>
  </si>
  <si>
    <t>VN/GI26/69</t>
  </si>
  <si>
    <t>VN TEXTILE (JOCKEY)_INV69_LEE DEOGHAR.pdf</t>
  </si>
  <si>
    <t>VN TEXTILE (JOCKEY)_INV69_LEE DEOGHAR.xlsx</t>
  </si>
  <si>
    <t>JCRS26/10</t>
  </si>
  <si>
    <t>DD DEVELOPERS(JOCKEY)_INV10_BHAGALPUR_60PCS.pdf</t>
  </si>
  <si>
    <t>DD DEVELOPERS(JOCKEY)_INV10_BHAGALPUR_60PCS.xlsx</t>
  </si>
  <si>
    <t>MDCRS26/49</t>
  </si>
  <si>
    <t>TARUN APPARELS(JOCKEY)_INV49_LEE-DEO_40PCS.pdf</t>
  </si>
  <si>
    <t>TARUN APPARELS(JOCKEY)_INV49_LEE-DEO_40PCS.xlsx</t>
  </si>
  <si>
    <t>P R Modi and Sons-649.pdf</t>
  </si>
  <si>
    <t>P R Modi and Sons-649.xlsx</t>
  </si>
  <si>
    <t>26-27/79</t>
  </si>
  <si>
    <t>MN GARMENTS(TWILLS)_WH_INV79_60PCS.pdf</t>
  </si>
  <si>
    <t>MN GARMENTS(TWILLS)_WH_INV79_60PCS.xlsx</t>
  </si>
  <si>
    <t>DA/26-27/0043</t>
  </si>
  <si>
    <t>D APPAREL(STATUS QUO)_INV043_MAHGAMA_84PCS.pdf</t>
  </si>
  <si>
    <t>D APPAREL(STATUS QUO)_INV043_MAHGAMA_84PCS.xlsx</t>
  </si>
  <si>
    <t>A S Textile 21.pdf</t>
  </si>
  <si>
    <t>A S Textile 21.xlsx</t>
  </si>
  <si>
    <t>SKC-26/27-12</t>
  </si>
  <si>
    <t>SHRIKRISHNA CREATION - 0012.pdf</t>
  </si>
  <si>
    <t>SHRIKRISHNA CREATION - 0012.xlsx</t>
  </si>
  <si>
    <t>J/26-27/245</t>
  </si>
  <si>
    <t>Jain Adishwar -245 Bokaro (34 Qty).pdf</t>
  </si>
  <si>
    <t>Jain Adishwar -245 Bokaro (34 Qty).xlsx</t>
  </si>
  <si>
    <t>26-27/48</t>
  </si>
  <si>
    <t>PAYAL GARMENTS-48.pdf</t>
  </si>
  <si>
    <t>PAYAL GARMENTS-48.xlsx</t>
  </si>
  <si>
    <t>SMFS26-27-000130</t>
  </si>
  <si>
    <t>SHRING APPARELS(MUFTI)_INV130_LEEDEO_65PCS.pdf</t>
  </si>
  <si>
    <t>SHRING APPARELS(MUFTI)_INV130_LEEDEO_65PCS.xlsx</t>
  </si>
  <si>
    <t>J/26-27/247</t>
  </si>
  <si>
    <t>Jain Adishwar - 247 Hazaribhagh (13 Qty).pdf</t>
  </si>
  <si>
    <t>Jain Adishwar - 247 Hazaribhagh (13 Qty).xlsx</t>
  </si>
  <si>
    <t>DA/26-27/0056</t>
  </si>
  <si>
    <t>D APPAREL(STATUS QUO)_INV056_HZB_33PCS.pdf</t>
  </si>
  <si>
    <t>D APPAREL(STATUS QUO)_INV056_HZB_33PCS.xlsx</t>
  </si>
  <si>
    <t>PMNT/2627/13</t>
  </si>
  <si>
    <t>GEETANSHI APPARELS(PEPPERMINT)_HZB_INV13_24PCS.pdf</t>
  </si>
  <si>
    <t>GEETANSHI APPARELS(PEPPERMINT)_HZB_INV13_24PCS.xlsx</t>
  </si>
  <si>
    <t>HPNS26-27-000342</t>
  </si>
  <si>
    <t>HYPHEN GARMENTS (HYPHEN)_INV342_HZB_9PCS.pdf</t>
  </si>
  <si>
    <t>HYPHEN GARMENTS (HYPHEN)_INV342_HZB_9PCS.xlsx</t>
  </si>
  <si>
    <t>Plazer Garments-118.pdf</t>
  </si>
  <si>
    <t>Plazer Garments-118.xlsx</t>
  </si>
  <si>
    <t>Shree Radhe Matching-27.pdf</t>
  </si>
  <si>
    <t>Shree Radhe Matching-27.xlsx</t>
  </si>
  <si>
    <t>S/37</t>
  </si>
  <si>
    <t>VISHAL MARKETING &amp; CO(CHOCOLATE BABY)-037.pdf</t>
  </si>
  <si>
    <t>VISHAL MARKETING &amp; CO(CHOCOLATE BABY)-037.xlsx</t>
  </si>
  <si>
    <t>DA/26-27/0064</t>
  </si>
  <si>
    <t>D APPAREL(STATUS QUO)_INV064_SBJ_66PCS.pdf</t>
  </si>
  <si>
    <t>D APPAREL(STATUS QUO)_INV064_SBJ_66PCS.xlsx</t>
  </si>
  <si>
    <t>DA/26-27/0052</t>
  </si>
  <si>
    <t>D-APPAREL(KHUSHAAL)_INV52_HZB_8PCS.pdf</t>
  </si>
  <si>
    <t>D-APPAREL(KHUSHAAL)_INV52_HZB_8PCS.xlsx</t>
  </si>
  <si>
    <t>S/26-27/144</t>
  </si>
  <si>
    <t>VISHAL MARKETING &amp; CO(FM)-144.pdf</t>
  </si>
  <si>
    <t>VISHAL MARKETING &amp; CO(FM)-144.xlsx</t>
  </si>
  <si>
    <t>S/26-27/141</t>
  </si>
  <si>
    <t>VISHAL MARKETING &amp; CO(ARROW)-141.pdf</t>
  </si>
  <si>
    <t>VISHAL MARKETING &amp; CO(ARROW)-141.xlsx</t>
  </si>
  <si>
    <t>MSF2262000000530</t>
  </si>
  <si>
    <t>MSF2262000000530_AS_FS-DEO_29PCS.pdf</t>
  </si>
  <si>
    <t>MSF2262000000530_AS_FS-DEO_29PCS.xlsx</t>
  </si>
  <si>
    <t>MSF2262000000532</t>
  </si>
  <si>
    <t>MSF2262000000532_AS_FS-DEO_91PCS.pdf</t>
  </si>
  <si>
    <t>MSF2262000000532_AS_FS-DEO_91PCS.xlsx</t>
  </si>
  <si>
    <t>MSF2262000000535</t>
  </si>
  <si>
    <t>MSF2262000000535_AS_AS-DEO_399PCS.pdf</t>
  </si>
  <si>
    <t>MSF2262000000535_AS_AS-DEO_399PCS.xlsx</t>
  </si>
  <si>
    <t>MSF2262000000542</t>
  </si>
  <si>
    <t>MSF2262000000542_LP_AS-DEO_12PCs.pdf</t>
  </si>
  <si>
    <t>MSF2262000000542_LP_AS-DEO_12PCs.xlsx</t>
  </si>
  <si>
    <t>MSF2261000000856</t>
  </si>
  <si>
    <t>MSF2261000000856_AS_GAYA_361PCS.pdf</t>
  </si>
  <si>
    <t>MSF2261000000856_AS_GAYA_361PCS.xlsx</t>
  </si>
  <si>
    <t>MSF2262000000545</t>
  </si>
  <si>
    <t>MSF2262000000545_VH_JSL_6PCS.pdf</t>
  </si>
  <si>
    <t>MSF2262000000545_VH_JSL_6PCS.xlsx</t>
  </si>
  <si>
    <t>MSF2262000000531</t>
  </si>
  <si>
    <t>MSF2262000000531_AS_JSL_58PCS.pdf</t>
  </si>
  <si>
    <t>MSF2262000000531_AS_JSL_58PCS.xlsx</t>
  </si>
  <si>
    <t>MSF2262000000539</t>
  </si>
  <si>
    <t>MSF2262000000539_AS_JSL_9PCS.pdf</t>
  </si>
  <si>
    <t>MSF2262000000539_AS_JSL_9PCS.xlsx</t>
  </si>
  <si>
    <t>MSF2262000000536</t>
  </si>
  <si>
    <t>MSF2262000000536_AS_SGMR_66PCS.pdf</t>
  </si>
  <si>
    <t>MSF2262000000536_AS_SGMR_66PCS.xlsx</t>
  </si>
  <si>
    <t>MSF2262000000541</t>
  </si>
  <si>
    <t>MSF2262000000541_LP_SANSKAR_18PCS.pdf</t>
  </si>
  <si>
    <t>MSF2262000000541_LP_SANSKAR_18PCS.xlsx</t>
  </si>
  <si>
    <t>MSF2262000000544</t>
  </si>
  <si>
    <t>MSF2262000000544_VH_SBJ_14PCS.pdf</t>
  </si>
  <si>
    <t>MSF2262000000544_VH_SBJ_14PCS.xlsx</t>
  </si>
  <si>
    <t>MSF2262000000537</t>
  </si>
  <si>
    <t>MSF2262000000537_AS_SBJ_93PCS.pdf</t>
  </si>
  <si>
    <t>MSF2262000000537_AS_SBJ_93PCS.xlsx</t>
  </si>
  <si>
    <t>MSF2262000000540</t>
  </si>
  <si>
    <t>MSF2262000000540_LP_DUMKA_7PCS.pdf</t>
  </si>
  <si>
    <t>MSF2262000000540_LP_DUMKA_7PCS.xlsx</t>
  </si>
  <si>
    <t>MSF2262000000538</t>
  </si>
  <si>
    <t>MSF2262000000538_AS_DUMKA_54PCS.pdf</t>
  </si>
  <si>
    <t>MSF2262000000538_AS_DUMKA_54PCS.xlsx</t>
  </si>
  <si>
    <t>HSC-26/27-004</t>
  </si>
  <si>
    <t>HS Creation - 004.pdf</t>
  </si>
  <si>
    <t>HS Creation - 004.xlsx</t>
  </si>
  <si>
    <t>GC/26-27/9</t>
  </si>
  <si>
    <t>GURULAXMI CREATION - 009.pdf</t>
  </si>
  <si>
    <t>GURULAXMI CREATION - 009.xlsx</t>
  </si>
  <si>
    <t>A S TEXTILE - 23.pdf</t>
  </si>
  <si>
    <t>A S TEXTILE - 23.xlsx</t>
  </si>
  <si>
    <t>A S TEXTILE - 26.pdf</t>
  </si>
  <si>
    <t>A S TEXTILE - 26.xlsx</t>
  </si>
  <si>
    <t>A S TEXTILE - 29.pdf</t>
  </si>
  <si>
    <t>A S TEXTILE - 29.xlsx</t>
  </si>
  <si>
    <t>PLAZER GARMENTS-151.pdf</t>
  </si>
  <si>
    <t>PLAZER GARMENTS-151.xlsx</t>
  </si>
  <si>
    <t>PR1CRS26/25</t>
  </si>
  <si>
    <t>SHRI MAHAVIR ENTERPRISES(JOCKEY)_PR1CRS26-25_HZB_40PCS.pdf</t>
  </si>
  <si>
    <t>SHRI MAHAVIR ENTERPRISES(JOCKEY)_PR1CRS26-25_HZB_40PCS.xlsx</t>
  </si>
  <si>
    <t>Shree Radhe Matching-31.pdf</t>
  </si>
  <si>
    <t>Shree Radhe Matching-31.xlsx</t>
  </si>
  <si>
    <t>PR2CRS26/27</t>
  </si>
  <si>
    <t>SHRI MAHAVIR ENTERPRISES(JOCKEY)_PR2CRS2627_HZB_90PCS.pdf</t>
  </si>
  <si>
    <t>SHRI MAHAVIR ENTERPRISES(JOCKEY)_PR2CRS2627_HZB_90PCS.xlsx</t>
  </si>
  <si>
    <t>JFHCRS26/8</t>
  </si>
  <si>
    <t>SHRI MAHAVIR ENTERPRISES(JOCKEY)_INV8_HZB_41PCS.pdf</t>
  </si>
  <si>
    <t>SHRI MAHAVIR ENTERPRISES(JOCKEY)_INV8_HZB_41PCS.xlsx</t>
  </si>
  <si>
    <t>BARCRS26/9</t>
  </si>
  <si>
    <t>SHRI MAHAVIR ENTERPRISES(JOCKEY)_INV09_HZB_45PCS.pdf</t>
  </si>
  <si>
    <t>SHRI MAHAVIR ENTERPRISES(JOCKEY)_INV09_HZB_45PCS.xlsx</t>
  </si>
  <si>
    <t>MDCCRS26/27</t>
  </si>
  <si>
    <t>SHRI MAHAVIR ENTERPRISES-27.pdf</t>
  </si>
  <si>
    <t>SHRI MAHAVIR ENTERPRISES-27.xlsx</t>
  </si>
  <si>
    <t>SOCCRS26/17</t>
  </si>
  <si>
    <t>SHRI MAHAVIR ENTERPRISES(JOCKEY)_INV17_HZB_70PCS.pdf</t>
  </si>
  <si>
    <t>SHRI MAHAVIR ENTERPRISES(JOCKEY)_INV17_HZB_70PCS.xlsx</t>
  </si>
  <si>
    <t>MSF2262000000644</t>
  </si>
  <si>
    <t>MSF2262000000644_AS_DUMKA_15PCS.pdf</t>
  </si>
  <si>
    <t>MSF2262000000644_AS_DUMKA_15PCS.xlsx</t>
  </si>
  <si>
    <t>MSF2260600018923</t>
  </si>
  <si>
    <t>MSF2260600018923_LP_DUMKA_5PCS.pdf</t>
  </si>
  <si>
    <t>MSF2260600018923_LP_DUMKA_5PCS.xlsx</t>
  </si>
  <si>
    <t>MSF2260600018922</t>
  </si>
  <si>
    <t>MSF2260600018922_LP_VAS-DEO_20PCS.pdf</t>
  </si>
  <si>
    <t>MSF2260600018922_LP_VAS-DEO_20PCS.xlsx</t>
  </si>
  <si>
    <t>MSF2260600018925</t>
  </si>
  <si>
    <t>MSF2260600018925_LP_JSL_15PCS.pdf</t>
  </si>
  <si>
    <t>MSF2260600018925_LP_JSL_15PCS.xlsx</t>
  </si>
  <si>
    <t>MSF2262000000640</t>
  </si>
  <si>
    <t>MSF2262000000640_AS_JSL_13PCS.pdf</t>
  </si>
  <si>
    <t>MSF2262000000640_AS_JSL_13PCS.xlsx</t>
  </si>
  <si>
    <t>MSF2261000000997</t>
  </si>
  <si>
    <t>MSF2261000000997_AS_GAYA_17PCS.pdf</t>
  </si>
  <si>
    <t>MSF2261000000997_AS_GAYA_17PCS.xlsx</t>
  </si>
  <si>
    <t>MSF2262000000628</t>
  </si>
  <si>
    <t>MSF2262000000628_LP_SANSKAR_9PCS.pdf</t>
  </si>
  <si>
    <t>MSF2262000000628_LP_SANSKAR_9PCS.xlsx</t>
  </si>
  <si>
    <t>MSF2262000000630</t>
  </si>
  <si>
    <t>MSF2262000000630_LP_SANSKAR_156PCS.pdf</t>
  </si>
  <si>
    <t>MSF2262000000630_LP_SANSKAR_156PCS.xlsx</t>
  </si>
  <si>
    <t>MSF2260600018926</t>
  </si>
  <si>
    <t>MSF2260600018926_LP_SANSKAR_5PCS.pdf</t>
  </si>
  <si>
    <t>MSF2260600018926_LP_SANSKAR_5PCS.xlsx</t>
  </si>
  <si>
    <t>MSF2262000000645</t>
  </si>
  <si>
    <t>MSF2262000000645_AS_SANSKAR_15PCS.pdf</t>
  </si>
  <si>
    <t>MSF2262000000645_AS_SANSKAR_15PCS.xlsx</t>
  </si>
  <si>
    <t>MSF2260600019708</t>
  </si>
  <si>
    <t>MSF2260600019708_LP_VAS-DEO_15PCS.pdf</t>
  </si>
  <si>
    <t>MSF2260600019708_LP_VAS-DEO_15PCS.xlsx</t>
  </si>
  <si>
    <t>MSF2262000000620</t>
  </si>
  <si>
    <t>MSF2262000000620_AS_SGMR_33PCS.pdf</t>
  </si>
  <si>
    <t>MSF2262000000620_AS_SGMR_33PCS.xlsx</t>
  </si>
  <si>
    <t>MSF2262000000641</t>
  </si>
  <si>
    <t>MSF2262000000641_AS_SGMR_34PCS.pdf</t>
  </si>
  <si>
    <t>MSF2262000000641_AS_SGMR_34PCS.xlsx</t>
  </si>
  <si>
    <t>MSF2262000000618</t>
  </si>
  <si>
    <t>MSF2252000000618_VH_JSL_14PCS.pdf</t>
  </si>
  <si>
    <t>MSF2252000000618_VH_JSL_14PCS.xlsx</t>
  </si>
  <si>
    <t>MSF2262000000633</t>
  </si>
  <si>
    <t>MSF2262000000633_VH_JSL_161PCS.pdf</t>
  </si>
  <si>
    <t>MSF2262000000633_VH_JSL_161PCS.xlsx</t>
  </si>
  <si>
    <t>MSF2262000000642</t>
  </si>
  <si>
    <t>MSF2262000000642_AS_FS-DEO_20PCS.pdf</t>
  </si>
  <si>
    <t>MSF2262000000642_AS_FS-DEO_20PCS.xlsx</t>
  </si>
  <si>
    <t>MSF2262000000627</t>
  </si>
  <si>
    <t>MSF2262000000627_LP_BOKARO_7PCS.pdf</t>
  </si>
  <si>
    <t>MSF2262000000627_LP_BOKARO_7PCS.xlsx</t>
  </si>
  <si>
    <t>MSF2262000000625</t>
  </si>
  <si>
    <t>MSF2262000000625_LP_BOKARO_221PCS.pdf</t>
  </si>
  <si>
    <t>MSF2262000000625_LP_BOKARO_221PCS.xlsx</t>
  </si>
  <si>
    <t>MSF2262000000634</t>
  </si>
  <si>
    <t>MSF2262000000634_VH_VAS-DEO_117PCS.pdf</t>
  </si>
  <si>
    <t>MSF2262000000634_VH_VAS-DEO_117PCS.xlsx</t>
  </si>
  <si>
    <t>MSF2262000000626</t>
  </si>
  <si>
    <t>MSF2262000000626_LP_VAS-DEO_92PCS.pdf</t>
  </si>
  <si>
    <t>MSF2262000000626_LP_VAS-DEO_92PCS.xlsx</t>
  </si>
  <si>
    <t>MSF2262000000621</t>
  </si>
  <si>
    <t>MSF2262000000621_AS_FS-DEO_13PCS.pdf</t>
  </si>
  <si>
    <t>MSF2262000000621_AS_FS-DEO_13PCS.xlsx</t>
  </si>
  <si>
    <t>MSF2262000000619</t>
  </si>
  <si>
    <t>MSF2262000000619_VH_FS-DEO_25PCS.pdf</t>
  </si>
  <si>
    <t>MSF2262000000619_VH_FS-DEO_25PCS.xlsx</t>
  </si>
  <si>
    <t>MSF2260600018924</t>
  </si>
  <si>
    <t>MSF2260600018924_LP_BOKARO_5PCS.pdf</t>
  </si>
  <si>
    <t>MSF2260600018924_LP_BOKARO_5PCS.xlsx</t>
  </si>
  <si>
    <t>MSF2262000000629</t>
  </si>
  <si>
    <t>MSF2262000000629_LP_JSL_146PCS.pdf</t>
  </si>
  <si>
    <t>MSF2262000000629_LP_JSL_146PCS.xlsx</t>
  </si>
  <si>
    <t>J/26-27/308</t>
  </si>
  <si>
    <t>Jain Adishwar -308 Ratu (22 Qty).pdf</t>
  </si>
  <si>
    <t>Jain Adishwar -308 Ratu (22 Qty).xlsx</t>
  </si>
  <si>
    <t>J/26-27/315</t>
  </si>
  <si>
    <t>Jain Adishwar-315 (14 Qty).pdf</t>
  </si>
  <si>
    <t>Jain Adishwar-315 (14 Qty).xlsx</t>
  </si>
  <si>
    <t>MSF2262000000731</t>
  </si>
  <si>
    <t>MSF2262000000731_AS_FS DEO_29PCS.pdf</t>
  </si>
  <si>
    <t>MSF2262000000731_AS_FS DEO_29PCS.xlsx</t>
  </si>
  <si>
    <t>MSF2261000001102</t>
  </si>
  <si>
    <t>MSF2261000001102_AS_GAYA_8PCS.pdf</t>
  </si>
  <si>
    <t>MSF2261000001102_AS_GAYA_8PCS.xlsx</t>
  </si>
  <si>
    <t>MSF2262000000726</t>
  </si>
  <si>
    <t>MSF2262000000726_VH_VAS-DEO_4PCS.pdf</t>
  </si>
  <si>
    <t>MSF2262000000726_VH_VAS-DEO_4PCS.xlsx</t>
  </si>
  <si>
    <t>Jay Ambey Sarees-453.pdf</t>
  </si>
  <si>
    <t>Jay Ambey Sarees-453.xlsx</t>
  </si>
  <si>
    <t>MSF2262000000732</t>
  </si>
  <si>
    <t>MSF2262000000732_AS_JSL_7PCS.pdf</t>
  </si>
  <si>
    <t>MSF2262000000732_AS_JSL_7PCS.xlsx</t>
  </si>
  <si>
    <t>MSF2262000000725</t>
  </si>
  <si>
    <t>MSF2262000000725_VH_JSL_6PCS.pdf</t>
  </si>
  <si>
    <t>MSF2262000000725_VH_JSL_6PCS.xlsx</t>
  </si>
  <si>
    <t>MSF2261000001087</t>
  </si>
  <si>
    <t>MSF2261000001087_AS_GAYA_16PCS.pdf</t>
  </si>
  <si>
    <t>MSF2261000001087_AS_GAYA_16PCS.xlsx</t>
  </si>
  <si>
    <t>MSF2262000000718</t>
  </si>
  <si>
    <t>MSF2262000000718_LP_VAS-DEO_1PC.pdf</t>
  </si>
  <si>
    <t>MSF2262000000718_LP_VAS-DEO_1PC.xlsx</t>
  </si>
  <si>
    <t>MSF2262000000713</t>
  </si>
  <si>
    <t>MSF2262000000713_AS_FS-DEO_24PCS.pdf</t>
  </si>
  <si>
    <t>MSF2262000000713_AS_FS-DEO_24PCS.xlsx</t>
  </si>
  <si>
    <t>MSF2262000000708</t>
  </si>
  <si>
    <t>MSF2262000000708_AS_FS-DEO_8PCS.pdf</t>
  </si>
  <si>
    <t>MSF2262000000708_AS_FS-DEO_8PCS.xlsx</t>
  </si>
  <si>
    <t>MSF2260600022256</t>
  </si>
  <si>
    <t>MSF2260600022256_LP_BOKARO_10PCS.pdf</t>
  </si>
  <si>
    <t>MSF2260600022256_LP_BOKARO_10PCS.xlsx</t>
  </si>
  <si>
    <t>MSF2262000000716</t>
  </si>
  <si>
    <t>MSF2262000000716_AS_JSL_18PCS.pdf</t>
  </si>
  <si>
    <t>MSF2262000000716_AS_JSL_18PCS.xlsx</t>
  </si>
  <si>
    <t>W26/10</t>
  </si>
  <si>
    <t>C2D DISTRIBUTORS 10 (SANSKAR STORE).pdf</t>
  </si>
  <si>
    <t>C2D DISTRIBUTORS 10 (SANSKAR STORE).xlsx</t>
  </si>
  <si>
    <t>Plazer Fabrics-144.pdf</t>
  </si>
  <si>
    <t>Plazer Fabrics-144.xlsx</t>
  </si>
  <si>
    <t>ROCK/007</t>
  </si>
  <si>
    <t>TAYAL GARMENTS-007.PDF</t>
  </si>
  <si>
    <t>TAYAL GARMENTS-007.xlsx</t>
  </si>
  <si>
    <t>MSF2260600024118</t>
  </si>
  <si>
    <t>MSF2260600024118_LP_SANSKAR_10PCS.pdf</t>
  </si>
  <si>
    <t>MSF2260600024118_LP_SANSKAR_10PCS.xlsx</t>
  </si>
  <si>
    <t>NIKITA APPARELS(EAGLE)_INV29_JSL_30PCS.pdf</t>
  </si>
  <si>
    <t>NIKITA APPARELS(EAGLE)_INV29_JSL_30PCS.xlsx</t>
  </si>
  <si>
    <t>MSF2260600024065</t>
  </si>
  <si>
    <t>MSF2260600024065_LP_DUMKA_10PCS.pdf</t>
  </si>
  <si>
    <t>MSF2260600024065_LP_DUMKA_10PCS.xlsx</t>
  </si>
  <si>
    <t>MSF2262900035373</t>
  </si>
  <si>
    <t>MSF2262900035373_LP_BOKARO_10PCS.pdf</t>
  </si>
  <si>
    <t>MSF2262900035373_LP_BOKARO_10PCS.xlsx</t>
  </si>
  <si>
    <t>MSF2260600024117</t>
  </si>
  <si>
    <t>MSF2260600024117_LP_JSL_30PCS.pdf</t>
  </si>
  <si>
    <t>MSF2260600024117_LP_JSL_30PCS.xlsx</t>
  </si>
  <si>
    <t>MSF2260600024116</t>
  </si>
  <si>
    <t>MSF2260600024116_LP_VAS-DEO_10PCS.pdf</t>
  </si>
  <si>
    <t>MSF2260600024116_LP_VAS-DEO_10PCS.xlsx</t>
  </si>
  <si>
    <t>MSF2262000000811</t>
  </si>
  <si>
    <t>MSF2262000000811_AS_FS-DEO_20PCS.pdf</t>
  </si>
  <si>
    <t>MSF2262000000811_AS_FS-DEO_20PCS.xlsx</t>
  </si>
  <si>
    <t>MSF2261000001212</t>
  </si>
  <si>
    <t>MSF2261000001212_AS_GAYA_8PCS.pdf</t>
  </si>
  <si>
    <t>MSF2261000001212_AS_GAYA_8PCS.xlsx</t>
  </si>
  <si>
    <t>MSF2261000001213</t>
  </si>
  <si>
    <t>MSF2261000001213_AS_GAYA_9PCS.pdf</t>
  </si>
  <si>
    <t>MSF2261000001213_AS_GAYA_9PCS.xlsx</t>
  </si>
  <si>
    <t>MSF2262000000823</t>
  </si>
  <si>
    <t>MSF2262000000823_VH_VAS-DEO_5PCS.pdf</t>
  </si>
  <si>
    <t>MSF2262000000823_VH_VAS-DEO_5PCS.xlsx</t>
  </si>
  <si>
    <t>MSF2262900035370</t>
  </si>
  <si>
    <t>MSF2262900035370_LP_VAS-DEO_10PCS.pdf</t>
  </si>
  <si>
    <t>MSF2262900035370_LP_VAS-DEO_10PCS.xlsx</t>
  </si>
  <si>
    <t>MSF2260600024066</t>
  </si>
  <si>
    <t>MSF226060024066_LP_BOKARO_35PCS.pdf</t>
  </si>
  <si>
    <t>MSF226060024066_LP_BOKARO_35PCS.xlsx</t>
  </si>
  <si>
    <t>MSF2262000000816</t>
  </si>
  <si>
    <t>MSF2262000000816_LP_DUMKA_4PCS.pdf</t>
  </si>
  <si>
    <t>MSF2262000000816_LP_DUMKA_4PCS.xlsx</t>
  </si>
  <si>
    <t>MSF2262000000812</t>
  </si>
  <si>
    <t>MSF2262000000812_AS_DUMKA_7PCS.pdf</t>
  </si>
  <si>
    <t>MSF2262000000812_AS_DUMKA_7PCS.xlsx</t>
  </si>
  <si>
    <t>G/134</t>
  </si>
  <si>
    <t>Jay Ambey Designer - 134.pdf</t>
  </si>
  <si>
    <t>Jay Ambey Designer - 134.xlsx</t>
  </si>
  <si>
    <t>MSF2262900035371</t>
  </si>
  <si>
    <t>MSF2262900035371_LP_JSL_10PCS.pdf</t>
  </si>
  <si>
    <t>MSF2262900035371_LP_JSL_10PCS.xlsx</t>
  </si>
  <si>
    <t>26-27/105</t>
  </si>
  <si>
    <t>PAYAL GARMENTS-105.pdf</t>
  </si>
  <si>
    <t>PAYAL GARMENTS-105.xlsx</t>
  </si>
  <si>
    <t>P R MODI &amp; Son's-1440.pdf</t>
  </si>
  <si>
    <t>P R MODI &amp; Son's-1440.xlsx</t>
  </si>
  <si>
    <t>P R MODI &amp; Son's-1443.pdf</t>
  </si>
  <si>
    <t>P R MODI &amp; Son's-1443.xlsx</t>
  </si>
  <si>
    <t>26-27/126</t>
  </si>
  <si>
    <t>M N GARMENTS-126.pdf</t>
  </si>
  <si>
    <t>M N GARMENTS-126.xlsx</t>
  </si>
  <si>
    <t>S/52</t>
  </si>
  <si>
    <t>VISHAL MARKETING &amp; CO(LINEN CLUB)-052.pdf</t>
  </si>
  <si>
    <t>VISHAL MARKETING &amp; CO(LINEN CLUB)-052.xlsx</t>
  </si>
  <si>
    <t>2026-27/110</t>
  </si>
  <si>
    <t>SHRI SAI ENTERPRISES(AMIDHARA)_WH_INV110_16PCS.pdf</t>
  </si>
  <si>
    <t>SHRI SAI ENTERPRISES(AMIDHARA)_WH_INV110_16PCS.xlsx</t>
  </si>
  <si>
    <t>DA/26-27/0080</t>
  </si>
  <si>
    <t>D Apparel-0080.pdf</t>
  </si>
  <si>
    <t>D Apparel-0080.xlsx</t>
  </si>
  <si>
    <t>DA/26-27/0083</t>
  </si>
  <si>
    <t>D APPAREL(STATUS QUO)_INV083_HZB_42PCS.pdf</t>
  </si>
  <si>
    <t>D APPAREL(STATUS QUO)_INV083_HZB_42PCS.xlsx</t>
  </si>
  <si>
    <t>S/55</t>
  </si>
  <si>
    <t>VISHAL MARKETING &amp; CO(LITTLE PINK)-055.pdf</t>
  </si>
  <si>
    <t>VISHAL MARKETING &amp; CO(LITTLE PINK)-055.xlsx</t>
  </si>
  <si>
    <t>26-27/139</t>
  </si>
  <si>
    <t>MN GARMENTS-139.pdf</t>
  </si>
  <si>
    <t>MN GARMENTS-139.xlsx</t>
  </si>
  <si>
    <t>Variety Textiles-3360.pdf</t>
  </si>
  <si>
    <t>Variety Textiles-3360.xlsx</t>
  </si>
  <si>
    <t>Kishor Textiles-1109.pdf</t>
  </si>
  <si>
    <t>Kishor Textiles-1109.xlsx</t>
  </si>
  <si>
    <t>J/26-27/425</t>
  </si>
  <si>
    <t>Jain Adishwar - 425 Hazaribagh (40 Qty).pdf</t>
  </si>
  <si>
    <t>Jain Adishwar - 425 Hazaribagh (40 Qty).xlsx</t>
  </si>
  <si>
    <t>J/26-27/438</t>
  </si>
  <si>
    <t>Jain Adishwar -438 Deoghar (29 Qty).pdf</t>
  </si>
  <si>
    <t>Jain Adishwar -438 Deoghar (29 Qty).xlsx</t>
  </si>
  <si>
    <t>MSF2261000001488</t>
  </si>
  <si>
    <t>MSF2261000001488_AS_GAYA_9PCS.pdf</t>
  </si>
  <si>
    <t>MSF2261000001488_AS_GAYA_9PCS.xlsx</t>
  </si>
  <si>
    <t>W26/16</t>
  </si>
  <si>
    <t>C2D DISTRIBUTORS(WELSPUN)_INV17_SINGMORE_136PCS.pdf</t>
  </si>
  <si>
    <t>C2D DISTRIBUTORS(WELSPUN)_INV17_SINGMORE_136PCS.xlsx</t>
  </si>
  <si>
    <t>MSF2262000001063</t>
  </si>
  <si>
    <t>MSF2262000001063_VH_JSL_47PCS.pdf</t>
  </si>
  <si>
    <t>MSF2262000001063_VH_JSL_47PCS.xlsx</t>
  </si>
  <si>
    <t>MSF2262000001064</t>
  </si>
  <si>
    <t>MSF2262000001064_VH_JSL_1PC.pdf</t>
  </si>
  <si>
    <t>MSF2262000001064_VH_JSL_1PC.xlsx</t>
  </si>
  <si>
    <t>MSF2262000001062</t>
  </si>
  <si>
    <t>MSF2262000001062_AS_JSL_6PCS.pdf</t>
  </si>
  <si>
    <t>MSF2262000001062_AS_JSL_6PCS.xlsx</t>
  </si>
  <si>
    <t>Variety Textiles-3599.pdf</t>
  </si>
  <si>
    <t>Variety Textiles-3599.xlsx</t>
  </si>
  <si>
    <t>Variety Textiles-3603.pdf</t>
  </si>
  <si>
    <t>Variety Textiles-3603.xlsx</t>
  </si>
  <si>
    <t>Variety Textiles-3542.pdf</t>
  </si>
  <si>
    <t>Variety Textiles-3542.xlsx</t>
  </si>
  <si>
    <t>Variety Textiles-3845.pdf</t>
  </si>
  <si>
    <t>Variety Textiles-3845.xlsx</t>
  </si>
  <si>
    <t>S/26-27/227</t>
  </si>
  <si>
    <t>VISHAL MARKETING &amp; CO(SPYKAR)-0227.pdf</t>
  </si>
  <si>
    <t>VISHAL MARKETING &amp; CO(SPYKAR)-0227.xlsx</t>
  </si>
  <si>
    <t>S/26-27/228</t>
  </si>
  <si>
    <t>VISHAL MARKETING &amp; CO(SPYKAR)-0228.pdf</t>
  </si>
  <si>
    <t>VISHAL MARKETING &amp; CO(SPYKAR)-0228.xlsx</t>
  </si>
  <si>
    <t>S/26-27/229</t>
  </si>
  <si>
    <t>VISHAL MARKETING &amp; CO(SPYKAR)-0229.pdf</t>
  </si>
  <si>
    <t>VISHAL MARKETING &amp; CO(SPYKAR)-0229.xlsx</t>
  </si>
  <si>
    <t>S/26-27/230</t>
  </si>
  <si>
    <t>VISHAL MARKETING &amp; CO(SPYKAR)-0230.pdf</t>
  </si>
  <si>
    <t>VISHAL MARKETING &amp; CO(SPYKAR)-0230.xlsx</t>
  </si>
  <si>
    <t>MSF2260600032805</t>
  </si>
  <si>
    <t>MSF2260600032805_AS_GAYA_15PCS.pdf</t>
  </si>
  <si>
    <t>MSF2260600032805_AS_GAYA_15PCS.xlsx</t>
  </si>
  <si>
    <t>MSF2260600032816</t>
  </si>
  <si>
    <t>MSF2260600032816_AS_DUMKA_9PCS.pdf</t>
  </si>
  <si>
    <t>MSF2260600032816_AS_DUMKA_9PCS.xlsx</t>
  </si>
  <si>
    <t>MSF2260600032801</t>
  </si>
  <si>
    <t>MSF2260600032801_AS_FS-DEO_18PCS.pdf</t>
  </si>
  <si>
    <t>MSF2260600032801_AS_FS-DEO_18PCS.xlsx</t>
  </si>
  <si>
    <t>MSF2262000001121</t>
  </si>
  <si>
    <t>MSF2262000001121_ASDUMKA_7PCS.pdf</t>
  </si>
  <si>
    <t>MSF2262000001121_ASDUMKA_7PCS.xlsx</t>
  </si>
  <si>
    <t>MSF2262900051519</t>
  </si>
  <si>
    <t>MSF2262900051519_AS_DUMKA_3PCS.pdf</t>
  </si>
  <si>
    <t>MSF2262900051519_AS_DUMKA_3PCS.xlsx</t>
  </si>
  <si>
    <t>MSF2262000001124</t>
  </si>
  <si>
    <t>MSF2262000001124_VH_VAS-DEO_7PCS.pdf</t>
  </si>
  <si>
    <t>MSF2262000001124_VH_VAS-DEO_7PCS.xlsx</t>
  </si>
  <si>
    <t>MSF2262900051511</t>
  </si>
  <si>
    <t>MSF2262900051511_AS_FS-DEO_8PCS.pdf</t>
  </si>
  <si>
    <t>MSF2262900051511_AS_FS-DEO_8PCS.xlsx</t>
  </si>
  <si>
    <t>FS-KDPS_78</t>
  </si>
  <si>
    <t>FS-KDPS_78PCS.pdf</t>
  </si>
  <si>
    <t>FS-KDPS_78PCS.xlsx</t>
  </si>
  <si>
    <t>FS-KDPS_85</t>
  </si>
  <si>
    <t>FS-KDPS_85PCS.pdf</t>
  </si>
  <si>
    <t>FS-KDPS_85PCS.xlsx</t>
  </si>
  <si>
    <t>FS-KDPS_104</t>
  </si>
  <si>
    <t>FS-KDPS_104PCS.pdf</t>
  </si>
  <si>
    <t>FS-KDPS_104PCS.xlsx</t>
  </si>
  <si>
    <t>BRCRS26/19</t>
  </si>
  <si>
    <t>UDHAV ENTERPRISES(JOCKEY)_INV19_WH_30PCS.pdf</t>
  </si>
  <si>
    <t>UDHAV ENTERPRISES(JOCKEY)_INV19_WH_30PCS.xlsx</t>
  </si>
  <si>
    <t>MSF2262000001119</t>
  </si>
  <si>
    <t>MSF2262000001119_AS_JSL_12PCS.pdf</t>
  </si>
  <si>
    <t>MSF2262000001119_AS_JSL_12PCS.xlsx</t>
  </si>
  <si>
    <t>MSF2260600032809</t>
  </si>
  <si>
    <t>MSF2260600032809_AS_JSL_12PCS.pdf</t>
  </si>
  <si>
    <t>MSF2260600032809_AS_JSL_12PCS.xlsx</t>
  </si>
  <si>
    <t>S/26-27/267</t>
  </si>
  <si>
    <t>VISHAL MARKETING &amp; CO(US POLO PROMO)-0267.pdf</t>
  </si>
  <si>
    <t>VISHAL MARKETING &amp; CO(US POLO PROMO)-0267.xlsx</t>
  </si>
  <si>
    <t>P R MODI &amp; SON'S-1755.pdf</t>
  </si>
  <si>
    <t>P R MODI &amp; SON'S-1755.xlsx</t>
  </si>
  <si>
    <t>P R MODI &amp; SON'S-1756.pdf</t>
  </si>
  <si>
    <t>P R MODI &amp; SON'S-1756.xlsx</t>
  </si>
  <si>
    <t>P R MODI &amp; SON'S-1760.pdf</t>
  </si>
  <si>
    <t>P R MODI &amp; SON'S-1760.xlsx</t>
  </si>
  <si>
    <t>PLAZER GARMENTS-295.pdf</t>
  </si>
  <si>
    <t>PLAZER GARMENTS-295.xlsx</t>
  </si>
  <si>
    <t>DA/26-27/0102</t>
  </si>
  <si>
    <t>D-APPAREL(KHUSHAAL)_INV102_HZB_56PCS.pdf</t>
  </si>
  <si>
    <t>D-APPAREL(KHUSHAAL)_INV102_HZB_56PCS.xlsx</t>
  </si>
  <si>
    <t>GST/000954/26-27</t>
  </si>
  <si>
    <t>FASHION WORLD GARMENTS - 954.pdf</t>
  </si>
  <si>
    <t>FASHION WORLD GARMENTS - 954.xlsx</t>
  </si>
  <si>
    <t>GST/000956/26-27</t>
  </si>
  <si>
    <t>FASHION WORLD GARMENTS - 956.pdf</t>
  </si>
  <si>
    <t>FASHION WORLD GARMENTS - 956.xlsx</t>
  </si>
  <si>
    <t>GST/000957/26-27</t>
  </si>
  <si>
    <t>FASHION WORLD GARMENTS - 957.pdf</t>
  </si>
  <si>
    <t>FASHION WORLD GARMENTS - 957.xlsx</t>
  </si>
  <si>
    <t>GST/000962/26-27</t>
  </si>
  <si>
    <t>FASHION WORLD GARMENTS - 962.pdf</t>
  </si>
  <si>
    <t>FASHION WORLD GARMENTS - 962.xlsx</t>
  </si>
  <si>
    <t>FES/000258/26-27</t>
  </si>
  <si>
    <t>Fashion Earth Garments - 258.pdf</t>
  </si>
  <si>
    <t>Fashion Earth Garments - 258.xlsx</t>
  </si>
  <si>
    <t>FES/000257/26-27</t>
  </si>
  <si>
    <t>Fashion Earth Garments - 257.pdf</t>
  </si>
  <si>
    <t>Fashion Earth Garments - 257.xlsx</t>
  </si>
  <si>
    <t>WOE/0723/26-27</t>
  </si>
  <si>
    <t>WEAR ON ENSEMBLES - 723.pdf</t>
  </si>
  <si>
    <t>WEAR ON ENSEMBLES - 723.xlsx</t>
  </si>
  <si>
    <t>WOE/0724/26-27</t>
  </si>
  <si>
    <t>WEAR ON ENSEMBLES - 724.pdf</t>
  </si>
  <si>
    <t>WEAR ON ENSEMBLES - 724.xlsx</t>
  </si>
  <si>
    <t>WOE/0722/26-27</t>
  </si>
  <si>
    <t>Wear On Ensemble - 722.pdf</t>
  </si>
  <si>
    <t>Wear On Ensemble - 722.xlsx</t>
  </si>
  <si>
    <t>W/26-27/0037</t>
  </si>
  <si>
    <t>Wonders - 0037.pdf</t>
  </si>
  <si>
    <t>Wonders - 0037.xlsx</t>
  </si>
  <si>
    <t>VN/GI26/196</t>
  </si>
  <si>
    <t>V N Textiles-196.pdf</t>
  </si>
  <si>
    <t>V N Textiles-196.xlsx</t>
  </si>
  <si>
    <t>EDCRS26/22</t>
  </si>
  <si>
    <t>NarvadaTtextiles-22.pdf</t>
  </si>
  <si>
    <t>NarvadaTtextiles-22.xlsx</t>
  </si>
  <si>
    <t>P R MODI &amp; SON'S-1899.pdf</t>
  </si>
  <si>
    <t>P R MODI &amp; SON'S-1899.xlsx</t>
  </si>
  <si>
    <t>DD/JBN26/77</t>
  </si>
  <si>
    <t>D D Sales-77.pdf</t>
  </si>
  <si>
    <t>D D Sales-77.xlsx</t>
  </si>
  <si>
    <t>P2CRS26/152</t>
  </si>
  <si>
    <t>SHREE NARAYANI ENTERPRISES (P2CRS26-152).pdf</t>
  </si>
  <si>
    <t>SHREE NARAYANI ENTERPRISES (P2CRS26-152).xlsx</t>
  </si>
  <si>
    <t>INT/008</t>
  </si>
  <si>
    <t>TAYAL GARMENTS - 008.PDF</t>
  </si>
  <si>
    <t>TAYAL GARMENTS - 008.xlsx</t>
  </si>
  <si>
    <t>L03TI26/96</t>
  </si>
  <si>
    <t>Zenith Fabric - 96 (Gaya).pdf</t>
  </si>
  <si>
    <t>Zenith Fabric - 96 (Gaya).xlsx</t>
  </si>
  <si>
    <t>25/2026-27</t>
  </si>
  <si>
    <t>A &amp; T ENGROS - 25.pdf</t>
  </si>
  <si>
    <t>A &amp; T ENGROS - 25.xlsx</t>
  </si>
  <si>
    <t>DS/361/26-27</t>
  </si>
  <si>
    <t>D S Creation - 361.pdf</t>
  </si>
  <si>
    <t>D S Creation - 361.xlsx</t>
  </si>
  <si>
    <t>DS/365/26-27</t>
  </si>
  <si>
    <t>D S Creation - 365.pdf</t>
  </si>
  <si>
    <t>D S Creation - 365.xlsx</t>
  </si>
  <si>
    <t>DS/364/26-27</t>
  </si>
  <si>
    <t>D S Creation - 364.pdf</t>
  </si>
  <si>
    <t>D S Creation - 364.xlsx</t>
  </si>
  <si>
    <t>DS/362/26-27</t>
  </si>
  <si>
    <t>D S Creation - 362.pdf</t>
  </si>
  <si>
    <t>D S Creation - 362.xlsx</t>
  </si>
  <si>
    <t>SE/26-27/075</t>
  </si>
  <si>
    <t>Sagar Enterprises - 0075.pdf</t>
  </si>
  <si>
    <t>Sagar Enterprises - 0075.xlsx</t>
  </si>
  <si>
    <t>DS/360/26-27</t>
  </si>
  <si>
    <t>D S Creation - 360.pdf</t>
  </si>
  <si>
    <t>D S Creation - 360.xlsx</t>
  </si>
  <si>
    <t>MSF2262000001275</t>
  </si>
  <si>
    <t>MSF2262000001275_LP_BOKARO_10PCS.pdf</t>
  </si>
  <si>
    <t>MSF2262000001275_LP_BOKARO_10PCS.xlsx</t>
  </si>
  <si>
    <t>Variety Textiles - 4411.pdf</t>
  </si>
  <si>
    <t>Variety Textiles - 4411.xlsx</t>
  </si>
  <si>
    <t>MDCRS26/192</t>
  </si>
  <si>
    <t>TARUN APPARELS(JOCKEY)_INV192_WH_30PCS.pdf</t>
  </si>
  <si>
    <t>TARUN APPARELS(JOCKEY)_INV192_WH_30PCS.xlsx</t>
  </si>
  <si>
    <t>EDCRS26/34</t>
  </si>
  <si>
    <t>NARVADA TEXTILES(JOCKEY)_INV34_WH_20PCS.pdf</t>
  </si>
  <si>
    <t>NARVADA TEXTILES(JOCKEY)_INV34_WH_20PCS.xlsx</t>
  </si>
  <si>
    <t>Plazer Fabrics - 259.pdf</t>
  </si>
  <si>
    <t>Plazer Fabrics - 259.xlsx</t>
  </si>
  <si>
    <t>P2CRS26/162</t>
  </si>
  <si>
    <t>SHREE NARAYANI(JOCKEY)_INV162_WH_39PCS.pdf</t>
  </si>
  <si>
    <t>SHREE NARAYANI(JOCKEY)_INV162_WH_39PCS.xlsx</t>
  </si>
  <si>
    <t>PECRS26/175</t>
  </si>
  <si>
    <t>PARAS(JOCKEY)_INV175_WH_146PCS.pdf</t>
  </si>
  <si>
    <t>PARAS(JOCKEY)_INV175_WH_146PCS.xlsx</t>
  </si>
  <si>
    <t>26-27/224</t>
  </si>
  <si>
    <t>M N GARMENTS - 224.pdf</t>
  </si>
  <si>
    <t>M N GARMENTS - 224.xlsx</t>
  </si>
  <si>
    <t>DA/26-27/0124</t>
  </si>
  <si>
    <t>D APPAREL(STATUS QUO)_INV124_HZB_86PCS.pdf</t>
  </si>
  <si>
    <t>D APPAREL(STATUS QUO)_INV124_HZB_86PCS.xlsx</t>
  </si>
  <si>
    <t>SCRS26/103</t>
  </si>
  <si>
    <t>NARVADA TEXTILES(JOCKEY)_INV103_WH_100PCS.pdf</t>
  </si>
  <si>
    <t>NARVADA TEXTILES(JOCKEY)_INV103_WH_100PCS.xlsx</t>
  </si>
  <si>
    <t>26-27/264</t>
  </si>
  <si>
    <t>M N GARMENTS - 264.pdf</t>
  </si>
  <si>
    <t>M N GARMENTS - 264.xlsx</t>
  </si>
  <si>
    <t>W26/82</t>
  </si>
  <si>
    <t>C2D DISTRIBUTORS (W26-82).pdf</t>
  </si>
  <si>
    <t>C2D DISTRIBUTORS (W26-82).xlsx</t>
  </si>
  <si>
    <t>26IH/323743/003</t>
  </si>
  <si>
    <t>C2D DISTRIBUTOPR (26IH-323743-003).pdf</t>
  </si>
  <si>
    <t>C2D DISTRIBUTOPR (26IH-323743-003).xlsx</t>
  </si>
  <si>
    <t>W26/17</t>
  </si>
  <si>
    <t>C2D DISTRIBUTORS(WELSPUN)_INV16_BANKA_136PCS.pdf</t>
  </si>
  <si>
    <t>C2D DISTRIBUTORS(WELSPUN)_INV16_BANKA_136PCS.xlsx</t>
  </si>
  <si>
    <t>DA/26-27/0215</t>
  </si>
  <si>
    <t>D APPAREL - 0215.pdf</t>
  </si>
  <si>
    <t>D APPAREL - 0215.xlsx</t>
  </si>
  <si>
    <t>JFHCRS26/378</t>
  </si>
  <si>
    <t>TAYAL GARMENTS PVTY LTD (JFHCRS26-378).pdf</t>
  </si>
  <si>
    <t>TAYAL GARMENTS PVTY LTD (JFHCRS26-378).xlsx</t>
  </si>
  <si>
    <t>WC/043</t>
  </si>
  <si>
    <t>TAYAL GARMENTS (WC-043).pdf</t>
  </si>
  <si>
    <t>TAYAL GARMENTS (WC-043).xlsx</t>
  </si>
  <si>
    <t>PMS/26-27/786</t>
  </si>
  <si>
    <t>P M SONS - 786.pdf</t>
  </si>
  <si>
    <t>P M SONS - 786.xlsx</t>
  </si>
  <si>
    <t>PECRS26/625</t>
  </si>
  <si>
    <t>PARAS TEXTILES (PECRS26-625).pdf</t>
  </si>
  <si>
    <t>PARAS TEXTILES (PECRS26-625).xlsx</t>
  </si>
  <si>
    <t>MDCRS26/680</t>
  </si>
  <si>
    <t>TARUN APPARELS(MDCRS26-680).pdf</t>
  </si>
  <si>
    <t>TARUN APPARELS(MDCRS26-680).xlsx</t>
  </si>
  <si>
    <t>MSF2262900051516</t>
  </si>
  <si>
    <t>MSF2262900051516_AS_JSL_6PCS.pdf</t>
  </si>
  <si>
    <t>MSF2262900051516_AS_JSL_6PCS.xlsx</t>
  </si>
  <si>
    <t>MSF2262000001129</t>
  </si>
  <si>
    <t>MSF2262000001129_LP_JSL_32PCS.pdf</t>
  </si>
  <si>
    <t>MSF2262000001129_LP_JSL_32PCS.xlsx</t>
  </si>
  <si>
    <t>Samyak Creation - 58.pdf</t>
  </si>
  <si>
    <t>Samyak Creation - 58.xlsx</t>
  </si>
  <si>
    <t>Saraogi Super Sales - 497.pdf</t>
  </si>
  <si>
    <t>Saraogi Super Sales - 497.xlsx</t>
  </si>
  <si>
    <t>TAYAL GARMENTS - 038.pdf</t>
  </si>
  <si>
    <t>TAYAL GARMENTS - 038.xlsx</t>
  </si>
  <si>
    <t>MSF2262000001218</t>
  </si>
  <si>
    <t>MSF2262000001218_PE_SGMR_15PCS.pdf</t>
  </si>
  <si>
    <t>MSF2262000001218_PE_SGMR_15PCS.xlsx</t>
  </si>
  <si>
    <t>MSF2262000001217</t>
  </si>
  <si>
    <t>MSF2262000001217_PE_FS-DEO_4PCS.pdf</t>
  </si>
  <si>
    <t>MSF2262000001217_PE_FS-DEO_4PCS.xlsx</t>
  </si>
  <si>
    <t>Jain Adishwar - 624 (47 Qty).pdf</t>
  </si>
  <si>
    <t>Jain Adishwar - 624 (47 Qty).xlsx</t>
  </si>
  <si>
    <t>MSF2262000000809</t>
  </si>
  <si>
    <t>MSF2262000000809_AS_SBJ_16PCS.pdf</t>
  </si>
  <si>
    <t>MSF2262000000809_AS_SBJ_16PCS.xlsx</t>
  </si>
  <si>
    <t>MSF2262000000824</t>
  </si>
  <si>
    <t>MSF2262000000824_VH_SBJ_1PC.pdf</t>
  </si>
  <si>
    <t>MSF2262000000824_VH_SBJ_1PC.xlsx</t>
  </si>
  <si>
    <t>MSF2262000000635</t>
  </si>
  <si>
    <t>MSF2262000000635_VH_SBJ_84PCS.pdf</t>
  </si>
  <si>
    <t>MSF2262000000635_VH_SBJ_84PCS.xlsx</t>
  </si>
  <si>
    <t>SSS(FOGA)_INV33_WH_24PCS.pdf</t>
  </si>
  <si>
    <t>SSS(FOGA)_INV33_WH_24PCS.xlsx</t>
  </si>
  <si>
    <t>Kripa Teaders - 162.pdf</t>
  </si>
  <si>
    <t>Kripa Teaders - 162.xlsx</t>
  </si>
  <si>
    <t>MSF2261000002416</t>
  </si>
  <si>
    <t>MSF2261000002416_PE_GAYA_3PCS.pdf</t>
  </si>
  <si>
    <t>MSF2261000002416_PE_GAYA_3PCS.xlsx</t>
  </si>
  <si>
    <t>MSF2261000002423</t>
  </si>
  <si>
    <t>MSF2261000002423_PE_GAYA_73PCS.pdf</t>
  </si>
  <si>
    <t>MSF2261000002423_PE_GAYA_73PCS.xlsx</t>
  </si>
  <si>
    <t>MSF2261000002425</t>
  </si>
  <si>
    <t>MSF2261000002425_PE_GAYA_19PCS.pdf</t>
  </si>
  <si>
    <t>MSF2261000002425_PE_GAYA_19PCS.xlsx</t>
  </si>
  <si>
    <t>MSF2261000002418</t>
  </si>
  <si>
    <t>MSF2261000002418_PE_GAYA_20PCS.pdf</t>
  </si>
  <si>
    <t>MSF2261000002418_PE_GAYA_20PCS.xlsx</t>
  </si>
  <si>
    <t>MSF2262000001274</t>
  </si>
  <si>
    <t>MSF2262000001274_LP_VAS-DEO_15PCS.pdf</t>
  </si>
  <si>
    <t>MSF2262000001274_LP_VAS-DEO_15PCS.xlsx</t>
  </si>
  <si>
    <t>MSF2261000002419</t>
  </si>
  <si>
    <t>MSF2261000002419_PE_GAYA_3PCS.pdf</t>
  </si>
  <si>
    <t>MSF2261000002419_PE_GAYA_3PCS.xlsx</t>
  </si>
  <si>
    <t>MSF2261000002420</t>
  </si>
  <si>
    <t>MSF2261000002420_PE_GAYA_17PCS.pdf</t>
  </si>
  <si>
    <t>MSF2261000002420_PE_GAYA_17PCS.xlsx</t>
  </si>
  <si>
    <t>D APPAREL - 0119.pdf</t>
  </si>
  <si>
    <t>D APPAREL - 0119.xlsx</t>
  </si>
  <si>
    <t>Abhivadan Fashion - 1536.pdf</t>
  </si>
  <si>
    <t>Abhivadan Fashion - 1536.xlsx</t>
  </si>
  <si>
    <t>Abhivadan Fashion - 1537.pdf</t>
  </si>
  <si>
    <t>Abhivadan Fashion - 1537.xlsx</t>
  </si>
  <si>
    <t>MSF2261000001631</t>
  </si>
  <si>
    <t>MSF2261000001631_AS_GAYA_9PCS.pdf</t>
  </si>
  <si>
    <t>MSF2261000001631_AS_GAYA_9PCS.xlsx</t>
  </si>
  <si>
    <t>MSF2262900051513</t>
  </si>
  <si>
    <t>MSF2262900051513_AS_GAYA_8PCS.pdf</t>
  </si>
  <si>
    <t>MSF2262900051513_AS_GAYA_8PCS.xlsx</t>
  </si>
  <si>
    <t>TAYAL GARMENTS(JOCKEY)_INV77_WH_25PCS.pdf</t>
  </si>
  <si>
    <t>TAYAL GARMENTS(JOCKEY)_INV77_WH_25PCS.xlsx</t>
  </si>
  <si>
    <t>TAYAL GARMENTS(JOCKEY)_INV79_WH_10PCS.pdf</t>
  </si>
  <si>
    <t>TAYAL GARMENTS(JOCKEY)_INV79_WH_10PCS.xlsx</t>
  </si>
  <si>
    <t>MSF2262000001701</t>
  </si>
  <si>
    <t>MSF2262000001701_PE_JSL_20PCS.pdf</t>
  </si>
  <si>
    <t>MSF2262000001701_PE_JSL_20PCS.xlsx</t>
  </si>
  <si>
    <t>MSF2262000001702</t>
  </si>
  <si>
    <t>MSF2262000001702_PE_JSL_72PCS.pdf</t>
  </si>
  <si>
    <t>MSF2262000001702_PE_JSL_72PCS.xlsx</t>
  </si>
  <si>
    <t>MSF2262000001192</t>
  </si>
  <si>
    <t>MSF2262000001192_VH_JSL_5PCS.pdf</t>
  </si>
  <si>
    <t>MSF2262000001192_VH_JSL_5PCS.xlsx</t>
  </si>
  <si>
    <t>MSF2262000001190</t>
  </si>
  <si>
    <t>MSF2262000001190_LP_JSL_16PCS.pdf</t>
  </si>
  <si>
    <t>MSF2262000001190_LP_JSL_16PCS.xlsx</t>
  </si>
  <si>
    <t>MSF2262000001277</t>
  </si>
  <si>
    <t>MSF2262000001277_VH_JSL_32PCS.pdf</t>
  </si>
  <si>
    <t>MSF2262000001277_VH_JSL_32PCS.xlsx</t>
  </si>
  <si>
    <t>MSF2261000002202</t>
  </si>
  <si>
    <t>MSF2261000002202_PE_PATNA_6PCS.pdf</t>
  </si>
  <si>
    <t>MSF2261000002202_PE_PATNA_6PCS.xlsx</t>
  </si>
  <si>
    <t>MSF2261000001796</t>
  </si>
  <si>
    <t>MSF2261000001796_PE_PATNA_42PCS.pdf</t>
  </si>
  <si>
    <t>MSF2261000001796_PE_PATNA_42PCS.xlsx</t>
  </si>
  <si>
    <t>MSF2261000002092</t>
  </si>
  <si>
    <t>MSF2261000002092_PE_PATNA_132.pdf</t>
  </si>
  <si>
    <t>MSF2261000002092_PE_PATNA_132.xlsx</t>
  </si>
  <si>
    <t>MSF2261000002089</t>
  </si>
  <si>
    <t>MSF2261000002089_PE_PATNA_5PCS.pdf</t>
  </si>
  <si>
    <t>MSF2261000002089_PE_PATNA_5PCS.xlsx</t>
  </si>
  <si>
    <t>MSF2261000002090</t>
  </si>
  <si>
    <t>MSF2261000002090_PE_PATNA_16PCS.pdf</t>
  </si>
  <si>
    <t>MSF2261000002090_PE_PATNA_16PCS.xlsx</t>
  </si>
  <si>
    <t>MSF2262000000639</t>
  </si>
  <si>
    <t>MSF2262000000639_AS_SBJ_16PCS.pdf</t>
  </si>
  <si>
    <t>MSF2262000000639_AS_SBJ_16PCS.xlsx</t>
  </si>
  <si>
    <t>MSF2252000016262</t>
  </si>
  <si>
    <t>MSF2252000016262_LP_DUMKA_5PCS.pdf</t>
  </si>
  <si>
    <t>MSF2252000016262_LP_DUMKA_5PCS.xlsx</t>
  </si>
  <si>
    <t>MSF2252000015599</t>
  </si>
  <si>
    <t>MSF2252000015599_LP_DUMKA_4PCS.pdf</t>
  </si>
  <si>
    <t>MSF2252000015599_LP_DUMKA_4PCS.xlsx</t>
  </si>
  <si>
    <t>A &amp; T ENGROS - 43.pdf</t>
  </si>
  <si>
    <t>A &amp; T ENGROS - 43.xlsx</t>
  </si>
  <si>
    <t>B K SILK MILLS NX LLP - 2096.pdf</t>
  </si>
  <si>
    <t>B K SILK MILLS NX LLP - 2096.xlsx</t>
  </si>
  <si>
    <t>Shirithik Designer LLP - 152.pdf</t>
  </si>
  <si>
    <t>Shirithik Designer LLP - 152.xlsx</t>
  </si>
  <si>
    <t>Shirithik Designer LLP - 153.pdf</t>
  </si>
  <si>
    <t>Shirithik Designer LLP - 153.xlsx</t>
  </si>
  <si>
    <t>Kashni - 165.pdf</t>
  </si>
  <si>
    <t>Kashni - 165.xlsx</t>
  </si>
  <si>
    <t>B K SILK MILLS NX LLP - 2065.pdf</t>
  </si>
  <si>
    <t>B K SILK MILLS NX LLP - 2065.xlsx</t>
  </si>
  <si>
    <t>B K SILK MILLS NX LLP - 2068.pdf</t>
  </si>
  <si>
    <t>B K SILK MILLS NX LLP - 2068.xlsx</t>
  </si>
  <si>
    <t>B K SILK MILLS NX LLP - 2069.pdf</t>
  </si>
  <si>
    <t>B K SILK MILLS NX LLP - 2069.xlsx</t>
  </si>
  <si>
    <t>Karni Textiles - 174.pdf</t>
  </si>
  <si>
    <t>Karni Textiles - 174.xlsx</t>
  </si>
  <si>
    <t>JOMAA SAREES - 305.pdf</t>
  </si>
  <si>
    <t>JOMAA SAREES - 305.xlsx</t>
  </si>
  <si>
    <t>RTC GARMENTEX - 63.pdf</t>
  </si>
  <si>
    <t>RTC GARMENTEX - 63.xlsx</t>
  </si>
  <si>
    <t>CHOKRI CREATION - 26.pdf</t>
  </si>
  <si>
    <t>CHOKRI CREATION - 26.xlsx</t>
  </si>
  <si>
    <t>JANANI DESIGNER - 347.pdf</t>
  </si>
  <si>
    <t>JANANI DESIGNER - 347.xlsx</t>
  </si>
  <si>
    <t>ZOE - 226.pdf</t>
  </si>
  <si>
    <t>ZOE - 226.xlsx</t>
  </si>
  <si>
    <t>SHREE EMPORIUM - 599.pdf</t>
  </si>
  <si>
    <t>SHREE EMPORIUM - 599.xlsx</t>
  </si>
  <si>
    <t>WILSON PRINTS - 264.pdf</t>
  </si>
  <si>
    <t>WILSON PRINTS - 264.xlsx</t>
  </si>
  <si>
    <t>MSF2261000002385</t>
  </si>
  <si>
    <t>MSF2261000002385_PE_PATNA_6PCS.pdf</t>
  </si>
  <si>
    <t>MSF2261000002385_PE_PATNA_6PCS.xlsx</t>
  </si>
  <si>
    <t>MSF2261000002386</t>
  </si>
  <si>
    <t>MSF2261000002386_PE_PATNA_1PC.pdf</t>
  </si>
  <si>
    <t>MSF2261000002386_PE_PATNA_1PC.xlsx</t>
  </si>
  <si>
    <t>CHANCELLOR INDUSTRIES - 88.pdf</t>
  </si>
  <si>
    <t>CHANCELLOR INDUSTRIES - 88.xlsx</t>
  </si>
  <si>
    <t>SHREE EMPORIUM - 568.pdf</t>
  </si>
  <si>
    <t>SHREE EMPORIUM - 568.xlsx</t>
  </si>
  <si>
    <t>MSF2260600032804</t>
  </si>
  <si>
    <t>MSF2260600032804_ AS_SBJ_6PCS.pdf</t>
  </si>
  <si>
    <t>MSF2260600032804_ AS_SBJ_6PCS.xlsx</t>
  </si>
  <si>
    <t>P R MODI &amp; SON'S - 2785.pdf</t>
  </si>
  <si>
    <t>P R MODI &amp; SON'S - 2785.xlsx</t>
  </si>
  <si>
    <t>SHREE EMPORIUM - 552.pdf</t>
  </si>
  <si>
    <t>SHREE EMPORIUM - 552.xlsx</t>
  </si>
  <si>
    <t>SAMYAK CREATION - 63.pdf</t>
  </si>
  <si>
    <t>SAMYAK CREATION - 63.xlsx</t>
  </si>
  <si>
    <t>KRIPA TRADERS - 241.pdf</t>
  </si>
  <si>
    <t>KRIPA TRADERS - 241.xlsx</t>
  </si>
  <si>
    <t>SHREE NARAYANI ENTERPRISES (P2CRS26-238).pdf</t>
  </si>
  <si>
    <t>SHREE NARAYANI ENTERPRISES (P2CRS26-238).xlsx</t>
  </si>
  <si>
    <t>DD SALES (GSTN - 86).pdf</t>
  </si>
  <si>
    <t>DD SALES (GSTN - 86).xlsx</t>
  </si>
  <si>
    <t>ZOE - 229.pdf</t>
  </si>
  <si>
    <t>ZOE - 229.xlsx</t>
  </si>
  <si>
    <t>ZOE - 227.pdf</t>
  </si>
  <si>
    <t>ZOE - 227.xlsx</t>
  </si>
  <si>
    <t>ZOE - 228.pdf</t>
  </si>
  <si>
    <t>ZOE - 228.xlsx</t>
  </si>
  <si>
    <t>JOCKEY (WS268).pdf</t>
  </si>
  <si>
    <t>JOCKEY (WS268).xlsx</t>
  </si>
  <si>
    <t>SARAOGI SUPER SALES - 739.pdf</t>
  </si>
  <si>
    <t>SARAOGI SUPER SALES - 739.xlsx</t>
  </si>
  <si>
    <t>SARAOGI SUPER SALES - 741.pdf</t>
  </si>
  <si>
    <t>SARAOGI SUPER SALES - 741.xlsx</t>
  </si>
  <si>
    <t>SARAOGI SUPER SALES - 785.pdf</t>
  </si>
  <si>
    <t>SARAOGI SUPER SALES - 785.xlsx</t>
  </si>
  <si>
    <t>SARAOGI SUPER SALES - 786.pdf</t>
  </si>
  <si>
    <t>SARAOGI SUPER SALES - 786.xlsx</t>
  </si>
  <si>
    <t>SARAOGI SUPER SALES - 787.pdf</t>
  </si>
  <si>
    <t>SARAOGI SUPER SALES - 787.xlsx</t>
  </si>
  <si>
    <t>SARAOGI SUPER SALES - 788.pdf</t>
  </si>
  <si>
    <t>SARAOGI SUPER SALES - 788.xlsx</t>
  </si>
  <si>
    <t>AAROHI FASHION - 230.pdf</t>
  </si>
  <si>
    <t>AAROHI FASHION - 230.xlsx</t>
  </si>
  <si>
    <t>NARVADA TEXTILES (EDCRS26-65).pdf</t>
  </si>
  <si>
    <t>NARVADA TEXTILES (EDCRS26-65).xlsx</t>
  </si>
  <si>
    <t>TARUN APPARELS (MDCRS26-337).pdf</t>
  </si>
  <si>
    <t>TARUN APPARELS (MDCRS26-337).xlsx</t>
  </si>
  <si>
    <t>NARVADA TEXTILES (SCRS26-187).pdf</t>
  </si>
  <si>
    <t>NARVADA TEXTILES (SCRS26-187).xlsx</t>
  </si>
  <si>
    <t>DD SALES (GSTN - 85).pdf</t>
  </si>
  <si>
    <t>DD SALES (GSTN - 85).xlsx</t>
  </si>
  <si>
    <t>MSF2262900061136</t>
  </si>
  <si>
    <t>MSF2262900061136_AS_SBJ_3PCS.pdf</t>
  </si>
  <si>
    <t>MSF2262900061136_AS_SBJ_3PCS.xlsx</t>
  </si>
  <si>
    <t>MSF2262900051518</t>
  </si>
  <si>
    <t>MSF2262900051518_AS_SAN_3PCS.pdf</t>
  </si>
  <si>
    <t>MSF2262900051518_AS_SAN_3PCS.xlsx</t>
  </si>
  <si>
    <t>A S TEXTILE - 52.pdf</t>
  </si>
  <si>
    <t>A S TEXTILE - 52.xlsx</t>
  </si>
  <si>
    <t>A S TEXTILE - 53.pdf</t>
  </si>
  <si>
    <t>A S TEXTILE - 53.xlsx</t>
  </si>
  <si>
    <t>A S TEXTILE - 54.pdf</t>
  </si>
  <si>
    <t>A S TEXTILE - 54.xlsx</t>
  </si>
  <si>
    <t>A S TEXTILE - 55.pdf</t>
  </si>
  <si>
    <t>A S TEXTILE - 55.xlsx</t>
  </si>
  <si>
    <t>A S TEXTILE - 56.pdf</t>
  </si>
  <si>
    <t>A S TEXTILE - 56.xlsx</t>
  </si>
  <si>
    <t>A S TEXTILE - 58.pdf</t>
  </si>
  <si>
    <t>A S TEXTILE - 58.xlsx</t>
  </si>
  <si>
    <t>ABHIVADAN DESIGNER - 977.pdf</t>
  </si>
  <si>
    <t>ABHIVADAN DESIGNER - 977.xlsx</t>
  </si>
  <si>
    <t>ABHIVADAN DESIGNER - 978.pdf</t>
  </si>
  <si>
    <t>ABHIVADAN DESIGNER - 978.xlsx</t>
  </si>
  <si>
    <t>MSF2262000000534</t>
  </si>
  <si>
    <t>MSF2262000000534_AS_SAN_22PCS.pdf</t>
  </si>
  <si>
    <t>MSF2262000000534_AS_SAN_22PCS.xlsx</t>
  </si>
  <si>
    <t>MSF2260600032812</t>
  </si>
  <si>
    <t>MSF2260600032812_AS_SAN_6PCS.pdf</t>
  </si>
  <si>
    <t>MSF2260600032812_AS_SAN_6PCS.xlsx</t>
  </si>
  <si>
    <t>MSF2262000001120</t>
  </si>
  <si>
    <t>MSF2262000001120_AS_SAN_8 PCS.pdf</t>
  </si>
  <si>
    <t>MSF2262000001120_AS_SAN_8 PCS.xlsx</t>
  </si>
  <si>
    <t>VISHAL MARKETING &amp; CO(SMAG)-0295.pdf</t>
  </si>
  <si>
    <t>VISHAL MARKETING &amp; CO(SMAG)-0295.xlsx</t>
  </si>
  <si>
    <t>A S TEXTILE - 61.pdf</t>
  </si>
  <si>
    <t>A S TEXTILE - 61.xlsx</t>
  </si>
  <si>
    <t>A S TEXTILE - 62.pdf</t>
  </si>
  <si>
    <t>A S TEXTILE - 62.xlsx</t>
  </si>
  <si>
    <t>A S TEXTILE - 65.pdf</t>
  </si>
  <si>
    <t>A S TEXTILE - 65.xlsx</t>
  </si>
  <si>
    <t>A S TEXTILE - 68.pdf</t>
  </si>
  <si>
    <t>A S TEXTILE - 68.xlsx</t>
  </si>
  <si>
    <t>A S TEXTILE - 74.pdf</t>
  </si>
  <si>
    <t>A S TEXTILE - 74.xlsx</t>
  </si>
  <si>
    <t>A S TEXTILE - 75.pdf</t>
  </si>
  <si>
    <t>A S TEXTILE - 75.xlsx</t>
  </si>
  <si>
    <t>A S TEXTILE - 80.pdf</t>
  </si>
  <si>
    <t>A S TEXTILE - 80.xlsx</t>
  </si>
  <si>
    <t>ADITYA PRINTS - 456.pdf</t>
  </si>
  <si>
    <t>ADITYA PRINTS - 456.xlsx</t>
  </si>
  <si>
    <t>AGAM CREATION - 517.pdf</t>
  </si>
  <si>
    <t>AGAM CREATION - 517.xlsx</t>
  </si>
  <si>
    <t>AJJAWAM DESIGNER - 75.pdf</t>
  </si>
  <si>
    <t>AJJAWAM DESIGNER - 75.xlsx</t>
  </si>
  <si>
    <t>AJJAWAM DESIGNER - 76.pdf</t>
  </si>
  <si>
    <t>AJJAWAM DESIGNER - 76.xlsx</t>
  </si>
  <si>
    <t>BLAZO CLOTHING - 1337.pdf</t>
  </si>
  <si>
    <t>BLAZO CLOTHING - 1337.xlsx</t>
  </si>
  <si>
    <t>D APPAREL - 0149.pdf</t>
  </si>
  <si>
    <t>D APPAREL - 0149.xlsx</t>
  </si>
  <si>
    <t>D APPAREL - 0179.pdf</t>
  </si>
  <si>
    <t>D APPAREL - 0179.xlsx</t>
  </si>
  <si>
    <t>D APPAREL(STATUS QUO)_INV160_HZB_43PCS.pdf</t>
  </si>
  <si>
    <t>D APPAREL(STATUS QUO)_INV160_HZB_43PCS.xlsx</t>
  </si>
  <si>
    <t>D D DEVELOPERS-43.pdf</t>
  </si>
  <si>
    <t>D D DEVELOPERS-43.xlsx</t>
  </si>
  <si>
    <t>D D DEVELOPERS-50.pdf</t>
  </si>
  <si>
    <t>D D DEVELOPERS-50.xlsx</t>
  </si>
  <si>
    <t>DD SALES - 135.pdf</t>
  </si>
  <si>
    <t>DD SALES - 135.xlsx</t>
  </si>
  <si>
    <t>DD SALES - 136.pdf</t>
  </si>
  <si>
    <t>DD SALES - 136.xlsx</t>
  </si>
  <si>
    <t>DD SALES (GSTN - 87).pdf</t>
  </si>
  <si>
    <t>DD SALES (GSTN - 87).xlsx</t>
  </si>
  <si>
    <t>DD SALES (GSTN - 140).pdf</t>
  </si>
  <si>
    <t>DD SALES (GSTN - 140).xlsx</t>
  </si>
  <si>
    <t>DD SALES (GSTN - 142).pdf</t>
  </si>
  <si>
    <t>DD SALES (GSTN - 142).xlsx</t>
  </si>
  <si>
    <t>DS  YUVRAAJ - 121.pdf</t>
  </si>
  <si>
    <t>DS  YUVRAAJ - 121.xlsx</t>
  </si>
  <si>
    <t>DS YUVRAAJ - 82.pdf</t>
  </si>
  <si>
    <t>DS YUVRAAJ - 82.xlsx</t>
  </si>
  <si>
    <t>GURULAXMI CREATION - 30.pdf</t>
  </si>
  <si>
    <t>GURULAXMI CREATION - 30.xlsx</t>
  </si>
  <si>
    <t>INDTECH APPARELS(FAHRENHEIT )_INV45_JSL_31PCS.pdf</t>
  </si>
  <si>
    <t>INDTECH APPARELS(FAHRENHEIT )_INV45_JSL_31PCS.xlsx</t>
  </si>
  <si>
    <t>Jain Adishwar - 1002.pdf</t>
  </si>
  <si>
    <t>Jain Adishwar - 1002.xlsx</t>
  </si>
  <si>
    <t>Jay Ambey Designer - 236.pdf</t>
  </si>
  <si>
    <t>Jay Ambey Designer - 236.xlsx</t>
  </si>
  <si>
    <t>Jay Ambey Designer - 237.pdf</t>
  </si>
  <si>
    <t>Jay Ambey Designer - 237.xlsx</t>
  </si>
  <si>
    <t>Jay Ambey Designer - 238.pdf</t>
  </si>
  <si>
    <t>Jay Ambey Designer - 238.xlsx</t>
  </si>
  <si>
    <t>Jay Ambey Designer - 239.pdf</t>
  </si>
  <si>
    <t>Jay Ambey Designer - 239.xlsx</t>
  </si>
  <si>
    <t>KISHORE TEXTILE - 1180.pdf</t>
  </si>
  <si>
    <t>KISHORE TEXTILE - 1180.xlsx</t>
  </si>
  <si>
    <t>KISHORE TEXTILES - 1160.pdf</t>
  </si>
  <si>
    <t>KISHORE TEXTILES - 1160.xlsx</t>
  </si>
  <si>
    <t>KODAK SAREE AND DUPATTA - 188.pdf</t>
  </si>
  <si>
    <t>KODAK SAREE AND DUPATTA - 188.xlsx</t>
  </si>
  <si>
    <t>KRIPA TRADERS - 278.pdf</t>
  </si>
  <si>
    <t>KRIPA TRADERS - 278.xlsx</t>
  </si>
  <si>
    <t>KRIPA TRADERS - 307.pdf</t>
  </si>
  <si>
    <t>KRIPA TRADERS - 307.xlsx</t>
  </si>
  <si>
    <t>KRIPA TRADERS - 308.pdf</t>
  </si>
  <si>
    <t>KRIPA TRADERS - 308.xlsx</t>
  </si>
  <si>
    <t>LADDU PRINTS - 421.pdf</t>
  </si>
  <si>
    <t>LADDU PRINTS - 421.xlsx</t>
  </si>
  <si>
    <t>MANISH HANDLOOM - 163.pdf</t>
  </si>
  <si>
    <t>MANISH HANDLOOM - 163.xlsx</t>
  </si>
  <si>
    <t>MANIYAR SYNTHETICS - 389.pdf</t>
  </si>
  <si>
    <t>MANIYAR SYNTHETICS - 389.xlsx</t>
  </si>
  <si>
    <t>MANIYAR SYNTHETICS - 390.pdf</t>
  </si>
  <si>
    <t>MANIYAR SYNTHETICS - 390.xlsx</t>
  </si>
  <si>
    <t>MANIYAR SYNTHETICS - 391.pdf</t>
  </si>
  <si>
    <t>MANIYAR SYNTHETICS - 391.xlsx</t>
  </si>
  <si>
    <t>MANIYAR SYNTHETICS - 410.pdf</t>
  </si>
  <si>
    <t>MANIYAR SYNTHETICS - 410.xlsx</t>
  </si>
  <si>
    <t>MOHAN CLOTHING(BB)_INV8500292471_GAYA_7PCS.pdf</t>
  </si>
  <si>
    <t>MOHAN CLOTHING(BB)_INV8500292471_GAYA_7PCS.xlsx</t>
  </si>
  <si>
    <t>MOHAN CLOTHING(BB)_INV8500295196_GAYA_38PCS.pdf</t>
  </si>
  <si>
    <t>MOHAN CLOTHING(BB)_INV8500295196_GAYA_38PCS.xlsx</t>
  </si>
  <si>
    <t>MOHAN CLOTHING(BB)_INV8500295631_GAYA_11PCS.pdf</t>
  </si>
  <si>
    <t>MOHAN CLOTHING(BB)_INV8500295631_GAYA_11PCS.xlsx</t>
  </si>
  <si>
    <t>MSD2261000003105</t>
  </si>
  <si>
    <t>MSD2261000003105_PE_GAYA_7PCS.pdf</t>
  </si>
  <si>
    <t>MSD2261000003105_PE_GAYA_7PCS.xlsx</t>
  </si>
  <si>
    <t>MSF2262000001860</t>
  </si>
  <si>
    <t>MSF2262000001860_LP_BOKARO_3PCS.pdf</t>
  </si>
  <si>
    <t>MSF2262000001860_LP_BOKARO_3PCS.xlsx</t>
  </si>
  <si>
    <t>MSF2251000033081</t>
  </si>
  <si>
    <t>MSF2251000033081_PE_KLG2_1PC.pdf</t>
  </si>
  <si>
    <t>MSF2251000033081_PE_KLG2_1PC.xlsx</t>
  </si>
  <si>
    <t>MSF2251000035951</t>
  </si>
  <si>
    <t>MSF2251000035951_PE_KLG2_2PCS.pdf</t>
  </si>
  <si>
    <t>MSF2251000035951_PE_KLG2_2PCS.xlsx</t>
  </si>
  <si>
    <t>MSF2251000036389</t>
  </si>
  <si>
    <t>MSF2251000036389_PE_KLG2_1PC.pdf</t>
  </si>
  <si>
    <t>MSF2251000036389_PE_KLG2_1PC.xlsx</t>
  </si>
  <si>
    <t>MSF2251000036606</t>
  </si>
  <si>
    <t>MSF2251000036606_PE_KLG2_2PCS.pdf</t>
  </si>
  <si>
    <t>MSF2251000036606_PE_KLG2_2PCS.xlsx</t>
  </si>
  <si>
    <t>MSF2260600018926_LP_SAN_5PCS.pdf</t>
  </si>
  <si>
    <t>MSF2260600018926_LP_SAN_5PCS.xlsx</t>
  </si>
  <si>
    <t>MSF2260600024118_LP_SAN_10 PCS.pdf</t>
  </si>
  <si>
    <t>MSF2260600024118_LP_SAN_10 PCS.xlsx</t>
  </si>
  <si>
    <t>MSF2261000002409</t>
  </si>
  <si>
    <t>MSF2261000002409_PE_GAYA_7PCS.pdf</t>
  </si>
  <si>
    <t>MSF2261000002409_PE_GAYA_7PCS.xlsx</t>
  </si>
  <si>
    <t>MSF2261000002410</t>
  </si>
  <si>
    <t>MSF2261000002410_PE_GAYA_7PCS.pdf</t>
  </si>
  <si>
    <t>MSF2261000002410_PE_GAYA_7PCS.xlsx</t>
  </si>
  <si>
    <t>MSF2261000002411</t>
  </si>
  <si>
    <t>MSF2261000002411_PE_KLG2_29PCS.PDF</t>
  </si>
  <si>
    <t>MSF2261000002411_PE_KLG2_29PCS.xlsx</t>
  </si>
  <si>
    <t>MSF2261000002412</t>
  </si>
  <si>
    <t>MSF2261000002412_PE_MAHAGAMA_1PC.pdf</t>
  </si>
  <si>
    <t>MSF2261000002412_PE_MAHAGAMA_1PC.xlsx</t>
  </si>
  <si>
    <t>MSF2261000002413</t>
  </si>
  <si>
    <t>MSF2261000002413_PE_KLG2_19PCS.PDF</t>
  </si>
  <si>
    <t>MSF2261000002413_PE_KLG2_19PCS.xlsx</t>
  </si>
  <si>
    <t>MSF2261000002414</t>
  </si>
  <si>
    <t>MSF2261000002414_PE_MAHAGAMA_7PCS.pdf</t>
  </si>
  <si>
    <t>MSF2261000002414_PE_MAHAGAMA_7PCS.xlsx</t>
  </si>
  <si>
    <t>MSF2261000002417</t>
  </si>
  <si>
    <t>MSF2261000002417_PE_GAYA_1PC.pdf</t>
  </si>
  <si>
    <t>MSF2261000002417_PE_GAYA_1PC.xlsx</t>
  </si>
  <si>
    <t>MSF2261000002421</t>
  </si>
  <si>
    <t>MSF2261000002421_PE_MAHAGAMA_2PCS.pdf</t>
  </si>
  <si>
    <t>MSF2261000002421_PE_MAHAGAMA_2PCS.xlsx</t>
  </si>
  <si>
    <t>MSF2261000002422</t>
  </si>
  <si>
    <t>MSF2261000002422_PE_KLG2_69PCS.PDF</t>
  </si>
  <si>
    <t>MSF2261000002422_PE_KLG2_69PCS.xlsx</t>
  </si>
  <si>
    <t>MSF2261000002426</t>
  </si>
  <si>
    <t>MSF2261000002426_PE_KLG2_3PCS.PDF</t>
  </si>
  <si>
    <t>MSF2261000002426_PE_KLG2_3PCS.xlsx</t>
  </si>
  <si>
    <t>MSF2261000002525</t>
  </si>
  <si>
    <t>MSF2261000002525_PE_KLG2_3PCS.pdf</t>
  </si>
  <si>
    <t>MSF2261000002525_PE_KLG2_3PCS.xlsx</t>
  </si>
  <si>
    <t>MSF2261000002526</t>
  </si>
  <si>
    <t>MSF2261000002526_PE_GAYA_2PCS.pdf</t>
  </si>
  <si>
    <t>MSF2261000002526_PE_GAYA_2PCS.xlsx</t>
  </si>
  <si>
    <t>MSF2261000002527</t>
  </si>
  <si>
    <t>MSF2261000002527_PE_GAYA_2PCS.pdf</t>
  </si>
  <si>
    <t>MSF2261000002527_PE_GAYA_2PCS.xlsx</t>
  </si>
  <si>
    <t>MSF2261000002528</t>
  </si>
  <si>
    <t>MSF2261000002528_PE_GAYA_6PCS.pdf</t>
  </si>
  <si>
    <t>MSF2261000002528_PE_GAYA_6PCS.xlsx</t>
  </si>
  <si>
    <t>MSF2261000002678</t>
  </si>
  <si>
    <t>MSF2261000002678_VH_BANKA_31PCS.pdf</t>
  </si>
  <si>
    <t>MSF2261000002678_VH_BANKA_31PCS.xlsx</t>
  </si>
  <si>
    <t>MSF2261000002683</t>
  </si>
  <si>
    <t>MSF2261000002683_VH_BANKA_227PCS.pdf</t>
  </si>
  <si>
    <t>MSF2261000002683_VH_BANKA_227PCS.xlsx</t>
  </si>
  <si>
    <t>MSF2261000002693</t>
  </si>
  <si>
    <t>MSF2261000002693_VH_BANKA_707PCS.pdf</t>
  </si>
  <si>
    <t>MSF2261000002693_VH_BANKA_707PCS.xlsx</t>
  </si>
  <si>
    <t>MSF2261000002763</t>
  </si>
  <si>
    <t>MSF2261000002763_PE_PATNA_10PCS.pdf</t>
  </si>
  <si>
    <t>MSF2261000002763_PE_PATNA_10PCS.xlsx</t>
  </si>
  <si>
    <t>MSF2261000002764</t>
  </si>
  <si>
    <t>MSF2261000002764_PE_GAYA_5PCS.pdf</t>
  </si>
  <si>
    <t>MSF2261000002764_PE_GAYA_5PCS.xlsx</t>
  </si>
  <si>
    <t>MSF2261000002765</t>
  </si>
  <si>
    <t>MSF2261000002765_PE_KLG2_2PCS.pdf</t>
  </si>
  <si>
    <t>MSF2261000002765_PE_KLG2_2PCS.xlsx</t>
  </si>
  <si>
    <t>MSF2261000002766</t>
  </si>
  <si>
    <t>MSF2261000002766_PE_PATNA_5PCS.pdf</t>
  </si>
  <si>
    <t>MSF2261000002766_PE_PATNA_5PCS.xlsx</t>
  </si>
  <si>
    <t>MSF2261000002767</t>
  </si>
  <si>
    <t>MSF2261000002767_PE_KLG2_1PC.pdf</t>
  </si>
  <si>
    <t>MSF2261000002767_PE_KLG2_1PC.xlsx</t>
  </si>
  <si>
    <t>MSF2261000002768</t>
  </si>
  <si>
    <t>MSF2261000002768_PE_GAYA_14PCS.pdf</t>
  </si>
  <si>
    <t>MSF2261000002768_PE_GAYA_14PCS.xlsx</t>
  </si>
  <si>
    <t>MSF2261000002769</t>
  </si>
  <si>
    <t>MSF2261000002769_PE_GAYA_3PCS.pdf</t>
  </si>
  <si>
    <t>MSF2261000002769_PE_GAYA_3PCS.xlsx</t>
  </si>
  <si>
    <t>MSF2261000002770</t>
  </si>
  <si>
    <t>MSF2261000002770_PE_GAYA_1PC.pdf</t>
  </si>
  <si>
    <t>MSF2261000002770_PE_GAYA_1PC.xlsx</t>
  </si>
  <si>
    <t>MSF2261000002871</t>
  </si>
  <si>
    <t>MSF2261000002871_PE_PATNA_3PCS.pdf</t>
  </si>
  <si>
    <t>MSF2261000002871_PE_PATNA_3PCS.xlsx</t>
  </si>
  <si>
    <t>MSF2261000002893</t>
  </si>
  <si>
    <t>MSF2261000002893_AS_GAYA_9PCS.pdf</t>
  </si>
  <si>
    <t>MSF2261000002893_AS_GAYA_9PCS.xlsx</t>
  </si>
  <si>
    <t>MSF2261000002895</t>
  </si>
  <si>
    <t>MSF2261000002895_VH_BANKA_12PCS.pdf</t>
  </si>
  <si>
    <t>MSF2261000002895_VH_BANKA_12PCS.xlsx</t>
  </si>
  <si>
    <t>MSF2261000002896</t>
  </si>
  <si>
    <t>MSF2261000002896_VH_BANKA_13PCS.pdf</t>
  </si>
  <si>
    <t>MSF2261000002896_VH_BANKA_13PCS.xlsx</t>
  </si>
  <si>
    <t>MSF2261000002901</t>
  </si>
  <si>
    <t>MSF2261000002901_AS_GAYA_17PCS.pdf</t>
  </si>
  <si>
    <t>MSF2261000002901_AS_GAYA_17PCS.xlsx</t>
  </si>
  <si>
    <t>MSF2261000002902</t>
  </si>
  <si>
    <t>MSF2261000002902_AS_GAYA_8PCS.pdf</t>
  </si>
  <si>
    <t>MSF2261000002902_AS_GAYA_8PCS.xlsx</t>
  </si>
  <si>
    <t>MSF2261000003073</t>
  </si>
  <si>
    <t>MSF2261000003073_AS_GAYA_170PCS.pdf</t>
  </si>
  <si>
    <t>MSF2261000003073_AS_GAYA_170PCS.xlsx</t>
  </si>
  <si>
    <t>MSF2261000003085</t>
  </si>
  <si>
    <t>MSF2261000003085_AS_GAYA_8PCS.pdf</t>
  </si>
  <si>
    <t>MSF2261000003085_AS_GAYA_8PCS.xlsx</t>
  </si>
  <si>
    <t>MSF2261000003106</t>
  </si>
  <si>
    <t>MSF2261000003106_PE_PATNA_3PCS.pdf</t>
  </si>
  <si>
    <t>MSF2261000003106_PE_PATNA_3PCS.xlsx</t>
  </si>
  <si>
    <t>MSF2261000003107</t>
  </si>
  <si>
    <t>MSF2261000003107_PE_KLG2_71PCS.pdf</t>
  </si>
  <si>
    <t>MSF2261000003107_PE_KLG2_71PCS.xlsx</t>
  </si>
  <si>
    <t>MSF2261000003108</t>
  </si>
  <si>
    <t>MSF2261000003108_PE_GAYA_72PCS.pdf</t>
  </si>
  <si>
    <t>MSF2261000003108_PE_GAYA_72PCS.xlsx</t>
  </si>
  <si>
    <t>MSF2261000003164</t>
  </si>
  <si>
    <t>MSF2261000003164_PE_PATNA_2PCS.pdf</t>
  </si>
  <si>
    <t>MSF2261000003164_PE_PATNA_2PCS.xlsx</t>
  </si>
  <si>
    <t>MSF2261000003165</t>
  </si>
  <si>
    <t>MSF2261000003165_PE_GAYA_7PCS.pdf</t>
  </si>
  <si>
    <t>MSF2261000003165_PE_GAYA_7PCS.xlsx</t>
  </si>
  <si>
    <t>MSF2261000003166</t>
  </si>
  <si>
    <t>MSF2261000003166_PE_GAYA_2PCS.pdf</t>
  </si>
  <si>
    <t>MSF2261000003166_PE_GAYA_2PCS.xlsx</t>
  </si>
  <si>
    <t>MSF2261000003167</t>
  </si>
  <si>
    <t>MSF2261000003167_PE_PATNA_2PCS.pdf</t>
  </si>
  <si>
    <t>MSF2261000003167_PE_PATNA_2PCS.xlsx</t>
  </si>
  <si>
    <t>MSF2261000003212</t>
  </si>
  <si>
    <t>MSF2261000003212_AS_GAYA_40PCS.pdf</t>
  </si>
  <si>
    <t>MSF2261000003212_AS_GAYA_40PCS.xlsx</t>
  </si>
  <si>
    <t>MSF2261000003317</t>
  </si>
  <si>
    <t>MSF2261000003317_AS_GAYA_26PCS.pdf</t>
  </si>
  <si>
    <t>MSF2261000003317_AS_GAYA_26PCS.xlsx</t>
  </si>
  <si>
    <t>MSF2261000003387</t>
  </si>
  <si>
    <t>MSF2261000003387_AS_GAYA_17PCS.pdf</t>
  </si>
  <si>
    <t>MSF2261000003387_AS_GAYA_17PCS.xlsx</t>
  </si>
  <si>
    <t>MSF2261000003435</t>
  </si>
  <si>
    <t>MSF2261000003435_VH_BANKA_6PCS.pdf</t>
  </si>
  <si>
    <t>MSF2261000003435_VH_BANKA_6PCS.xlsx</t>
  </si>
  <si>
    <t>MSF2261000003483</t>
  </si>
  <si>
    <t>MSF2261000003483_AS_GAYA_16PCS.pdf</t>
  </si>
  <si>
    <t>MSF2261000003483_AS_GAYA_16PCS.xlsx</t>
  </si>
  <si>
    <t>MSF2261000003493</t>
  </si>
  <si>
    <t>MSF2261000003493_VH_BANKA_1PC.pdf</t>
  </si>
  <si>
    <t>MSF2261000003493_VH_BANKA_1PC.xlsx</t>
  </si>
  <si>
    <t>MSF2261000003920</t>
  </si>
  <si>
    <t>MSF2261000003920_PE_KGL2_6PCS.pdf</t>
  </si>
  <si>
    <t>MSF2261000003920_PE_KGL2_6PCS.xlsx</t>
  </si>
  <si>
    <t>MSF2261000004063</t>
  </si>
  <si>
    <t>MSF2261000004063_PE_GAYA_6PCS.pdf</t>
  </si>
  <si>
    <t>MSF2261000004063_PE_GAYA_6PCS.xlsx</t>
  </si>
  <si>
    <t>MSF2261000004068</t>
  </si>
  <si>
    <t>MSF2261000004068_PE_PATNA_6PCS.pdf</t>
  </si>
  <si>
    <t>MSF2261000004068_PE_PATNA_6PCS.xlsx</t>
  </si>
  <si>
    <t>MSF2261000004191</t>
  </si>
  <si>
    <t>MSF2261000004191_PE_GAYA_1PC.pdf</t>
  </si>
  <si>
    <t>MSF2261000004191_PE_GAYA_1PC.xlsx</t>
  </si>
  <si>
    <t>MSF2261000004192</t>
  </si>
  <si>
    <t>MSF2261000004192_PE_PATNA_6PCS.pdf</t>
  </si>
  <si>
    <t>MSF2261000004192_PE_PATNA_6PCS.xlsx</t>
  </si>
  <si>
    <t>MSF2261000004401</t>
  </si>
  <si>
    <t>MSF2261000004401_PE_PATNA_6PCS.pdf</t>
  </si>
  <si>
    <t>MSF2261000004401_PE_PATNA_6PCS.xlsx</t>
  </si>
  <si>
    <t>MSF2261000004402</t>
  </si>
  <si>
    <t>MSF2261000004402_PE_GAYA_4PCS.pdf</t>
  </si>
  <si>
    <t>MSF2261000004402_PE_GAYA_4PCS.xlsx</t>
  </si>
  <si>
    <t>MSF2261000004404</t>
  </si>
  <si>
    <t>MSF2261000004404_PE_PATNA_3PCS.pdf</t>
  </si>
  <si>
    <t>MSF2261000004404_PE_PATNA_3PCS.xlsx</t>
  </si>
  <si>
    <t>MSF2261000004648</t>
  </si>
  <si>
    <t>MSF2261000004648_AS_GAYA_4PCS.pdf</t>
  </si>
  <si>
    <t>MSF2261000004648_AS_GAYA_4PCS.xlsx</t>
  </si>
  <si>
    <t>MSF2262000000541_LP_SAN_18 PCS.pdf</t>
  </si>
  <si>
    <t>MSF2262000000541_LP_SAN_18 PCS.xlsx</t>
  </si>
  <si>
    <t>MSF2262000000628_LP_SAN_9PCS.pdf</t>
  </si>
  <si>
    <t>MSF2262000000628_LP_SAN_9PCS.xlsx</t>
  </si>
  <si>
    <t>MSF2262000001347</t>
  </si>
  <si>
    <t>MSF2262000001347_VH_JSL_26PCS.pdf</t>
  </si>
  <si>
    <t>MSF2262000001347_VH_JSL_26PCS.xlsx</t>
  </si>
  <si>
    <t>MSF2262000001692</t>
  </si>
  <si>
    <t>MSF2262000001692_PE_JSL_4PCS.pdf</t>
  </si>
  <si>
    <t>MSF2262000001692_PE_JSL_4PCS.xlsx</t>
  </si>
  <si>
    <t>MSF2262000001800</t>
  </si>
  <si>
    <t>MSF2262000001800_VH_JSL_91PCS.pdf</t>
  </si>
  <si>
    <t>MSF2262000001800_VH_JSL_91PCS.xlsx</t>
  </si>
  <si>
    <t>MSF2262000001801</t>
  </si>
  <si>
    <t>MSF2262000001801_AS_SBJ_6PCS.pdf</t>
  </si>
  <si>
    <t>MSF2262000001801_AS_SBJ_6PCS.xlsx</t>
  </si>
  <si>
    <t>MSF2262000001802</t>
  </si>
  <si>
    <t>MSF2262000001802_LP_SAN_31PCS.pdf</t>
  </si>
  <si>
    <t>MSF2262000001802_LP_SAN_31PCS.xlsx</t>
  </si>
  <si>
    <t>MSF2262000001803</t>
  </si>
  <si>
    <t>MSF2262000001803_LP_VAS-DEO_22PCS.pdf</t>
  </si>
  <si>
    <t>MSF2262000001803_LP_VAS-DEO_22PCS.xlsx</t>
  </si>
  <si>
    <t>MSF2262000001804</t>
  </si>
  <si>
    <t>MSF2262000001804_LP_BOKARO_19PCS.pdf</t>
  </si>
  <si>
    <t>MSF2262000001804_LP_BOKARO_19PCS.xlsx</t>
  </si>
  <si>
    <t>MSF2262000001809</t>
  </si>
  <si>
    <t>MSF2262000001809_LP_JSL_11PCS.pdf</t>
  </si>
  <si>
    <t>MSF2262000001809_LP_JSL_11PCS.xlsx</t>
  </si>
  <si>
    <t>MSF2262000001810</t>
  </si>
  <si>
    <t>MSF2262000001810_LP_JSL_7PCS.pdf</t>
  </si>
  <si>
    <t>MSF2262000001810_LP_JSL_7PCS.xlsx</t>
  </si>
  <si>
    <t>MSF2262000001811</t>
  </si>
  <si>
    <t>MSF2262000001811_VH_VAS-DEO_8PCS.pdf</t>
  </si>
  <si>
    <t>MSF2262000001811_VH_VAS-DEO_8PCS.xlsx</t>
  </si>
  <si>
    <t>MSF2262000001812</t>
  </si>
  <si>
    <t>MSF2262000001812_VH_JSL_2PCS.pdf</t>
  </si>
  <si>
    <t>MSF2262000001812_VH_JSL_2PCS.xlsx</t>
  </si>
  <si>
    <t>MSF2262000001813</t>
  </si>
  <si>
    <t>MSF2262000001813_VH_SBJ_19PCS.PDF</t>
  </si>
  <si>
    <t>MSF2262000001813_VH_SBJ_19PCS.xlsx</t>
  </si>
  <si>
    <t>MSF2262000001817</t>
  </si>
  <si>
    <t>MSF2262000001817_VH_JSL_1PC.pdf</t>
  </si>
  <si>
    <t>MSF2262000001817_VH_JSL_1PC.xlsx</t>
  </si>
  <si>
    <t>MSF2262000001861</t>
  </si>
  <si>
    <t>MSF2262000001861_LP_VAS-DEO_2PCS.pdf</t>
  </si>
  <si>
    <t>MSF2262000001861_LP_VAS-DEO_2PCS.xlsx</t>
  </si>
  <si>
    <t>MSF2262000001866</t>
  </si>
  <si>
    <t>MSF2262000001866_AS_FS-DEO_23PCS.pdf</t>
  </si>
  <si>
    <t>MSF2262000001866_AS_FS-DEO_23PCS.xlsx</t>
  </si>
  <si>
    <t>MSF2262000001868</t>
  </si>
  <si>
    <t>MSF2262000001868_VH_HZB_15PCS.pdf</t>
  </si>
  <si>
    <t>MSF2262000001868_VH_HZB_15PCS.xlsx</t>
  </si>
  <si>
    <t>MSF2262000001869</t>
  </si>
  <si>
    <t>MSF2262000001869_VH_HZB_13PCS.pdf</t>
  </si>
  <si>
    <t>MSF2262000001869_VH_HZB_13PCS.xlsx</t>
  </si>
  <si>
    <t>MSF2262000001871</t>
  </si>
  <si>
    <t>MSF2262000001871_AS_JSL_138PCS.pdf</t>
  </si>
  <si>
    <t>MSF2262000001871_AS_JSL_138PCS.xlsx</t>
  </si>
  <si>
    <t>MSF2262000001872</t>
  </si>
  <si>
    <t>MSF2262000001872_AS_FS-DEO_349PCS.pdf</t>
  </si>
  <si>
    <t>MSF2262000001872_AS_FS-DEO_349PCS.xlsx</t>
  </si>
  <si>
    <t>MSF2262000001874</t>
  </si>
  <si>
    <t>MSF2262000001874_AS_FS-DEO_4PCS.pdf</t>
  </si>
  <si>
    <t>MSF2262000001874_AS_FS-DEO_4PCS.xlsx</t>
  </si>
  <si>
    <t>MSF2262000001877</t>
  </si>
  <si>
    <t>MSF2262000001877_VH_JSL_5PCS.pdf</t>
  </si>
  <si>
    <t>MSF2262000001877_VH_JSL_5PCS.xlsx</t>
  </si>
  <si>
    <t>MSF2262000001878</t>
  </si>
  <si>
    <t>MSF2262000001878_VH_FS-DEO_203PCS.pdf</t>
  </si>
  <si>
    <t>MSF2262000001878_VH_FS-DEO_203PCS.xlsx</t>
  </si>
  <si>
    <t>MSF2262000001879</t>
  </si>
  <si>
    <t>MSF2262000001879_AS_FS-DEO_9PCS.pdf</t>
  </si>
  <si>
    <t>MSF2262000001879_AS_FS-DEO_9PCS.xlsx</t>
  </si>
  <si>
    <t>MSF2262000001885</t>
  </si>
  <si>
    <t>MSF2262000001885_LP_JSL_5PCS.pdf</t>
  </si>
  <si>
    <t>MSF2262000001885_LP_JSL_5PCS.xlsx</t>
  </si>
  <si>
    <t>MSF2262000001909</t>
  </si>
  <si>
    <t>MSF2262000001909_PE_JSL_6PCS.pdf</t>
  </si>
  <si>
    <t>MSF2262000001909_PE_JSL_6PCS.xlsx</t>
  </si>
  <si>
    <t>MSF2262000001910</t>
  </si>
  <si>
    <t>MSF2262000001910_PE_SGMR_5PCS.pdf</t>
  </si>
  <si>
    <t>MSF2262000001910_PE_SGMR_5PCS.xlsx</t>
  </si>
  <si>
    <t>MSF2262000001911</t>
  </si>
  <si>
    <t>MSF2262000001911_PE_JSL_6PCS.pdf</t>
  </si>
  <si>
    <t>MSF2262000001911_PE_JSL_6PCS.xlsx</t>
  </si>
  <si>
    <t>MSF2262000001912</t>
  </si>
  <si>
    <t>MSF2262000001912_PE_SAN_2PCS.pdf</t>
  </si>
  <si>
    <t>MSF2262000001912_PE_SAN_2PCS.xlsx</t>
  </si>
  <si>
    <t>MSF2262000001919</t>
  </si>
  <si>
    <t>MSF2262000001919_PE_JSL_28PCS.pdf</t>
  </si>
  <si>
    <t>MSF2262000001919_PE_JSL_28PCS.xlsx</t>
  </si>
  <si>
    <t>MSF2262000002023</t>
  </si>
  <si>
    <t>MSF2262000002023_AS_JSL_7PCS.PDF</t>
  </si>
  <si>
    <t>MSF2262000002023_AS_JSL_7PCS.xlsx</t>
  </si>
  <si>
    <t>MSF2262000002024</t>
  </si>
  <si>
    <t>MSF2262000002024_VH_FS-DEO_8PCS.pdf</t>
  </si>
  <si>
    <t>MSF2262000002024_VH_FS-DEO_8PCS.xlsx</t>
  </si>
  <si>
    <t>MSF2262000002025</t>
  </si>
  <si>
    <t>MSF2262000002025_VH_JSL_4PCS.pdf</t>
  </si>
  <si>
    <t>MSF2262000002025_VH_JSL_4PCS.xlsx</t>
  </si>
  <si>
    <t>MSF2262000002033</t>
  </si>
  <si>
    <t>MSF2262000002033_LP_DUMKA_5PCS.pdf</t>
  </si>
  <si>
    <t>MSF2262000002033_LP_DUMKA_5PCS.xlsx</t>
  </si>
  <si>
    <t>MSF2262000002036</t>
  </si>
  <si>
    <t>MSF2262000002036_LP_VAS-DEO_263PCS.pdf</t>
  </si>
  <si>
    <t>MSF2262000002036_LP_VAS-DEO_263PCS.xlsx</t>
  </si>
  <si>
    <t>MSF2262000002038</t>
  </si>
  <si>
    <t>MSF2262000002038_VH_FS-DEO_1PC.pdf</t>
  </si>
  <si>
    <t>MSF2262000002038_VH_FS-DEO_1PC.xlsx</t>
  </si>
  <si>
    <t>MSF2262000002040</t>
  </si>
  <si>
    <t>MSF2262000002040_AS_JSL_268PCS.pdf</t>
  </si>
  <si>
    <t>MSF2262000002040_AS_JSL_268PCS.xlsx</t>
  </si>
  <si>
    <t>MSF2262000002042</t>
  </si>
  <si>
    <t>MSF2262000002042_AS_SGMR_13PCS.pdf</t>
  </si>
  <si>
    <t>MSF2262000002042_AS_SGMR_13PCS.xlsx</t>
  </si>
  <si>
    <t>MSF2262000002046</t>
  </si>
  <si>
    <t>MSF2262000002046_AS_SBJ_26PCS.PDF</t>
  </si>
  <si>
    <t>MSF2262000002046_AS_SBJ_26PCS.xlsx</t>
  </si>
  <si>
    <t>MSF2262000002047</t>
  </si>
  <si>
    <t>MSF2262000002047_AS_GAYA_8PCS.pdf</t>
  </si>
  <si>
    <t>MSF2262000002047_AS_GAYA_8PCS.xlsx</t>
  </si>
  <si>
    <t>MSF2262000002122</t>
  </si>
  <si>
    <t>MSF2262000002122_AS_FS-DEO_7PCS.pdf</t>
  </si>
  <si>
    <t>MSF2262000002122_AS_FS-DEO_7PCS.xlsx</t>
  </si>
  <si>
    <t>MSF2262000002125</t>
  </si>
  <si>
    <t>MSF2262000002125_AS_FS-DEO_5PCS.pdf</t>
  </si>
  <si>
    <t>MSF2262000002125_AS_FS-DEO_5PCS.xlsx</t>
  </si>
  <si>
    <t>MSF2262000002130</t>
  </si>
  <si>
    <t>MSF2262000002130_AS_SBJ_130PCS.pdf</t>
  </si>
  <si>
    <t>MSF2262000002130_AS_SBJ_130PCS.xlsx</t>
  </si>
  <si>
    <t>MSF2262000002131</t>
  </si>
  <si>
    <t>MSF2262000002131_AS_SAN_83PCS.pdf</t>
  </si>
  <si>
    <t>MSF2262000002131_AS_SAN_83PCS.xlsx</t>
  </si>
  <si>
    <t>MSF2262000002133</t>
  </si>
  <si>
    <t>MSF2262000002133_AS_AS-DEO_191PCS.pdf</t>
  </si>
  <si>
    <t>MSF2262000002133_AS_AS-DEO_191PCS.xlsx</t>
  </si>
  <si>
    <t>MSF2262000002136</t>
  </si>
  <si>
    <t>MSF2262000002136_AS_DUMKA_18PCS.pdf</t>
  </si>
  <si>
    <t>MSF2262000002136_AS_DUMKA_18PCS.xlsx</t>
  </si>
  <si>
    <t>MSF2262000002145</t>
  </si>
  <si>
    <t>MSF2262000002145_AS_SGMR_10PCS.pdf</t>
  </si>
  <si>
    <t>MSF2262000002145_AS_SGMR_10PCS.xlsx</t>
  </si>
  <si>
    <t>MSF2262000002146</t>
  </si>
  <si>
    <t>MSF2262000002146_AS_JSL_7PCS.PDF</t>
  </si>
  <si>
    <t>MSF2262000002146_AS_JSL_7PCS.xlsx</t>
  </si>
  <si>
    <t>MSF2262000002147</t>
  </si>
  <si>
    <t>MSF2262000002147_AS_DUMKA_8PCS.pdf</t>
  </si>
  <si>
    <t>MSF2262000002147_AS_DUMKA_8PCS.xlsx</t>
  </si>
  <si>
    <t>MSF2262000002148</t>
  </si>
  <si>
    <t>MSF2262000002148_AS_FS_DEO_18PCS.PDF</t>
  </si>
  <si>
    <t>MSF2262000002148_AS_FS_DEO_18PCS.xlsx</t>
  </si>
  <si>
    <t>MSF2262000002150</t>
  </si>
  <si>
    <t>MSF2262000002150_AS_SAN_8PCS.pdf</t>
  </si>
  <si>
    <t>MSF2262000002150_AS_SAN_8PCS.xlsx</t>
  </si>
  <si>
    <t>MSF2262000002158</t>
  </si>
  <si>
    <t>MSF2262000002158_PE_JSL_4PCS.pdf</t>
  </si>
  <si>
    <t>MSF2262000002158_PE_JSL_4PCS.xlsx</t>
  </si>
  <si>
    <t>MSF2262000002159</t>
  </si>
  <si>
    <t>MSF2262000002159_PE_JSL_7PCS.pdf</t>
  </si>
  <si>
    <t>MSF2262000002159_PE_JSL_7PCS.xlsx</t>
  </si>
  <si>
    <t>MSF2262000002187</t>
  </si>
  <si>
    <t>MSF2262000002187_PE_JSL_5PCS.pdf</t>
  </si>
  <si>
    <t>MSF2262000002187_PE_JSL_5PCS.xlsx</t>
  </si>
  <si>
    <t>MSF2262000002188</t>
  </si>
  <si>
    <t>MSF2262000002188_PE_SGMR_5PCS.pdf</t>
  </si>
  <si>
    <t>MSF2262000002188_PE_SGMR_5PCS.xlsx</t>
  </si>
  <si>
    <t>MSF2262000002189</t>
  </si>
  <si>
    <t>MSF2262000002189_PE_JSL_7PCS.pdf</t>
  </si>
  <si>
    <t>MSF2262000002189_PE_JSL_7PCS.xlsx</t>
  </si>
  <si>
    <t>MSF2262000002210</t>
  </si>
  <si>
    <t>MSF2262000002210_AS_SGMR_10PCS.pdf</t>
  </si>
  <si>
    <t>MSF2262000002210_AS_SGMR_10PCS.xlsx</t>
  </si>
  <si>
    <t>MSF2262000002211</t>
  </si>
  <si>
    <t>MSF2262000002211_AS_FS-DEO_53PCS.pdf</t>
  </si>
  <si>
    <t>MSF2262000002211_AS_FS-DEO_53PCS.xlsx</t>
  </si>
  <si>
    <t>MSF2262000002213</t>
  </si>
  <si>
    <t>MSF2262000002213_AS_JSL_21PCS.pdf</t>
  </si>
  <si>
    <t>MSF2262000002213_AS_JSL_21PCS.xlsx</t>
  </si>
  <si>
    <t>MSF2262000002214</t>
  </si>
  <si>
    <t>MSF2262000002214_AS_SAN_40PCS.pdf</t>
  </si>
  <si>
    <t>MSF2262000002214_AS_SAN_40PCS.xlsx</t>
  </si>
  <si>
    <t>MSF2262000002215</t>
  </si>
  <si>
    <t>MSF2262000002215_AS_SBJ_38PCS.pdf</t>
  </si>
  <si>
    <t>MSF2262000002215_AS_SBJ_38PCS.xlsx</t>
  </si>
  <si>
    <t>MSF2262000002221</t>
  </si>
  <si>
    <t>MSF2262000002221_VH_JSL_2PCS.pdf</t>
  </si>
  <si>
    <t>MSF2262000002221_VH_JSL_2PCS.xlsx</t>
  </si>
  <si>
    <t>MSF2262000002222</t>
  </si>
  <si>
    <t>MSF2262000002222_VH_JSL_4PCS.pdf</t>
  </si>
  <si>
    <t>MSF2262000002222_VH_JSL_4PCS.xlsx</t>
  </si>
  <si>
    <t>MSF2262000002249</t>
  </si>
  <si>
    <t>MSF2262000002249_LP_VAS-DEO_14PCS.pdf</t>
  </si>
  <si>
    <t>MSF2262000002249_LP_VAS-DEO_14PCS.xlsx</t>
  </si>
  <si>
    <t>MSF2262000002251</t>
  </si>
  <si>
    <t>MSF2262000002251_LP_JSL_8PCS.pdf</t>
  </si>
  <si>
    <t>MSF2262000002251_LP_JSL_8PCS.xlsx</t>
  </si>
  <si>
    <t>MSF2262000002268</t>
  </si>
  <si>
    <t>MSF2262000002268_VH_JSL_16PCS.pdf</t>
  </si>
  <si>
    <t>MSF2262000002268_VH_JSL_16PCS.xlsx</t>
  </si>
  <si>
    <t>MSF2262000002269</t>
  </si>
  <si>
    <t>MSF2262000002269_VH_ SBJ_16PCS.pdf</t>
  </si>
  <si>
    <t>MSF2262000002269_VH_ SBJ_16PCS.xlsx</t>
  </si>
  <si>
    <t>MSF2262000002281</t>
  </si>
  <si>
    <t>MSF2262000002281_AS_FS-DEO_21PCS.pdf</t>
  </si>
  <si>
    <t>MSF2262000002281_AS_FS-DEO_21PCS.xlsx</t>
  </si>
  <si>
    <t>MSF2262000002283</t>
  </si>
  <si>
    <t>MSF2262000002283_VH_VAS-DEO_15PCS.pdf</t>
  </si>
  <si>
    <t>MSF2262000002283_VH_VAS-DEO_15PCS.xlsx</t>
  </si>
  <si>
    <t>MSF2262000002284</t>
  </si>
  <si>
    <t>MSF2262000002284_AS_SGMR_19PCS.pdf</t>
  </si>
  <si>
    <t>MSF2262000002284_AS_SGMR_19PCS.xlsx</t>
  </si>
  <si>
    <t>MSF2262000002289</t>
  </si>
  <si>
    <t>MSF2262000002289_AS_JSL_19PCS.pdf</t>
  </si>
  <si>
    <t>MSF2262000002289_AS_JSL_19PCS.xlsx</t>
  </si>
  <si>
    <t>MSF2262000002290</t>
  </si>
  <si>
    <t>MSF2262000002290_AS_DUMKA_26PCS.pdf</t>
  </si>
  <si>
    <t>MSF2262000002290_AS_DUMKA_26PCS.xlsx</t>
  </si>
  <si>
    <t>MSF2262000002292</t>
  </si>
  <si>
    <t>MSF2262000002292_AS_AS-DEO_27PCS.pdf</t>
  </si>
  <si>
    <t>MSF2262000002292_AS_AS-DEO_27PCS.xlsx</t>
  </si>
  <si>
    <t>MSF2262000002293</t>
  </si>
  <si>
    <t>MSF2262000002293_AS_SBJ_24PCS.pdf</t>
  </si>
  <si>
    <t>MSF2262000002293_AS_SBJ_24PCS.xlsx</t>
  </si>
  <si>
    <t>MSF2262000002297</t>
  </si>
  <si>
    <t>MSF2262000002297_AS_FS-DEO_22PCS.pdf</t>
  </si>
  <si>
    <t>MSF2262000002297_AS_FS-DEO_22PCS.xlsx</t>
  </si>
  <si>
    <t>MSF2262000002298</t>
  </si>
  <si>
    <t>MSF2262000002298_AS_SGMR_12PCS.pdf</t>
  </si>
  <si>
    <t>MSF2262000002298_AS_SGMR_12PCS.xlsx</t>
  </si>
  <si>
    <t>MSF2262000002303</t>
  </si>
  <si>
    <t>MSF2262000002303_VH_FS-DEO_4PCS.pdf</t>
  </si>
  <si>
    <t>MSF2262000002303_VH_FS-DEO_4PCS.xlsx</t>
  </si>
  <si>
    <t>MSF2262000002333</t>
  </si>
  <si>
    <t>MSF2262000002333_AS_FS-DEO_3PCS.pdf</t>
  </si>
  <si>
    <t>MSF2262000002333_AS_FS-DEO_3PCS.xlsx</t>
  </si>
  <si>
    <t>MSF2262000002335</t>
  </si>
  <si>
    <t>MSF2262000002335_VH_FS-DEO_1PC.pdf</t>
  </si>
  <si>
    <t>MSF2262000002335_VH_FS-DEO_1PC.xlsx</t>
  </si>
  <si>
    <t>MSF2262000002336</t>
  </si>
  <si>
    <t>MSF2262000002336_AS_FS-DEO_188PCS.pdf</t>
  </si>
  <si>
    <t>MSF2262000002336_AS_FS-DEO_188PCS.xlsx</t>
  </si>
  <si>
    <t>MSF2262000002339</t>
  </si>
  <si>
    <t>MSF2262000002339_AS_AS-DEO_10PCS.pdf</t>
  </si>
  <si>
    <t>MSF2262000002339_AS_AS-DEO_10PCS.xlsx</t>
  </si>
  <si>
    <t>MSF2262000002345</t>
  </si>
  <si>
    <t>MSF2262000002345_VH_VAS-DEO_9PCS.pdf</t>
  </si>
  <si>
    <t>MSF2262000002345_VH_VAS-DEO_9PCS.xlsx</t>
  </si>
  <si>
    <t>MSF2262000002359</t>
  </si>
  <si>
    <t>MSF2262000002359_LP_VAS-DEO_2PCS.pdf</t>
  </si>
  <si>
    <t>MSF2262000002359_LP_VAS-DEO_2PCS.xlsx</t>
  </si>
  <si>
    <t>MSF2262000002360</t>
  </si>
  <si>
    <t>MSF2262000002360_LP_BOKARO_3PCS.pdf</t>
  </si>
  <si>
    <t>MSF2262000002360_LP_BOKARO_3PCS.xlsx</t>
  </si>
  <si>
    <t>MSF2262000002363</t>
  </si>
  <si>
    <t>MSF2262000002363_VH_FS-DEO_7PCS.pdf</t>
  </si>
  <si>
    <t>MSF2262000002363_VH_FS-DEO_7PCS.xlsx</t>
  </si>
  <si>
    <t>MSF2262000002364</t>
  </si>
  <si>
    <t>MSF2262000002364_AS_JSL_6PCS.pdf</t>
  </si>
  <si>
    <t>MSF2262000002364_AS_JSL_6PCS.xlsx</t>
  </si>
  <si>
    <t>MSF2262000002369</t>
  </si>
  <si>
    <t>MSF2262000002369_VH_JSL_13PCS.pdf</t>
  </si>
  <si>
    <t>MSF2262000002369_VH_JSL_13PCS.xlsx</t>
  </si>
  <si>
    <t>MSF2262000002372</t>
  </si>
  <si>
    <t>MSF2262000002372_AS_JSL_3PCS.pdf</t>
  </si>
  <si>
    <t>MSF2262000002372_AS_JSL_3PCS.xlsx</t>
  </si>
  <si>
    <t>MSF2262000002373</t>
  </si>
  <si>
    <t>MSF2262000002373_AS_JSL_146PCS.pdf</t>
  </si>
  <si>
    <t>MSF2262000002373_AS_JSL_146PCS.xlsx</t>
  </si>
  <si>
    <t>MSF2262000002374</t>
  </si>
  <si>
    <t>MSF2262000002374_LP_SAN_62PCS.pdf</t>
  </si>
  <si>
    <t>MSF2262000002374_LP_SAN_62PCS.xlsx</t>
  </si>
  <si>
    <t>MSF2262000002378</t>
  </si>
  <si>
    <t>MSF2262000002378_LP_VAS-DEO_54PCS.pdf</t>
  </si>
  <si>
    <t>MSF2262000002378_LP_VAS-DEO_54PCS.xlsx</t>
  </si>
  <si>
    <t>MSF2262000002379</t>
  </si>
  <si>
    <t>MSF2262000002379_LP_JSL_27PCS.pdf</t>
  </si>
  <si>
    <t>MSF2262000002379_LP_JSL_27PCS.xlsx</t>
  </si>
  <si>
    <t>MSF2262000002380</t>
  </si>
  <si>
    <t>MSF2262000002380_LP_DUMKA_34PCS.pdf</t>
  </si>
  <si>
    <t>MSF2262000002380_LP_DUMKA_34PCS.xlsx</t>
  </si>
  <si>
    <t>MSF2262000002396</t>
  </si>
  <si>
    <t>MSF2262000002396_AS_SGMR_10PCS.pdf</t>
  </si>
  <si>
    <t>MSF2262000002396_AS_SGMR_10PCS.xlsx</t>
  </si>
  <si>
    <t>MSF2262000002397</t>
  </si>
  <si>
    <t>MSF2262000002397_AS_SBJ_16PCS.pdf</t>
  </si>
  <si>
    <t>MSF2262000002397_AS_SBJ_16PCS.xlsx</t>
  </si>
  <si>
    <t>MSF2262000002398</t>
  </si>
  <si>
    <t>MSF2262000002398_AS_DUMKA_9PCS.pdf</t>
  </si>
  <si>
    <t>MSF2262000002398_AS_DUMKA_9PCS.xlsx</t>
  </si>
  <si>
    <t>MSF2262000002403</t>
  </si>
  <si>
    <t>MSF2262000002403_VH_SBJ_7PCS.pdf</t>
  </si>
  <si>
    <t>MSF2262000002403_VH_SBJ_7PCS.xlsx</t>
  </si>
  <si>
    <t>MSF2262000002408</t>
  </si>
  <si>
    <t>MSF2262000002408_VH_JSL_1PC.pdf</t>
  </si>
  <si>
    <t>MSF2262000002408_VH_JSL_1PC.xlsx</t>
  </si>
  <si>
    <t>MSF2262000002415</t>
  </si>
  <si>
    <t>MSF2262000002415_LP_VAS-DEO_109PCS.pdf</t>
  </si>
  <si>
    <t>MSF2262000002415_LP_VAS-DEO_109PCS.xlsx</t>
  </si>
  <si>
    <t>MSF2262000002422</t>
  </si>
  <si>
    <t>MSF2262000002422_LP_BOKARO_48PCS.pdf</t>
  </si>
  <si>
    <t>MSF2262000002422_LP_BOKARO_48PCS.xlsx</t>
  </si>
  <si>
    <t>MSF2262000002538</t>
  </si>
  <si>
    <t>MSF2262000002538_LP_VAS-DEO_15PCS.pdf</t>
  </si>
  <si>
    <t>MSF2262000002538_LP_VAS-DEO_15PCS.xlsx</t>
  </si>
  <si>
    <t>MSF2262000002698</t>
  </si>
  <si>
    <t>MSF2262000002698_AS_AS-DEO_11PCS.PDF</t>
  </si>
  <si>
    <t>MSF2262000002698_AS_AS-DEO_11PCS.xlsx</t>
  </si>
  <si>
    <t>MSF2262000002699</t>
  </si>
  <si>
    <t>MSF2262000002699_AS_SGMR_2PCS.PDF</t>
  </si>
  <si>
    <t>MSF2262000002699_AS_SGMR_2PCS.xlsx</t>
  </si>
  <si>
    <t>MSF2262000002753</t>
  </si>
  <si>
    <t>MSF2262000002753_VH_VAS-DEO_12PCS.pdf</t>
  </si>
  <si>
    <t>MSF2262000002753_VH_VAS-DEO_12PCS.xlsx</t>
  </si>
  <si>
    <t>MSF2262000002769</t>
  </si>
  <si>
    <t>MSF2262000002769_PE_JSL_2PCS.pdf</t>
  </si>
  <si>
    <t>MSF2262000002769_PE_JSL_2PCS.xlsx</t>
  </si>
  <si>
    <t>MSF2262000002771</t>
  </si>
  <si>
    <t>MSF2262000002771_PE_JSL_7PCS.pdf</t>
  </si>
  <si>
    <t>MSF2262000002771_PE_JSL_7PCS.xlsx</t>
  </si>
  <si>
    <t>MSF2262000002816</t>
  </si>
  <si>
    <t>MSF2262000002816_LP_VAS-DEO_10PCS.pdf</t>
  </si>
  <si>
    <t>MSF2262000002816_LP_VAS-DEO_10PCS.xlsx</t>
  </si>
  <si>
    <t>MSF2262000002837</t>
  </si>
  <si>
    <t>MSF2262000002837_PE_JSL_15PCS.pdf</t>
  </si>
  <si>
    <t>MSF2262000002837_PE_JSL_15PCS.xlsx</t>
  </si>
  <si>
    <t>MSF2262000002986</t>
  </si>
  <si>
    <t>MSF2262000002986_PE_SAN_10PCS.pdf</t>
  </si>
  <si>
    <t>MSF2262000002986_PE_SAN_10PCS.xlsx</t>
  </si>
  <si>
    <t>MSF2262000003221</t>
  </si>
  <si>
    <t>MSF2262000003221_AS_SAN_49PCS.pdf</t>
  </si>
  <si>
    <t>MSF2262000003221_AS_SAN_49PCS.xlsx</t>
  </si>
  <si>
    <t>MSF2262000003225</t>
  </si>
  <si>
    <t>MSF2262000003225_AS_AS-DEO_6PCS.pdf</t>
  </si>
  <si>
    <t>MSF2262000003225_AS_AS-DEO_6PCS.xlsx</t>
  </si>
  <si>
    <t>MSG2261000002415</t>
  </si>
  <si>
    <t>MSG2261000002415_PE_GAYA_1PC.pdf</t>
  </si>
  <si>
    <t>MSG2261000002415_PE_GAYA_1PC.xlsx</t>
  </si>
  <si>
    <t>MUKESH AGARWAL(PETICOAT)_INVRE08_HZB_105PCS.pdf</t>
  </si>
  <si>
    <t>MUKESH AGARWAL(PETICOAT)_INVRE08_HZB_105PCS.xlsx</t>
  </si>
  <si>
    <t>NARAYANI ENTERPRISES (P2CRS26-376).pdf</t>
  </si>
  <si>
    <t>NARAYANI ENTERPRISES (P2CRS26-376).xlsx</t>
  </si>
  <si>
    <t>NIKITA APPARELS(EAGLE)_INV74_JSL_24PCS.pdf</t>
  </si>
  <si>
    <t>NIKITA APPARELS(EAGLE)_INV74_JSL_24PCS.xlsx</t>
  </si>
  <si>
    <t>OVERSEAS ENTERPRISES(AMBRELI)_SGMR_INV176_76PCS.PDF</t>
  </si>
  <si>
    <t>OVERSEAS ENTERPRISES(AMBRELI)_SGMR_INV176_76PCS.xlsx</t>
  </si>
  <si>
    <t>P R MODI AND SONS - 3429.pdf</t>
  </si>
  <si>
    <t>P R MODI AND SONS - 3429.xlsx</t>
  </si>
  <si>
    <t>P R MODI AND SONS - 3431.pdf</t>
  </si>
  <si>
    <t>P R MODI AND SONS - 3431.xlsx</t>
  </si>
  <si>
    <t>P R MODI AND SONS - 3432.pdf</t>
  </si>
  <si>
    <t>P R MODI AND SONS - 3432.xlsx</t>
  </si>
  <si>
    <t>P R MODI AND SONS - 3913.pdf</t>
  </si>
  <si>
    <t>P R MODI AND SONS - 3913.xlsx</t>
  </si>
  <si>
    <t>P R MODI AND SONS 3123 (SANSKAR STORE).pdf</t>
  </si>
  <si>
    <t>P R MODI AND SONS 3123 (SANSKAR STORE).xlsx</t>
  </si>
  <si>
    <t>P R MODI AND SONS 3126 (SANSKAR STORE).pdf</t>
  </si>
  <si>
    <t>P R MODI AND SONS 3126 (SANSKAR STORE).xlsx</t>
  </si>
  <si>
    <t>PARAS TEXTILE (PECRS26-387).pdf</t>
  </si>
  <si>
    <t>PARAS TEXTILE (PECRS26-387).xlsx</t>
  </si>
  <si>
    <t>PAYAL GARMENTS - 297.pdf</t>
  </si>
  <si>
    <t>PAYAL GARMENTS - 297.xlsx</t>
  </si>
  <si>
    <t>POONAM FASHION - 262.pdf</t>
  </si>
  <si>
    <t>POONAM FASHION - 262.xlsx</t>
  </si>
  <si>
    <t>SAMYAK CREATION - 83.pdf</t>
  </si>
  <si>
    <t>SAMYAK CREATION - 83.xlsx</t>
  </si>
  <si>
    <t>SARAOGI SUPER SALES - 485.pdf</t>
  </si>
  <si>
    <t>SARAOGI SUPER SALES - 485.xlsx</t>
  </si>
  <si>
    <t>SARAOGI SUPER SALES - 497.pdf</t>
  </si>
  <si>
    <t>SARAOGI SUPER SALES - 497.xlsx</t>
  </si>
  <si>
    <t>SARAOGI SUPER SALES - 498.pdf</t>
  </si>
  <si>
    <t>SARAOGI SUPER SALES - 498.xlsx</t>
  </si>
  <si>
    <t>SARAOGI SUPER SALES - 499.pdf</t>
  </si>
  <si>
    <t>SARAOGI SUPER SALES - 499.xlsx</t>
  </si>
  <si>
    <t>SARAOGI SUPER SALES - 500.pdf</t>
  </si>
  <si>
    <t>SARAOGI SUPER SALES - 500.xlsx</t>
  </si>
  <si>
    <t>Saraogi Super Sales - 753.pdf</t>
  </si>
  <si>
    <t>Saraogi Super Sales - 753.xlsx</t>
  </si>
  <si>
    <t>SARAOGI SUPER SALES - 920.pdf</t>
  </si>
  <si>
    <t>SARAOGI SUPER SALES - 920.xlsx</t>
  </si>
  <si>
    <t>SARAOGI SUPER SALES - 940.pdf</t>
  </si>
  <si>
    <t>SARAOGI SUPER SALES - 940.xlsx</t>
  </si>
  <si>
    <t>Saraogi Super Sales - 2668.pdf</t>
  </si>
  <si>
    <t>Saraogi Super Sales - 2668.xlsx</t>
  </si>
  <si>
    <t>SHRI MAHAVIR ENTERPRISES(JOCKEY)_MDCCRS26102_HZB_40PCS.pdf</t>
  </si>
  <si>
    <t>SHRI MAHAVIR ENTERPRISES(JOCKEY)_MDCCRS26102_HZB_40PCS.xlsx</t>
  </si>
  <si>
    <t>SHRI MAHAVIR ENTERPRISES(JOCKEY)_PR2CRS2689_HZB_82PCS.pdf</t>
  </si>
  <si>
    <t>SHRI MAHAVIR ENTERPRISES(JOCKEY)_PR2CRS2689_HZB_82PCS.xlsx</t>
  </si>
  <si>
    <t>SHRI MAHAVIR ENTERPRISES(JOCKEY)_SOCCRS2670_HZB_20PCS.pdf</t>
  </si>
  <si>
    <t>SHRI MAHAVIR ENTERPRISES(JOCKEY)_SOCCRS2670_HZB_20PCS.xlsx</t>
  </si>
  <si>
    <t>SHRI SIDHI VINAYAK ENTERPRISES - 442.pdf</t>
  </si>
  <si>
    <t>SHRI SIDHI VINAYAK ENTERPRISES - 442.xlsx</t>
  </si>
  <si>
    <t>SHRIKRISHNA CREATION - 24.pdf</t>
  </si>
  <si>
    <t>SHRIKRISHNA CREATION - 24.xlsx</t>
  </si>
  <si>
    <t>SHRING APPARELS(MUFTI)_INV313_JSL_23PCS.pdf</t>
  </si>
  <si>
    <t>SHRING APPARELS(MUFTI)_INV313_JSL_23PCS.xlsx</t>
  </si>
  <si>
    <t>SINGLA COLLECTION - 71.pdf</t>
  </si>
  <si>
    <t>SINGLA COLLECTION - 71.xlsx</t>
  </si>
  <si>
    <t>SINGLA COLLECTION - 74.pdf</t>
  </si>
  <si>
    <t>SINGLA COLLECTION - 74.xlsx</t>
  </si>
  <si>
    <t>SINGLA COLLECTION - 76.pdf</t>
  </si>
  <si>
    <t>SINGLA COLLECTION - 76.xlsx</t>
  </si>
  <si>
    <t>SKY CLOTHING 68 (SANSKAR STORE).pdf</t>
  </si>
  <si>
    <t>SKY CLOTHING 68 (SANSKAR STORE).xlsx</t>
  </si>
  <si>
    <t>TAYAL GARMENTS - 13.PDF</t>
  </si>
  <si>
    <t>TAYAL GARMENTS - 13.xlsx</t>
  </si>
  <si>
    <t>TAYAL GARMENTS(LIBAS)_INV008_WH_389PCS.PDF</t>
  </si>
  <si>
    <t>TAYAL GARMENTS(LIBAS)_INV008_WH_389PCS.xlsx</t>
  </si>
  <si>
    <t>Transfer Stock PT File (USPA INNERWEAR).pdf</t>
  </si>
  <si>
    <t>Transfer Stock PT File (USPA INNERWEAR).xlsx</t>
  </si>
  <si>
    <t>Udhav Enterprises_BRCRS26-19_Qty 30.pdf</t>
  </si>
  <si>
    <t>Udhav Enterprises_BRCRS26-19_Qty 30.xlsx</t>
  </si>
  <si>
    <t>VINAYAK EMPORIUM(BANJARAN)_INV158_SGMR_138PCS.pdf</t>
  </si>
  <si>
    <t>VINAYAK EMPORIUM(BANJARAN)_INV158_SGMR_138PCS.xlsx</t>
  </si>
  <si>
    <t>VISHAL MARKETING &amp; CO(REX STRAUT)-0401.pdf</t>
  </si>
  <si>
    <t>VISHAL MARKETING &amp; CO(REX STRAUT)-0401.xlsx</t>
  </si>
  <si>
    <t>WEAR ON ENSEMBLES - 1233.pdf</t>
  </si>
  <si>
    <t>WEAR ON ENSEMBLES - 1233.xlsx</t>
  </si>
  <si>
    <t>WEAR ON ENSEMBLES - 1234.pdf</t>
  </si>
  <si>
    <t>WEAR ON ENSEMBLES - 1234.xlsx</t>
  </si>
  <si>
    <t>WILSON PRINTS - 296.pdf</t>
  </si>
  <si>
    <t>WILSON PRINTS - 296.xlsx</t>
  </si>
  <si>
    <t>Zenith Fabric-174 (180 Qty).pdf</t>
  </si>
  <si>
    <t>Zenith Fabric-174 (180 Qty).xls</t>
  </si>
  <si>
    <t>DD APPARELS(SWEET DREAMS)_INV14_WH_24PCS.pdf</t>
  </si>
  <si>
    <t>DD APPARELS(SWEET DREAMS)_INV14_WH_24PCS.xlsx</t>
  </si>
  <si>
    <t>FASHION EARTH GARMENTS - 556.pdf</t>
  </si>
  <si>
    <t>FASHION EARTH GARMENTS - 556.xlsx</t>
  </si>
  <si>
    <t>MSF2262000002770</t>
  </si>
  <si>
    <t>MSF2262000002770_PE_FS-DEO_2PCS.pdf</t>
  </si>
  <si>
    <t>MSF2262000002770_PE_FS-DEO_2PCS.xlsx</t>
  </si>
  <si>
    <t>MSF2262000002890</t>
  </si>
  <si>
    <t>MSF2262000002890_LP_BOKARO_15PCS.pdf</t>
  </si>
  <si>
    <t>MSF2262000002890_LP_BOKARO_15PCS.xlsx</t>
  </si>
  <si>
    <t>MSF2262000002891</t>
  </si>
  <si>
    <t>MSF2262000002891_LP_SAN_14PCS.pdf</t>
  </si>
  <si>
    <t>MSF2262000002891_LP_SAN_14PCS.xlsx</t>
  </si>
  <si>
    <t>MSF2262000002967</t>
  </si>
  <si>
    <t>MSF2262000002967_PE_SGMR_22PCS.pdf</t>
  </si>
  <si>
    <t>MSF2262000002967_PE_SGMR_22PCS.xlsx</t>
  </si>
  <si>
    <t>MSF2262000003213</t>
  </si>
  <si>
    <t>MSF2262000003213_VH_VAS-DEO_4PCS.pdf</t>
  </si>
  <si>
    <t>MSF2262000003213_VH_VAS-DEO_4PCS.xlsx</t>
  </si>
  <si>
    <t>MSF2262000003219</t>
  </si>
  <si>
    <t>MSF2262000003219_AS_AS-DEO_213PCS.pdf</t>
  </si>
  <si>
    <t>MSF2262000003219_AS_AS-DEO_213PCS.xlsx</t>
  </si>
  <si>
    <t>TAYAL GARMENTS - 36.PDF</t>
  </si>
  <si>
    <t>TAYAL GARMENTS - 36.xlsx</t>
  </si>
  <si>
    <t>VIP - 01.pdf</t>
  </si>
  <si>
    <t>VIP - 01.xlsx</t>
  </si>
  <si>
    <t>VIP - 02.pdf</t>
  </si>
  <si>
    <t>VIP - 02.xlsx</t>
  </si>
  <si>
    <t>VISHAL MARKETING &amp; CO(US POLO)-535.pdf</t>
  </si>
  <si>
    <t>VISHAL MARKETING &amp; CO(US POLO)-535.xlsx</t>
  </si>
  <si>
    <t>VISHAL MARKETING &amp; CO(US POLO)-536.pdf</t>
  </si>
  <si>
    <t>VISHAL MARKETING &amp; CO(US POLO)-536.xlsx</t>
  </si>
  <si>
    <t>VISHAL MARKETING &amp; CO(US POLO)-538.pdf</t>
  </si>
  <si>
    <t>VISHAL MARKETING &amp; CO(US POLO)-538.xlsx</t>
  </si>
  <si>
    <t>VISHAL MARKETING &amp; CO(US POLO)-541.pdf</t>
  </si>
  <si>
    <t>VISHAL MARKETING &amp; CO(US POLO)-541.xlsx</t>
  </si>
  <si>
    <t>MSF2262000002968</t>
  </si>
  <si>
    <t>MSF2262000002968_PE_JSL_4PCS.pdf</t>
  </si>
  <si>
    <t>MSF2262000002968_PE_JSL_4PCS.xlsx</t>
  </si>
  <si>
    <t>MSF2262000002966</t>
  </si>
  <si>
    <t>MSF2262000002966_PE_JSL_3PCS.pdf</t>
  </si>
  <si>
    <t>MSF2262000002966_PE_JSL_3PCS.xlsx</t>
  </si>
  <si>
    <t>MSF2262000002969</t>
  </si>
  <si>
    <t>MSF2262000002969_PE_FS-DEO_3PCS.pdf</t>
  </si>
  <si>
    <t>MSF2262000002969_PE_FS-DEO_3PCS.xlsx</t>
  </si>
  <si>
    <t>MSF2262000002970</t>
  </si>
  <si>
    <t>MSF2262000002970_PE_JSL_50PCS.pdf</t>
  </si>
  <si>
    <t>MSF2262000002970_PE_JSL_50PCS.xlsx</t>
  </si>
  <si>
    <t>MSF2262000003214</t>
  </si>
  <si>
    <t>MSF2262000003214_AS_FS-DEO_151PCS.pdf</t>
  </si>
  <si>
    <t>MSF2262000003214_AS_FS-DEO_151PCS.xlsx</t>
  </si>
  <si>
    <t>D APPAREL - 0209.pdf</t>
  </si>
  <si>
    <t>D APPAREL - 0209.xlsx</t>
  </si>
  <si>
    <t>JOCKEY(WS310).pdf</t>
  </si>
  <si>
    <t>JOCKEY(WS310).xlsx</t>
  </si>
  <si>
    <t>MSF2262000003556</t>
  </si>
  <si>
    <t>MSF2262000003556_AS_JSL_6PCS.pdf</t>
  </si>
  <si>
    <t>MSF2262000003556_AS_JSL_6PCS.xlsx</t>
  </si>
  <si>
    <t>MSF2262000003557</t>
  </si>
  <si>
    <t>MSF2262000003557_AS_FS-DEO_6PCS.pdf</t>
  </si>
  <si>
    <t>MSF2262000003557_AS_FS-DEO_6PCS.xlsx</t>
  </si>
  <si>
    <t>RTC GARMENTEX - 281.pdf</t>
  </si>
  <si>
    <t>RTC GARMENTEX - 281.xlsx</t>
  </si>
  <si>
    <t>VISHAL MARKETING &amp; CO(US POLO PROMO)-584.pdf</t>
  </si>
  <si>
    <t>VISHAL MARKETING &amp; CO(US POLO PROMO)-584.xlsx</t>
  </si>
  <si>
    <t>VISHAL MARKETING &amp; CO(US POLO)-580.pdf</t>
  </si>
  <si>
    <t>VISHAL MARKETING &amp; CO(US POLO)-580.xlsx</t>
  </si>
  <si>
    <t>VISHAL MARKETING &amp; CO(US POLO)-582.pdf</t>
  </si>
  <si>
    <t>VISHAL MARKETING &amp; CO(US POLO)-582.xlsx</t>
  </si>
  <si>
    <t>VISHAL MARKETING &amp; CO(US POLO)-583.pdf</t>
  </si>
  <si>
    <t>VISHAL MARKETING &amp; CO(US POLO)-583.xlsx</t>
  </si>
  <si>
    <t>JOCKEY(WS537).pdf</t>
  </si>
  <si>
    <t>JOCKEY(WS537).xlsx</t>
  </si>
  <si>
    <t>MOHAN CLOTHING(BB)_INV8500298553_GAYA_6PCS.pdf</t>
  </si>
  <si>
    <t>MOHAN CLOTHING(BB)_INV8500298553_GAYA_6PCS.xlsx</t>
  </si>
  <si>
    <t>MSF2262000003224</t>
  </si>
  <si>
    <t>MSF2262000003224_AS_SBJ _7PCS.pdf</t>
  </si>
  <si>
    <t>MSF2262000003224_AS_SBJ _7PCS.xlsx</t>
  </si>
  <si>
    <t>MSF2262000003367</t>
  </si>
  <si>
    <t>MSF2262000003367_AS_FS-DEO_5PCS.pdf</t>
  </si>
  <si>
    <t>MSF2262000003367_AS_FS-DEO_5PCS.xlsx</t>
  </si>
  <si>
    <t>MSF2262000003376</t>
  </si>
  <si>
    <t>MSF2262000003376_AS_JSL_11PCS.pdf</t>
  </si>
  <si>
    <t>MSF2262000003376_AS_JSL_11PCS.xlsx</t>
  </si>
  <si>
    <t>MSF2262000003378</t>
  </si>
  <si>
    <t>MSF2262000003378_LP_JSL_4PCS.pdf</t>
  </si>
  <si>
    <t>MSF2262000003378_LP_JSL_4PCS.xlsx</t>
  </si>
  <si>
    <t>MSF2262000003422</t>
  </si>
  <si>
    <t>MSF2262000003422_LP_VAS-DEO_20PCS.pdf</t>
  </si>
  <si>
    <t>MSF2262000003422_LP_VAS-DEO_20PCS.xlsx</t>
  </si>
  <si>
    <t>MSF2262000003479</t>
  </si>
  <si>
    <t>MSF2262000003479_LP_SAN_12PCS.pdf</t>
  </si>
  <si>
    <t>MSF2262000003479_LP_SAN_12PCS.xlsx</t>
  </si>
  <si>
    <t>MSF2262000003504</t>
  </si>
  <si>
    <t>MSF2262000003504_LP_BOKARO_12PCS.pdf</t>
  </si>
  <si>
    <t>MSF2262000003504_LP_BOKARO_12PCS.xlsx</t>
  </si>
  <si>
    <t>MSF2262000003563</t>
  </si>
  <si>
    <t>MSF2262000003563_LP_SAN_12PCS.pdf</t>
  </si>
  <si>
    <t>MSF2262000003563_LP_SAN_12PCS.xlsx</t>
  </si>
  <si>
    <t>MSF2262000003565</t>
  </si>
  <si>
    <t>MSF2262000003565_AS_SAN_14PCS.pdf</t>
  </si>
  <si>
    <t>MSF2262000003565_AS_SAN_14PCS.xlsx</t>
  </si>
  <si>
    <t>VISHAL MARKETING &amp; CO(US POLO PROMO)-585.pdf</t>
  </si>
  <si>
    <t>VISHAL MARKETING &amp; CO(US POLO PROMO)-585.xlsx</t>
  </si>
  <si>
    <t>VISHAL MARKETING &amp; CO(US POLO PROMO)-586.pdf</t>
  </si>
  <si>
    <t>VISHAL MARKETING &amp; CO(US POLO PROMO)-586.xlsx</t>
  </si>
  <si>
    <t>A S TEXTILE - 83.pdf</t>
  </si>
  <si>
    <t>A S TEXTILE - 83.xlsx</t>
  </si>
  <si>
    <t>A S TEXTILE - 84.pdf</t>
  </si>
  <si>
    <t>A S TEXTILE - 84.xlsx</t>
  </si>
  <si>
    <t>KDPS LIFESTYLE PVT LTD(26IH-323743-001).pdf</t>
  </si>
  <si>
    <t>KDPS LIFESTYLE PVT LTD(26IH-323743-001).xlsx</t>
  </si>
  <si>
    <t>JOCKEY (WS319).pdf</t>
  </si>
  <si>
    <t>JOCKEY (WS319).xlsx</t>
  </si>
  <si>
    <t>KDPS (26-IH-323743-002).pdf</t>
  </si>
  <si>
    <t>KDPS (26-IH-323743-002).xlsx</t>
  </si>
  <si>
    <t>KDPS (26IH-323743-004).pdf</t>
  </si>
  <si>
    <t>KDPS (26IH-323743-004).xlsx</t>
  </si>
  <si>
    <t>KDPS (26IH-323743-005).pdf</t>
  </si>
  <si>
    <t>KDPS (26IH-323743-005).xlsx</t>
  </si>
  <si>
    <t>MSF2261000005417</t>
  </si>
  <si>
    <t>MSF2261000005417_PE_PATNA_6PCS.pdf</t>
  </si>
  <si>
    <t>MSF2261000005417_PE_PATNA_6PCS.xlsx</t>
  </si>
  <si>
    <t>MSF2261000004064</t>
  </si>
  <si>
    <t>MSF2261000004064_PE_KLG2_1PC.pdf</t>
  </si>
  <si>
    <t>MSF2261000004064_PE_KLG2_1PC.xlsx</t>
  </si>
  <si>
    <t>MSF2261000004065</t>
  </si>
  <si>
    <t>MSF2261000004065_PE_KLG2_7PCS.pdf</t>
  </si>
  <si>
    <t>MSF2261000004065_PE_KLG2_7PCS.xlsx</t>
  </si>
  <si>
    <t>MSF2261000004403</t>
  </si>
  <si>
    <t>MSF2261000004403_PE_KLG2_6PCS.pdf</t>
  </si>
  <si>
    <t>MSF2261000004403_PE_KLG2_6PCS.xlsx</t>
  </si>
  <si>
    <t>MSF2261000004405</t>
  </si>
  <si>
    <t>MSF2261000004405_PE_KLG2_7PCS.pdf</t>
  </si>
  <si>
    <t>MSF2261000004405_PE_KLG2_7PCS.xlsx</t>
  </si>
  <si>
    <t>MSF2261000004647</t>
  </si>
  <si>
    <t>MSF2261000004647 ALLEN SOLLY GAYA 207 PCS.pdf</t>
  </si>
  <si>
    <t>MSF2261000004647 ALLEN SOLLY GAYA 207 PCS.xlsx</t>
  </si>
  <si>
    <t>MSF2261000004680</t>
  </si>
  <si>
    <t>MSF2261000004680_PE_KLG2_1PC.pdf</t>
  </si>
  <si>
    <t>MSF2261000004680_PE_KLG2_1PC.xlsx</t>
  </si>
  <si>
    <t>MSF2261000004681</t>
  </si>
  <si>
    <t>MSF2261000004681_PE_PATNA_1PC.pdf</t>
  </si>
  <si>
    <t>MSF2261000004681_PE_PATNA_1PC.xlsx</t>
  </si>
  <si>
    <t>MSF2261000004773</t>
  </si>
  <si>
    <t>MSF2261000004773_PE_KLG2_8PCS.pdf</t>
  </si>
  <si>
    <t>MSF2261000004773_PE_KLG2_8PCS.xlsx</t>
  </si>
  <si>
    <t>MSF2261000004774</t>
  </si>
  <si>
    <t>MSF2261000004774_PE_KLG2_1PC.pdf</t>
  </si>
  <si>
    <t>MSF2261000004774_PE_KLG2_1PC.xlsx</t>
  </si>
  <si>
    <t>MSF2261000004775</t>
  </si>
  <si>
    <t>MSF2261000004775_PE_PATNA_6PCS.pdf</t>
  </si>
  <si>
    <t>MSF2261000004775_PE_PATNA_6PCS.xlsx</t>
  </si>
  <si>
    <t>MSF2261000004848</t>
  </si>
  <si>
    <t>MSF2261000004848 ALLEN SOLLY GAYA 7 PCS.pdf</t>
  </si>
  <si>
    <t>MSF2261000004848 ALLEN SOLLY GAYA 7 PCS.xlsx</t>
  </si>
  <si>
    <t>MSF2261000004849</t>
  </si>
  <si>
    <t>MSF2261000004849 ALLEN SOLLY GAYA 9 PCS.pdf</t>
  </si>
  <si>
    <t>MSF2261000004849 ALLEN SOLLY GAYA 9 PCS.xlsx</t>
  </si>
  <si>
    <t>MSF2261000004871</t>
  </si>
  <si>
    <t>MSF2261000004871_PE_PATNA_36PCS.pdf</t>
  </si>
  <si>
    <t>MSF2261000004871_PE_PATNA_36PCS.xlsx</t>
  </si>
  <si>
    <t>MSF2261000004976</t>
  </si>
  <si>
    <t>MSF2261000004976_PE_GAYA_34PCS.pdf</t>
  </si>
  <si>
    <t>MSF2261000004976_PE_GAYA_34PCS.xlsx</t>
  </si>
  <si>
    <t>MSF2261000004977</t>
  </si>
  <si>
    <t>MSF2261000004977_PE_KLG2_3PCS.pdf</t>
  </si>
  <si>
    <t>MSF2261000004977_PE_KLG2_3PCS.xlsx</t>
  </si>
  <si>
    <t>MSF2261000005027</t>
  </si>
  <si>
    <t>MSF2261000005027_PE_GAYA_22PCS.pdf</t>
  </si>
  <si>
    <t>MSF2261000005027_PE_GAYA_22PCS.xlsx</t>
  </si>
  <si>
    <t>MSF2261000005029</t>
  </si>
  <si>
    <t>MSF2261000005029_PE_GAYA_27PCS.pdf</t>
  </si>
  <si>
    <t>MSF2261000005029_PE_GAYA_27PCS.xlsx</t>
  </si>
  <si>
    <t>MSF2261000005031</t>
  </si>
  <si>
    <t>MSF2261000005031_PE_PATNA_40PCS.pdf</t>
  </si>
  <si>
    <t>MSF2261000005031_PE_PATNA_40PCS.xlsx</t>
  </si>
  <si>
    <t>MSF2261000005414</t>
  </si>
  <si>
    <t>MSF2261000005414_PE_PATNA_122PCS.pdf</t>
  </si>
  <si>
    <t>MSF2261000005414_PE_PATNA_122PCS.xlsx</t>
  </si>
  <si>
    <t>MSF2261000005415</t>
  </si>
  <si>
    <t>MSF2261000005415_PE_GAYA_7PCS.pdf</t>
  </si>
  <si>
    <t>MSF2261000005415_PE_GAYA_7PCS.xlsx</t>
  </si>
  <si>
    <t>MSF2261000005416</t>
  </si>
  <si>
    <t>MSF2261000005416_PE_PATNA_17PCS.pdf</t>
  </si>
  <si>
    <t>MSF2261000005416_PE_PATNA_17PCS.xlsx</t>
  </si>
  <si>
    <t>MSF2261000005418</t>
  </si>
  <si>
    <t>MSF2261000005418_PE_GAYA_3PCS.pdf</t>
  </si>
  <si>
    <t>MSF2261000005418_PE_GAYA_3PCS.xlsx</t>
  </si>
  <si>
    <t>MSF2261000005419</t>
  </si>
  <si>
    <t>MSF2261000005419_PE_GAYA_7PCS.pdf</t>
  </si>
  <si>
    <t>MSF2261000005419_PE_GAYA_7PCS.xlsx</t>
  </si>
  <si>
    <t>MSF2262000002132</t>
  </si>
  <si>
    <t>MSF2262000002132_AS_JSL_7PCS.pdf</t>
  </si>
  <si>
    <t>MSF2262000002132_AS_JSL_7PCS.xlsx</t>
  </si>
  <si>
    <t>MSF2262000002165</t>
  </si>
  <si>
    <t>MSF2262000002165_LP_JSL_8PCS.pdf</t>
  </si>
  <si>
    <t>MSF2262000002165_LP_JSL_8PCS.xlsx</t>
  </si>
  <si>
    <t>MSF2262000003245</t>
  </si>
  <si>
    <t>MSF2262000003245_PE_FS-DEO_4PCS.pdf</t>
  </si>
  <si>
    <t>MSF2262000003245_PE_FS-DEO_4PCS.xlsx</t>
  </si>
  <si>
    <t>MSF2262000003293</t>
  </si>
  <si>
    <t>MSF2262000003293_AS_AS-DEO_17PCS.pdf</t>
  </si>
  <si>
    <t>MSF2262000003293_AS_AS-DEO_17PCS.xlsx</t>
  </si>
  <si>
    <t>MSF2262000003319</t>
  </si>
  <si>
    <t>MSF2262000003319_PE_SGMR_2PCS.pdf</t>
  </si>
  <si>
    <t>MSF2262000003319_PE_SGMR_2PCS.xlsx</t>
  </si>
  <si>
    <t>MSF2262000003320</t>
  </si>
  <si>
    <t>MSF2262000003320_PE_FS-DEO_122PCS.pdf</t>
  </si>
  <si>
    <t>MSF2262000003320_PE_FS-DEO_122PCS.xlsx</t>
  </si>
  <si>
    <t>MSF2262000003321</t>
  </si>
  <si>
    <t>MSF2262000003321_PE_FS-DEO_103PCS.pdf</t>
  </si>
  <si>
    <t>MSF2262000003321_PE_FS-DEO_103PCS.xlsx</t>
  </si>
  <si>
    <t>MSF2262000003377</t>
  </si>
  <si>
    <t>MSF2262000003377_AS_FS-DEO_6PCS.pdf</t>
  </si>
  <si>
    <t>MSF2262000003377_AS_FS-DEO_6PCS.xlsx</t>
  </si>
  <si>
    <t>MSF2262000003564</t>
  </si>
  <si>
    <t>MSF2262000003564_AS_AS-DEO_ 8PCS.pdf</t>
  </si>
  <si>
    <t>MSF2262000003564_AS_AS-DEO_ 8PCS.xlsx</t>
  </si>
  <si>
    <t>MSF2262000003598</t>
  </si>
  <si>
    <t>MSF2262000003598_LP_VAS-DEO_23PCS.pdf</t>
  </si>
  <si>
    <t>MSF2262000003598_LP_VAS-DEO_23PCS.xlsx</t>
  </si>
  <si>
    <t>MSF2262000003649</t>
  </si>
  <si>
    <t>MSF2262000003649_LP_SAN_12PCS.pdf</t>
  </si>
  <si>
    <t>MSF2262000003649_LP_SAN_12PCS.xlsx</t>
  </si>
  <si>
    <t>MSF2262000003791</t>
  </si>
  <si>
    <t>MSF2262000003791_LP_SAN_78PCS.pdf</t>
  </si>
  <si>
    <t>MSF2262000003791_LP_SAN_78PCS.xlsx</t>
  </si>
  <si>
    <t>SANJU CREATION - 26.pdf</t>
  </si>
  <si>
    <t>SANJU CREATION - 26.xlsx</t>
  </si>
  <si>
    <t>SARAOGI SUPER SALES - 281.pdf</t>
  </si>
  <si>
    <t>SARAOGI SUPER SALES - 281.xlsx</t>
  </si>
  <si>
    <t>SARAOGI SUPER SALES - 282.pdf</t>
  </si>
  <si>
    <t>SARAOGI SUPER SALES - 282.xlsx</t>
  </si>
  <si>
    <t>TAYAL GARMENTS PVT.LTD-037.PDF</t>
  </si>
  <si>
    <t>TAYAL GARMENTS PVT.LTD-037.xlsx</t>
  </si>
  <si>
    <t>TROLLEY (26-27-001).pdf</t>
  </si>
  <si>
    <t>TROLLEY (26-27-001).xlsx</t>
  </si>
  <si>
    <t>P M SONS - 746.pdf</t>
  </si>
  <si>
    <t>P M SONS - 746.xlsx</t>
  </si>
  <si>
    <t>VISHAL MARKETING &amp; CO(FM)-596.pdf</t>
  </si>
  <si>
    <t>VISHAL MARKETING &amp; CO(FM)-596.xlsx</t>
  </si>
  <si>
    <t>NATIONAL TRADING - 0074.pdf</t>
  </si>
  <si>
    <t>NATIONAL TRADING - 0074.xlsx</t>
  </si>
  <si>
    <t>JOCKEY (WS645).pdf</t>
  </si>
  <si>
    <t>JOCKEY (WS645).xlsx</t>
  </si>
  <si>
    <t>MANISH HANDLOOM - 52.pdf</t>
  </si>
  <si>
    <t>MANISH HANDLOOM - 52.xlsx</t>
  </si>
  <si>
    <t>MSF2261000004682</t>
  </si>
  <si>
    <t>MSF2261000004682_PE_GAYA_1PC.pdf</t>
  </si>
  <si>
    <t>MSF2261000004682_PE_GAYA_1PC.xlsx</t>
  </si>
  <si>
    <t>MSF2261000005767</t>
  </si>
  <si>
    <t>MSF2261000005767_PE_PATNA_28PCS.pdf</t>
  </si>
  <si>
    <t>MSF2261000005767_PE_PATNA_28PCS.xlsx</t>
  </si>
  <si>
    <t>MSF2262000003645</t>
  </si>
  <si>
    <t>MSF2262000003645_LP_JSL_21PCS.pdf</t>
  </si>
  <si>
    <t>MSF2262000003645_LP_JSL_21PCS.xlsx</t>
  </si>
  <si>
    <t>MSF2262000003650</t>
  </si>
  <si>
    <t>MSF2262000003650_LP_VAS-DEO_16PCS.pdf</t>
  </si>
  <si>
    <t>MSF2262000003650_LP_VAS-DEO_16PCS.xlsx</t>
  </si>
  <si>
    <t>MSF2262000003662</t>
  </si>
  <si>
    <t>MSF2262000003662_VH_VAS-DEO_1PC.pdf</t>
  </si>
  <si>
    <t>MSF2262000003662_VH_VAS-DEO_1PC.xlsx</t>
  </si>
  <si>
    <t>MSF2262000003847</t>
  </si>
  <si>
    <t>MSF2262000003847_LP_VAS-DEO_15PCS.pdf</t>
  </si>
  <si>
    <t>MSF2262000003847_LP_VAS-DEO_15PCS.xlsx</t>
  </si>
  <si>
    <t>MSF2262000003848</t>
  </si>
  <si>
    <t>MSF2262000003848_LP_JSL_20PCS.pdf</t>
  </si>
  <si>
    <t>MSF2262000003848_LP_JSL_20PCS.xlsx</t>
  </si>
  <si>
    <t>MSF2262000003849</t>
  </si>
  <si>
    <t>MSF2262000003849_LP_SAN_65PCS.pdf</t>
  </si>
  <si>
    <t>MSF2262000003849_LP_SAN_65PCS.xlsx</t>
  </si>
  <si>
    <t>MSF2262000003852</t>
  </si>
  <si>
    <t>MSF2262000003852_VH_VAS-DEO_19PCS.pdf</t>
  </si>
  <si>
    <t>MSF2262000003852_VH_VAS-DEO_19PCS.xlsx</t>
  </si>
  <si>
    <t>MSF2262000003853</t>
  </si>
  <si>
    <t>MSF2262000003853_VH_JSL_14PCS.pdf</t>
  </si>
  <si>
    <t>MSF2262000003853_VH_JSL_14PCS.xlsx</t>
  </si>
  <si>
    <t>MSF2262000003862</t>
  </si>
  <si>
    <t>MSF2262000003862_PE_JSL_2PCS.pdf</t>
  </si>
  <si>
    <t>MSF2262000003862_PE_JSL_2PCS.xlsx</t>
  </si>
  <si>
    <t>MSF2262000003863</t>
  </si>
  <si>
    <t>MSF2262000003863_PE_JSL_7PCS.pdf</t>
  </si>
  <si>
    <t>MSF2262000003863_PE_JSL_7PCS.xlsx</t>
  </si>
  <si>
    <t>MSF2262000003864</t>
  </si>
  <si>
    <t>MSF2262000003864_PE_JSL_12PCS.pdf</t>
  </si>
  <si>
    <t>MSF2262000003864_PE_JSL_12PCS.xlsx</t>
  </si>
  <si>
    <t>MSF2262000003882</t>
  </si>
  <si>
    <t>MSF2262000003882_LP_SAN_12PCS.pdf</t>
  </si>
  <si>
    <t>MSF2262000003882_LP_SAN_12PCS.xlsx</t>
  </si>
  <si>
    <t>MSF2262000003883</t>
  </si>
  <si>
    <t>MSF2262000003883_LP_JSL_41PCS.pdf</t>
  </si>
  <si>
    <t>MSF2262000003883_LP_JSL_41PCS.xlsx</t>
  </si>
  <si>
    <t>MSF2262000003884</t>
  </si>
  <si>
    <t>MSF2262000003884_VD_VAS-DEO_20PCS.pdf</t>
  </si>
  <si>
    <t>MSF2262000003884_VD_VAS-DEO_20PCS.xlsx</t>
  </si>
  <si>
    <t>MSF2262000003888</t>
  </si>
  <si>
    <t>MSF2262000003888_AS_JSL_4PCS.pdf</t>
  </si>
  <si>
    <t>MSF2262000003888_AS_JSL_4PCS.xlsx</t>
  </si>
  <si>
    <t>MSF2262000004064</t>
  </si>
  <si>
    <t>MSF2262000004064_AS_SAN_7PCS.pdf</t>
  </si>
  <si>
    <t>MSF2262000004064_AS_SAN_7PCS.xlsx</t>
  </si>
  <si>
    <t>MSF2262000004067</t>
  </si>
  <si>
    <t>MSF2262000004067_AS_AS-DEO_8PCS.pdf</t>
  </si>
  <si>
    <t>MSF2262000004067_AS_AS-DEO_8PCS.xlsx</t>
  </si>
  <si>
    <t>RTC GARMENTEX INDIA - 304.pdf</t>
  </si>
  <si>
    <t>RTC GARMENTEX INDIA - 304.xlsx</t>
  </si>
  <si>
    <t>SARAOGI SUPER SALES - 853.pdf</t>
  </si>
  <si>
    <t>SARAOGI SUPER SALES - 853.xlsx</t>
  </si>
  <si>
    <t>SARAOGI SUPER SALES - 854.pdf</t>
  </si>
  <si>
    <t>SARAOGI SUPER SALES - 854.xlsx</t>
  </si>
  <si>
    <t>SARAOGI SUPER SALES - 855.pdf</t>
  </si>
  <si>
    <t>SARAOGI SUPER SALES - 855.xlsx</t>
  </si>
  <si>
    <t>MSF2261000005765</t>
  </si>
  <si>
    <t>MSF2261000005765_PE_GAYA_2PCS.pdf</t>
  </si>
  <si>
    <t>MSF2261000005765_PE_GAYA_2PCS.xlsx</t>
  </si>
  <si>
    <t>MSF2261000005766</t>
  </si>
  <si>
    <t>MSF2261000005766_PE_GAYA_10PCS.pdf</t>
  </si>
  <si>
    <t>MSF2261000005766_PE_GAYA_10PCS.xlsx</t>
  </si>
  <si>
    <t>MANOHAR SONS - 602.pdf</t>
  </si>
  <si>
    <t>MANOHAR SONS - 602.xlsx</t>
  </si>
  <si>
    <t>MOHAN CLOTHING(BB)_INV8500299203_GAYA_8PCS.pdf</t>
  </si>
  <si>
    <t>MOHAN CLOTHING(BB)_INV8500299203_GAYA_8PCS.xlsx</t>
  </si>
  <si>
    <t>MOHAN CLOTHING(BB)_INV8500300147_GAYA_7PCS.pdf</t>
  </si>
  <si>
    <t>MOHAN CLOTHING(BB)_INV8500300147_GAYA_7PCS.xlsx</t>
  </si>
  <si>
    <t>MSF2261000005655</t>
  </si>
  <si>
    <t>MSF2261000005655_AS_GAYA-15PCS.pdf</t>
  </si>
  <si>
    <t>MSF2261000005655_AS_GAYA-15PCS.xlsx</t>
  </si>
  <si>
    <t>MSF2261000005662</t>
  </si>
  <si>
    <t>MSF2261000005662_AS_GAYA_49PCS.pdf</t>
  </si>
  <si>
    <t>MSF2261000005662_AS_GAYA_49PCS.xlsx</t>
  </si>
  <si>
    <t>MSF2261000005664</t>
  </si>
  <si>
    <t>MSF2261000005664_AS_GAYA_4PCS.pdf</t>
  </si>
  <si>
    <t>MSF2261000005664_AS_GAYA_4PCS.xlsx</t>
  </si>
  <si>
    <t>MSF2261000005844</t>
  </si>
  <si>
    <t>MSF2261000005844_PE_PATNA_7PCS.pdf</t>
  </si>
  <si>
    <t>MSF2261000005844_PE_PATNA_7PCS.xlsx</t>
  </si>
  <si>
    <t>MSF2262000004011</t>
  </si>
  <si>
    <t>MSF2262000004011_LP_VAS-DEO_24PCS.pdf</t>
  </si>
  <si>
    <t>MSF2262000004011_LP_VAS-DEO_24PCS.xlsx</t>
  </si>
  <si>
    <t>MSF2262000004031</t>
  </si>
  <si>
    <t>MSF2262000004031_PE_SGMR_42PCS.pdf</t>
  </si>
  <si>
    <t>MSF2262000004031_PE_SGMR_42PCS.xlsx</t>
  </si>
  <si>
    <t>MSF2262000004065</t>
  </si>
  <si>
    <t>MSF2262000004065_AS_DUMKA_7PCS.pdf</t>
  </si>
  <si>
    <t>MSF2262000004065_AS_DUMKA_7PCS.xlsx</t>
  </si>
  <si>
    <t>MSF2262000004068</t>
  </si>
  <si>
    <t>MSF2262000004068_AS_JSL_6PCS.pdf</t>
  </si>
  <si>
    <t>MSF2262000004068_AS_JSL_6PCS.xlsx</t>
  </si>
  <si>
    <t>MSF2262000004073</t>
  </si>
  <si>
    <t>MSF2262000004073_AS_FS-DEO_22PCS.pdf</t>
  </si>
  <si>
    <t>MSF2262000004073_AS_FS-DEO_22PCS.xlsx</t>
  </si>
  <si>
    <t>MSF2262000004074</t>
  </si>
  <si>
    <t>MSF2262000004074_AS_VAS-DEO_1PC.pdf</t>
  </si>
  <si>
    <t>MSF2262000004074_AS_VAS-DEO_1PC.xlsx</t>
  </si>
  <si>
    <t>MSF2262000004076</t>
  </si>
  <si>
    <t>MSF2262000004076_AS_FS-DEO_10PCS.pdf</t>
  </si>
  <si>
    <t>MSF2262000004076_AS_FS-DEO_10PCS.xlsx</t>
  </si>
  <si>
    <t>MSF2262000004079</t>
  </si>
  <si>
    <t>MSF2262000004079_LP_JSL_5PCS.pdf</t>
  </si>
  <si>
    <t>MSF2262000004079_LP_JSL_5PCS.xlsx</t>
  </si>
  <si>
    <t>MSF2262000004082</t>
  </si>
  <si>
    <t>MSF2262000004082_VH_VAS-DEO_5PCS.pdf</t>
  </si>
  <si>
    <t>MSF2262000004082_VH_VAS-DEO_5PCS.xlsx</t>
  </si>
  <si>
    <t>MSF2262000004083</t>
  </si>
  <si>
    <t>MSF2262000004083_VH_JSL_6PCS.pdf</t>
  </si>
  <si>
    <t>MSF2262000004083_VH_JSL_6PCS.xlsx</t>
  </si>
  <si>
    <t>OVERSEAS ENTERPRISES(AMBRELI)_INV370_BGP_76PCS.pdf</t>
  </si>
  <si>
    <t>OVERSEAS ENTERPRISES(AMBRELI)_INV370_BGP_76PCS.xlsx</t>
  </si>
  <si>
    <t>JOCKEY(WS673).pdf</t>
  </si>
  <si>
    <t>JOCKEY(WS673).xlsx</t>
  </si>
  <si>
    <t>MSF2261000005845</t>
  </si>
  <si>
    <t>MSF2261000005845_PE_GAYA_5PCS.pdf</t>
  </si>
  <si>
    <t>MSF2261000005845_PE_GAYA_5PCS.xlsx</t>
  </si>
  <si>
    <t>MSF2262000002149</t>
  </si>
  <si>
    <t>MSF2262000002149_AS_SBJ_8PCS.PDF</t>
  </si>
  <si>
    <t>MSF2262000002149_AS_SBJ_8PCS.xlsx</t>
  </si>
  <si>
    <t>MSF2262000004066</t>
  </si>
  <si>
    <t>MSF2262000004066_AS_SBJ_8PCS.pdf</t>
  </si>
  <si>
    <t>MSF2262000004066_AS_SBJ_8PCS.xlsx</t>
  </si>
  <si>
    <t>MSF2262000004230</t>
  </si>
  <si>
    <t>MSF2262000004230_PE_SAN_5PCS.pdf</t>
  </si>
  <si>
    <t>MSF2262000004230_PE_SAN_5PCS.xlsx</t>
  </si>
  <si>
    <t>SHREE NARAYANI ENTERPRISES (P2CRS26-548).pdf</t>
  </si>
  <si>
    <t>SHREE NARAYANI ENTERPRISES (P2CRS26-548).xlsx</t>
  </si>
  <si>
    <t>SHRI MAHAVIR ENTERPRISES(JOCKEY)_INV84_HZB_29PCS.pdf</t>
  </si>
  <si>
    <t>SHRI MAHAVIR ENTERPRISES(JOCKEY)_INV84_HZB_29PCS.xlsx</t>
  </si>
  <si>
    <t>SHRI MAHAVIR ENTERPRISES(JOCKEY)_INV94_HZB_64PCS.pdf</t>
  </si>
  <si>
    <t>SHRI MAHAVIR ENTERPRISES(JOCKEY)_INV94_HZB_64PCS.xlsx</t>
  </si>
  <si>
    <t>SHRI MAHAVIR ENTERPRISES(JOCKEY)_INV97_HZB_23PCS.pdf</t>
  </si>
  <si>
    <t>SHRI MAHAVIR ENTERPRISES(JOCKEY)_INV97_HZB_23PCS.xlsx</t>
  </si>
  <si>
    <t>SHRI MAHAVIR ENTERPRISES(JOCKEY)_INV153_HZB_32PCS.pdf</t>
  </si>
  <si>
    <t>SHRI MAHAVIR ENTERPRISES(JOCKEY)_INV153_HZB_32PCS.xlsx</t>
  </si>
  <si>
    <t>SHRI MAHAVIR ENTERPRISES(JOCKEY)_INV204_HZB_10PCS.pdf</t>
  </si>
  <si>
    <t>SHRI MAHAVIR ENTERPRISES(JOCKEY)_INV204_HZB_10PCS.xlsx</t>
  </si>
  <si>
    <t>VINAYAK EMPORIUM(BANJARAN)_INV005_SGMR_63PCS.pdf</t>
  </si>
  <si>
    <t>VINAYAK EMPORIUM(BANJARAN)_INV005_SGMR_63PCS.xlsx</t>
  </si>
  <si>
    <t>VISHAL MARKETING &amp; CO(FM)-656.pdf</t>
  </si>
  <si>
    <t>VISHAL MARKETING &amp; CO(FM)-656.xlsx</t>
  </si>
  <si>
    <t>SUSHILA ENTERPRISES- 133.pdf</t>
  </si>
  <si>
    <t>SUSHILA ENTERPRISES- 133.xlsx</t>
  </si>
  <si>
    <t>MSF2262000004473</t>
  </si>
  <si>
    <t>MSF2262000004473_PE_FS-DEO_7PCS.pdf</t>
  </si>
  <si>
    <t>MSF2262000004473_PE_FS-DEO_7PCS.xlsx</t>
  </si>
  <si>
    <t>MSF2262000004229</t>
  </si>
  <si>
    <t>MSF2262000004229_PE_FS-DEO_1PC.pdf</t>
  </si>
  <si>
    <t>MSF2262000004229_PE_FS-DEO_1PC.xlsx</t>
  </si>
  <si>
    <t>MSF2262000004170</t>
  </si>
  <si>
    <t>MSF2262000004170_PE_FS-DEO_1PC.pdf</t>
  </si>
  <si>
    <t>MSF2262000004170_PE_FS-DEO_1PC.xlsx</t>
  </si>
  <si>
    <t>MSF2261000006349</t>
  </si>
  <si>
    <t>MSF2261000006349_PE_PATNA_20PCS.pdf</t>
  </si>
  <si>
    <t>MSF2261000006349_PE_PATNA_20PCS.xlsx</t>
  </si>
  <si>
    <t>MSF2261000005956</t>
  </si>
  <si>
    <t>MSF2261000005956_PE_GAYA_1PC.pdf</t>
  </si>
  <si>
    <t>MSF2261000005956_PE_GAYA_1PC.xlsx</t>
  </si>
  <si>
    <t>MSF2262000004635</t>
  </si>
  <si>
    <t>MSF2262000004635_PE_FS-DEO_1PC.pdf</t>
  </si>
  <si>
    <t>MSF2262000004635_PE_FS-DEO_1PC.xlsx</t>
  </si>
  <si>
    <t>KDPS (26IH-323743-011) MBO BOKARO.pdf</t>
  </si>
  <si>
    <t>KDPS (26IH-323743-011) MBO BOKARO.xlsx</t>
  </si>
  <si>
    <t>KDPS (26IH-323743-010) VAISHNAVI DEOGHAR.pdf</t>
  </si>
  <si>
    <t>KDPS (26IH-323743-010) VAISHNAVI DEOGHAR.xlsx</t>
  </si>
  <si>
    <t>KDPS (26IH-323743-009) MBO SAHEBGANJ.pdf</t>
  </si>
  <si>
    <t>KDPS (26IH-323743-009) MBO SAHEBGANJ.xlsx</t>
  </si>
  <si>
    <t>KDPS (26IH-323743-008).pdf</t>
  </si>
  <si>
    <t>KDPS (26IH-323743-008).xlsx</t>
  </si>
  <si>
    <t>KDPS (26IH-323743-007) JOCKEY BANKA.pdf</t>
  </si>
  <si>
    <t>KDPS (26IH-323743-007) JOCKEY BANKA.xlsx</t>
  </si>
  <si>
    <t>KDPS (26-IH-323743-006) JOCKEY BANKA.pdf</t>
  </si>
  <si>
    <t>KDPS (26-IH-323743-006) JOCKEY BANKA.xlsx</t>
  </si>
  <si>
    <t>KDPS ( 26IH-323743-012) VAISHNAVI SINGHMORE.pdf</t>
  </si>
  <si>
    <t>KDPS ( 26IH-323743-012) VAISHNAVI SINGHMORE.xlsx</t>
  </si>
  <si>
    <t>FASHION MARKETING(NOSTRUM)_INV291_HBZ_12PCS.pdf</t>
  </si>
  <si>
    <t>FASHION MARKETING(NOSTRUM)_INV291_HBZ_12PCS.xlsx</t>
  </si>
  <si>
    <t>INDTECH APPARELS(FAHRENHEIT )_INV0116_JSL_16PCS.pdf</t>
  </si>
  <si>
    <t>INDTECH APPARELS(FAHRENHEIT )_INV0116_JSL_16PCS.xlsx</t>
  </si>
  <si>
    <t>JOCKEY(WS674).pdf</t>
  </si>
  <si>
    <t>JOCKEY(WS674).xlsx</t>
  </si>
  <si>
    <t>KDPS (26IH-323743-013) FASHION STUDIO.pdf</t>
  </si>
  <si>
    <t>KDPS (26IH-323743-013) FASHION STUDIO.xlsx</t>
  </si>
  <si>
    <t>KDPS (26IH-323743-014) FASHION STUDIO.pdf</t>
  </si>
  <si>
    <t>KDPS (26IH-323743-014) FASHION STUDIO.xlsx</t>
  </si>
  <si>
    <t>MSF2261000006358</t>
  </si>
  <si>
    <t>MSF2261000006358_PE_KLG2_197PCS.pdf</t>
  </si>
  <si>
    <t>MSF2261000006358_PE_KLG2_197PCS.xlsx</t>
  </si>
  <si>
    <t>SHREE RADHE MATCHING CENTER - 99.pdf</t>
  </si>
  <si>
    <t>SHREE RADHE MATCHING CENTER - 99.xlsx</t>
  </si>
  <si>
    <t>SHREE RADHE MATCHING CENTER - 178.pdf</t>
  </si>
  <si>
    <t>SHREE RADHE MATCHING CENTER - 178.xlsx</t>
  </si>
  <si>
    <t>SHRI MAHAVIR ENTERPRISES(JOCKEY)_INV102_HZB_20PCS_FEMALE.pdf</t>
  </si>
  <si>
    <t>SHRI MAHAVIR ENTERPRISES(JOCKEY)_INV102_HZB_20PCS_FEMALE.xlsx</t>
  </si>
  <si>
    <t>SHUBH SHRI CLOTHING(MINELLI)_JSL_INV1308_105PCS.pdf</t>
  </si>
  <si>
    <t>SHUBH SHRI CLOTHING(MINELLI)_JSL_INV1308_105PCS.xlsx</t>
  </si>
  <si>
    <t>SUSHILA ENTERPRISES-53.pdf</t>
  </si>
  <si>
    <t>SUSHILA ENTERPRISES-53.xlsx</t>
  </si>
  <si>
    <t>KDPS (26IH-323743-015) VAISHNAVI SINGHMORE.pdf</t>
  </si>
  <si>
    <t>KDPS (26IH-323743-015) VAISHNAVI SINGHMORE.xlsx</t>
  </si>
  <si>
    <t>INVOICE NUMBER</t>
  </si>
  <si>
    <t>INVOICE DATE</t>
  </si>
  <si>
    <t>BRAND</t>
  </si>
  <si>
    <t>COLOR</t>
  </si>
  <si>
    <t>GENDER</t>
  </si>
  <si>
    <t>SUB CATEGORY</t>
  </si>
  <si>
    <t>TYPE</t>
  </si>
  <si>
    <t>ITEM</t>
  </si>
  <si>
    <t>FIT</t>
  </si>
  <si>
    <t>SIZE</t>
  </si>
  <si>
    <t>BARCODE</t>
  </si>
  <si>
    <t>DESIGN</t>
  </si>
  <si>
    <t>HSN</t>
  </si>
  <si>
    <t>QTY</t>
  </si>
  <si>
    <t>MRP</t>
  </si>
  <si>
    <t>BASIC</t>
  </si>
  <si>
    <t>P RATE</t>
  </si>
  <si>
    <t>INPUT TAX</t>
  </si>
  <si>
    <t>OUTPUT TAX</t>
  </si>
  <si>
    <t>NAG</t>
  </si>
  <si>
    <t>MARGIN</t>
  </si>
  <si>
    <t>MONTH</t>
  </si>
  <si>
    <t>PMS</t>
  </si>
  <si>
    <t>PREMIUM</t>
  </si>
  <si>
    <t>FEMALE</t>
  </si>
  <si>
    <t>CASUAL WEAR</t>
  </si>
  <si>
    <t>BOTTOM WEAR</t>
  </si>
  <si>
    <t>JEANS</t>
  </si>
  <si>
    <t>REGULAR</t>
  </si>
  <si>
    <t>PMS-762</t>
  </si>
  <si>
    <t>PMS-612</t>
  </si>
  <si>
    <t>MALE</t>
  </si>
  <si>
    <t>INNERWEAR</t>
  </si>
  <si>
    <t>ACCESSORIES</t>
  </si>
  <si>
    <t>BRIEF</t>
  </si>
  <si>
    <t>M</t>
  </si>
  <si>
    <t>US07M279</t>
  </si>
  <si>
    <t>US07-0110-ASSTD</t>
  </si>
  <si>
    <t>VEST</t>
  </si>
  <si>
    <t>S</t>
  </si>
  <si>
    <t>8820S259</t>
  </si>
  <si>
    <t>8820-0110-WHITE</t>
  </si>
  <si>
    <t>8820M249</t>
  </si>
  <si>
    <t>L</t>
  </si>
  <si>
    <t>8820L249</t>
  </si>
  <si>
    <t>8820M669</t>
  </si>
  <si>
    <t>8820-0310-WHITE</t>
  </si>
  <si>
    <t>KDPS PARTY LEDGER SUMMARY</t>
  </si>
  <si>
    <t>Opening Balance</t>
  </si>
  <si>
    <t>GR Value</t>
  </si>
  <si>
    <t>Interest If Any</t>
  </si>
  <si>
    <t>Due As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</si>
</sst>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&quot;-&quot;yyyy"/>
    <numFmt numFmtId="165" formatCode="mm-dd-yyyy"/>
    <numFmt numFmtId="166" formatCode="m-d-yyyy"/>
    <numFmt numFmtId="167" formatCode="dd&quot;-&quot;mmmm&quot;-&quot;yyyy"/>
    <numFmt numFmtId="168" formatCode="&quot;$&quot;#,##0.00"/>
    <numFmt numFmtId="169" formatCode="m/yyyy"/>
    <numFmt numFmtId="170" formatCode="m-d-yy"/>
  </numFmts>
  <fonts count="30">
    <font>
      <sz val="10.0"/>
      <color rgb="FF000000"/>
      <name val="Arial"/>
      <scheme val="minor"/>
    </font>
    <font>
      <b/>
      <sz val="12.0"/>
      <color rgb="FFFFFFFF"/>
      <name val="Georgia"/>
    </font>
    <font/>
    <font>
      <b/>
      <sz val="12.0"/>
      <color rgb="FFFFFFFF"/>
      <name val="Merriweather"/>
    </font>
    <font>
      <color theme="1"/>
      <name val="Georgia"/>
    </font>
    <font>
      <sz val="12.0"/>
      <color theme="1"/>
      <name val="Georgia"/>
    </font>
    <font>
      <b/>
      <sz val="8.0"/>
      <color theme="1"/>
      <name val="Merriweather"/>
    </font>
    <font>
      <b/>
      <color theme="1"/>
      <name val="Merriweather"/>
    </font>
    <font>
      <b/>
      <u/>
      <color theme="1"/>
      <name val="Merriweather"/>
    </font>
    <font>
      <b/>
      <u/>
      <color theme="1"/>
      <name val="Merriweather"/>
    </font>
    <font>
      <sz val="11.0"/>
      <color theme="1"/>
      <name val="Cambria"/>
    </font>
    <font>
      <b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color theme="1"/>
      <name val="Arial"/>
    </font>
    <font>
      <color theme="1"/>
      <name val="Arial"/>
      <scheme val="minor"/>
    </font>
    <font>
      <b/>
      <sz val="13.0"/>
      <color rgb="FFFFFFFF"/>
      <name val="Lora"/>
    </font>
    <font>
      <sz val="14.0"/>
      <color theme="1"/>
      <name val="Georgia"/>
    </font>
    <font>
      <b/>
      <sz val="11.0"/>
      <color theme="1"/>
      <name val="Merriweather"/>
    </font>
    <font>
      <b/>
      <u/>
      <sz val="11.0"/>
      <color theme="1"/>
      <name val="Cambria"/>
    </font>
    <font>
      <b/>
      <u/>
      <sz val="11.0"/>
      <color theme="1"/>
      <name val="Cambria"/>
    </font>
    <font>
      <color theme="1"/>
      <name val="Cambria"/>
    </font>
    <font>
      <b/>
      <sz val="14.0"/>
      <color rgb="FFFFFFFF"/>
      <name val="Cambria"/>
    </font>
    <font>
      <b/>
      <sz val="14.0"/>
      <color rgb="FFFFFFFF"/>
      <name val="Merriweather"/>
    </font>
    <font>
      <color theme="1"/>
      <name val="Merriweather"/>
    </font>
    <font>
      <b/>
      <sz val="12.0"/>
      <color rgb="FF000000"/>
      <name val="Merriweather"/>
    </font>
    <font>
      <b/>
      <i/>
      <sz val="12.0"/>
      <color rgb="FF000000"/>
      <name val="Merriweather"/>
    </font>
    <font>
      <sz val="11.0"/>
      <color theme="1"/>
      <name val="Merriweather"/>
    </font>
  </fonts>
  <fills count="9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</fills>
  <borders count="16">
    <border/>
    <border>
      <left style="medium">
        <color rgb="FF9900FF"/>
      </left>
      <top style="medium">
        <color rgb="FF9900FF"/>
      </top>
      <bottom style="medium">
        <color rgb="FF9900FF"/>
      </bottom>
    </border>
    <border>
      <top style="medium">
        <color rgb="FF9900FF"/>
      </top>
      <bottom style="medium">
        <color rgb="FF9900FF"/>
      </bottom>
    </border>
    <border>
      <right style="medium">
        <color rgb="FF9900FF"/>
      </right>
      <top style="medium">
        <color rgb="FF9900FF"/>
      </top>
      <bottom style="medium">
        <color rgb="FF9900FF"/>
      </bottom>
    </border>
    <border>
      <left style="medium">
        <color rgb="FF9900FF"/>
      </left>
      <right style="medium">
        <color rgb="FF9900FF"/>
      </right>
      <top style="medium">
        <color rgb="FF9900FF"/>
      </top>
      <bottom style="medium">
        <color rgb="FF99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6E8"/>
      </left>
      <right style="thick">
        <color rgb="FF4A86E8"/>
      </right>
      <top style="thick">
        <color rgb="FF4A86E8"/>
      </top>
      <bottom style="thick">
        <color rgb="FF4A86E8"/>
      </bottom>
    </border>
    <border>
      <left style="thick">
        <color rgb="FF4A86E8"/>
      </left>
      <right style="thick">
        <color rgb="FF4A86E8"/>
      </right>
      <top style="thick">
        <color rgb="FF4A86E8"/>
      </top>
    </border>
    <border>
      <left style="thick">
        <color rgb="FF4A86E8"/>
      </left>
      <right style="thick">
        <color rgb="FF4A86E8"/>
      </right>
    </border>
    <border>
      <left style="thick">
        <color rgb="FF4A86E8"/>
      </left>
      <right style="thick">
        <color rgb="FF4A86E8"/>
      </right>
      <bottom style="thick">
        <color rgb="FF4A86E8"/>
      </bottom>
    </border>
    <border>
      <left style="medium">
        <color rgb="FF9900FF"/>
      </left>
      <right style="medium">
        <color rgb="FF9900FF"/>
      </right>
      <top style="medium">
        <color rgb="FF9900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top style="thick">
        <color rgb="FF3C78D8"/>
      </top>
      <bottom style="thick">
        <color rgb="FF3C78D8"/>
      </bottom>
    </border>
    <border>
      <left style="thick">
        <color rgb="FF3C78D8"/>
      </left>
      <right style="thick">
        <color rgb="FF3C78D8"/>
      </right>
      <top style="thick">
        <color rgb="FF3C78D8"/>
      </top>
      <bottom style="thick">
        <color rgb="FF3C78D8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3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 readingOrder="0" vertical="center"/>
    </xf>
    <xf borderId="4" fillId="3" fontId="1" numFmtId="3" xfId="0" applyAlignment="1" applyBorder="1" applyFont="1" applyNumberForma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7" numFmtId="3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7" numFmtId="165" xfId="0" applyAlignment="1" applyBorder="1" applyFont="1" applyNumberFormat="1">
      <alignment horizontal="center" readingOrder="0" vertical="center"/>
    </xf>
    <xf borderId="4" fillId="0" fontId="7" numFmtId="166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4" fillId="0" fontId="7" numFmtId="3" xfId="0" applyAlignment="1" applyBorder="1" applyFont="1" applyNumberFormat="1">
      <alignment horizontal="center" vertical="center"/>
    </xf>
    <xf borderId="6" fillId="4" fontId="1" numFmtId="0" xfId="0" applyAlignment="1" applyBorder="1" applyFill="1" applyFont="1">
      <alignment horizontal="center" readingOrder="0" vertical="center"/>
    </xf>
    <xf borderId="6" fillId="4" fontId="1" numFmtId="167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6" fillId="0" fontId="10" numFmtId="167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6" fillId="0" fontId="13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6" fillId="0" fontId="10" numFmtId="4" xfId="0" applyAlignment="1" applyBorder="1" applyFont="1" applyNumberFormat="1">
      <alignment horizontal="center" readingOrder="0" vertical="center"/>
    </xf>
    <xf borderId="7" fillId="0" fontId="14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readingOrder="0" vertical="center"/>
    </xf>
    <xf borderId="6" fillId="0" fontId="10" numFmtId="168" xfId="0" applyAlignment="1" applyBorder="1" applyFont="1" applyNumberFormat="1">
      <alignment horizontal="center" readingOrder="0" vertical="center"/>
    </xf>
    <xf borderId="6" fillId="0" fontId="15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0" fontId="10" numFmtId="167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ont="1">
      <alignment horizontal="center" shrinkToFit="0" vertical="center" wrapText="0"/>
    </xf>
    <xf borderId="4" fillId="3" fontId="1" numFmtId="49" xfId="0" applyAlignment="1" applyBorder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49" xfId="0" applyAlignment="1" applyBorder="1" applyFont="1" applyNumberFormat="1">
      <alignment horizontal="center" readingOrder="0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4" fillId="0" fontId="10" numFmtId="9" xfId="0" applyAlignment="1" applyBorder="1" applyFont="1" applyNumberFormat="1">
      <alignment horizontal="center" readingOrder="0" shrinkToFit="0" vertical="center" wrapText="0"/>
    </xf>
    <xf quotePrefix="1" borderId="4" fillId="0" fontId="10" numFmtId="49" xfId="0" applyAlignment="1" applyBorder="1" applyFont="1" applyNumberForma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49" xfId="0" applyAlignment="1" applyBorder="1" applyFont="1" applyNumberFormat="1">
      <alignment horizontal="center" shrinkToFit="0" vertical="center" wrapText="0"/>
    </xf>
    <xf borderId="3" fillId="2" fontId="18" numFmtId="3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8" numFmtId="4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3" fillId="2" fontId="1" numFmtId="4" xfId="0" applyAlignment="1" applyBorder="1" applyFont="1" applyNumberFormat="1">
      <alignment horizontal="center" readingOrder="0" vertical="center"/>
    </xf>
    <xf borderId="4" fillId="2" fontId="1" numFmtId="2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3" fontId="1" numFmtId="1" xfId="0" applyAlignment="1" applyBorder="1" applyFont="1" applyNumberFormat="1">
      <alignment horizontal="center" readingOrder="0" vertical="center"/>
    </xf>
    <xf borderId="4" fillId="3" fontId="1" numFmtId="167" xfId="0" applyAlignment="1" applyBorder="1" applyFont="1" applyNumberFormat="1">
      <alignment horizontal="center" readingOrder="0" vertical="center"/>
    </xf>
    <xf borderId="10" fillId="3" fontId="1" numFmtId="4" xfId="0" applyAlignment="1" applyBorder="1" applyFont="1" applyNumberForma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4" fillId="3" fontId="1" numFmtId="4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9" xfId="0" applyAlignment="1" applyBorder="1" applyFont="1" applyNumberFormat="1">
      <alignment horizontal="center" readingOrder="0" vertical="center"/>
    </xf>
    <xf borderId="4" fillId="0" fontId="11" numFmtId="1" xfId="0" applyAlignment="1" applyBorder="1" applyFont="1" applyNumberFormat="1">
      <alignment horizontal="center" readingOrder="0" vertical="center"/>
    </xf>
    <xf borderId="4" fillId="0" fontId="11" numFmtId="167" xfId="0" applyAlignment="1" applyBorder="1" applyFont="1" applyNumberFormat="1">
      <alignment horizontal="center" readingOrder="0" vertical="center"/>
    </xf>
    <xf borderId="1" fillId="0" fontId="20" numFmtId="3" xfId="0" applyAlignment="1" applyBorder="1" applyFont="1" applyNumberFormat="1">
      <alignment horizontal="center" readingOrder="0" vertical="center"/>
    </xf>
    <xf borderId="4" fillId="0" fontId="20" numFmtId="4" xfId="0" applyAlignment="1" applyBorder="1" applyFont="1" applyNumberForma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4" fillId="0" fontId="11" numFmtId="4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vertical="center"/>
    </xf>
    <xf borderId="4" fillId="0" fontId="11" numFmtId="169" xfId="0" applyAlignment="1" applyBorder="1" applyFont="1" applyNumberForma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4" fillId="5" fontId="11" numFmtId="0" xfId="0" applyAlignment="1" applyBorder="1" applyFill="1" applyFont="1">
      <alignment horizontal="center" readingOrder="0" vertical="center"/>
    </xf>
    <xf borderId="4" fillId="0" fontId="11" numFmtId="170" xfId="0" applyAlignment="1" applyBorder="1" applyFont="1" applyNumberFormat="1">
      <alignment horizontal="center" readingOrder="0" vertical="center"/>
    </xf>
    <xf borderId="1" fillId="0" fontId="11" numFmtId="1" xfId="0" applyAlignment="1" applyBorder="1" applyFont="1" applyNumberFormat="1">
      <alignment horizontal="center" readingOrder="0" vertical="center"/>
    </xf>
    <xf borderId="4" fillId="0" fontId="20" numFmtId="3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1" fillId="0" fontId="20" numFmtId="4" xfId="0" applyAlignment="1" applyBorder="1" applyFont="1" applyNumberFormat="1">
      <alignment horizontal="center" readingOrder="0" vertical="center"/>
    </xf>
    <xf borderId="4" fillId="0" fontId="20" numFmtId="4" xfId="0" applyAlignment="1" applyBorder="1" applyFont="1" applyNumberFormat="1">
      <alignment horizontal="left" readingOrder="0" vertical="center"/>
    </xf>
    <xf borderId="12" fillId="0" fontId="23" numFmtId="0" xfId="0" applyAlignment="1" applyBorder="1" applyFont="1">
      <alignment horizontal="center" vertical="center"/>
    </xf>
    <xf borderId="12" fillId="0" fontId="23" numFmtId="167" xfId="0" applyAlignment="1" applyBorder="1" applyFont="1" applyNumberFormat="1">
      <alignment horizontal="center" vertical="center"/>
    </xf>
    <xf borderId="12" fillId="0" fontId="23" numFmtId="1" xfId="0" applyAlignment="1" applyBorder="1" applyFont="1" applyNumberFormat="1">
      <alignment horizontal="center" vertical="center"/>
    </xf>
    <xf borderId="12" fillId="0" fontId="23" numFmtId="4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12" fillId="6" fontId="24" numFmtId="0" xfId="0" applyAlignment="1" applyBorder="1" applyFill="1" applyFont="1">
      <alignment horizontal="center" vertical="center"/>
    </xf>
    <xf borderId="12" fillId="6" fontId="24" numFmtId="167" xfId="0" applyAlignment="1" applyBorder="1" applyFont="1" applyNumberFormat="1">
      <alignment horizontal="center" vertical="center"/>
    </xf>
    <xf borderId="12" fillId="6" fontId="24" numFmtId="1" xfId="0" applyAlignment="1" applyBorder="1" applyFont="1" applyNumberFormat="1">
      <alignment horizontal="center" vertical="center"/>
    </xf>
    <xf borderId="12" fillId="6" fontId="24" numFmtId="4" xfId="0" applyAlignment="1" applyBorder="1" applyFont="1" applyNumberForma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0" fontId="10" numFmtId="1" xfId="0" applyAlignment="1" applyBorder="1" applyFont="1" applyNumberFormat="1">
      <alignment horizontal="center" readingOrder="0" vertical="center"/>
    </xf>
    <xf borderId="12" fillId="0" fontId="10" numFmtId="167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horizontal="center" readingOrder="0" vertical="center"/>
    </xf>
    <xf borderId="12" fillId="0" fontId="10" numFmtId="1" xfId="0" applyAlignment="1" applyBorder="1" applyFont="1" applyNumberFormat="1">
      <alignment horizontal="center" readingOrder="0" vertical="center"/>
    </xf>
    <xf borderId="12" fillId="0" fontId="10" numFmtId="4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vertical="center"/>
    </xf>
    <xf borderId="12" fillId="0" fontId="10" numFmtId="1" xfId="0" applyAlignment="1" applyBorder="1" applyFont="1" applyNumberFormat="1">
      <alignment horizontal="center" vertical="center"/>
    </xf>
    <xf borderId="12" fillId="0" fontId="10" numFmtId="4" xfId="0" applyAlignment="1" applyBorder="1" applyFont="1" applyNumberFormat="1">
      <alignment horizontal="center" vertical="center"/>
    </xf>
    <xf borderId="13" fillId="7" fontId="25" numFmtId="0" xfId="0" applyAlignment="1" applyBorder="1" applyFill="1" applyFont="1">
      <alignment horizontal="center" readingOrder="0" vertical="center"/>
    </xf>
    <xf borderId="14" fillId="7" fontId="25" numFmtId="4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center"/>
    </xf>
    <xf borderId="15" fillId="8" fontId="27" numFmtId="0" xfId="0" applyAlignment="1" applyBorder="1" applyFill="1" applyFont="1">
      <alignment horizontal="center" vertical="center"/>
    </xf>
    <xf borderId="15" fillId="8" fontId="28" numFmtId="4" xfId="0" applyAlignment="1" applyBorder="1" applyFont="1" applyNumberFormat="1">
      <alignment horizontal="center" readingOrder="0" vertical="center"/>
    </xf>
    <xf borderId="15" fillId="8" fontId="27" numFmtId="0" xfId="0" applyAlignment="1" applyBorder="1" applyFont="1">
      <alignment horizontal="center" readingOrder="0" vertical="center"/>
    </xf>
    <xf borderId="15" fillId="8" fontId="28" numFmtId="0" xfId="0" applyAlignment="1" applyBorder="1" applyFont="1">
      <alignment horizontal="center" readingOrder="0" vertical="center"/>
    </xf>
    <xf borderId="15" fillId="0" fontId="29" numFmtId="167" xfId="0" applyAlignment="1" applyBorder="1" applyFont="1" applyNumberFormat="1">
      <alignment horizontal="center" vertical="center"/>
    </xf>
    <xf borderId="15" fillId="0" fontId="29" numFmtId="4" xfId="0" applyAlignment="1" applyBorder="1" applyFont="1" applyNumberFormat="1">
      <alignment horizontal="center" vertical="center"/>
    </xf>
    <xf borderId="15" fillId="0" fontId="29" numFmtId="0" xfId="0" applyAlignment="1" applyBorder="1" applyFont="1">
      <alignment horizontal="center" vertical="center"/>
    </xf>
    <xf borderId="15" fillId="0" fontId="29" numFmtId="0" xfId="0" applyAlignment="1" applyBorder="1" applyFont="1">
      <alignment horizontal="center" readingOrder="0" vertical="center"/>
    </xf>
    <xf borderId="15" fillId="0" fontId="29" numFmtId="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DPS Jharkhandops" id="{7bf90487-30ac-4050-8dba-3f8779dd4088}" providerId="google-sheets"/>
  <x18tc:person displayName="TBose BMKDPS" id="{809d0789-92fc-4bb1-a6a6-1666635fd80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T1994" sheet="INVOICE DETAILS."/>
  </cacheSource>
  <cacheFields>
    <cacheField name="Supplier Name" numFmtId="0">
      <sharedItems containsBlank="1">
        <s v="D D SALES CO"/>
        <s v="ADITYA BIRLA"/>
        <s v="ROOP LAXMI SAREES (P) LTD"/>
        <s v="D APPAREL"/>
        <s v="VISHAL MARKETING &amp; CO."/>
        <s v="SOUL INDIA"/>
        <s v="D S CREATION"/>
        <s v="PLAZER FABRICS"/>
        <s v="P R MODI AND SONS"/>
        <s v="C2D VENTURES LLP"/>
        <s v="DIL SE"/>
        <s v="SARAOGI SUPER SALES PVT LTD"/>
        <s v="KIRAN CREATION"/>
        <s v="SHRIJEE ENTERPRISES"/>
        <s v="TATHASTU ENTERPRISE"/>
        <s v="JAIN ADISHWAR HOSIERY WORKS LLP"/>
        <s v="SHRITHIK DESIGNER LLP"/>
        <s v="UNNATI CREATION"/>
        <s v="AS TEXTILE"/>
        <s v="WILSON PRINTS"/>
        <s v="NARVADA TEXTILES"/>
        <s v="V N TEXTILE"/>
        <s v="SHREE NARAYANI ENTERPRISE"/>
        <s v="JAY AMBEY SAREES"/>
        <s v="GTN ENGINEERING INDIA LTD"/>
        <s v="ANAYA DESIGNER"/>
        <s v="MUKESH AGRAWAL"/>
        <s v="B B FASHIONS"/>
        <s v="GAJENDRA OVERSEAS"/>
        <s v="SRI RADHEY MACHING CENTER"/>
        <s v="MEGHA DRESSES"/>
        <s v="SHUBH SHRI CLOTHING PVT LTD"/>
        <s v="NEW AVTAR APPARELS PVT LTD"/>
        <s v="SHRING APPARELS"/>
        <s v="SHREEJI CREATION"/>
        <s v="WORTH APPAREL"/>
        <s v="PUNEET APPARELS PVT LTD"/>
        <s v="M. N. GARMENTS"/>
        <s v="KEVIN ENTERPRISE"/>
        <s v="SHRI AMBIKA GARMENTS"/>
        <s v="MOHAN CLOTHING COMPANY PVT LTD"/>
        <s v="SUSHILA ENTERPRISES"/>
        <s v="T T APPAREL"/>
        <s v="TAYAL GARMENTS PVT. LTD."/>
        <s v="EMPORIO SIDDHARTH SALES PRIVATE LIMITED"/>
        <s v="VAREITY TEXTILE"/>
        <s v="DS YUVRAAJ"/>
        <s v="RAASHI"/>
        <s v="POONAM FASHION"/>
        <s v="FLAIR KIDS CAMP"/>
        <s v="RR CREATION"/>
        <s v="ASHMITA BOUTIQUE PVT. LTD."/>
        <s v="SRI KRISHNA AGENCIES"/>
        <s v="MADAM"/>
        <s v="GAURAV TEXTILES"/>
        <s v="FASHION WORLD GARMENTS PVT LTD"/>
        <s v="SURYA ETHNIC FASHION(INDIA) PVT. LTD."/>
        <s v="SKY CLOTHING"/>
        <s v="TARUN APPARELS"/>
        <s v="A P TEXTILES"/>
        <s v="D D APPARELS"/>
        <s v="GHARAUNDA"/>
        <s v="SIDDHI CLOTHING CO."/>
        <s v="SIYA FASHION"/>
        <s v="SHRI SAI ENTERPRISES"/>
        <s v="SHREE BALAJI"/>
        <s v="SAAGEDO INTERNATIONAL"/>
        <s v="ARP FASHION PVT LTD"/>
        <s v="EK OMKAR"/>
        <s v="SAI ENTERPRISE"/>
        <s v="DAVINDER SANDHU IMPEX PRIVATE LIMITED"/>
        <s v="VEEDAM FASHIONS"/>
        <s v="DIYA CREATION"/>
        <s v="M B ENTERPRISES"/>
        <s v="SOURABH GARMENTS PRIVATE LIMITED"/>
        <s v="KIDCITY SOLUTIONS PRIVATE LIMITED"/>
        <s v="MYGLAM"/>
        <s v="NATIONAL COTTAGE INDUSTRIES"/>
        <s v="SINGLA COLLECTIONS PVT. LTD"/>
        <s v="RAMESHWAR TRADING CO."/>
        <s v="P M SONS"/>
        <s v="HYPHEN GARMENTS PVT. LTD."/>
        <s v="SAESHA CREATION"/>
        <s v="GEETANSHI APPARELS"/>
        <s v="SHRI MAHAVIR ENTERPRISES"/>
        <s v="SIDDHARTH FASHION"/>
        <s v="OM GANPATI ENTERPRISES"/>
        <s v="DHANVI RITIKA FASHION"/>
        <s v="RTC GARMENTEX PVT LTD"/>
        <s v="SHREE SANSKRUTI"/>
        <m/>
        <s v="PLAZER GARMENTS"/>
        <s v="FASHION EARTH GARMENTS PVT LTD"/>
        <s v="PAYAL GARMENTS"/>
        <s v="FASHION STUDIO"/>
        <s v="VINAYAK EMPORIUM PVT LIMITED"/>
        <s v="JAY AMBEY TEXTILE"/>
        <s v="VIP INDUSTRIES LIMITED (GODDA)JH"/>
        <s v="ANAND FABRICS"/>
        <s v="SHREE KUNDAN PRINTS"/>
        <s v="SAAKSH APPARELS"/>
        <s v="ZENITH FABRICS"/>
        <s v="OVERSEAS ENTERPRISES PVT LTD"/>
        <s v="B.K ENTERPRISES"/>
        <s v="D D DEVELOPER"/>
        <s v="HS CREATION"/>
        <s v="C2D DISTRIBUTORS"/>
        <s v="JAY AMBEY DESIGNER"/>
        <s v="KDPS LIFESTYLE PVT LTD"/>
        <s v="UDHAV ENTERPRISES"/>
        <s v="WEAR ON ENSEMBLES PRIVATE LIMITED"/>
        <s v="WONDERS"/>
        <s v="A &amp; T ENGROS PVT LTD"/>
        <s v="SAGAR ENTERPRISES"/>
        <s v="PARAS TEXTILES"/>
        <s v="B.K.SILK MILLS NX LLP"/>
        <s v="KASHNI"/>
        <s v="SHREE EMPORIUM"/>
        <s v="AAROHI FASHION"/>
        <s v="AJJAWAM DESIGNER PRIVATE LIMITED"/>
        <s v="BLAZO CLOTHING MANUFACTURING CO PVT LTD"/>
        <s v="LADDU PRINTS"/>
        <s v="MANIYAR SYNTHETICS PRIVATE LIMITED"/>
        <s v="SHRI SIDHI VINAYAK"/>
        <s v="MANOHAR SONS"/>
        <s v="FASHION MARKETING"/>
        <s v="INDTECH APPARELS PVT. LTD."/>
      </sharedItems>
    </cacheField>
    <cacheField name="Brand Name" numFmtId="0">
      <sharedItems containsBlank="1">
        <s v="KILLER"/>
        <s v="-"/>
        <s v="रूप लक्ष्मी"/>
        <s v="KHUSHAL/STATUS QUO"/>
        <s v="YES MAAM"/>
        <s v="WELSPUN, VAN HEUSEN"/>
        <s v="JOCKEY"/>
        <s v="PETTY COAT"/>
        <s v="MINELLI"/>
        <s v="MUFTI"/>
        <s v="CHARCHIT"/>
        <s v="TWILLS"/>
        <s v="BLACKBERRY"/>
        <s v="VAN HEUSEN"/>
        <s v="JOCKEY, LIBAS, ROCKIT, INTIGRITI, AMERICAN TOURISTER"/>
        <s v="GOCOLOURS"/>
        <s v="DS YUVRAAJ"/>
        <s v="NIRZARI/RAASHI"/>
        <s v="PRETTY GIRL"/>
        <s v="MADAM"/>
        <m/>
        <s v="FW"/>
        <s v="SWEET DREAMS"/>
        <s v="RUH"/>
        <s v="HYPHEN"/>
        <s v="PEPPER MINT"/>
        <s v="SANSKAR"/>
        <s v=""/>
        <s v="SEWBERRY"/>
        <s v="DMG/KRMS/TME/S"/>
        <s v="FS-DEO"/>
        <s v="BANJARAN"/>
        <s v="LITTLE PINK"/>
        <s v="WELSPUN"/>
        <s v="WO"/>
        <s v="BLAZO"/>
      </sharedItems>
    </cacheField>
    <cacheField name="Agency Company" numFmtId="0">
      <sharedItems containsBlank="1">
        <s v="-"/>
        <s v="NEPOLIAN"/>
        <s v="DIRECT"/>
        <s v="SURYAM TEXTILE AGENCY"/>
        <s v="RTC"/>
        <m/>
        <s v="SUNRISE AGENCY"/>
        <s v=""/>
      </sharedItems>
    </cacheField>
    <cacheField name="Credit Days">
      <sharedItems containsBlank="1" containsMixedTypes="1" containsNumber="1" containsInteger="1">
        <s v="NO"/>
        <s v="-"/>
        <n v="60.0"/>
        <n v="15.0"/>
        <n v="50.0"/>
        <n v="30.0"/>
        <n v="21.0"/>
        <n v="45.0"/>
        <n v="7.0"/>
        <m/>
        <s v=""/>
        <n v="10.0"/>
      </sharedItems>
    </cacheField>
    <cacheField name="CD %">
      <sharedItems containsBlank="1" containsMixedTypes="1" containsNumber="1">
        <s v="-"/>
        <n v="0.03"/>
        <n v="5.0"/>
        <s v="10% IN BILL"/>
        <s v="5% IN BILL"/>
        <n v="0.09"/>
        <n v="0.02"/>
        <n v="2.0"/>
        <n v="0.1"/>
        <s v="NET"/>
        <m/>
        <n v="0.05"/>
        <s v=""/>
      </sharedItems>
    </cacheField>
    <cacheField name="Invoice No">
      <sharedItems containsDate="1" containsBlank="1" containsMixedTypes="1">
        <s v="JKL-159"/>
        <s v="MSF2252000010422"/>
        <s v="MSF2251000012742"/>
        <s v="RL/8362/25-26"/>
        <s v="RL/8360/25-26"/>
        <s v="DA/25-26/0605"/>
        <s v="D/1212"/>
        <s v="MSF2251000022820"/>
        <s v="MSF2251000022940"/>
        <s v="MSF2251000923014"/>
        <s v="MSF2252000024323"/>
        <s v="EOS1-48"/>
        <s v="MSF2251000025530"/>
        <s v="MSF2251000025536"/>
        <s v="DS/5296/25-26"/>
        <n v="2265.0"/>
        <n v="19221.0"/>
        <n v="19222.0"/>
        <n v="19220.0"/>
        <n v="19240.0"/>
        <s v="IH/25-26/965"/>
        <s v="IH/25-26/964"/>
        <s v="2025-26/1316"/>
        <s v="25-26/BBS13151"/>
        <s v="SOCCRS25/770"/>
        <s v="IH/25-26/984"/>
        <s v="THCRS25/430"/>
        <n v="8579.0"/>
        <s v="J/25-26/10186"/>
        <d v="1953-07-01T00:00:00Z"/>
        <s v="416/PF"/>
        <n v="131.0"/>
        <n v="132.0"/>
        <n v="125.0"/>
        <n v="122.0"/>
        <n v="135.0"/>
        <n v="134.0"/>
        <n v="120.0"/>
        <n v="121.0"/>
        <n v="119.0"/>
        <n v="118.0"/>
        <n v="133.0"/>
        <n v="124.0"/>
        <n v="123.0"/>
        <n v="130.0"/>
        <n v="126.0"/>
        <n v="128.0"/>
        <n v="129.0"/>
        <n v="127.0"/>
        <n v="2581.0"/>
        <s v="SCRS25/1953"/>
        <s v="VN/G/25/2489"/>
        <s v="P2CRS25/2606"/>
        <s v="P2CRS25/2605"/>
        <n v="6635.0"/>
        <n v="6636.0"/>
        <n v="162.0"/>
        <n v="161.0"/>
        <s v="252193/25-26"/>
        <s v="252194/25-26"/>
        <n v="2864.0"/>
        <n v="2865.0"/>
        <n v="175.0"/>
        <s v="GSTN-964"/>
        <s v="RE/20/25-26"/>
        <s v="DA/25-26/0754"/>
        <s v="GSTN-965"/>
        <s v="GSTN-962"/>
        <n v="3001.0"/>
        <n v="3991.0"/>
        <s v="J/25-26/10323"/>
        <s v="J/25-26/10335"/>
        <s v="GSTN-988"/>
        <s v="J/25-26/10388"/>
        <n v="597.0"/>
        <s v="25-26/BLRS1700"/>
        <s v="MSF2252000027777"/>
        <s v="MSF2252000027759"/>
        <s v="MSF2252000027872"/>
        <s v="MSF2252000027910"/>
        <s v="MSF2252000027897"/>
        <s v="MSF2252000027883"/>
        <s v="MSF2252000027853"/>
        <s v="25-26/BLRS1730"/>
        <s v="MSF2252000027975"/>
        <s v="MSF2252000027998"/>
        <s v="MSF2252000027977"/>
        <s v="MSF2252000028200"/>
        <s v="MSF2252000028211"/>
        <s v="MSF2252000028202"/>
        <s v="MSF2252000028210"/>
        <s v="MSF2252000028198"/>
        <s v="25-26/3058"/>
        <s v="MSF2252000028201"/>
        <s v="25-26/BLRS1755"/>
        <s v="25-26/BLRS1753"/>
        <s v="MSF2252000028299"/>
        <s v="SS/25-26/04989"/>
        <s v="MSF2252000028380"/>
        <s v="25-26/MUMS6190"/>
        <s v="25-26/MUMS6191"/>
        <s v="25-26/MUMS6192"/>
        <s v="25-26/MUMS6194"/>
        <s v="25-26/MUMS6196"/>
        <s v="25-26/MUMS6195"/>
        <s v="25-26/MUMS6193"/>
        <s v="25-26/3057"/>
        <s v="MSF2252000028382"/>
        <s v="25-26/BLRS1783"/>
        <s v="GST/SALES/232"/>
        <s v="25-26/BLRS1798"/>
        <s v="MSF2252000028554"/>
        <s v="MSF2252000028541"/>
        <s v="MSF2252000028545"/>
        <s v="MSF2252000028542"/>
        <n v="9309.0"/>
        <s v="SMFS25-26-001885"/>
        <s v="SMFS25-26-001884"/>
        <s v="MSF2251000030462"/>
        <s v="MSF2252000028540"/>
        <s v="MSF2252000028548"/>
        <s v="MSF2252000028544"/>
        <s v="SG-1331"/>
        <s v="MSF2252000028641"/>
        <s v="25-26/2646"/>
        <n v="294.0"/>
        <s v="MSF2252000028635"/>
        <n v="7592.0"/>
        <n v="1.2514935E7"/>
        <s v="MSF2252000028796"/>
        <s v="25-26/2665"/>
        <n v="1.2514978E7"/>
        <n v="1.251495E7"/>
        <n v="1.2514955E7"/>
        <n v="1.2514954E7"/>
        <n v="1.2514975E7"/>
        <s v="MSF2252000028853"/>
        <s v="MSF2252000028859"/>
        <s v="MSF2252000028852"/>
        <s v="25-26/2240"/>
        <n v="3147.0"/>
        <n v="306.0"/>
        <s v="SAG-0720-2526"/>
        <s v="MSF2252000028854"/>
        <s v="MSF2250600580154"/>
        <s v="MSF2252000028943"/>
        <s v="MSF2252000028948"/>
        <s v="MSF2252000028945"/>
        <s v="MSF2252000028953"/>
        <n v="8.500266551E9"/>
        <n v="7722.0"/>
        <s v="MSF2252000028944"/>
        <s v="MSF2252000028952"/>
        <s v="25-26/MUMS 6626"/>
        <s v="GSTN-1079"/>
        <s v="IH/321912/755"/>
        <s v="VHS/321910/332"/>
        <s v="MSF2251000031118"/>
        <s v="IH/25-26/1081"/>
        <s v="GSTN-1080"/>
        <s v="ADD-253"/>
        <n v="8.500267105E9"/>
        <s v="MSF2252000029021"/>
        <s v="MSF2252000029023"/>
        <s v="INT/192"/>
        <s v="IH/321912/756"/>
        <s v="IH/321910/333"/>
        <s v="25-26/BLRS/1855"/>
        <s v="MSF2252000029022"/>
        <s v="2GCS25-26-000006"/>
        <n v="40091.0"/>
        <s v="DS/01028/25-26"/>
        <s v="N/1581"/>
        <s v="25-26/BLRS/1868"/>
        <n v="2830.0"/>
        <n v="7813.0"/>
        <n v="6708.0"/>
        <s v="25-26/JPS5322"/>
        <s v="25-26/JPS5320"/>
        <s v="25-26/JPS5319"/>
        <s v="25-26/JPS5318"/>
        <s v="KZ/25-26/0421"/>
        <s v="25-26/JPS5335"/>
        <s v="25-26/JPS5334"/>
        <s v="25-26/JPS5333"/>
        <s v="25-26/JPS5332"/>
        <s v="25-26/CCKS4634"/>
        <s v="DS/6581/25-26"/>
        <s v="DS/6582/25-26"/>
        <s v="AB/008931/25-26"/>
        <s v="SG-1414"/>
        <s v="25-26/BLRS/1898"/>
        <n v="311.0"/>
        <s v="SKA/25-26/0951"/>
        <s v="MDM/1147/25-26"/>
        <s v="2166GT-25-26"/>
        <s v="25-26/2326"/>
        <s v="GST/019056/25-26"/>
        <s v="SEF/060721/25-26"/>
        <s v="1279/25-26"/>
        <s v="25-26/CCKS4685"/>
        <s v="TCRS25/386"/>
        <s v="MDCRS25/3739"/>
        <n v="23090.0"/>
        <s v="INV2526-3409"/>
        <s v="DDSL-114"/>
        <s v="VN/G/25/2712"/>
        <s v="P2CRS25/2873"/>
        <s v="DDSL-111"/>
        <s v="SCRS25/805"/>
        <s v="DA/25-26/0772"/>
        <s v="MSF2251000031884"/>
        <s v="25-26/SC1813"/>
        <s v="25-26/BLRS/1954"/>
        <n v="318.0"/>
        <s v="MSF2252000029532"/>
        <n v="1606.0"/>
        <n v="319.0"/>
        <s v="SS/25-26/05247"/>
        <s v="2025-26/2161"/>
        <s v="2025-26/2162"/>
        <s v="DA/25-26/0794"/>
        <s v="SB/2025-26/1509"/>
        <s v="VHS/321910/338"/>
        <s v="IH/321912/776"/>
        <s v="SI/25-26/000675"/>
        <n v="317.0"/>
        <s v="MSF2251000031981"/>
        <s v="MSF2252000029569"/>
        <s v="MSF2252000029599"/>
        <s v="ARP/FS/201/25-26"/>
        <s v="SMFS25-26-002129"/>
        <s v="JS13807"/>
        <s v="DA/25-26/0798"/>
        <s v="DA/25-26/0799"/>
        <s v="MSF2251000032277"/>
        <s v="MSF2252000029793"/>
        <s v="25-26/JPS 5548"/>
        <s v="161/25-26"/>
        <s v="DVN/25-26/1422"/>
        <s v="25-26/JPS/5590"/>
        <s v="25-26/JPS/5589"/>
        <n v="8.500270722E9"/>
        <s v="25-26/LDHS11142"/>
        <s v="VF/25-26/00767"/>
        <s v="25-26/2385"/>
        <n v="23711.0"/>
        <n v="679.0"/>
        <n v="835.0"/>
        <n v="7055.0"/>
        <n v="8.500271636E9"/>
        <s v="DA/25-26/0814"/>
        <s v="SS/25-26/05364"/>
        <s v="GSTN-1146"/>
        <s v="WB106"/>
        <n v="1146.0"/>
        <n v="1135.0"/>
        <n v="221.0"/>
        <s v="25-26/DEL/0411"/>
        <s v="KC/25-26/1205"/>
        <s v="KC/25-26/1206"/>
        <n v="8.500272297E9"/>
        <s v="MSF2252000030105"/>
        <s v="INV/2025-26/416"/>
        <s v="25-26/02717"/>
        <n v="719.0"/>
        <s v="25-26/BLRS2006"/>
        <s v="R-0413/25-26"/>
        <s v="BN-PMS/25-26/3430"/>
        <s v="25-26/2433"/>
        <s v="25-26/2434"/>
        <s v="SB/2025-26/1579"/>
        <s v="MSF2251000032852"/>
        <s v="MSF2252000030229"/>
        <s v="MSF2252000030244"/>
        <s v="MSF2252000030280"/>
        <s v="MSF2251000032901"/>
        <s v="MSF2252000030226"/>
        <s v="HPNS25-26-011915"/>
        <s v="MSF2252000030227"/>
        <s v="MSF2252000030265"/>
        <s v="MSF2252000030266"/>
        <s v="MSF2252000030281"/>
        <s v="MSF2252000030288"/>
        <s v="MSF2252000030257"/>
        <s v="MSF2252000030233"/>
        <s v="MSF2252000030240"/>
        <s v="MSF2252000030242"/>
        <s v="MSF2252000030243"/>
        <s v="6352/E"/>
        <s v="MSF2250600616404"/>
        <s v="MSF2252000030230"/>
        <s v="2GCS25-26-000016"/>
        <s v="DA/25-26/0834"/>
        <s v="PMNT/2526/137"/>
        <s v="SOCCRS25/517"/>
        <s v="PR2CRS25/651"/>
        <s v="MDCCRS25/777"/>
        <s v="MSF2252000030436"/>
        <s v="MSF2251000033093"/>
        <s v="MSF2252000030388"/>
        <s v="MSF2252000030308"/>
        <s v="MSF2252000030310"/>
        <s v="MSF2252000030315"/>
        <s v="MSF2252000030381"/>
        <s v="MSF2252000030389"/>
        <s v="MSF2252000030390"/>
        <s v="MSF2252000030420"/>
        <s v="MSF2252000030427"/>
        <s v="MSF2252000030434"/>
        <s v="MSF2252000030470"/>
        <s v="DA/25-26/0849"/>
        <n v="8.500273403E9"/>
        <s v="MSF2251000033095"/>
        <s v="MSF2252000030305"/>
        <s v="MSF2252000030339"/>
        <s v="MSF2252000030378"/>
        <s v="MSF2252000030380"/>
        <s v="MSF2252000030382"/>
        <s v="MSF2252000030387"/>
        <s v="MSF2252000030397"/>
        <s v="MSF2252000030426"/>
        <s v="MSF2252000030433"/>
        <s v="MSF22502000030398"/>
        <s v="MSF2252000030451"/>
        <s v="MSF2252000030385"/>
        <s v="25-26/2008"/>
        <s v="25-26/1165"/>
        <s v="DS/01136/25-26"/>
        <s v="MSF2250600619944"/>
        <s v="WS2637"/>
        <s v="WS2638"/>
        <s v="25-26/SAN/11127"/>
        <s v="MSF2250600622236"/>
        <s v="MSF2252000030635"/>
        <s v="MSF2252000030651"/>
        <d v="2242-07-01T00:00:00Z"/>
        <s v="MSF2252000030653"/>
        <s v="MSF2252000030661"/>
        <s v="MSF2252000030675"/>
        <s v="MSF2252000030677"/>
        <s v="MSF2252000030693"/>
        <s v="MSF2252000030652"/>
        <s v="SB4650/25-26"/>
        <n v="8.500274196E9"/>
        <s v="MSF2252000030662"/>
        <s v="MSF2252000030676"/>
        <n v="8.500273795E9"/>
        <s v="MSF2252000030678"/>
        <s v="MSF2252000030694"/>
        <s v="MSF2252000030692"/>
        <n v="1.2516352E7"/>
        <s v="MSF2252000030755"/>
        <s v="WB117"/>
        <s v="MSF2252000030765"/>
        <s v="MSF2252000030766"/>
        <s v="MSF2252000030792"/>
        <s v="MSF2252000030775"/>
        <s v="SCRS25/852"/>
        <n v="8.500274639E9"/>
        <n v="338.0"/>
        <n v="339.0"/>
        <s v="MSF2252000030774"/>
        <s v="MSF2252000030779"/>
        <s v="MSF2252000030793"/>
        <s v="MSF2252000030816"/>
        <s v="MSF2252000030828"/>
        <n v="7081.0"/>
        <s v="MSF2252000030811"/>
        <s v="MSF2252000030822"/>
        <s v="MSF2252000030844"/>
        <s v="MSF2252000030819"/>
        <s v="MSF2251000033778"/>
        <s v="MSF2252000030813"/>
        <s v="MSF2252000030817"/>
        <s v="MSF2252000030830"/>
        <s v="MSF2252000030831"/>
        <s v="MSF2252000030843"/>
        <s v="MSF2252000030829"/>
        <s v="MSF2252000030832"/>
        <s v="MSF2252000030958"/>
        <n v="8.500275412E9"/>
        <s v="SL00001505"/>
        <s v="SL00001506"/>
        <s v="S/428"/>
        <s v="J/25-26/11427"/>
        <s v="J/25-26/11421"/>
        <n v="3544.0"/>
        <s v="BN-PMS/25-26/3496"/>
        <s v="FES/003314/25-26"/>
        <s v="FES/003315/25-26"/>
        <s v="J/25-26/11415"/>
        <s v="MSF2252000031045"/>
        <s v="MSF2252000031050"/>
        <n v="3898.0"/>
        <s v="DA/25-26/0865"/>
        <s v="P2CRS25/3060"/>
        <s v="J/25-26/11454"/>
        <s v="J/25-26/11455"/>
        <s v="25-26/2472"/>
        <s v="25-26/2474"/>
        <n v="3031.0"/>
        <n v="3608.0"/>
        <s v="D/1584"/>
        <s v="D/1585"/>
        <s v="D/1586"/>
        <s v="S/25-26/3379"/>
        <s v="S/25-26/3380"/>
        <s v="J/25-26/11463"/>
        <s v="DA/25-26/0873"/>
        <s v="DA/25-26/0874"/>
        <s v="J/25-26/11483"/>
        <s v="J/25-26/11485"/>
        <s v="J/25-26/11486"/>
        <s v="J/25-26/11484"/>
        <s v="J/25-26/11452"/>
        <s v="MSF2251000034124"/>
        <s v="J/25-26/11470"/>
        <s v="J/25-26/11475"/>
        <s v="BN-PMS/25-26/ 3517"/>
        <s v="25-26/2079"/>
        <s v="D/1595"/>
        <n v="1019.0"/>
        <s v="BN-PMS/25-26/3543"/>
        <s v="252565/25-26"/>
        <s v="252566/25-26"/>
        <s v="MSF2251000034398"/>
        <s v="MSF2251000034399"/>
        <s v="MSF2251000034400"/>
        <s v="BN-PMS/25-26/ 3540"/>
        <n v="8.500277677E9"/>
        <s v="MSF2251000034518"/>
        <s v="MSF2252000031260"/>
        <s v="MSF2252000031371"/>
        <s v="MSF2252000031376"/>
        <s v="MSF2252000031377"/>
        <s v="MSF2252000031382"/>
        <s v="MSF2252000031383"/>
        <s v="MSF2252000031395"/>
        <s v="GSTN-1163"/>
        <s v="MI1216"/>
        <s v="MSF2252000031363"/>
        <s v="MSF2252000031372"/>
        <s v="MSF2252000031396"/>
        <s v="MSF2252000031398"/>
        <s v="MSF2252000031261"/>
        <s v="MSF2252000031362"/>
        <s v="MSF2252000031364"/>
        <s v="MSF2252000031370"/>
        <s v="1760/25-26"/>
        <s v="NOT AVAILABLE"/>
        <s v="S/25-26/3437"/>
        <s v="S/25-26/3456"/>
        <n v="707.0"/>
        <s v="GSTN-1181"/>
        <n v="1020.0"/>
        <s v="S/25-26/3443"/>
        <s v="S/25-26/3460"/>
        <s v="S/25-26/3440"/>
        <s v="S/25-26/3441"/>
        <s v="S/25-26/3454"/>
        <s v="MSF2251000034632"/>
        <s v="MSF2251000034633"/>
        <s v="DA/25-26/0889"/>
        <s v="DA/25-26/0890"/>
        <s v="MSF2252000031468"/>
        <s v="SMFS25-26-002294"/>
        <n v="8.500278375E9"/>
        <s v="MSF2251000034667"/>
        <s v="J/25-26/11568"/>
        <s v="MSF2252000031484"/>
        <s v="MSF2252000031486"/>
        <s v="MSF2252000031488"/>
        <s v="MSF2252000031493"/>
        <s v="MSF2252000031487"/>
        <s v="KZ/25-26/0471"/>
        <s v="SG-1647"/>
        <s v="MSF2252000031491"/>
        <s v="MSF2252000031494"/>
        <s v="MSF2252000031485"/>
        <s v="DDSL-122"/>
        <s v="DA/25-26/0898"/>
        <s v="PROM-34"/>
        <s v="GSTN-1200"/>
        <s v="J/25-26/11616"/>
        <s v="D/1632"/>
        <s v="J/25-26/11624"/>
        <s v="J/25-26/11629"/>
        <s v="S/25-26/3479"/>
        <s v="S/25-26/3483"/>
        <s v="S/25-26/3480"/>
        <s v="MSF2250600640900"/>
        <s v="GSTN-1205"/>
        <s v="KL-25260506"/>
        <s v="KCS252636257"/>
        <s v="MSF2252000031591"/>
        <s v="MSF2252000031595"/>
        <s v="MSF2252000031600"/>
        <s v="MSF2252000031602"/>
        <s v="MSF2251000034700"/>
        <s v="25-26/MUMS7536"/>
        <s v="25-26/MUMS7537"/>
        <s v="MSF2252000031599"/>
        <s v="MSF2252000031601"/>
        <s v="MSF2252000031604"/>
        <s v="DDLS-128"/>
        <s v="1777/25-26"/>
        <s v="MSF2252000031594"/>
        <s v="MSF2252000031714"/>
        <s v="S/25-26/3488"/>
        <s v="VEP/003136/25-26"/>
        <s v="DA/25-26/0911"/>
        <s v="VEP/003137/25-26"/>
        <s v="MSF2252000031716"/>
        <s v="MSF2252000031711"/>
        <s v="MSF2252000031712"/>
        <s v="MSF2252000031715"/>
        <s v="MSF2252000031629"/>
        <n v="8.500279719E9"/>
        <s v="G/1358"/>
        <n v="2.576109809E9"/>
        <n v="2.57610981E9"/>
        <s v="TR/25-26/78"/>
        <s v="EDCRS25/529"/>
        <s v="SCRS25/2295"/>
        <s v="MDCRS25/4114"/>
        <n v="2.526103686E9"/>
        <s v="MSF2251000034981"/>
        <s v="MSF2251000034982"/>
        <s v="MSF2251000034983"/>
        <s v="MSF2251000034984"/>
        <s v="MSF2251000034985"/>
        <s v="MSF2251000034986"/>
        <s v="MSF2251000034987"/>
        <s v="MSF2251000034988"/>
        <s v="MSF2251000034989"/>
        <s v="MSF2251000034990"/>
        <s v="14820/25-26"/>
        <s v="14821/25-26"/>
        <n v="3576.0"/>
        <s v="SMFS25-26-002336"/>
        <s v="SS/25-26/05719"/>
        <n v="8540.0"/>
        <s v="SA144/25-26"/>
        <s v="S/25-26/3520"/>
        <s v="S/25-26/3508"/>
        <s v="S/25-26/3509"/>
        <s v="S/25-26/3519"/>
        <s v="J/25-26/11744"/>
        <s v="SB/2025-26/1666"/>
        <s v="HPNS25-26-012802"/>
        <n v="937.0"/>
        <s v="ACE-161"/>
        <s v="IH/321912/819"/>
        <s v="MSF2252000032060"/>
        <s v="MSF2252000032059"/>
        <s v="N/1735"/>
        <s v="25-26/JPS6037"/>
        <s v="S/25-26/3540"/>
        <s v="S/25-26/3539"/>
        <n v="8.500282683E9"/>
        <s v="J/25-26/11793"/>
        <s v="SS/25-26/05761"/>
        <s v="ADD-289"/>
        <s v="CI/25-26/000673"/>
        <s v="KC/25-26/1317"/>
        <s v="KC/25-26/1316"/>
        <s v="OD/0885"/>
        <n v="8653.0"/>
        <n v="8654.0"/>
        <n v="8655.0"/>
        <s v="OD/0886"/>
        <s v="GSTN-1260"/>
        <s v="ROCK/122"/>
        <s v="LIB/056"/>
        <s v="KAM/299"/>
        <s v="G/1365"/>
        <n v="8.500284054E9"/>
        <s v="S/463"/>
        <s v="J/25-26/11869"/>
        <s v="KL-25260518"/>
        <s v="25-26/2612"/>
        <s v="PMNT/2526/168"/>
        <s v="VL/2526/BLU-220"/>
        <n v="8.500285263E9"/>
        <s v="SMFS25-26-002373"/>
        <s v="S/25-26/3588"/>
        <s v="J/25-26/11897"/>
        <s v="SS/25-26/05869"/>
        <n v="365.0"/>
        <n v="364.0"/>
        <s v="DA/25-26/0951"/>
        <s v="IL/321913/162"/>
        <s v="IH/32191/835"/>
        <s v="DA/25-26/0954"/>
        <s v="DA/25-26/0952"/>
        <s v="DA/25-26/0953"/>
        <s v="MSF2251000035952"/>
        <s v="MSF2251000035949"/>
        <s v="DA/25-26/0955"/>
        <s v="MSF2251000036004"/>
        <s v="MSF2251000035954"/>
        <s v="MSF2251000035953"/>
        <s v="MSF2251000035950"/>
        <s v="MSF2252000032499"/>
        <s v="MSF2252000032500"/>
        <s v="IH/25-26/1201"/>
        <n v="25289.0"/>
        <n v="25286.0"/>
        <n v="25285.0"/>
        <n v="25291.0"/>
        <n v="25290.0"/>
        <n v="25203.0"/>
        <s v="S/25-26/3607"/>
        <s v="SMFS25-26-002454"/>
        <s v="SMFS25-26-002449"/>
        <s v="SMFS25-26-002455"/>
        <s v="SMFS25-26-002476"/>
        <s v="HPNS25-26-013192"/>
        <s v="SMFS25-26-002477"/>
        <s v="MSF2251000036173"/>
        <s v="25-26/BLRS2119"/>
        <n v="8.500286716E9"/>
        <s v="25-26/2666"/>
        <s v="25-26/2667"/>
        <n v="3826.0"/>
        <s v="J/25-26/12024"/>
        <s v="J/25-26/12020"/>
        <s v="2GCS25-26-000023"/>
        <d v="2382-07-01T00:00:00Z"/>
        <s v="489/PF"/>
        <s v="2GCS2S-26-000024"/>
        <n v="9119.0"/>
        <s v="L03TI25/1102"/>
        <s v="ROCK/124"/>
        <n v="3848.0"/>
        <s v="MSF2251000036390"/>
        <s v="MSF2251000036388"/>
        <s v="MSF2251000036394"/>
        <s v="MSF2252000032816"/>
        <n v="8.500288043E9"/>
        <s v="MSF2252000032818"/>
        <s v="MSF2252000032817"/>
        <s v="25-26/SC2007"/>
        <s v="J/25-26/12105"/>
        <s v="GSTN-1278"/>
        <s v="VEP/003216/25-26"/>
        <s v="VEP/003217/25-26"/>
        <s v="MSF2251000036500"/>
        <s v="MSF2251000036499"/>
        <s v="VL/2526/BLU-233"/>
        <s v="MSF2252000032893"/>
        <s v="VEP/003230/25-26"/>
        <s v="2071-GST/2025-26"/>
        <n v="8.500288967E9"/>
        <s v="VEP/003231/25-26"/>
        <s v="MSF2251000036605"/>
        <s v="MSF2252000032977"/>
        <s v="MSF2252000032976"/>
        <d v="2401-07-01T00:00:00Z"/>
        <s v="S/25-26/3659"/>
        <s v="J/25-26/12164"/>
        <s v="J/25-26/12155"/>
        <n v="433.0"/>
        <s v="SB1134"/>
        <s v="DLS/25228/25-26"/>
        <n v="432.0"/>
        <s v="MSF2251000036685"/>
        <s v="MSF2251000036686"/>
        <s v="SS/25-26/06058"/>
        <d v="2408-07-01T00:00:00Z"/>
        <s v="25-26/BLRS2138"/>
        <s v="25-26/BLRS2134"/>
        <s v="25-26/BLRS2133"/>
        <s v="25-26/BLRS2130"/>
        <s v="25-26/BLRS2131"/>
        <s v="25-26/BLRS2132"/>
        <n v="5010.0"/>
        <n v="434.0"/>
        <s v="25-26/2269"/>
        <s v="INT/214"/>
        <s v="DDSL-138"/>
        <n v="46438.0"/>
        <n v="46470.0"/>
        <n v="46468.0"/>
        <s v="MSF2252000033373"/>
        <s v="MSF2252000033338"/>
        <s v="MSF2252000033339"/>
        <s v="SS/25-26/06161"/>
        <s v="MSF2251000037277"/>
        <s v="MSF2251000037272"/>
        <s v="MSF2251000037275"/>
        <s v="MSF2251000037276"/>
        <s v="MSF2251000037207"/>
        <s v="MSF2251000037273"/>
        <s v="MSF2251000037208"/>
        <s v="IL/321913/165"/>
        <s v="IH/321912/854"/>
        <n v="4707.0"/>
        <s v="26-27/BLRS3"/>
        <s v="RE/1/26-27"/>
        <s v="DA/26-27/0005"/>
        <n v="2444.0"/>
        <n v="13.0"/>
        <s v="26-27/JPS72"/>
        <s v="GSTN-22"/>
        <s v="GSTN-18"/>
        <s v="GSTN-12"/>
        <s v="S/10"/>
        <n v="151.0"/>
        <s v="SMFS26-27-000045"/>
        <s v="DA/26-27/0022"/>
        <s v="SEF/000394/26-27"/>
        <s v="J/26-27/60"/>
        <n v="43.0"/>
        <s v="S/26-27/42"/>
        <s v="S/26-27/41"/>
        <s v="S/26-27/40"/>
        <s v="S/26-27/39"/>
        <s v="S/26-27/37"/>
        <s v="S/26-27/30"/>
        <s v="J/26-27/64"/>
        <s v="J/26-27/68"/>
        <s v="S/26-27/5"/>
        <s v="S/26-27/2"/>
        <s v="S/26-27/4"/>
        <s v="S/26-27/3"/>
        <s v="26-27/BLRS33"/>
        <n v="15.0"/>
        <n v="16.0"/>
        <n v="17.0"/>
        <n v="18.0"/>
        <s v="J/26-27/97"/>
        <s v="J/26-27/91"/>
        <s v="J/26-27/96"/>
        <n v="1112.0"/>
        <s v="JKL-10"/>
        <n v="1111.0"/>
        <n v="1121.0"/>
        <s v="J/26-27/156"/>
        <s v="P2CRS26/38"/>
        <s v="BN-PMS/26-27/77"/>
        <n v="71.0"/>
        <s v="VN/GI26/70"/>
        <s v="VN/GI26/69"/>
        <s v="JCRS26/10"/>
        <s v="MDCRS26/49"/>
        <n v="649.0"/>
        <s v="26-27/79"/>
        <s v="DA/26-27/0043"/>
        <n v="21.0"/>
        <s v="SKC-26/27-12"/>
        <s v="J/26-27/245"/>
        <s v="26-27/48"/>
        <s v="SMFS26-27-000130"/>
        <s v="J/26-27/247"/>
        <s v="DA/26-27/0056"/>
        <s v="PMNT/2627/13"/>
        <s v="HPNS26-27-000342"/>
        <n v="27.0"/>
        <s v="S/37"/>
        <s v="DA/26-27/0064"/>
        <s v="DA/26-27/0052"/>
        <s v="S/26-27/144"/>
        <s v="S/26-27/141"/>
        <s v="MSF2262000000530"/>
        <s v="MSF2262000000532"/>
        <s v="MSF2262000000535"/>
        <s v="MSF2262000000542"/>
        <s v="MSF2261000000856"/>
        <s v="MSF2262000000545"/>
        <s v="MSF2262000000531"/>
        <s v="MSF2262000000539"/>
        <s v="MSF2262000000536"/>
        <s v="MSF2262000000541"/>
        <s v="MSF2262000000544"/>
        <s v="MSF2262000000537"/>
        <s v="MSF2262000000540"/>
        <s v="MSF2262000000538"/>
        <s v="HSC-26/27-004"/>
        <s v="GC/26-27/9"/>
        <n v="23.0"/>
        <n v="26.0"/>
        <n v="29.0"/>
        <s v="PR1CRS26/25"/>
        <n v="31.0"/>
        <s v="PR2CRS26/27"/>
        <s v="JFHCRS26/8"/>
        <s v="BARCRS26/9"/>
        <s v="MDCCRS26/27"/>
        <s v="SOCCRS26/17"/>
        <s v="MSF2262000000644"/>
        <s v="MSF2260600018923"/>
        <s v="MSF2260600018922"/>
        <s v="MSF2260600018925"/>
        <s v="MSF2262000000640"/>
        <s v="MSF2261000000997"/>
        <s v="MSF2262000000628"/>
        <s v="MSF2262000000630"/>
        <s v="MSF2260600018926"/>
        <s v="MSF2262000000645"/>
        <s v="MSF2260600019708"/>
        <s v="MSF2262000000620"/>
        <s v="MSF2262000000641"/>
        <s v="MSF2262000000618"/>
        <s v="MSF2262000000633"/>
        <s v="MSF2262000000642"/>
        <s v="MSF2262000000627"/>
        <s v="MSF2262000000625"/>
        <s v="MSF2262000000634"/>
        <s v="MSF2262000000626"/>
        <s v="MSF2262000000621"/>
        <s v="MSF2262000000619"/>
        <s v="MSF2260600018924"/>
        <s v="MSF2262000000629"/>
        <s v="J/26-27/308"/>
        <s v="J/26-27/315"/>
        <s v="MSF2262000000731"/>
        <s v="MSF2261000001102"/>
        <s v="MSF2262000000726"/>
        <n v="453.0"/>
        <s v="MSF2262000000732"/>
        <s v="MSF2262000000725"/>
        <s v="MSF2261000001087"/>
        <s v="MSF2262000000718"/>
        <s v="MSF2262000000713"/>
        <s v="MSF2262000000708"/>
        <s v="MSF2260600022256"/>
        <s v="MSF2262000000716"/>
        <s v="W26/10"/>
        <n v="144.0"/>
        <s v="ROCK/007"/>
        <s v="MSF2260600024118"/>
        <s v="MSF2260600024065"/>
        <s v="MSF2262900035373"/>
        <s v="MSF2260600024117"/>
        <s v="MSF2260600024116"/>
        <s v="MSF2262000000811"/>
        <s v="MSF2261000001212"/>
        <s v="MSF2261000001213"/>
        <s v="MSF2262000000823"/>
        <s v="MSF2262900035370"/>
        <s v="MSF2260600024066"/>
        <s v="MSF2262000000816"/>
        <s v="MSF2262000000812"/>
        <s v="G/134"/>
        <s v="MSF2262900035371"/>
        <s v="26-27/105"/>
        <n v="1440.0"/>
        <n v="1443.0"/>
        <s v="26-27/126"/>
        <s v="S/52"/>
        <s v="2026-27/110"/>
        <s v="DA/26-27/0080"/>
        <s v="DA/26-27/0083"/>
        <s v="S/55"/>
        <s v="26-27/139"/>
        <n v="3360.0"/>
        <n v="1109.0"/>
        <s v="J/26-27/425"/>
        <s v="J/26-27/438"/>
        <s v="MSF2261000001488"/>
        <s v="W26/16"/>
        <s v="MSF2262000001063"/>
        <s v="MSF2262000001064"/>
        <s v="MSF2262000001062"/>
        <n v="3599.0"/>
        <n v="3603.0"/>
        <n v="3542.0"/>
        <n v="3845.0"/>
        <s v="S/26-27/227"/>
        <s v="S/26-27/228"/>
        <s v="S/26-27/229"/>
        <s v="S/26-27/230"/>
        <s v="MSF2260600032805"/>
        <s v="MSF2260600032816"/>
        <s v="MSF2260600032801"/>
        <s v="MSF2262000001121"/>
        <s v="MSF2262900051519"/>
        <s v="MSF2262000001124"/>
        <s v="MSF2262900051511"/>
        <s v="FS-KDPS_78"/>
        <s v="FS-KDPS_85"/>
        <s v="FS-KDPS_104"/>
        <s v="BRCRS26/19"/>
        <s v="MSF2262000001119"/>
        <s v="MSF2260600032809"/>
        <s v="S/26-27/267"/>
        <n v="1755.0"/>
        <n v="1756.0"/>
        <n v="1760.0"/>
        <n v="295.0"/>
        <s v="DA/26-27/0102"/>
        <s v="GST/000954/26-27"/>
        <s v="GST/000956/26-27"/>
        <s v="GST/000957/26-27"/>
        <s v="GST/000962/26-27"/>
        <s v="FES/000258/26-27"/>
        <s v="FES/000257/26-27"/>
        <s v="WOE/0723/26-27"/>
        <s v="WOE/0724/26-27"/>
        <s v="WOE/0722/26-27"/>
        <s v="W/26-27/0037"/>
        <s v="VN/GI26/196"/>
        <s v="EDCRS26/22"/>
        <n v="1899.0"/>
        <s v="DD/JBN26/77"/>
        <s v="P2CRS26/152"/>
        <s v="INT/008"/>
        <s v="L03TI26/96"/>
        <s v="25/2026-27"/>
        <s v="DS/361/26-27"/>
        <s v="DS/365/26-27"/>
        <s v="DS/364/26-27"/>
        <s v="DS/362/26-27"/>
        <s v="SE/26-27/075"/>
        <s v="DS/360/26-27"/>
        <s v="MSF2262000001275"/>
        <n v="4411.0"/>
        <s v="MDCRS26/192"/>
        <s v="EDCRS26/34"/>
        <n v="259.0"/>
        <s v="P2CRS26/162"/>
        <s v="PECRS26/175"/>
        <s v="26-27/224"/>
        <s v="DA/26-27/0124"/>
        <s v="SCRS26/103"/>
        <s v="26-27/264"/>
        <s v="W26/82"/>
        <s v="26IH/323743/003"/>
        <s v="W26/17"/>
        <s v="DA/26-27/0215"/>
        <s v="JFHCRS26/378"/>
        <s v="WC/043"/>
        <s v="PMS/26-27/786"/>
        <s v="PECRS26/625"/>
        <s v="MDCRS26/680"/>
        <s v="MSF2262900051516"/>
        <s v="MSF2262000001129"/>
        <m/>
        <s v="MSF2262000001218"/>
        <s v="MSF2262000001217"/>
        <s v="MSF2262000000809"/>
        <s v="MSF2262000000824"/>
        <s v="MSF2262000000635"/>
        <s v="MSF2261000002416"/>
        <s v="MSF2261000002423"/>
        <s v="MSF2261000002425"/>
        <s v="MSF2261000002418"/>
        <s v="MSF2262000001274"/>
        <s v="MSF2261000002419"/>
        <s v="MSF2261000002420"/>
        <s v="MSF2261000001631"/>
        <s v="MSF2262900051513"/>
        <s v="MSF2262000001701"/>
        <s v="MSF2262000001702"/>
        <s v="MSF2262000001192"/>
        <s v="MSF2262000001190"/>
        <s v="MSF2262000001277"/>
        <s v="MSF2261000002202"/>
        <s v="MSF2261000001796"/>
        <s v="MSF2261000002092"/>
        <s v="MSF2261000002089"/>
        <s v="MSF2261000002090"/>
        <s v="MSF2262000000639"/>
        <s v="MSF2252000016262"/>
        <s v="MSF2252000015599"/>
        <s v="MSF2261000002385"/>
        <s v="MSF2261000002386"/>
        <s v="MSF2260600032804"/>
        <s v="MSF2262900061136"/>
        <s v="MSF2262900051518"/>
        <s v="MSF2262000000534"/>
        <s v="MSF2260600032812"/>
        <s v="MSF2262000001120"/>
        <s v="MSD2261000003105"/>
        <s v="MSF2262000001860"/>
        <s v="MSF2251000033081"/>
        <s v="MSF2251000035951"/>
        <s v="MSF2251000036389"/>
        <s v="MSF2251000036606"/>
        <s v="MSF2261000002409"/>
        <s v="MSF2261000002410"/>
        <s v="MSF2261000002411"/>
        <s v="MSF2261000002412"/>
        <s v="MSF2261000002413"/>
        <s v="MSF2261000002414"/>
        <s v="MSF2261000002417"/>
        <s v="MSF2261000002421"/>
        <s v="MSF2261000002422"/>
        <s v="MSF2261000002426"/>
        <s v="MSF2261000002525"/>
        <s v="MSF2261000002526"/>
        <s v="MSF2261000002527"/>
        <s v="MSF2261000002528"/>
        <s v="MSF2261000002678"/>
        <s v="MSF2261000002683"/>
        <s v="MSF2261000002693"/>
        <s v="MSF2261000002763"/>
        <s v="MSF2261000002764"/>
        <s v="MSF2261000002765"/>
        <s v="MSF2261000002766"/>
        <s v="MSF2261000002767"/>
        <s v="MSF2261000002768"/>
        <s v="MSF2261000002769"/>
        <s v="MSF2261000002770"/>
        <s v="MSF2261000002871"/>
        <s v="MSF2261000002893"/>
        <s v="MSF2261000002895"/>
        <s v="MSF2261000002896"/>
        <s v="MSF2261000002901"/>
        <s v="MSF2261000002902"/>
        <s v="MSF2261000003073"/>
        <s v="MSF2261000003085"/>
        <s v="MSF2261000003106"/>
        <s v="MSF2261000003107"/>
        <s v="MSF2261000003108"/>
        <s v="MSF2261000003164"/>
        <s v="MSF2261000003165"/>
        <s v="MSF2261000003166"/>
        <s v="MSF2261000003167"/>
        <s v="MSF2261000003212"/>
        <s v="MSF2261000003317"/>
        <s v="MSF2261000003387"/>
        <s v="MSF2261000003435"/>
        <s v="MSF2261000003483"/>
        <s v="MSF2261000003493"/>
        <s v="MSF2261000003920"/>
        <s v="MSF2261000004063"/>
        <s v="MSF2261000004068"/>
        <s v="MSF2261000004191"/>
        <s v="MSF2261000004192"/>
        <s v="MSF2261000004401"/>
        <s v="MSF2261000004402"/>
        <s v="MSF2261000004404"/>
        <s v="MSF2261000004648"/>
        <s v="MSF2262000001347"/>
        <s v="MSF2262000001692"/>
        <s v="MSF2262000001800"/>
        <s v="MSF2262000001801"/>
        <s v="MSF2262000001802"/>
        <s v="MSF2262000001803"/>
        <s v="MSF2262000001804"/>
        <s v="MSF2262000001809"/>
        <s v="MSF2262000001810"/>
        <s v="MSF2262000001811"/>
        <s v="MSF2262000001812"/>
        <s v="MSF2262000001813"/>
        <s v="MSF2262000001817"/>
        <s v="MSF2262000001861"/>
        <s v="MSF2262000001866"/>
        <s v="MSF2262000001868"/>
        <s v="MSF2262000001869"/>
        <s v="MSF2262000001871"/>
        <s v="MSF2262000001872"/>
        <s v="MSF2262000001874"/>
        <s v="MSF2262000001877"/>
        <s v="MSF2262000001878"/>
        <s v="MSF2262000001879"/>
        <s v="MSF2262000001885"/>
        <s v="MSF2262000001909"/>
        <s v="MSF2262000001910"/>
        <s v="MSF2262000001911"/>
        <s v="MSF2262000001912"/>
        <s v="MSF2262000001919"/>
        <s v="MSF2262000002023"/>
        <s v="MSF2262000002024"/>
        <s v="MSF2262000002025"/>
        <s v="MSF2262000002033"/>
        <s v="MSF2262000002036"/>
        <s v="MSF2262000002038"/>
        <s v="MSF2262000002040"/>
        <s v="MSF2262000002042"/>
        <s v="MSF2262000002046"/>
        <s v="MSF2262000002047"/>
        <s v="MSF2262000002122"/>
        <s v="MSF2262000002125"/>
        <s v="MSF2262000002130"/>
        <s v="MSF2262000002131"/>
        <s v="MSF2262000002133"/>
        <s v="MSF2262000002136"/>
        <s v="MSF2262000002145"/>
        <s v="MSF2262000002146"/>
        <s v="MSF2262000002147"/>
        <s v="MSF2262000002148"/>
        <s v="MSF2262000002150"/>
        <s v="MSF2262000002158"/>
        <s v="MSF2262000002159"/>
        <s v="MSF2262000002187"/>
        <s v="MSF2262000002188"/>
        <s v="MSF2262000002189"/>
        <s v="MSF2262000002210"/>
        <s v="MSF2262000002211"/>
        <s v="MSF2262000002213"/>
        <s v="MSF2262000002214"/>
        <s v="MSF2262000002215"/>
        <s v="MSF2262000002221"/>
        <s v="MSF2262000002222"/>
        <s v="MSF2262000002249"/>
        <s v="MSF2262000002251"/>
        <s v="MSF2262000002268"/>
        <s v="MSF2262000002269"/>
        <s v="MSF2262000002281"/>
        <s v="MSF2262000002283"/>
        <s v="MSF2262000002284"/>
        <s v="MSF2262000002289"/>
        <s v="MSF2262000002290"/>
        <s v="MSF2262000002292"/>
        <s v="MSF2262000002293"/>
        <s v="MSF2262000002297"/>
        <s v="MSF2262000002298"/>
        <s v="MSF2262000002303"/>
        <s v="MSF2262000002333"/>
        <s v="MSF2262000002335"/>
        <s v="MSF2262000002336"/>
        <s v="MSF2262000002339"/>
        <s v="MSF2262000002345"/>
        <s v="MSF2262000002359"/>
        <s v="MSF2262000002360"/>
        <s v="MSF2262000002363"/>
        <s v="MSF2262000002364"/>
        <s v="MSF2262000002369"/>
        <s v="MSF2262000002372"/>
        <s v="MSF2262000002373"/>
        <s v="MSF2262000002374"/>
        <s v="MSF2262000002378"/>
        <s v="MSF2262000002379"/>
        <s v="MSF2262000002380"/>
        <s v="MSF2262000002396"/>
        <s v="MSF2262000002397"/>
        <s v="MSF2262000002398"/>
        <s v="MSF2262000002403"/>
        <s v="MSF2262000002408"/>
        <s v="MSF2262000002415"/>
        <s v="MSF2262000002422"/>
        <s v="MSF2262000002538"/>
        <s v="MSF2262000002698"/>
        <s v="MSF2262000002699"/>
        <s v="MSF2262000002753"/>
        <s v="MSF2262000002769"/>
        <s v="MSF2262000002771"/>
        <s v="MSF2262000002816"/>
        <s v="MSF2262000002837"/>
        <s v="MSF2262000002986"/>
        <s v="MSF2262000003221"/>
        <s v="MSF2262000003225"/>
        <s v="MSG2261000002415"/>
        <s v="MSF2262000002770"/>
        <s v="MSF2262000002890"/>
        <s v="MSF2262000002891"/>
        <s v="MSF2262000002967"/>
        <s v="MSF2262000003213"/>
        <s v="MSF2262000003219"/>
        <s v="MSF2262000002968"/>
        <s v="MSF2262000002966"/>
        <s v="MSF2262000002969"/>
        <s v="MSF2262000002970"/>
        <s v="MSF2262000003214"/>
        <s v="MSF2262000003556"/>
        <s v="MSF2262000003557"/>
        <s v="MSF2262000003224"/>
        <s v="MSF2262000003367"/>
        <s v="MSF2262000003376"/>
        <s v="MSF2262000003378"/>
        <s v="MSF2262000003422"/>
        <s v="MSF2262000003479"/>
        <s v="MSF2262000003504"/>
        <s v="MSF2262000003563"/>
        <s v="MSF2262000003565"/>
        <s v="MSF2261000005417"/>
        <s v="MSF2261000004064"/>
        <s v="MSF2261000004065"/>
        <s v="MSF2261000004403"/>
        <s v="MSF2261000004405"/>
        <s v="MSF2261000004647"/>
        <s v="MSF2261000004680"/>
        <s v="MSF2261000004681"/>
        <s v="MSF2261000004773"/>
        <s v="MSF2261000004774"/>
        <s v="MSF2261000004775"/>
        <s v="MSF2261000004848"/>
        <s v="MSF2261000004849"/>
        <s v="MSF2261000004871"/>
        <s v="MSF2261000004976"/>
        <s v="MSF2261000004977"/>
        <s v="MSF2261000005027"/>
        <s v="MSF2261000005029"/>
        <s v="MSF2261000005031"/>
        <s v="MSF2261000005414"/>
        <s v="MSF2261000005415"/>
        <s v="MSF2261000005416"/>
        <s v="MSF2261000005418"/>
        <s v="MSF2261000005419"/>
        <s v="MSF2262000002132"/>
        <s v="MSF2262000002165"/>
        <s v="MSF2262000003245"/>
        <s v="MSF2262000003293"/>
        <s v="MSF2262000003319"/>
        <s v="MSF2262000003320"/>
        <s v="MSF2262000003321"/>
        <s v="MSF2262000003377"/>
        <s v="MSF2262000003564"/>
        <s v="MSF2262000003598"/>
        <s v="MSF2262000003649"/>
        <s v="MSF2262000003791"/>
        <s v="MSF2261000004682"/>
        <s v="MSF2261000005767"/>
        <s v="MSF2262000003645"/>
        <s v="MSF2262000003650"/>
        <s v="MSF2262000003662"/>
        <s v="MSF2262000003847"/>
        <s v="MSF2262000003848"/>
        <s v="MSF2262000003849"/>
        <s v="MSF2262000003852"/>
        <s v="MSF2262000003853"/>
        <s v="MSF2262000003862"/>
        <s v="MSF2262000003863"/>
        <s v="MSF2262000003864"/>
        <s v="MSF2262000003882"/>
        <s v="MSF2262000003883"/>
        <s v="MSF2262000003884"/>
        <s v="MSF2262000003888"/>
        <s v="MSF2262000004064"/>
        <s v="MSF2262000004067"/>
        <s v="MSF2261000005765"/>
        <s v="MSF2261000005766"/>
        <s v="MSF2261000005655"/>
        <s v="MSF2261000005662"/>
        <s v="MSF2261000005664"/>
        <s v="MSF2261000005844"/>
        <s v="MSF2262000004011"/>
        <s v="MSF2262000004031"/>
        <s v="MSF2262000004065"/>
        <s v="MSF2262000004068"/>
        <s v="MSF2262000004073"/>
        <s v="MSF2262000004074"/>
        <s v="MSF2262000004076"/>
        <s v="MSF2262000004079"/>
        <s v="MSF2262000004082"/>
        <s v="MSF2262000004083"/>
        <s v="MSF2261000005845"/>
        <s v="MSF2262000002149"/>
        <s v="MSF2262000004066"/>
        <s v="MSF2262000004230"/>
        <s v="MSF2262000004473"/>
        <s v="MSF2262000004229"/>
        <s v="MSF2262000004170"/>
        <s v="MSF2261000006349"/>
        <s v="MSF2261000005956"/>
        <s v="MSF2262000004635"/>
        <s v="MSF2261000006358"/>
      </sharedItems>
    </cacheField>
    <cacheField name="Invoice Date" numFmtId="167">
      <sharedItems containsDate="1" containsString="0" containsBlank="1">
        <d v="2024-10-28T00:00:00Z"/>
        <d v="2025-08-07T00:00:00Z"/>
        <d v="2025-09-13T00:00:00Z"/>
        <d v="2025-10-18T00:00:00Z"/>
        <d v="2025-10-22T00:00:00Z"/>
        <d v="2025-11-25T00:00:00Z"/>
        <d v="2025-12-10T00:00:00Z"/>
        <d v="2025-12-11T00:00:00Z"/>
        <d v="2025-12-22T00:00:00Z"/>
        <d v="2025-12-26T00:00:00Z"/>
        <d v="2025-12-29T00:00:00Z"/>
        <d v="2026-01-02T00:00:00Z"/>
        <d v="2026-01-03T00:00:00Z"/>
        <d v="2026-01-05T00:00:00Z"/>
        <d v="2026-01-06T00:00:00Z"/>
        <d v="2026-01-08T00:00:00Z"/>
        <d v="2026-01-10T00:00:00Z"/>
        <d v="2026-01-12T00:00:00Z"/>
        <d v="2026-01-13T00:00:00Z"/>
        <d v="2026-01-15T00:00:00Z"/>
        <d v="2026-01-16T00:00:00Z"/>
        <d v="2026-01-17T00:00:00Z"/>
        <d v="2026-01-21T00:00:00Z"/>
        <d v="2026-01-22T00:00:00Z"/>
        <d v="2026-01-23T00:00:00Z"/>
        <d v="2026-01-24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3T00:00:00Z"/>
        <d v="2026-04-14T00:00:00Z"/>
        <d v="2026-04-15T00:00:00Z"/>
        <d v="2026-04-16T00:00:00Z"/>
        <d v="2026-04-17T00:00:00Z"/>
        <d v="2026-04-18T00:00:00Z"/>
        <d v="2026-04-20T00:00:00Z"/>
        <d v="2026-04-22T00:00:00Z"/>
        <d v="2026-05-23T00:00:00Z"/>
        <d v="2026-05-25T00:00:00Z"/>
        <d v="2026-05-27T00:00:00Z"/>
        <d v="2026-05-29T00:00:00Z"/>
        <d v="2026-05-30T00:00:00Z"/>
        <d v="2026-06-01T00:00:00Z"/>
        <m/>
      </sharedItems>
    </cacheField>
    <cacheField name="Invoice Qty" numFmtId="3">
      <sharedItems containsString="0" containsBlank="1" containsNumber="1" containsInteger="1">
        <n v="22.0"/>
        <n v="3.0"/>
        <n v="7.0"/>
        <n v="18.0"/>
        <n v="16.0"/>
        <n v="6.0"/>
        <n v="23.0"/>
        <n v="85.0"/>
        <n v="103.0"/>
        <n v="24.0"/>
        <n v="30.0"/>
        <n v="1.0"/>
        <n v="11.0"/>
        <n v="15.0"/>
        <n v="12.0"/>
        <n v="62.0"/>
        <n v="2.0"/>
        <n v="93.0"/>
        <n v="158.0"/>
        <n v="4.0"/>
        <n v="104.0"/>
        <n v="60.0"/>
        <n v="45.0"/>
        <n v="25.0"/>
        <n v="72.0"/>
        <n v="29.0"/>
        <n v="20.0"/>
        <n v="54.0"/>
        <n v="100.0"/>
        <n v="89.0"/>
        <n v="280.0"/>
        <n v="140.0"/>
        <n v="34.0"/>
        <n v="33.0"/>
        <n v="408.0"/>
        <n v="282.0"/>
        <n v="19.0"/>
        <n v="155.0"/>
        <n v="238.0"/>
        <n v="102.0"/>
        <n v="57.0"/>
        <n v="195.0"/>
        <n v="206.0"/>
        <n v="241.0"/>
        <n v="200.0"/>
        <n v="314.0"/>
        <n v="36.0"/>
        <n v="142.0"/>
        <n v="14.0"/>
        <n v="5.0"/>
        <n v="64.0"/>
        <n v="10.0"/>
        <n v="28.0"/>
        <n v="17.0"/>
        <m/>
        <n v="209.0"/>
        <n v="213.0"/>
        <n v="101.0"/>
        <n v="167.0"/>
        <n v="192.0"/>
        <n v="168.0"/>
        <n v="113.0"/>
        <n v="27.0"/>
        <n v="8.0"/>
        <n v="96.0"/>
        <n v="143.0"/>
        <n v="56.0"/>
        <n v="51.0"/>
        <n v="26.0"/>
        <n v="63.0"/>
        <n v="35.0"/>
        <n v="46.0"/>
        <n v="55.0"/>
        <n v="207.0"/>
        <n v="13.0"/>
        <n v="39.0"/>
        <n v="148.0"/>
        <n v="270.0"/>
        <n v="9.0"/>
        <n v="144.0"/>
        <n v="41.0"/>
        <n v="127.0"/>
        <n v="118.0"/>
        <n v="68.0"/>
        <n v="153.0"/>
        <n v="48.0"/>
        <n v="109.0"/>
        <n v="40.0"/>
        <n v="21.0"/>
        <n v="151.0"/>
        <n v="50.0"/>
        <n v="132.0"/>
        <n v="66.0"/>
        <n v="31.0"/>
        <n v="95.0"/>
        <n v="53.0"/>
        <n v="110.0"/>
        <n v="70.0"/>
        <n v="83.0"/>
        <n v="43.0"/>
        <n v="52.0"/>
        <n v="198.0"/>
        <n v="32.0"/>
        <n v="88.0"/>
        <n v="75.0"/>
        <n v="107.0"/>
        <n v="87.0"/>
        <n v="71.0"/>
        <n v="136.0"/>
        <n v="169.0"/>
        <n v="111.0"/>
        <n v="122.0"/>
        <n v="37.0"/>
        <n v="387.0"/>
        <n v="58.0"/>
        <n v="130.0"/>
        <n v="49.0"/>
        <n v="91.0"/>
        <n v="484.0"/>
        <n v="348.0"/>
        <n v="129.0"/>
        <n v="159.0"/>
        <n v="196.0"/>
        <n v="285.0"/>
        <n v="42.0"/>
        <n v="114.0"/>
        <n v="134.0"/>
        <n v="119.0"/>
        <n v="300.0"/>
        <n v="138.0"/>
        <n v="220.0"/>
        <n v="38.0"/>
        <n v="90.0"/>
        <n v="65.0"/>
        <n v="78.0"/>
        <n v="398.0"/>
        <n v="105.0"/>
        <n v="92.0"/>
        <n v="86.0"/>
        <n v="76.0"/>
        <n v="94.0"/>
        <n v="80.0"/>
        <n v="258.0"/>
        <n v="108.0"/>
        <n v="124.0"/>
        <n v="355.0"/>
        <n v="390.0"/>
        <n v="328.0"/>
        <n v="139.0"/>
        <n v="260.0"/>
        <n v="175.0"/>
        <n v="223.0"/>
        <n v="79.0"/>
        <n v="985.0"/>
        <n v="494.0"/>
        <n v="412.0"/>
        <n v="84.0"/>
        <n v="116.0"/>
        <n v="106.0"/>
        <n v="98.0"/>
        <n v="157.0"/>
        <n v="121.0"/>
        <n v="295.0"/>
        <n v="190.0"/>
        <n v="61.0"/>
        <n v="268.0"/>
        <n v="368.0"/>
        <n v="365.0"/>
        <n v="250.0"/>
        <n v="150.0"/>
        <n v="125.0"/>
        <n v="147.0"/>
        <n v="44.0"/>
        <n v="440.0"/>
        <n v="171.0"/>
        <n v="172.0"/>
        <n v="353.0"/>
        <n v="126.0"/>
        <n v="69.0"/>
        <n v="77.0"/>
        <n v="120.0"/>
        <n v="82.0"/>
        <n v="67.0"/>
        <n v="194.0"/>
        <n v="128.0"/>
        <n v="99.0"/>
        <n v="141.0"/>
        <n v="47.0"/>
        <n v="178.0"/>
        <n v="277.0"/>
        <n v="81.0"/>
        <n v="199.0"/>
        <n v="293.0"/>
        <n v="173.0"/>
        <n v="163.0"/>
        <n v="310.0"/>
        <n v="399.0"/>
        <n v="361.0"/>
        <n v="156.0"/>
        <n v="161.0"/>
        <n v="221.0"/>
        <n v="117.0"/>
        <n v="146.0"/>
        <n v="267.0"/>
        <n v="170.0"/>
        <n v="240.0"/>
        <n v="211.0"/>
      </sharedItems>
    </cacheField>
    <cacheField name="Invoice Value" numFmtId="4">
      <sharedItems containsString="0" containsBlank="1" containsNumber="1">
        <n v="36223.0"/>
        <n v="6074.1"/>
        <n v="13088.75"/>
        <n v="23877.0"/>
        <n v="67137.0"/>
        <n v="25693.0"/>
        <n v="59696.0"/>
        <n v="38685.2"/>
        <n v="97197.17"/>
        <n v="42886.53"/>
        <n v="157878.07"/>
        <n v="149799.69"/>
        <n v="26287.6"/>
        <n v="129280.76"/>
        <n v="4065.0"/>
        <n v="8377.0"/>
        <n v="21920.0"/>
        <n v="12231.0"/>
        <n v="59442.0"/>
        <n v="7236.0"/>
        <n v="26019.0"/>
        <n v="89116.0"/>
        <n v="3245.0"/>
        <n v="7049.0"/>
        <n v="11152.0"/>
        <n v="20604.0"/>
        <n v="27257.0"/>
        <n v="81731.0"/>
        <n v="208983.0"/>
        <n v="54167.0"/>
        <n v="51401.0"/>
        <n v="17388.0"/>
        <n v="15215.0"/>
        <n v="10601.0"/>
        <n v="23643.0"/>
        <n v="13402.0"/>
        <n v="14200.0"/>
        <n v="9416.0"/>
        <n v="11592.0"/>
        <n v="11084.0"/>
        <n v="16300.0"/>
        <n v="6279.0"/>
        <n v="9349.0"/>
        <n v="11348.0"/>
        <n v="6254.0"/>
        <n v="16674.0"/>
        <n v="52736.0"/>
        <n v="11619.0"/>
        <n v="8477.0"/>
        <n v="30472.0"/>
        <n v="33532.0"/>
        <n v="28088.0"/>
        <n v="23447.0"/>
        <n v="11567.0"/>
        <n v="13885.0"/>
        <n v="13123.0"/>
        <n v="8600.0"/>
        <n v="108744.0"/>
        <n v="99768.0"/>
        <n v="682915.0"/>
        <n v="28200.0"/>
        <n v="80161.0"/>
        <n v="246671.0"/>
        <n v="398654.0"/>
        <n v="57346.0"/>
        <n v="102706.0"/>
        <n v="606778.0"/>
        <n v="595367.0"/>
        <n v="415368.0"/>
        <n v="633512.0"/>
        <n v="35929.0"/>
        <n v="29460.0"/>
        <n v="32845.85"/>
        <n v="171967.42"/>
        <n v="19409.76"/>
        <n v="170944.08"/>
        <n v="70099.05"/>
        <n v="22280.06"/>
        <n v="21755.16"/>
        <n v="34304.0"/>
        <n v="30443.37"/>
        <n v="13883.16"/>
        <n v="1790.14"/>
        <n v="50440.39"/>
        <n v="12656.35"/>
        <n v="7917.54"/>
        <n v="34618.08"/>
        <n v="5070.63"/>
        <n v="48047.0"/>
        <n v="16745.56"/>
        <n v="39207.0"/>
        <n v="36575.0"/>
        <n v="24903.4"/>
        <n v="75079.0"/>
        <n v="10848.3"/>
        <n v="106282.0"/>
        <n v="118079.0"/>
        <n v="65597.0"/>
        <n v="106209.0"/>
        <n v="101280.0"/>
        <n v="91583.0"/>
        <n v="62848.0"/>
        <n v="54473.0"/>
        <n v="34931.0"/>
        <n v="69869.0"/>
        <n v="25971.0"/>
        <n v="13770.05"/>
        <n v="6694.72"/>
        <n v="3616.1"/>
        <n v="54489.52"/>
        <n v="32012.0"/>
        <n v="170510.0"/>
        <n v="261419.0"/>
        <n v="97562.57"/>
        <n v="17488.96"/>
        <n v="16785.59"/>
        <n v="33110.84"/>
        <n v="29747.0"/>
        <n v="55834.09"/>
        <n v="105855.76"/>
        <n v="12566.0"/>
        <n v="25312.7"/>
        <n v="37005.0"/>
        <n v="46218.75"/>
        <n v="30627.94"/>
        <n v="115505.24"/>
        <n v="28747.0"/>
        <n v="49761.0"/>
        <n v="33147.0"/>
        <n v="34671.0"/>
        <n v="21625.0"/>
        <n v="13609.43"/>
        <n v="38858.0"/>
        <n v="19115.0"/>
        <n v="22281.0"/>
        <n v="47652.0"/>
        <n v="17081.89"/>
        <n v="8949.29"/>
        <n v="31257.85"/>
        <n v="10740.82"/>
        <n v="42262.89"/>
        <n v="263505.29"/>
        <n v="21441.0"/>
        <n v="7160.56"/>
        <n v="1808.05"/>
        <n v="33305.0"/>
        <n v="382988.0"/>
        <n v="39657.0"/>
        <n v="10721.0"/>
        <n v="22469.85"/>
        <n v="19471.0"/>
        <n v="248894.0"/>
        <n v="43643.0"/>
        <n v="55302.95"/>
        <n v="15617.31"/>
        <n v="112868.0"/>
        <n v="12515.0"/>
        <n v="5030.0"/>
        <n v="57223.0"/>
        <n v="13882.04"/>
        <n v="18582.0"/>
        <n v="11753.0"/>
        <n v="63236.0"/>
        <n v="79322.25"/>
        <n v="25723.0"/>
        <n v="107415.0"/>
        <n v="28043.0"/>
        <n v="57992.0"/>
        <n v="119213.0"/>
        <n v="125506.0"/>
        <n v="55247.0"/>
        <n v="151805.0"/>
        <n v="40287.0"/>
        <n v="38063.0"/>
        <n v="41650.0"/>
        <n v="47670.0"/>
        <n v="54795.0"/>
        <n v="113252.0"/>
        <n v="86239.0"/>
        <n v="62465.0"/>
        <n v="159070.0"/>
        <n v="30345.0"/>
        <n v="43328.0"/>
        <n v="16493.0"/>
        <n v="88997.0"/>
        <n v="75779.0"/>
        <n v="24850.0"/>
        <n v="108792.0"/>
        <n v="98774.0"/>
        <n v="80871.32"/>
        <n v="32754.0"/>
        <n v="197781.0"/>
        <n v="8430.0"/>
        <n v="7354.0"/>
        <n v="11856.0"/>
        <n v="24640.0"/>
        <n v="80235.0"/>
        <n v="28274.0"/>
        <n v="36319.0"/>
        <n v="91165.0"/>
        <n v="34000.0"/>
        <n v="53286.0"/>
        <n v="287387.75"/>
        <n v="31517.0"/>
        <n v="29705.0"/>
        <n v="45312.78"/>
        <n v="187194.0"/>
        <n v="117876.0"/>
        <n v="37873.0"/>
        <n v="119141.0"/>
        <n v="76044.0"/>
        <n v="161726.0"/>
        <n v="20646.0"/>
        <n v="3113.0"/>
        <n v="67572.0"/>
        <n v="13339.0"/>
        <n v="124596.74"/>
        <n v="46549.2"/>
        <n v="88031.48"/>
        <n v="130982.0"/>
        <n v="231548.0"/>
        <n v="12781.0"/>
        <n v="39561.0"/>
        <n v="8468.0"/>
        <n v="8624.82"/>
        <n v="172011.75"/>
        <n v="63004.0"/>
        <n v="43360.0"/>
        <n v="19399.0"/>
        <n v="36419.0"/>
        <n v="39048.0"/>
        <n v="70629.68"/>
        <n v="128968.0"/>
        <n v="47098.0"/>
        <n v="53811.0"/>
        <n v="8630.0"/>
        <n v="4998.0"/>
        <n v="94332.0"/>
        <n v="30398.0"/>
        <n v="76135.82"/>
        <n v="49280.0"/>
        <n v="47736.0"/>
        <n v="173393.0"/>
        <n v="109821.0"/>
        <n v="79125.0"/>
        <n v="105801.0"/>
        <n v="97940.0"/>
        <n v="98050.0"/>
        <n v="75839.0"/>
        <n v="37283.75"/>
        <n v="98502.99"/>
        <n v="23795.0"/>
        <n v="35551.0"/>
        <n v="67791.0"/>
        <n v="29476.0"/>
        <n v="36279.0"/>
        <n v="84308.0"/>
        <n v="9870.0"/>
        <n v="15750.0"/>
        <n v="14500.0"/>
        <n v="24102.52"/>
        <n v="21544.32"/>
        <n v="354104.12"/>
        <n v="148514.75"/>
        <n v="547571.15"/>
        <n v="126580.1"/>
        <n v="20401.0"/>
        <n v="81722.56"/>
        <n v="215239.8"/>
        <n v="254957.97"/>
        <n v="20857.83"/>
        <n v="24618.35"/>
        <n v="5200.68"/>
        <n v="50054.5"/>
        <n v="129477.41"/>
        <n v="34133.46"/>
        <n v="12873.0"/>
        <n v="284698.21"/>
        <n v="14041.44"/>
        <n v="17172.0"/>
        <n v="38586.0"/>
        <n v="35950.67"/>
        <n v="1120.0"/>
        <n v="13490.0"/>
        <n v="10085.0"/>
        <n v="14807.09"/>
        <n v="16840.73"/>
        <n v="128262.85"/>
        <n v="40472.66"/>
        <n v="213289.62"/>
        <n v="202539.44"/>
        <n v="17968.92"/>
        <n v="146677.35"/>
        <n v="61334.42"/>
        <n v="150090.22"/>
        <n v="54618.24"/>
        <n v="273007.49"/>
        <n v="20331.0"/>
        <n v="75235.19"/>
        <n v="117045.61"/>
        <n v="87587.04"/>
        <n v="418651.0"/>
        <n v="18494.63"/>
        <n v="11979.28"/>
        <n v="1369.31"/>
        <n v="69402.6"/>
        <n v="185389.71"/>
        <n v="272678.55"/>
        <n v="124946.13"/>
        <n v="16579.37"/>
        <n v="78786.6"/>
        <n v="46527.99"/>
        <n v="73913.0"/>
        <n v="45184.0"/>
        <n v="38536.0"/>
        <n v="1897.98"/>
        <n v="5493.0"/>
        <n v="3995.0"/>
        <n v="16284.0"/>
        <n v="4208.2"/>
        <n v="18038.23"/>
        <n v="42270.79"/>
        <n v="44804.0"/>
        <n v="56720.32"/>
        <n v="13235.68"/>
        <n v="5293.42"/>
        <n v="38647.0"/>
        <n v="12048.8"/>
        <n v="28563.0"/>
        <n v="261250.58"/>
        <n v="16244.19"/>
        <n v="3888.41"/>
        <n v="6161.9"/>
        <n v="1887.92"/>
        <n v="66196.93"/>
        <n v="3835.02"/>
        <n v="24231.0"/>
        <n v="15970.04"/>
        <n v="344863.0"/>
        <n v="27120.75"/>
        <n v="78060.29"/>
        <n v="33687.21"/>
        <n v="43994.46"/>
        <n v="9622.0"/>
        <n v="63442.98"/>
        <n v="14881.16"/>
        <n v="13654.56"/>
        <n v="12416.08"/>
        <n v="35664.63"/>
        <n v="29442.0"/>
        <n v="22508.64"/>
        <n v="28741.09"/>
        <n v="29291.59"/>
        <n v="5552.92"/>
        <n v="27461.88"/>
        <n v="7502.88"/>
        <n v="46906.13"/>
        <n v="20396.79"/>
        <n v="7003.44"/>
        <n v="35707.5"/>
        <n v="32422.53"/>
        <n v="22105.54"/>
        <n v="12384.82"/>
        <n v="8222.0"/>
        <n v="33104.0"/>
        <n v="15646.0"/>
        <n v="241025.0"/>
        <n v="190491.0"/>
        <n v="145218.0"/>
        <n v="32176.0"/>
        <n v="66497.0"/>
        <n v="84788.0"/>
        <n v="189231.0"/>
        <n v="45928.36"/>
        <n v="25377.77"/>
        <n v="88620.0"/>
        <n v="24596.0"/>
        <n v="8808.0"/>
        <n v="205972.0"/>
        <n v="244664.0"/>
        <n v="328283.0"/>
        <n v="195422.0"/>
        <n v="125131.0"/>
        <n v="156047.0"/>
        <n v="267099.31"/>
        <n v="267212.81"/>
        <n v="269538.99"/>
        <n v="116385.92"/>
        <n v="244912.24"/>
        <n v="231000.0"/>
        <n v="59539.0"/>
        <n v="56079.0"/>
        <n v="86408.0"/>
        <n v="10912.0"/>
        <n v="9599.0"/>
        <n v="12770.0"/>
        <n v="110618.0"/>
        <n v="438203.66"/>
        <n v="108755.0"/>
        <n v="94052.0"/>
        <n v="45671.0"/>
        <n v="57417.56"/>
        <n v="32647.0"/>
        <n v="30588.0"/>
        <n v="13118.0"/>
        <n v="11051.0"/>
        <n v="12322.45"/>
        <n v="163405.54"/>
        <n v="6804.96"/>
        <n v="174661.0"/>
        <n v="58171.72"/>
        <n v="13351.76"/>
        <n v="958.32"/>
        <n v="44532.37"/>
        <n v="46162.73"/>
        <n v="9040.25"/>
        <n v="55175.91"/>
        <n v="76213.32"/>
        <n v="353835.0"/>
        <n v="43227.0"/>
        <n v="5920.76"/>
        <n v="20433.83"/>
        <n v="123752.35"/>
        <n v="94017.1"/>
        <n v="4929.25"/>
        <n v="10188.42"/>
        <n v="6884.34"/>
        <n v="20396.78"/>
        <n v="29699.0"/>
        <n v="216430.6"/>
        <n v="655382.0"/>
        <n v="81699.0"/>
        <n v="47699.0"/>
        <n v="134849.0"/>
        <n v="27531.0"/>
        <n v="200894.0"/>
        <n v="45611.0"/>
        <n v="123856.0"/>
        <n v="129872.0"/>
        <n v="207716.0"/>
        <n v="14784.42"/>
        <n v="9194.96"/>
        <n v="52209.0"/>
        <n v="48068.0"/>
        <n v="9100.87"/>
        <n v="122433.0"/>
        <n v="41236.2"/>
        <n v="11660.72"/>
        <n v="108064.0"/>
        <n v="24143.12"/>
        <n v="25986.48"/>
        <n v="11105.32"/>
        <n v="94386.24"/>
        <n v="67534.0"/>
        <n v="32085.0"/>
        <n v="31289.38"/>
        <n v="155263.38"/>
        <n v="36509.0"/>
        <n v="37921.0"/>
        <n v="2.0"/>
        <n v="194843.0"/>
        <n v="259114.0"/>
        <n v="516931.76"/>
        <n v="94326.0"/>
        <n v="296483.0"/>
        <n v="346786.0"/>
        <n v="249558.0"/>
        <n v="66065.0"/>
        <n v="98048.0"/>
        <n v="20430.0"/>
        <n v="40012.0"/>
        <n v="7434.7"/>
        <n v="7296.92"/>
        <n v="12384.53"/>
        <n v="11665.22"/>
        <n v="15335.09"/>
        <n v="82743.0"/>
        <n v="133158.0"/>
        <n v="21271.19"/>
        <n v="14024.4"/>
        <n v="35246.0"/>
        <n v="22633.0"/>
        <n v="36877.49"/>
        <n v="545463.0"/>
        <n v="533500.0"/>
        <n v="87421.0"/>
        <n v="120290.0"/>
        <n v="528945.0"/>
        <n v="36053.38"/>
        <n v="25818.92"/>
        <n v="37243.72"/>
        <n v="36814.44"/>
        <n v="2190.62"/>
        <n v="97876.65"/>
        <n v="113978.0"/>
        <n v="249751.0"/>
        <n v="149850.0"/>
        <n v="24585.0"/>
        <n v="4423.0"/>
        <n v="6930.0"/>
        <n v="10920.0"/>
        <n v="158125.0"/>
        <n v="9446.18"/>
        <n v="7265.28"/>
        <n v="19734.65"/>
        <n v="120143.08"/>
        <n v="11226.84"/>
        <n v="62233.68"/>
        <n v="2464.64"/>
        <n v="2738.62"/>
        <n v="77565.35"/>
        <n v="190123.86"/>
        <n v="19785.0"/>
        <n v="22665.0"/>
        <n v="4599.0"/>
        <n v="113635.0"/>
        <n v="49513.0"/>
        <n v="67835.0"/>
        <n v="68947.0"/>
        <n v="70859.0"/>
        <n v="80947.0"/>
        <n v="61267.0"/>
        <n v="47281.0"/>
        <n v="48294.0"/>
        <n v="27226.0"/>
        <n v="22181.0"/>
        <n v="40701.0"/>
        <n v="175000.0"/>
        <n v="21878.0"/>
        <n v="1232.31"/>
        <n v="8899.0"/>
        <n v="124380.0"/>
        <n v="60479.0"/>
        <n v="59368.0"/>
        <n v="61290.22"/>
        <n v="75237.0"/>
        <n v="73604.0"/>
        <n v="25258.0"/>
        <n v="117080.0"/>
        <n v="16387.0"/>
        <n v="92776.0"/>
        <n v="94064.0"/>
        <n v="106943.0"/>
        <n v="112513.0"/>
        <n v="119606.0"/>
        <n v="111342.0"/>
        <n v="72000.0"/>
        <n v="445240.0"/>
        <n v="367717.0"/>
        <n v="24969.0"/>
        <n v="95288.0"/>
        <n v="159883.5"/>
        <n v="12908.0"/>
        <n v="347757.0"/>
        <n v="24359.0"/>
        <n v="55015.0"/>
        <n v="35129.62"/>
        <n v="42746.0"/>
        <n v="56336.04"/>
        <n v="15037.0"/>
        <n v="169274.0"/>
        <n v="451592.0"/>
        <n v="70403.0"/>
        <n v="85377.0"/>
        <n v="33006.0"/>
        <n v="27434.0"/>
        <n v="49663.0"/>
        <n v="186245.0"/>
        <n v="48842.0"/>
        <n v="19051.84"/>
        <n v="7667.9"/>
        <n v="69349.0"/>
        <n v="20127.34"/>
        <n v="2738.64"/>
        <n v="2421.76"/>
        <n v="6846.57"/>
        <n v="2327.63"/>
        <n v="4244.28"/>
        <n v="19426.0"/>
        <n v="52088.0"/>
        <n v="92086.0"/>
        <n v="66150.0"/>
        <n v="23492.0"/>
        <n v="20194.0"/>
        <n v="153490.0"/>
        <n v="9983.0"/>
        <n v="186614.0"/>
        <n v="251163.0"/>
        <n v="191997.0"/>
        <n v="211832.0"/>
        <n v="25947.0"/>
        <n v="277466.0"/>
        <n v="58570.0"/>
        <n v="31721.49"/>
        <n v="22680.0"/>
        <n v="4578.0"/>
        <n v="4456.0"/>
        <n v="74214.0"/>
        <n v="207511.0"/>
        <n v="220805.0"/>
        <n v="49473.0"/>
        <n v="56507.0"/>
        <n v="47880.0"/>
        <n v="46876.0"/>
        <n v="52085.0"/>
        <n v="253314.0"/>
        <n v="133188.0"/>
        <n v="36544.0"/>
        <n v="6161.56"/>
        <n v="2464.63"/>
        <n v="118292.57"/>
        <n v="1095.32"/>
        <n v="33846.84"/>
        <n v="217160.1"/>
        <n v="30260.55"/>
        <n v="10495.0"/>
        <n v="308036.0"/>
        <n v="53568.0"/>
        <n v="36139.0"/>
        <n v="33144.0"/>
        <n v="4518.95"/>
        <n v="47380.0"/>
        <n v="43820.19"/>
        <n v="15907.0"/>
        <n v="51438.99"/>
        <n v="15619.59"/>
        <n v="1368.63"/>
        <n v="3011.96"/>
        <n v="2190.63"/>
        <n v="48136.0"/>
        <n v="46831.0"/>
        <n v="4138.0"/>
        <n v="483631.0"/>
        <n v="10072.0"/>
        <n v="90968.0"/>
        <n v="35859.0"/>
        <n v="28256.0"/>
        <n v="1369.32"/>
        <n v="1505.63"/>
        <n v="72698.0"/>
        <n v="60475.0"/>
        <n v="41385.0"/>
        <n v="47754.0"/>
        <n v="34443.0"/>
        <n v="30320.0"/>
        <n v="35464.0"/>
        <n v="37052.0"/>
        <n v="60060.0"/>
        <n v="15939.0"/>
        <n v="39980.0"/>
        <n v="205951.0"/>
        <n v="31284.0"/>
        <n v="8043.0"/>
        <n v="44422.0"/>
        <n v="37298.0"/>
        <n v="97220.73"/>
        <n v="216722.51"/>
        <n v="16331.55"/>
        <n v="16101.0"/>
        <n v="15608.43"/>
        <n v="10612.73"/>
        <n v="821.32"/>
        <n v="90913.84"/>
        <n v="1916.62"/>
        <n v="5352.0"/>
        <n v="27217.0"/>
        <n v="46148.0"/>
        <n v="90708.0"/>
        <n v="14280.0"/>
        <n v="57906.0"/>
        <n v="26371.0"/>
        <n v="71753.0"/>
        <n v="95582.0"/>
        <n v="118678.0"/>
        <n v="287536.0"/>
        <n v="383982.0"/>
        <n v="17266.0"/>
        <n v="124146.0"/>
        <n v="212657.0"/>
        <n v="99702.0"/>
        <n v="29951.68"/>
        <n v="150337.0"/>
        <n v="48014.0"/>
        <n v="84463.0"/>
        <n v="50438.0"/>
        <n v="118460.0"/>
        <n v="244663.0"/>
        <n v="121648.0"/>
        <n v="250923.0"/>
        <n v="150908.0"/>
        <n v="6292.0"/>
        <n v="87209.0"/>
        <n v="45715.0"/>
        <n v="62952.0"/>
        <n v="270861.0"/>
        <n v="86244.0"/>
        <n v="28410.0"/>
        <n v="102014.0"/>
        <n v="23756.0"/>
        <n v="38363.0"/>
        <n v="42485.0"/>
        <n v="22881.72"/>
        <n v="9744.0"/>
        <n v="44484.0"/>
        <n v="422.0"/>
        <n v="17202.01"/>
        <n v="24253.0"/>
        <n v="13962.0"/>
        <n v="51561.0"/>
        <n v="48718.0"/>
        <n v="78372.0"/>
        <n v="101452.0"/>
        <n v="78315.0"/>
        <n v="15551.0"/>
        <n v="130095.0"/>
        <n v="49291.0"/>
        <n v="35945.0"/>
        <n v="35507.74"/>
        <n v="33273.0"/>
        <n v="43194.0"/>
        <n v="35805.0"/>
        <n v="6710.0"/>
        <n v="71287.0"/>
        <n v="32386.0"/>
        <n v="51598.0"/>
        <n v="30911.0"/>
        <n v="39447.07"/>
        <n v="154381.29"/>
        <n v="769592.4"/>
        <n v="25551.63"/>
        <n v="699112.99"/>
        <n v="12479.74"/>
        <n v="80172.53"/>
        <n v="17759.69"/>
        <n v="116451.44"/>
        <n v="42312.92"/>
        <n v="26845.11"/>
        <n v="171560.45"/>
        <n v="100440.03"/>
        <n v="25585.0"/>
        <n v="19546.0"/>
        <n v="20286.0"/>
        <n v="6518.0"/>
        <n v="10868.0"/>
        <n v="26878.0"/>
        <n v="7346.0"/>
        <n v="19373.0"/>
        <n v="28839.0"/>
        <n v="8633.0"/>
        <n v="23686.0"/>
        <n v="12243.0"/>
        <n v="7697.0"/>
        <n v="23138.23"/>
        <n v="2494.77"/>
        <n v="9979.08"/>
        <n v="7484.31"/>
        <n v="16108.51"/>
        <n v="21202.74"/>
        <n v="38033.65"/>
        <n v="313462.14"/>
        <n v="12734.21"/>
        <n v="163190.65"/>
        <n v="48298.68"/>
        <n v="19000.68"/>
        <n v="308142.72"/>
        <n v="35749.11"/>
        <n v="54616.24"/>
        <n v="448362.74"/>
        <n v="224698.89"/>
        <n v="182576.83"/>
        <n v="23491.05"/>
        <n v="34903.92"/>
        <n v="281155.98"/>
        <n v="22134.0"/>
        <n v="51386.0"/>
        <n v="29735.22"/>
        <n v="13219.01"/>
        <n v="11701.86"/>
        <n v="42887.0"/>
        <n v="4127.83"/>
        <n v="18203.03"/>
        <n v="28503.15"/>
        <n v="40620.19"/>
        <n v="7157.76"/>
        <n v="4989.54"/>
        <n v="28296.48"/>
        <n v="148524.0"/>
        <n v="41481.0"/>
        <n v="83578.0"/>
        <n v="8489.48"/>
        <n v="31941.0"/>
        <n v="6489.52"/>
        <n v="25468.42"/>
        <n v="35447.47"/>
        <n v="12117.04"/>
        <n v="43885.86"/>
        <n v="8558.07"/>
        <n v="29713.15"/>
        <n v="8042.7"/>
        <n v="10602.41"/>
        <n v="94894.0"/>
        <n v="1835.0"/>
        <n v="103680.0"/>
        <n v="44826.0"/>
        <n v="63931.0"/>
        <n v="120101.0"/>
        <n v="35718.0"/>
        <n v="87191.0"/>
        <n v="52986.0"/>
        <n v="16341.0"/>
        <n v="64143.0"/>
        <n v="11715.0"/>
        <n v="23100.0"/>
        <n v="132081.0"/>
        <n v="105231.0"/>
        <n v="8052.54"/>
        <n v="78185.0"/>
        <n v="68999.13"/>
        <n v="2206.06"/>
        <n v="9087.78"/>
        <n v="7635.0"/>
        <n v="4302.0"/>
        <n v="14565.0"/>
        <n v="19733.0"/>
        <n v="95198.0"/>
        <n v="93364.0"/>
        <n v="221014.0"/>
        <n v="9931.08"/>
        <n v="5958.65"/>
        <n v="11917.29"/>
        <n v="12956.21"/>
        <n v="3795.15"/>
        <n v="13803.12"/>
        <n v="10120.41"/>
        <n v="85079.0"/>
        <n v="184303.0"/>
        <n v="167096.0"/>
        <n v="14556.0"/>
        <n v="19553.04"/>
        <n v="7944.87"/>
        <n v="4591.0"/>
        <n v="96291.0"/>
        <n v="103698.0"/>
        <n v="33412.0"/>
        <n v="56975.0"/>
        <n v="45944.0"/>
        <n v="104685.0"/>
        <n v="109142.0"/>
        <n v="86338.0"/>
        <n v="114557.0"/>
        <n v="77417.0"/>
        <n v="58244.0"/>
        <n v="62748.0"/>
        <n v="89061.0"/>
        <n v="76406.0"/>
        <n v="173990.0"/>
        <n v="65084.0"/>
        <n v="9425.0"/>
        <n v="10148.0"/>
        <n v="37438.0"/>
        <n v="58336.0"/>
        <n v="83647.8"/>
        <n v="261171.0"/>
        <n v="119652.0"/>
        <n v="86399.0"/>
        <n v="137004.0"/>
        <n v="88694.0"/>
        <n v="147048.0"/>
        <n v="216610.0"/>
        <n v="70607.0"/>
        <n v="19506.72"/>
        <n v="13164.0"/>
        <n v="6441.0"/>
        <n v="19826.0"/>
        <n v="14691.0"/>
        <n v="40412.0"/>
        <n v="13521.0"/>
        <n v="83737.0"/>
        <n v="11831.0"/>
        <n v="14308.0"/>
        <n v="15720.0"/>
        <n v="104099.0"/>
        <n v="78140.0"/>
        <n v="11772.0"/>
        <n v="41753.0"/>
        <n v="4037.0"/>
        <n v="5771.0"/>
        <n v="2122.0"/>
        <n v="20387.0"/>
        <m/>
      </sharedItems>
    </cacheField>
    <cacheField name="Invoice Soft Copy" numFmtId="0">
      <sharedItems containsBlank="1">
        <s v="DD SALES -159.pdf"/>
        <s v="ADITYA BIRLA -MSF2252000010422.pdf"/>
        <s v="ADITYA BIRLA -MSF2251000012742.PDF"/>
        <s v="Room Laxmi sarees 8362 (1).pdf"/>
        <s v="Roop laxmi sarees 8360 (1).pdf"/>
        <s v="D APPAREL(KHUSHAAL)_INV0605_JSL.pdf"/>
        <s v="VISHAL MARKETING &amp; CO(SPYKAR)_1212_2025-26.pdf"/>
        <s v="ADITYA BIRLA -MSF2251000022820.pdf"/>
        <s v="ADITYA BIRLA -MSF2251000022940.pdf"/>
        <s v="ADITYA BIRLA -MSF2251000923014.pdf"/>
        <s v="ADITYA BIRLA -MSF2252000024323.pdf"/>
        <s v="SOUL INDIA EOS1-48.pdf"/>
        <s v="ADITYA BIRLA -MSF2251000025530.pdf"/>
        <s v="ADITYA BIRLA -MSF2251000025536.pdf"/>
        <s v="D S creation 5296.pdf"/>
        <s v="PLAZER FABRICS -2265.pdf"/>
        <s v="P R MODI AND SON'S -19221.pdf"/>
        <s v="P R MODI AND SON'S -19222.pdf"/>
        <s v="P R MODI AND SON'S -19220.pdf"/>
        <s v="P R MODI AND SON'S -19240.pdf"/>
        <s v="C2D VENTURES -965.pdf"/>
        <s v="C2D VENTURES -964.pdf"/>
        <s v="Dil se 1316.pdf"/>
        <s v="Saraogi Super Sales 13151.pdf"/>
        <s v="KIRAN CREATION -770.pdf"/>
        <s v="C2D VENTURES -984.pdf"/>
        <s v="SHRIJEE ENTERPRISES -430.pdf"/>
        <s v="Tathastu enterprise 8579.pdf"/>
        <s v="JAIN ADISHWAR  -10186.pdf"/>
        <s v="SHRITHIK DESIGNER -1953.pdf"/>
        <s v="Unnati creation 416.pdf"/>
        <s v="A S Textile 131.pdf"/>
        <s v="A S Textile 132.pdf"/>
        <s v="A S Textile 125.pdf"/>
        <s v="A S Textile 122.pdf"/>
        <s v="A S Textile 135.pdf"/>
        <s v="A S Textile 134.pdf"/>
        <s v="A S Textile 120.pdf"/>
        <s v="A S Textile 121.pdf"/>
        <s v="A S Textile 119.pdf"/>
        <s v="A S Textile 118.pdf"/>
        <s v="A S Textile 133.pdf"/>
        <s v="A S Textile 124.pdf"/>
        <s v="A S Textile 123.pdf"/>
        <s v="A S Textile 130.pdf"/>
        <s v="A S Textile 126.pdf"/>
        <s v="A s textile 128.pdf"/>
        <s v="A S Textile 129.pdf"/>
        <s v="A S Textile 127.pdf"/>
        <s v="Wilson prints 2581.pdf"/>
        <s v="Narvada Textile -1953.pdf"/>
        <s v="V N textile 2489.pdf"/>
        <s v="Shree Narayani Enterprises 2606.pdf"/>
        <s v="SHREE NARAYANI ENTERPRISE-2605.pdf"/>
        <s v="Jay ambey sarees 6635.pdf"/>
        <s v="Jay ambey sarees 6636.pdf"/>
        <s v="A S Textile 162.pdf"/>
        <s v="A S Textile 161.pdf"/>
        <s v="GTN Engineering 252193.pdf"/>
        <s v="GTN Engineering 252194.pdf"/>
        <s v="ANAYA DESIGNER_2864_25-26 .pdf"/>
        <s v="ANAYA DESIGNER_2865 _25-26.pdf"/>
        <s v="A S Textile 175.pdf"/>
        <s v="DD Sales GSTN 946.pdf"/>
        <s v="MUKESH AGARWAL(PETICOAT)_INVRE20_HZB_282PCS.pdf"/>
        <s v="D apparel 754.pdf"/>
        <s v="DD sales 965.pdf"/>
        <s v="D D SALES(KILLER)_GSTN962_DUMKA_238PCS.pdf"/>
        <s v="B B FASHION 3001.pdf"/>
        <s v="Gajendra overseas 3991.pdf"/>
        <s v="Jain Adishwar 10323.pdf"/>
        <s v="Jain Adishwar 10335.pdf"/>
        <s v="D D SALES CO- 998.pdf"/>
        <s v="Jain Adishwar 10388.pdf"/>
        <s v="Shree radhe matching 597.pdf"/>
        <s v="saraogi super sales 1700.pdf"/>
        <s v="MSFS2252000027777 JS HAZARIBAG.pdf"/>
        <s v="MSF2252000027759 JS HAZARIBAG.pdf"/>
        <s v="MSF2252000027872 JS HAZARIBAG.pdf"/>
        <s v="MSF2252000027910 JS HAZARIBAG.pdf"/>
        <s v="MSF2252000027897 JS HAZARIBAG.pdf"/>
        <s v="MSF2252000027883 JS HAZARIBAG.pdf"/>
        <s v="ADITYA BIRLA_MSF2252000027853_AS_S-RATU_25-26.pdf"/>
        <s v="Saraogi super sales 1730.pdf"/>
        <s v="MSF2252000027975 js hazaribag.pdf"/>
        <s v="MSF2252000027998 JS HAZARIBAG.pdf"/>
        <s v="MSF2252000027977 JS HAZARIBAG.pdf"/>
        <s v="MSF2252000028200 SAHEBGANJ.pdf"/>
        <s v="MSF2252000028211 DUMKA.pdf"/>
        <s v="MSF2252000028202 DUMKA.pdf"/>
        <s v="MSF2252000028210 Bokaro.pdf"/>
        <s v="MSF2252000028198 JS HAZARIBAG.pdf"/>
        <s v="MEGHA DRESSES_3058_SANSKAR_2025-26.pdf"/>
        <s v="ADITYA BIRLA_MSF2252000028201_AS_HZB_10PCS.pdf"/>
        <s v="saraogi super sales 1755.pdf"/>
        <s v="saraogi super sales 1753.pdf"/>
        <s v="VSN DEO MSF 2252000028299.pdf"/>
        <m/>
        <s v="MSF2252000028380 SAHEBGANJ.pdf"/>
        <s v="saraogi super sales 6190.pdf"/>
        <s v="saraogi super sales 6191.pdf"/>
        <s v="saraogi super sales 6192.pdf"/>
        <s v="saraogi super sales 6194.pdf"/>
        <s v="saraogi super sales 6196.pdf"/>
        <s v="saraogi super sales 6195.pdf"/>
        <s v="saraogi super sales 6193.pdf"/>
        <s v="MEGHA DRESSES__3057_SANSKAR_2025-26.pdf"/>
        <s v="ADITYA BIRLA_MSF2252000028382_AS_S-RATU_25-26.pdf"/>
        <s v="saraogi super sales 1783.pdf"/>
        <s v="New avtar apparel 232.pdf"/>
        <s v="saraogi super sales 1798.pdf"/>
        <s v="MSF2252000028554 SAHEBGANJ.pdf"/>
        <s v="MSF2252000028541 SAHEBGANJ.pdf"/>
        <s v="MSF2252000028545 DUMKA.pdf"/>
        <s v="MSF2252000028542 DUMKA.pdf"/>
        <s v="Tathastu enterprise 9309.pdf"/>
        <s v="SHRING APPARELS(MUFTI)_INV1885_LEEDEO_95PCS.pdf"/>
        <s v="SHRING APPARELS(MUFTI)_INV1884_LEEDEO_142PCS.pdf"/>
        <s v="MSF2251000030462 Allen Solly Gaya 56pc.pdf"/>
        <s v="MSF2252000028540 SINGHMORE RANCHI.pdf"/>
        <s v="MSF2252000028548 SINGHMORE RANCHI.pdf"/>
        <s v="VSN DEO MSF 2252000028544.pdf"/>
        <s v="SHREEJI CREATION_1331_SANSKAR_2025-26.pdf"/>
        <s v="MSF2252000028641 Bokaro.pdf"/>
        <s v="WORTH Apparel 2646.pdf"/>
        <s v="A S Textile 294.pdf"/>
        <s v="MSF2252000028635 hazaribag.pdf"/>
        <s v="Jay ambey sarees 7592.pdf"/>
        <s v="Puneet apparel 12514935.pdf"/>
        <s v="MSF2252000028796 FASHION STUDIO.pdf"/>
        <s v="Worth Apparel 2665.pdf"/>
        <s v="puneet apparel 12514978.pdf"/>
        <s v="Puneet apparel 12514950.pdf"/>
        <s v="Puneet apparel 12514955.pdf"/>
        <s v="puneet apparel 12514954.pdf"/>
        <s v="puneet apparel 12514975.pdf"/>
        <s v="MSF2252000028853 SAHEBGANJ.pdf"/>
        <s v="MSF2252000028859 Bokaro.pdf"/>
        <s v="MSF2252000028852 DUMKA.pdf"/>
        <s v="MN GARMENTS(TWILLS)_WH_INV2240_46PCS.pdf"/>
        <s v="Kevin enterprises 3147.pdf"/>
        <s v="A S Textile 306.pdf"/>
        <s v="SHRI AMBIKA GARMENTS_720_SANSKAR_2025-26.pdf"/>
        <s v="ADITYA BIRLA_MSF2252000028854_AS_SANSKAR.pdf"/>
        <s v="VSN DEO MSF 2250600580154.pdf"/>
        <s v="MSF2252000028943 fashion studio deoghar.pdf"/>
        <s v="MSF2252000028948 Bokaro.pdf"/>
        <s v="VSN DEO MSF2252000028945.PDF"/>
        <s v="VSN DEO MSF 2252000028953.pdf"/>
        <s v="MOHAN CLOTHING(BB)_INV8500266551_HZB_55PCS.pdf"/>
        <s v="JAY Ambey sarees 7722.pdf"/>
        <s v="ADITYA BIRLA_MSF2252000028944_VW_HZB_4PCS.pdf"/>
        <s v="ADITYA BIRLA_MSF2252000028952_VH_HZB_1PC.pdf"/>
        <s v="Saraogi super sales 6626.pdf"/>
        <s v="DD SALES-1079.pdf"/>
        <s v="SUSHILA ENTERPRISES-755.pdf"/>
        <s v="SUSHILA ENTERPRISES-332.pdf"/>
        <s v="MSF2251000031118 Allen Solly Gaya 13pc.pdf"/>
        <s v="C2D VENTURES-1081.pdf"/>
        <s v="DD SALES-1080.pdf"/>
        <s v="VSN DEO MSF ADD-253.pdf"/>
        <s v="MOHAN CLOTHING(BB)_INV8500267105_HZB_27PCS.pdf"/>
        <s v="MSF2252000029021 ALLEN SOLLY DEOGHAR.pdf"/>
        <s v="MSF2252000029023 AS DUMKA.pdf"/>
        <s v="TAYAL GARMENTS_2025-26.pdf"/>
        <s v="SUSHILA ENTERPRISES_756_2025-26.pdf"/>
        <s v="SUSHILA ENTERPRISES_333_2025-26.pdf"/>
        <s v="SARAOGI SUPER SALES_1855_2025-26.pdf"/>
        <s v="ADITYA BIRLA_MSF2252000029022_SBJ_25-26.pdf"/>
        <s v="EMPORIO SIDDHARTH SALES(SGOCOLORS)_WH_INV000006_25PCS.pdf"/>
        <s v="Variety textile 40091.pdf"/>
        <s v="DS YUVRAAJ(DSY)_JSL_INV1028_23PCS.pdf"/>
        <s v="RAASHI 1581.pdf"/>
        <s v="SARAOGI SUPER SALES_1868_2025-26.pdf"/>
        <s v="Poonam fashion 2830.pdf"/>
        <s v="JAy ambey sarees 7813.pdf"/>
        <s v="Flair kids camp 6708.pdf"/>
        <s v="Saraogi super sales 5322.pdf"/>
        <s v="Saraogi super sales 5320.pdf"/>
        <s v="saraogi super sales 5319.pdf"/>
        <s v="saraogi super sales 5318.pdf"/>
        <s v="RR CREATION_421_SANSKAR_2025-26.pdf"/>
        <s v="Saraogi super sales 5335.pdf"/>
        <s v="saraogi super sales 5334.pdf"/>
        <s v="saraogi super sales 5333.pdf"/>
        <s v="Saraogi super sales 5332.pdf"/>
        <s v="saraogi super sales 4634.pdf"/>
        <s v="D S creation 6581.pdf"/>
        <s v="D S creation 6582.pdf"/>
        <s v="Ashmita boutique 8931.pdf"/>
        <s v="SHREEJI CREATION_1414_SANSKAR_2025-26.pdf"/>
        <s v="SARAOGI SUPER SALES_1898_2025-26.pdf"/>
        <s v="A S TEXTILE_311_2025-26.pdf"/>
        <s v="Sri Krishna Agencies - 0951.pdf"/>
        <s v="Madam 1147.pdf"/>
        <s v="Gaurav textile 2166.pdf"/>
        <s v="MN GARMENTS(TWILLS)_WH_IN2V2326_132PCS.pdf"/>
        <s v="Fashion world garments 19056.pdf"/>
        <s v="Surya ethenic 60721.pdf"/>
        <s v="SKY CLOTHING_1279_SANSKAR_2025-26.pdf"/>
        <s v="SARAOGI SUPER SALES - 4685.pdf"/>
        <s v="NARVADA TEXTILES-TCRS25-386.pdf"/>
        <s v="TARUN APPARELS-MDCRS25-3739.pdf"/>
        <s v="P.R Modi &amp; Sons 23090.pdf"/>
        <s v="kanak fashion 3409.pdf"/>
        <s v="DD APPARELS(SWEET DREAMS)_2WH_INV114_110PCS.pdf"/>
        <s v="V N textiles 2712.pdf"/>
        <s v="shree Narayani enterprises 2873.pdf"/>
        <s v="DD APPARELS(SWEET DREAMS)_WH_INV111_104PCS.pdf"/>
        <s v="GHARUNDA(JOCKEY)_JSL_INV805_43PCS.pdf"/>
        <s v="D APPAREL-0772.pdf"/>
        <s v="MSF2251000031884 PE KANKARBAGH.pdf"/>
        <s v="SIDDHI CLOTHING(7STITCH)_WH_INV1813_20PCS.pdf"/>
        <s v="SARAOGI SUPER SALES_1954_2025-26.pdf"/>
        <s v="A S TEXTILE_318_2025-26.pdf"/>
        <s v="ADITYA BIRLA_MSF2252000029532_PE_SR_2025-26.pdf"/>
        <s v="SIYA FASHION_1606_25-26.pdf"/>
        <s v="AS TEXTILE_319.pdf"/>
        <s v="SHRI SAI ENTERPRISES(ANOKKHI)_WH_INV2161_16PCS.pdf"/>
        <s v="SHRI SAI ENTERPRISES(AMIDHARA)_WH_INV2162_48PCS.pdf"/>
        <s v="D APPAREL-0794 STATUS QUO SANSHKAR RATU.pdf"/>
        <s v="Shree balaji 1509.pdf"/>
        <s v="SUSHILA_338_2025-26.pdf"/>
        <s v="SUSHILA ENTERPRISES_776_2025-26.pdf"/>
        <s v="SAAGEDO INTERNATIONAL_00675_2025-26.pdf"/>
        <s v="A S TEXTILE_317_2025-26.pdf"/>
        <s v="ADITYA BIRLA_MSF2251000031981_PE_2025-26.pdf"/>
        <s v="ADITYA BIRLA_MSF2252000029569_PE_SR_2025-26.pdf"/>
        <s v="ADITYA BIRLA_MSF2252000029599_PE_SR_2025-26.pdf"/>
        <s v="ARP Fashion 201.pdf"/>
        <s v="SHRING APPARELS_2129_LDEO_2025-26.pdf"/>
        <s v="Ek Omkar-13807.pdf"/>
        <s v="D APPAREL-0798  STATUS QUO SANSHKAR RATU PT FILE.pdf"/>
        <s v="D APPAREL(KHUSHAAL)_INV0799_HZB_2PCS.pdf"/>
        <s v="ABFB_MSF2251000032277_2025-26_PE-KANKARBAGH.pdf"/>
        <s v="ADITYA BIRLA_MSF2252000029793_PE_FS_2025-26.pdf"/>
        <s v="LAXMI_SSS_5548_25-26.pdf"/>
        <s v="SAI ENTERPRISE(MAXQ`S)_INV161_HZB.pdf"/>
        <s v="DAVINDER SANDHU IMPEX PRIVATE LIMITED_1422.pdf"/>
        <s v="SARAOGI SUPER SALES_5590_2025-26.pdf"/>
        <s v="SARAOGI SUPER SALES_5589_2025-26.pdf"/>
        <s v="MOHAN CLOTHING(BB)_8500270722_HZB_2025-26.pdf"/>
        <s v="SARAOGI SUPER SALES_11142.pdf"/>
        <s v="VEEDAM FASHION 767.pdf"/>
        <s v="MN GARMENTS(BLAZER.COM)_WH_INV2385_17PCS.pdf"/>
        <s v="P R MODI and son's 23711.pdf"/>
        <s v="SHREE RADHE MATCHING CENTER_679_2025-26.pdf"/>
        <s v="Diya Creation_835_2025-26.pdf"/>
        <s v="Flair Kids Camp_7055_2025-26.pdf"/>
        <s v="MOHAN CLOTHING(BB)_8500271636_HZB_2025-26.pdf"/>
        <s v="D APPAREL(KHUSHAAL)_INV0814_25-26.pdf"/>
        <s v="SHUBH SHRI CLOTHING(MINELLI)_INV5364_J-HZB_25-26.pdf"/>
        <s v="DD Sales GSTN-1146 Bokaro.pdf"/>
        <s v="M B Enterprises 106.pdf"/>
        <s v="DD SALES_1146_2025-26.pdf"/>
        <s v="DD SALES_1135_2025-26.pdf"/>
        <s v="DD SALES_221_2025-26.pdf"/>
        <s v="SOURABH GARMENTS_411_2025-26.pdf"/>
        <s v="KIDSCITY SOLUTIONS_1205_SGMR_2025-26.pdf"/>
        <s v="KIDSCITY SOLUTIONS_1206_SGMR_2025-26.pdf"/>
        <s v="MOHAN CLOTHING(BB)_8500272297_HZB_2025-26.pdf"/>
        <s v="ADITYA BIRLA_MSF2252000030105_J-HZB_25-26.pdf"/>
        <s v="MYGLAM_INV416_HZB_32PCS.pdf"/>
        <s v="NATIONAL COTTAGE(ST.VALENTINE)_INV2717_J-HZB.pdf"/>
        <s v="Singla Collection_719.pdf"/>
        <s v="SARAOGI SUPER SALES_2006.pdf"/>
        <s v="RAMESHWAR TRADING_413.pdf"/>
        <s v="P M Son's 3430.pdf"/>
        <s v="M N GARMENTS 2433.pdf"/>
        <s v="M N GARMENTS 2434.pdf"/>
        <s v="SHREE BALAJI_1579_2025-26.pdf"/>
        <s v="ADITYA BIRLA_MSF2251000032852_ASG_2025-26.pdf"/>
        <s v="ADITYA BIRLA_MSF2252000030229_FS_2025-26.pdf"/>
        <s v="ADITYA BIRLA_MSF2252000030244_SR_2025-26.pdf"/>
        <s v="ADITYA BIRLA_MSF2252000030280_MBOB_2025-26.pdf"/>
        <s v="ADITYA BIRLA_MSF2251000032901_ASG_2025-26.pdf"/>
        <s v="ADITYA BIRLA_MSF2252000030226_SR_2025-26.pdf"/>
        <s v="HYPHEN GARMENTS_011915_HZB_2025-26.pdf"/>
        <s v="ADITYA BIRLA_MSF2252000030227-J-HZB_25-26.pdf"/>
        <s v="ADITYA BIRLA_MSF2252000030265_SBJ_25-26.pdf"/>
        <s v="ADITYA BIRLA_MSF2252000030266_AS_DMK_25-26.pdf"/>
        <s v="ADITYA BIRLA_MSF2252000030281_J-HZB_25-26.pdf"/>
        <s v="ADITYA BIRLA_MSF2252000030288_SBJ_25-26.pdf"/>
        <s v="ADITYA BIRLA_MSF22502000030257_J-HZB_25-26.pdf"/>
        <s v="ADITYA BIRLA_MSF2252000030233_V-DEO_25-26.pdf"/>
        <s v="ADITYA BIRLA_MSF2252000030240_AK_FS-DEO_25-26.pdf"/>
        <s v="ADITYA BIRLA_MSF2252000030242_AS_FS-DEO_25-26.pdf"/>
        <s v="ADITYA BIRLA_MSF2252000030243_AS_FS-DEO_25-26.pdf"/>
        <s v="SAESHA CREATION_6352_25-26.pdf"/>
        <s v="ADITYA BIRLA_MSF2250600616404_V-DEO.pdf"/>
        <s v="ADITYA BIRLA_MSF2252000030230_AK_HZB_14PCS.pdf"/>
        <s v="EMPORIO SIDDHARTH SALES(GOCOLORS)_WH_INV000016_23PCS.pdf"/>
        <s v="D APPAREL_0834_2025-26.pdf"/>
        <s v="GEETANSHI APPARELS_137_2025-26.pdf"/>
        <s v="SHRI MAHAVIR ENTERPRISES_517_2025-26.pdf"/>
        <s v="SHRI MAHAVIR ENTERPRISES_651_2025-26.pdf"/>
        <s v="SHRI MAHAVIR ENTERPRISES_777_2025-26.pdf"/>
        <s v="ADITYA BIRLA_MSF2252000030436_SR_2025-26.pdf"/>
        <s v="ADITYA BIRLA_MSF2251000033093_PEK_2025-26.pdf"/>
        <s v="ADITYA BIRLA_MSF2252000030388_SR_2025-26.pdf"/>
        <s v="ADITYA BIRLA_MSF2252000030308_J-HZB_25-26.pdf"/>
        <s v="ADITYA BIRLA_MSF2252000030310_J-HZB_25-26.pdf"/>
        <s v="ADITYA BIRLA_MSF2252000030315_J-HZB_25-26.pdf"/>
        <s v="ADITYA BIRLA_MSF2252000030381_J-HZB_25-26.pdf"/>
        <s v="ADITYA BIRLA_MSF2252000030389_J-HZB_25-26.pdf"/>
        <s v="ADITYA BIRLA_MSF2252000030390_LP_DMK_25-26.pdf"/>
        <s v="ADITYA BIRLA_MSF2252000030420_J-HZB_25-26.pdf"/>
        <s v="ADITYA BIRLA_MSF2252000030427_J-HZB_25-26.pdf"/>
        <s v="ADITYA BIRLA_MSF2252000030434_SBJ_25-26.pdf"/>
        <s v="ADITYA BIRLA_MSF2252000030470_PE_SBJ_25-26.pdf"/>
        <s v="D APPAREL_0849_V-DEO_25-26.pdf"/>
        <s v="MOHAN CLOTHING(BB)_INV8500273403_HZB_25-26.pdf"/>
        <s v="ADITYA BIRLA_MSF2251000033095_PE_GYA_25-26.pdf"/>
        <s v="ADITYA BIRLA_MSF2252000030305_V-DEO_25-26.pdf"/>
        <s v="ADITYA BIRLA_MSF2252000030339_FS-DEO_25-26.pdf"/>
        <s v="ADITYA BIRLA_MSF2252000030378_V-DEO_25-26.pdf"/>
        <s v="ADITYA BIRLA_MSF2252000030380_AK_FS-DEO_25-26.pdf"/>
        <s v="ADITYA BIRLA_MSF2252000030382_PE_FS-DEO_25-26.pdf"/>
        <s v="ADITYA BIRLA_MSF2252000030387_FS-DEO_25-26.pdf"/>
        <s v="ADITYA BIRLA_MSF2252000030397_25-26.pdf"/>
        <s v="ADITYA BIRLA_MSF2252000030426_V-DEO_25-26.pdf"/>
        <s v="ADITYA BIRLA_MSF2252000030433_FS-DEO_25-26.pdf"/>
        <s v="ADITYA BIRLA_MSF2252000030398_LP_SANSKAR.pdf"/>
        <s v="ADITYA BIRLA_MSF2252000030451_VDEO.pdf"/>
        <s v="ADITYA BIRLA_MSF2252000030385_AH_FS.pdf"/>
        <s v="Sidharth Fashion_2008.pdf"/>
        <s v="SIDDHARTHA FASHION_KRISHNA CREATION_1165.pdf"/>
        <s v="DS Yuvraaj_1136.pdf"/>
        <s v="ADITYA BIRLA_MSF2250600619944_VH_DEO_2CS.pdf"/>
        <s v="OM GANPATI ENTERPRISES_WS2637_LDEO_2025-26.pdf"/>
        <s v="OM GANPATI ENTERPRISES_WS2638_SBG_2025-26.pdf"/>
        <s v="SAFARI_INV11127_9PCS_SGMR.pdf"/>
        <s v="ADITYA BIRLA_MSF2250600622236_V-DEO.pdf"/>
        <s v="ADITYA BIRLA_MSF2252000030635_FS-DEO.pdf"/>
        <s v="ADITYA BIRLA_MSF2252000030651_BOKARO.pdf"/>
        <s v="SHRITHIK_2242.pdf"/>
        <s v="ADITYA BIRLA_MSF2252000030653_V-DEO.pdf"/>
        <s v="ADITYA BIRLA_MSF2252000030661_AK_FS.pdf"/>
        <s v="ADITYA BIRLA_MSF2252000030675_AS_DEO.pdf"/>
        <s v="ADITYA BIRLA_MSF2252000030677_AS_SANSHKAR.pdf"/>
        <s v="ADITYA BIRLA_MSF2252000030693_V-DEO.pdf"/>
        <s v="ADITYA BIRLA_MSF2252000030652_LP_SANSHKAR.pdf"/>
        <s v="Sajan Shree Apparel_4650.pdf"/>
        <s v="MOHAN CLOTHING(BB)_INV8500274196_J-HZB.pdf"/>
        <s v="ADITYA BIRLA_MSF2252000030662_AK_J-HZB.pdf"/>
        <s v="ADITYA BIRLA_MSF2252000030676_AS_J-HZB.pdf"/>
        <s v="MOHAN CLOTHING(BB)_INV8500273795_J-HZB.pdf"/>
        <s v="ADITYA BIRLA_MSF2252000030678.pdf"/>
        <s v="ADITYA BIRLA_MSF2252000030694.pdf"/>
        <s v="ADITYA BIRLA_MSF2252000030692_VH_HZB_2PCS.pdf"/>
        <s v="PUNEET APPAREL_12516352.pdf"/>
        <s v="ADITYA BIRLA_MSF2252000030755_AK_FS-DEO_25-26.pdf"/>
        <s v="M B ENTERPRISES_117_25-26.pdf"/>
        <s v="ADITYA BIRLA_MSF2252000030765_DEO.pdf"/>
        <s v="ADITYA BIRLA_MSF2252000030766_DEO.pdf"/>
        <s v="ADITYA BIRLA_MSF2252000030792_DEO.pdf"/>
        <s v="ADITYA BIRLA_MSF2252000030775_V-DEO.pdf"/>
        <s v="GHARUNDA(JOCKEY)_INV852_JSL.pdf"/>
        <s v="MOHAN CLOTHING(BB)_INV8500274639_J-HZB.pdf"/>
        <s v="A S TEXTILE_338.pdf"/>
        <s v="A S TEXTILE_339.pdf"/>
        <s v="ADITYA BIRLA_MSF2252000030774.pdf"/>
        <s v="ADITYA BIRLA_MSF2252000030779.pdf"/>
        <s v="ADITYA BIRLA_MSF2252000030793.pdf"/>
        <s v="ADITYA BIRLA_MSF2252000030816_BOKARO.pdf"/>
        <s v="ADITYA BIRLA_MSF2252000030828_AS_DEO.pdf"/>
        <s v="FLAIR KIDS CAMP_7081.pdf"/>
        <s v="ADITYA BIRLA_MSF2252000030811_FS-DEO.pdf"/>
        <s v="ADITYA BIRLA_MSF2252000030822_SANSHKAR.pdf"/>
        <s v="ADITYA BIRLA_MSF2252000030844_V-DEO.pdf"/>
        <s v="ADITYA BIRLA_MSF2252000030819_LP_SANSHKAR.pdf"/>
        <s v="ADITYA BIRLA_MSF2251000033778_AS_GAYA.pdf"/>
        <s v="ADITYA BIRLA_MSF2252000030813.pdf"/>
        <s v="ADITYA BIRLA_MSF2252000030817_LR_DMK.pdf"/>
        <s v="ADITYA BIRLA_MSF2252000030830_AS_DMK.pdf"/>
        <s v="ADITYA BIRLA_MSF2252000030831.pdf"/>
        <s v="ADITYA BIRLA_MSF2252000030843.pdf"/>
        <s v="ADITYA BIRLA_MSF2252000030829.pdf"/>
        <s v="ADITYA BIRLA_MSF2252000030832.pdf"/>
        <s v="ADITYA BIRLA_MSF2252000030958_SANSHKAR.pdf"/>
        <s v="MOHAN CLOTHING(BB)_INV8500275412_J-HZB.pdf"/>
        <s v="Shree Sanskruti-1505.pdf"/>
        <s v="Shri Gurunank-1506.pdf"/>
        <s v="VISHAL MARKETING &amp; CO(CB)_428_2025-26.pdf"/>
        <s v="JAIN ADISHWAR_11427_MBOB_2025-26.pdf"/>
        <s v="JAIN ADISHWAR_11421_J-HZB_25-26.pdf"/>
        <s v="PLAZER GARMENTS_3544_25-26.pdf"/>
        <s v="PM SONS_3496_25-26.pdf"/>
        <s v="FASHION EARTH GARMENTS_3314_25-26.pdf"/>
        <s v="FASHION EARTH GARMENTS_3315_25-26.pdf"/>
        <s v="JAIN ADISHWAR_11415_AS-DEO_25-26.pdf"/>
        <s v="ADITYA BIRLA_MSF2252000031045.pdf"/>
        <s v="ADITYA BIRLA_MSF2252000031050_AS_S-RATU.pdf"/>
        <s v="SHREE FASHION_3898.pdf"/>
        <s v="D Apparel(Status Quo)_865.pdf"/>
        <s v="MS SHREE NARAYANI ENTERPRISES_3060_2025-26.pdf"/>
        <s v="JAIN ADISHWAR_11454_J-HZB_25-26.pdf"/>
        <s v="JAIN ADISHWAR_11455_AS-DEO_25-26.pdf"/>
        <s v="PAYAL GARMENTS_2472_25-26.pdf"/>
        <s v="PAYAL GARMENTS_2474_25-26.pdf"/>
        <s v="PLAZER FABRICS_3031_25-26.pdf"/>
        <s v="PLAZER GARMENTS_3602_25-26.pdf"/>
        <s v="VISHAL MARKETING &amp; CO(SPYKAR)_1584_25-26.pdf"/>
        <s v="VISHAL MARKETING &amp; CO(SPYKAR)_1585_25-26.pdf"/>
        <s v="VISHAL MARKETING &amp; CO(SPYKAR)_1586_25-26.pdf"/>
        <s v="VISHAL MARKETING &amp; CO(US POLO)_3379_25-26.pdf"/>
        <s v="VISHAL MARKETING &amp; CO(US POLO)_3380_25-26.pdf"/>
        <s v="JAIN ADISHWAR_11463_BKR_25-26.pdf"/>
        <s v="D APPAREL(SQ)_0873_SBJ.pdf"/>
        <s v="D APPAREL(SQ)_0874_SBJ.pdf"/>
        <s v="Jain Adhishwar_11483.pdf"/>
        <s v="Jain Adhishwar_11485.pdf"/>
        <s v="Jain Adhishwar_11486.pdf"/>
        <s v="Jain Adhishwar_14484.pdf"/>
        <s v="Jain Adhishwar(easies)_11452_Ratu.pdf"/>
        <s v="ADITYA BIRLA_MSF2251000034124_PE_Gaya.pdf"/>
        <s v="Jain Adishwar__11470 (1).pdf"/>
        <s v="Jain Adishwar_J-25-26-11475.pdf"/>
        <s v="PM SONS_3517.pdf"/>
        <s v="Sidhartha Fashion-2079.pdf"/>
        <s v="VISHAL MARKETING &amp; CO(SPYKAR)_1595_25-26.pdf"/>
        <s v="Kishore Textiles_1019.pdf"/>
        <s v="P M Son's_3543.pdf"/>
        <s v="GTN Engineering-252565.pdf"/>
        <s v="GTN Engineering-252566.pdf"/>
        <s v="ADITYA BIRLA_MSF2251000034398_PE_KKBG.pdf"/>
        <s v="ADITYA BIRLA_MSF2251000034399_PE.pdf"/>
        <s v="ADITYA BIRLA_MSF2251000034400_PE.pdf"/>
        <s v="P M SONS_3540.pdf"/>
        <s v="MOHAN CLOTHING(BB)_INV8500277677_J-HZB.pdf"/>
        <s v="ADITYA BIRLA_MSF2251000034518_AS.pdf"/>
        <s v="ADITYA BIRLA_MSF2252000031260_RE_S-RATU.pdf"/>
        <s v="ADITYA BIRLA_MSF2252000031371_AS_DMK.pdf"/>
        <s v="ADITYA BIRLA_MSF2252000031376_AS.pdf"/>
        <s v="ADITYA BIRLA_MSF2252000031377_AS_S-RATU.pdf"/>
        <s v="ADITYA BIRLA_MSF2252000031382_LP_S-RATU.pdf"/>
        <s v="ADITYA BIRLA_MSF2252000031383_V-DEO.pdf"/>
        <s v="ADITYA BIRLA_MSF2252000031395_V-DEO.pdf"/>
        <s v="DD SALES_KILLER_1163.pdf"/>
        <s v="Mine Innovation_1216.pdf"/>
        <s v="ADITYA BIRLA_MSF2252000031363_AK_HZB_4PCS.pdf"/>
        <s v="ADITYA BIRLA_MSF2252000031372_AS_HZB_11PCS.pdf"/>
        <s v="ADITYA BIRLA_MSF2252000031396_VH_SBJ_79PCS.pdf"/>
        <s v="ADITYA BIRLA_MSF2252000031398_VH_HZB_54PCS.pdf"/>
        <s v="ADITYA BIRLA_MSF2252000031261_PE_FS_4PCS.pdf"/>
        <s v="ADITYA BIRLA_MSF2252000031362_AS_FS_8PCS.pdf"/>
        <s v="ADITYA BIRLA_MSF2252000031364_AS_FS_5PCS.pdf"/>
        <s v="ADITYA BIRLA_MSF2252000031370_AS_SBJ_11PCS.pdf"/>
        <s v="N TIQUE KIDS_1760.pdf"/>
        <s v="F.S TO KDPS 985 PIC DETAIL.xlsx"/>
        <s v="VISHAL MARKETING &amp; CO(REX STRAUT)_3437.pdf"/>
        <s v="VISHAL MARKETING &amp; CO(TADPOLE)_3456.pdf"/>
        <s v="Shree Radhe Matching Center_707.pdf"/>
        <s v="DD Sales_1181_Bokaro.pdf"/>
        <s v="Kishore Textiles_1020.pdf"/>
        <s v="VISHAL MARKETING &amp; CO(ARROW)-3443.pdf"/>
        <s v="VISHAL MARKETING &amp; CO(DEAL)-3460.pdf"/>
        <s v="VISHAL MARKETING &amp; CO(US POLO)-3440.pdf"/>
        <s v="VISHAL MARKETING &amp; CO(US POLO)-3441.pdf"/>
        <s v="VISHAL MARKETING &amp; CO(US POLO)-3454.pdf"/>
        <s v="ADITYA BIRLA_MSF2251000034632_PE.pdf"/>
        <s v="ADITYA BIRLA_MSF2251000034633_PE.pdf"/>
        <s v="D APPAREL(KHUSHAAL)_INV0889_J-HZB.pdf"/>
        <s v="D APPAREL(STATUS QUO)_INV0890_J-HZB.pdf"/>
        <s v="ADITYA BIRLA_MSF2252000031468_V-DEO.pdf"/>
        <s v="SHRING APPARELS(MUFTI)_INV2294_L-DEO.pdf"/>
        <s v="MOHAN CLOTHING(BB)_INV8500278375_J-HZB.pdf"/>
        <s v="ADITYA BIRLA_MSF2251000034667_AS_GAYA.pdf"/>
        <s v="JAIN ADHISHWAR_11568.pdf"/>
        <s v="ADITYA BIRLA_MSF2252000031484_AS.pdf"/>
        <s v="ADITYA BIRLA_MSF2252000031486_AS_DMK.pdf"/>
        <s v="ADITYA BIRLA_MSF2252000031488_AS_S-RATU.pdf"/>
        <s v="ADITYA BIRLA_MSF2252000031493_V-DEO.pdf"/>
        <s v="ADITYA BIRLA_MSF2252000031487_AS-HZB_11PCS.pdf"/>
        <s v="R R Creation_471.pdf"/>
        <s v="Shreeji Creation_1647.pdf"/>
        <s v="ADITYA BIRLA_MSF2252000031491_LP_HZB_15PCS.pdf"/>
        <s v="ADITYA BIRLA_MSF2252000031494_VH_SBJ_91PCS.pdf"/>
        <s v="ADITYA BIRLA_MSF2252000031485_AS_SBJ_14PCS.pdf"/>
        <s v="DD APPARELS(SWEET DREAMS)_INV122_WH.pdf"/>
        <s v="D APPAREL(SQ)_0898_SANSHKAR.pdf"/>
        <s v="DD SALES_PROM-34_V-SM.pdf"/>
        <s v="DD SALES(KILLER)_INV1200_V-SM.pdf"/>
        <s v="Jain Adishwar_11616_J-HZB.pdf"/>
        <s v="VISHAL MARKETING &amp; CO(SPYKAR)_1632.pdf"/>
        <s v="Jain Adishwar_11624_Deoghar.pdf"/>
        <s v="Jain Adishwar_11629_Bokaro.pdf"/>
        <s v="VISHAL MARKETING &amp; CO(ARROW)-3479.pdf"/>
        <s v="VISHAL MARKETING &amp; CO(ARROW)-3483.pdf"/>
        <s v="VISHAL MARKETING &amp; CO(FM)-3480.pdf"/>
        <s v="ADITYA BIRLA_MSF2250600640900_LP_AS-DEO.pdf"/>
        <s v="D D SALES_ 1205_DMK.pdf"/>
        <s v="INDTECH APPARELS(FAHRENHEIT )_INV3506_J-HZB.pdf"/>
        <s v="SUVIDHI TEXTILES(CELSIUS)_INV36257_J-HZB.pdf"/>
        <s v="ADITYA BIRLA_MSF2252000031591.pdf"/>
        <s v="MSF2252000031595_AS_HZB_6PCS.pdf"/>
        <s v="MSF2252000031600_AS_HZB_7PCS.pdf"/>
        <s v="MSF2252000031602_VH_HZB_6PCS.pdf"/>
        <s v="ADITYA BIRLA_MSF2251000034700_PE_GAYA_13PCS.pdf"/>
        <s v="SARAOGI SUPER SALES_7536.pdf"/>
        <s v="SARAOGI SUPER SALES_7537.pdf"/>
        <s v="ADITYA BIRLA_MSF2252000031599_AS_DEO_12PCS.pdf"/>
        <s v="ADITYA BIRLA_MSF2252000031601_LP_DEO_6PCS.pdf"/>
        <s v="ADITYA BIRLA_MSF2252000031604_VH_VASDEO_7PCS.pdf"/>
        <s v="DD APPARELS(SWEET DREAMS)_INV128_HZB_42PCS.pdf"/>
        <s v="N TIQUE KIDS_1777.pdf"/>
        <s v="ADITYA BIRLA_MSF2252000031594_AK_FS_6PCS.pdf"/>
        <s v="MSF2252000031714_VH_SBJ_17PCS.pdf"/>
        <s v="VISHAL MARKETING &amp; CO(SPYKAR)-3488.pdf"/>
        <s v="VINAYAK EMPORIUM_3136.pdf"/>
        <s v="D APPARELS_0911_V-DEO.pdf"/>
        <s v="VAS  BANKA.xlsx"/>
        <s v="VINAYAK EMPORIUM_003137_BLG.pdf"/>
        <s v="MSF2252000031716_VH_HZB_16PCS.pdf"/>
        <s v="ADITYA BIRLA_MSF2252000031711_LP_DEO_ 15PCS.pdf"/>
        <s v="ADITYA BIRLA_MSF2252000031712_LP_BOK.pdf"/>
        <s v="ADITYA BIRLA_MSF2252000031715_VH_VASDEO_17PCS.pdf"/>
        <s v="ADITYA BIRLA_MSF2252000031629_PE_SAN_2PCS.pdf"/>
        <s v="MOHAN CLOTHING(BB)_INV8500279719_HZB_50PCS.pdf"/>
        <s v="Jay Ambey textile-1358.pdf"/>
        <s v="VIP INDUSTRIES(ARISTROCAT)_INV2576109809_RATU_250PCS.pdf"/>
        <s v="VIP INDUSTRIES(ARISTROCAT)_INV2576109810_RATU_150PCS.pdf"/>
        <s v="M N GARMENTS_78.pdf"/>
        <s v="TARUN APPARELS(JOCKEY)_INV529_WH.pdf"/>
        <s v="TARUN APPARELS(JOCKEY)_INV2295_WH.pdf"/>
        <s v="TARUN APPARELS(JOCKEY)_INV4114_WH.pdf"/>
        <s v="VIP INDUSTRIES(ARISTROCAT)_INV103685_WH.pdf"/>
        <s v="ADITYA BIRLA_MSF2251000034981_PE.pdf"/>
        <s v="ADITYA BIRLA_MSF2251000034982_PE.pdf"/>
        <s v="ADITYA BIRLA_MSF2251000034983_PE.pdf"/>
        <s v="ADITYA BIRLA_MSF2251000034984_PE_Gaya.pdf"/>
        <s v="ADITYA BIRLA_MSF2251000034985_PE_GAYA.pdf"/>
        <s v="ADITYA BIRLA_MSF2251000034986_PE_GAYA.pdf"/>
        <s v="ADITYA BIRLA_MSF2251000034987_PE_KANKARBAGH.pdf"/>
        <s v="ADITYA BIRLA_MSF2251000034988_PE_GAYA.pdf"/>
        <s v="ADITYA BIRLA_MSF2251000034989_PE.pdf"/>
        <s v="ADITYA BIRLA_MSF2251000034990_PE_GAYA.pdf"/>
        <s v="ANAND FABRICS(USPA INNERWARE)_INV14820_PATNA.pdf"/>
        <s v="ANAND FABRICS(USPA INNERWARE)_INV14821_J-HZB.pdf"/>
        <s v="Kevin Enterprises_3576.pdf"/>
        <s v="SHRING APPARELS(MUFTI)_INV2336_LEEDEO_43PCS.pdf"/>
        <s v="SHUBH SHRI CLOTHING(MINELLI)_INV05719_HZB_53PCS.pdf"/>
        <s v="Shree kundan prints-8540.pdf"/>
        <s v="SAAKSH APPARELS(XERICS)_INV144_WH.pdf"/>
        <s v="VISHAL MARKETING &amp; CO(ARROW)-3520.pdf"/>
        <s v="VISHAL MARKETING &amp; CO(SPYKAR)-3508.pdf"/>
        <s v="VISHAL MARKETING &amp; CO(SPYKAR)-3509.pdf"/>
        <s v="VISHAL MARKETING &amp; CO(USPA KIDS)-3519.pdf"/>
        <s v="JAIN ADHISHWAR_11744.pdf"/>
        <s v="SHREE BALAJI_1666.pdf"/>
        <s v="HYPHEN GARMENTS (HYPHEN)_INV012802_HZB_8PCS.pdf"/>
        <s v="DIYA CREATION_937.pdf"/>
        <s v="ACE VALISE(VIP)_INV161_WH.pdf"/>
        <s v="SUSHILA ENTERPRISES (IH-321912-819).pdf"/>
        <s v="MSF2252000032060_PE_FS_1PC.pdf"/>
        <s v="MSF2252000032059_PE_SAN_1PC.pdf"/>
        <s v="Raashi fashion-1735.pdf"/>
        <s v="Saraogi Super Sales-6037.pdf"/>
        <s v="VISHAL MARKETING &amp; CO(ARROW)_3540.pdf"/>
        <s v="VISHAL MARKETING &amp; CO(USPA KIDS)_3539.pdf"/>
        <s v="MOHAN CLOTHING(BB)_INV8500282683_HZB_31PCS.pdf"/>
        <s v="JAIN ADHISWAR_11793.pdf"/>
        <s v="SHUBH SHRI CLOTHING(MINELLI)_JSL_INV5761_56PCS.pdf"/>
        <s v="TT APPARELS(AS)_INV289_HZB_155PCS.pdf"/>
        <s v="Chancellor industries india-673.pdf"/>
        <s v="KIDSCITY SOLUTIONS(KIDSCITY)_INV1317_HZB_72PCS.pdf"/>
        <s v="KIDSCITY SOLUTIONS(KIDSCITY)_INV1316_HZB_440PCS.pdf"/>
        <s v="KHODIYAR CLOTHING-0885.pdf"/>
        <s v="Shree Kundan Prints-8653.pdf"/>
        <s v="Shree Kundan Prints-8654.pdf"/>
        <s v="Shree Kundan Prints-8655.pdf"/>
        <s v="Khodiyar Clothing-886.pdf"/>
        <s v="DD SALES_1260.pdf"/>
        <s v="TAYAL GARMENTS(ROCK IT)_INV122_WH_353PCS.PDF"/>
        <s v="TAYAL GARMENTS(LIBAS)_INV056_DEO_206PCS.PDF"/>
        <s v="TAYAL GARMENTS(LIBAS)_INV299_DEO_32PCS.PDF"/>
        <s v="Jay Ambey Textile-1365.pdf"/>
        <s v="MOHAN CLOTHING(BB)_INV8500284054_HZB_15PCS.pdf"/>
        <s v="VISHAL MARKETING &amp; CO(LITTLE PINK)-463.pdf"/>
        <s v="JAIN ADISHWAR_AS-DEO_11869.pdf"/>
        <s v="INDTECH APPARELS(FAHRENHEIT )_INV60518_JSL_35PCS.pdf"/>
        <s v="MN GARMENTS(TWILLS)_WH_INV2612_69PCS.pdf"/>
        <s v="GEETANSHI APPARELS(PEPPERMINT)_HZB_INV168_28PCS.pdf"/>
        <s v="Vasu Lifestyle Indore-220.pdf"/>
        <s v="MOHAN CLOTHING(BB)_INV8500285263_HZB_25PCS.pdf"/>
        <s v="SHRING APPARELS(MUFTI)_INV2373_JSL_9PCS.pdf"/>
        <s v="VISHAL MARKETING &amp; CO(REX STRAUT)-3588.pdf"/>
        <s v="JAIN ADISHWAR_BKR_11897.pdf"/>
        <s v="SHUBH SHRI CLOTHING(MINELLI)_JSL_INV5569_45PCS.pdf"/>
        <s v="A S textile-365.pdf"/>
        <s v="A S Textile-364.pdf"/>
        <s v="D APPAREL_0951_V-DEO.pdf"/>
        <s v="SUSHILA ENTERPRISES (IL-321913-162).pdf"/>
        <s v="SUSHILA ENTERPRISES (IH-312912-835).pdf"/>
        <s v="D APPAREL-0954.pdf"/>
        <s v="D APPAREL(STATUS QUO)_INV0952_GAYA_194PCS.pdf"/>
        <s v="D APPAREL(STATUS QUO)_INV0953_GAYA_128PCS.pdf"/>
        <s v="MSF2251000035952_PE_KANKARBAGH_4PCS.pdf"/>
        <s v="MSF2251000035949_PE_KANKARBAGH_6PCS.pdf"/>
        <s v="D APPAREL(STATUS QUO)_INV0955_HZB_67PCS.pdf"/>
        <s v="MSF2251000036004_PE_GAYA_17PCS.pdf"/>
        <s v="MSF2251000035954_PE_GAYA_2PCS.pdf"/>
        <s v="MSF2251000035953_PE_GAYA_1PC.pdf"/>
        <s v="MSF2251000035950_PE_GAYA_5PCS.pdf"/>
        <s v="MSF2252000032499_PE_SAN_2PC.pdf"/>
        <s v="MSF2252000032500_PE_FSDEO_4PCS.pdf"/>
        <s v="C2D VENTURES-1201.pdf"/>
        <s v="P R MODI and son's-25289.pdf"/>
        <s v="P R MODI and son's-25286.pdf"/>
        <s v="P R MODI and son's-25285.pdf"/>
        <s v="P R MODI and son's-25291.pdf"/>
        <s v="P R MODI and son's-25290.pdf"/>
        <s v="P R MODI &amp; SONS_25203.pdf"/>
        <s v="VISHAL MARKETING &amp; CO(US POLO PROMO)-3607.pdf"/>
        <s v="SHRING APPARELS(MUFTI)_INV2454_LEEDEO_99PCS.pdf"/>
        <s v="SHRING APPARELS(MUFTI)_INV2449_JSL_140 PCS.pdf"/>
        <s v="SHRING APPARELS(MUFTI)_INV2455_JSL_90PCS.pdf"/>
        <s v="SHRING APPARELS(MUFTI)_INV2476_JSL_107PCS.pdf"/>
        <s v="HYPHEN GARMENTS (HYPHEN)_INV013192_HZB_10PCS.pdf"/>
        <s v="SHRING APPARELS(MUFTI)_INV2477_JSL_142PCS.pdf"/>
        <s v="MSF2251000036173_PE_GAYA_1PC.pdf"/>
        <s v="Saraogi Super Sales-2119.pdf"/>
        <s v="MOHAN CLOTHING(BB)_INV8500286716_HZB_5PCS.pdf"/>
        <s v="M N GARMENTS 2665.pdf"/>
        <s v="M N GARMENTS 2666.pdf"/>
        <s v="M N GARMENTS 2667.pdf"/>
        <s v="Plazer Garments-3826.pdf"/>
        <s v="Jain Adishwar-12024.pdf"/>
        <s v="Jain Adishwar-12020 (Deoghar).pdf"/>
        <s v="EMPORIO SIDDHARTH SALES(GOCOLORS)_HZB_INV000023_46PCS.pdf"/>
        <s v="Shirithik Designer LLP-2382.pdf"/>
        <s v="Unnati Creation-489.pdf"/>
        <s v="EMPORIO SIDDHARTH SALES(GOCOLORS)_HZB_INV000024_43PCSS.pdf"/>
        <s v="Jay Ambey Sarees-9119.pdf"/>
        <s v="ZENITH FABRICS-1102.pdf"/>
        <s v="TAYAL GARMENTS-124.PDF"/>
        <s v="PLAZER garments-3848.pdf"/>
        <s v="MSF2251000036390_PE_GAYA_5PCS.pdf"/>
        <s v="MSF2251000036388_PE_GAYA_2PCS.pdf"/>
        <s v="MSF2251000036394_PE_KANKARBAGH_110PCS.pdf"/>
        <s v="MSF2252000032816_PE_SAN_1PC.pdf"/>
        <s v="MOHAN CLOTHING(BB)_INV8500288043_HZB_18PCS.pdf"/>
        <s v="MSF2252000032818_PE_HZB_178PCS.pdf"/>
        <s v="MSF2252000032817_PE_FSDEO_24PCS.pdf"/>
        <s v="Siddhi Clothing-2007.pdf"/>
        <s v="Jain Adishwar-12105 (Bokaro).pdf"/>
        <s v="D D sales-1278.pdf"/>
        <s v="VINAYAK EMPORIUM(BANJARAN)_INV3216_BGP_37PCS.pdf"/>
        <s v="VINAYAK EMPORIUM(BANJARAN)_INV3217_SGMR_38PCS.pdf"/>
        <s v="MSF2251000036500_PE_GAYA_3PCS.pdf"/>
        <s v="MSF2251000036499_PE_GAYA_1PC.pdf"/>
        <s v="Vasu Lifestyle-233.pdf"/>
        <s v="MSF2252000032893_PE_HZB_29PCS.pdf"/>
        <s v="VINAYAK EMPORIUM(BANJARAN)_INV3230_SGMR_15PCS.pdf"/>
        <s v="OVERSEAS ENTERPRISES(AMBRELI)_INV2071_BGP_277PCS.pdf"/>
        <s v="MOHAN CLOTHING(BB)_INV8500288967_HZB_8PCS.pdf"/>
        <s v="VINAYAK EMPORIUM(BANJARAN)_INV3231_BGP_15PCS.pdf"/>
        <s v="MSF2251000036605_PE_KANKARBAGH_2PCS.pdf"/>
        <s v="MSF2252000032977_PE_HZB_3PCS.pdf"/>
        <s v="MSF2252000032976_PE_FSDEO_2PCS.pdf"/>
        <s v="Shirithik Designer LLP-2401.pdf"/>
        <s v="VISHAL MARKETING &amp; CO(SMAG)-3659.pdf"/>
        <s v="JAIN ADISHWAR HOSIERY WORKS LLP-12164 BOKARO.pdf"/>
        <s v="Jain Adishwat-12155 (Bokaro).pdf"/>
        <s v="A S Textile 433.pdf"/>
        <s v="Kalyanlakshmi Apparels-1134.pdf"/>
        <s v="RTC GARMENTEX INDIA-25228.pdf"/>
        <s v="A S Textile-432.pdf"/>
        <s v="MSF2251000036685_PE_KANKARBAGH_1PC.pdf"/>
        <s v="MSF2251000036686_PE_GAYA_2PCS.pdf"/>
        <s v="SHUBH SHRI CLOTHING(MINELLI)_JSL_INV6058_83PCS.pdf"/>
        <s v="Shirithik Designer LLP-2408.pdf"/>
        <s v="Saraogi Super Sales-2138.pdf"/>
        <s v="Saraogi Super Sales-2134.pdf"/>
        <s v="Saraogi Super Sales-2133.pdf"/>
        <s v="Saraogi Super Sales-2130.pdf"/>
        <s v="Saraogi Super Sales-2131.pdf"/>
        <s v="Saraogi Super Sales-2132.pdf"/>
        <s v="Radha Madhav NX-5010.pdf"/>
        <s v="A S Textile-434.pdf"/>
        <s v="SIDDARTHA FASHION-2269.pdf"/>
        <s v="TAYAL GARMENTS PVT. LTD-214.PDF"/>
        <s v="DD APPARELS(SWEET DREAMS)_WH_INV138_49PCS.pdf"/>
        <s v="Variety Textile-46438.pdf"/>
        <s v="Variety Textile-46470.pdf"/>
        <s v="Variety Textile-46468.pdf"/>
        <s v="MSF2252000033373_PE_HZB_72PCS.pdf"/>
        <s v="MSF2252000033338_PE_HZB_173PCS.pdf"/>
        <s v="MSF2252000033339_PE_HZB_3PCS.pdf"/>
        <s v="SHUBH SHRI CLOTHING(MINELLI)_JSL_INV6161_10PCS.pdf"/>
        <s v="MSF2251000037277_PE_GAYA 2PCS.pdf"/>
        <s v="MSF2251000037272_PE_GAYA 14PCS.pdf"/>
        <s v="MSF2251000037275_PE_GAYA_7PCS.pdf"/>
        <s v="MSF2251000037276_PE_GAYA_1PC.pdf"/>
        <s v="MSF2251000037207_PE_GAYA_79PCS.pdf"/>
        <s v="MSF2251000037273_PE_KANKARBAGH_2PCS.pdf"/>
        <s v="MSF2251000037208_PE_KANKARBAGH_1PC.pdf"/>
        <s v="SUSHILA ENTERPRISES-165.pdf"/>
        <s v="SUSHILA ENTERPRISES-854.pdf"/>
        <s v="Agam Creation-4707.pdf"/>
        <s v="Saraogi Super Sales-3.pdf"/>
        <s v="MUKESH AGARWAL(PETICOAT)_INVRE01_HZB_140PCS."/>
        <s v="D APPAREL(KHUSHAAL)_INV0005_JSL_13PCS.pdf"/>
        <s v="Harshit Fashions-2444.pdf"/>
        <s v="Variety Textile-13.pdf"/>
        <s v="Saraogi Super Sales-72.pdf"/>
        <s v="D D SALES-22.pdf"/>
        <s v="D D SALES-18.pdf"/>
        <s v="D D SALES-12.pdf"/>
        <s v="VISHAL MARKETING &amp; CO(CHOCOLATE BABY)-010.pdf"/>
        <s v="Variety Creation-151.pdf"/>
        <s v="SHRING APPARELS(MUFTI)_INV45_JSL_109PCS.pdf"/>
        <s v="D Apparel-0022.pdf"/>
        <s v="Surya Ethenic-394.pdf"/>
        <s v="Jain Adishwar-60(Deoghar).pdf"/>
        <s v="Plazer Garments-43.pdf"/>
        <s v="VISHAL MARKETING &amp; CO(USPA KIDS)-0042.pdf"/>
        <s v="VISHAL MARKETING &amp; CO(USPA KIDS)-0041.pdf"/>
        <s v="VISHAL MARKETING &amp; CO(US POLO)-0040.pdf"/>
        <s v="VISHAL MARKETING &amp; CO(US POLO)-0039.pdf"/>
        <s v="VISHAL MARKETING &amp; CO(US POLO)-0037.pdf"/>
        <s v="VISHAL MARKETING &amp; CO(US POLO)-0030.pdf"/>
        <s v="Jain Adishwar-64(109 Qty).pdf"/>
        <s v="Jain Adishwar-68 (Hazaribagh).pdf"/>
        <s v="VISHAL MARKETING &amp; CO(SPYKAR)-0005.pdf"/>
        <s v="VISHAL MARKETING &amp; CO(SPYKAR)-0002.pdf"/>
        <s v="VISHAL MARKETING &amp; CO(SPYKAR)-0004.pdf"/>
        <s v="VISHAL MARKETING &amp; CO(SPYKAR)-0003.pdf"/>
        <s v="SARAOGI SUPER SALES(FOGA)_INV33_WH_24PCS.pdf"/>
        <s v="A S TEXTILE-15.pdf"/>
        <s v="A S TEXTILE-16.pdf"/>
        <s v="A S TEXTILE-17.pdf"/>
        <s v="A S TEXTILE-18.pdf"/>
        <s v="Jain Adishwar - 97 Hazaribhagh  (Qty-29).pdf"/>
        <s v="Jain Adishwar - 91 (Qty-109).pdf"/>
        <s v="Jain Adishwar - 96  Deoghar ( Qty -36).pdf"/>
        <s v="Variety Textiles-1112.pdf"/>
        <s v="D D SALES-10.pdf"/>
        <s v="Variety Textiles-1111.pdf"/>
        <s v="Variety Textiles-1121.pdf"/>
        <s v="Jain Adishwar -156 Ratu (36 Qty).pdf"/>
        <s v="SHREE NARAYANI(JOCKEY)_INV38_WH_65PCS.pdf"/>
        <s v="P M Son's-77.pdf"/>
        <s v="Plazer Fabrics-71.pdf"/>
        <s v="VN TEXTILES(JOCKEY)_INV70_LEEDEO_1PC.pdf"/>
        <s v="VN TEXTILE (JOCKEY)_INV69_LEE DEOGHAR.pdf"/>
        <s v="DD DEVELOPERS(JOCKEY)_INV10_BHAGALPUR_60PCS.pdf"/>
        <s v="TARUN APPARELS(JOCKEY)_INV49_LEE-DEO_40PCS.pdf"/>
        <s v="P R Modi and Sons-649.pdf"/>
        <s v="MN GARMENTS(TWILLS)_WH_INV79_60PCS.pdf"/>
        <s v="D APPAREL(STATUS QUO)_INV043_MAHGAMA_84PCS.pdf"/>
        <s v="A S Textile 21.pdf"/>
        <s v="SHRIKRISHNA CREATION - 0012.pdf"/>
        <s v="Jain Adishwar -245 Bokaro (34 Qty).pdf"/>
        <s v="PAYAL GARMENTS-48.pdf"/>
        <s v="SHRING APPARELS(MUFTI)_INV130_LEEDEO_65PCS.pdf"/>
        <s v="Jain Adishwar - 247 Hazaribhagh (13 Qty).pdf"/>
        <s v="D APPAREL(STATUS QUO)_INV056_HZB_33PCS.pdf"/>
        <s v="GEETANSHI APPARELS(PEPPERMINT)_HZB_INV13_24PCS.pdf"/>
        <s v="HYPHEN GARMENTS (HYPHEN)_INV342_HZB_9PCS.pdf"/>
        <s v="Plazer Garments-118.pdf"/>
        <s v="Shree Radhe Matching-27.pdf"/>
        <s v="VISHAL MARKETING &amp; CO(CHOCOLATE BABY)-037.pdf"/>
        <s v="D APPAREL(STATUS QUO)_INV064_SBJ_66PCS.pdf"/>
        <s v="D-APPAREL(KHUSHAAL)_INV52_HZB_8PCS.pdf"/>
        <s v="VISHAL MARKETING &amp; CO(FM)-144.pdf"/>
        <s v="VISHAL MARKETING &amp; CO(ARROW)-141.pdf"/>
        <s v="MSF2262000000530_AS_FS-DEO_29PCS.pdf"/>
        <s v="MSF2262000000532_AS_FS-DEO_91PCS.pdf"/>
        <s v="MSF2262000000535_AS_AS-DEO_399PCS.pdf"/>
        <s v="MSF2262000000542_LP_AS-DEO_12PCs.pdf"/>
        <s v="MSF2261000000856_AS_GAYA_361PCS.pdf"/>
        <s v="MSF2262000000545_VH_JSL_6PCS.pdf"/>
        <s v="MSF2262000000531_AS_JSL_58PCS.pdf"/>
        <s v="MSF2262000000539_AS_JSL_9PCS.pdf"/>
        <s v="MSF2262000000536_AS_SGMR_66PCS.pdf"/>
        <s v="MSF2262000000541_LP_SANSKAR_18PCS.pdf"/>
        <s v="MSF2262000000544_VH_SBJ_14PCS.pdf"/>
        <s v="MSF2262000000537_AS_SBJ_93PCS.pdf"/>
        <s v="MSF2262000000540_LP_DUMKA_7PCS.pdf"/>
        <s v="MSF2262000000538_AS_DUMKA_54PCS.pdf"/>
        <s v="HS Creation - 004.pdf"/>
        <s v="GURULAXMI CREATION - 009.pdf"/>
        <s v="A S TEXTILE - 23.pdf"/>
        <s v="A S TEXTILE - 26.pdf"/>
        <s v="A S TEXTILE - 29.pdf"/>
        <s v="PLAZER GARMENTS-151.pdf"/>
        <s v="SHRI MAHAVIR ENTERPRISES(JOCKEY)_PR1CRS26-25_HZB_40PCS.pdf"/>
        <s v="Shree Radhe Matching-31.pdf"/>
        <s v="SHRI MAHAVIR ENTERPRISES(JOCKEY)_PR2CRS2627_HZB_90PCS.pdf"/>
        <s v="SHRI MAHAVIR ENTERPRISES(JOCKEY)_INV8_HZB_41PCS.pdf"/>
        <s v="SHRI MAHAVIR ENTERPRISES(JOCKEY)_INV09_HZB_45PCS.pdf"/>
        <s v="SHRI MAHAVIR ENTERPRISES-27.pdf"/>
        <s v="SHRI MAHAVIR ENTERPRISES(JOCKEY)_INV17_HZB_70PCS.pdf"/>
        <s v="MSF2262000000644_AS_DUMKA_15PCS.pdf"/>
        <s v="MSF2260600018923_LP_DUMKA_5PCS.pdf"/>
        <s v="MSF2260600018922_LP_VAS-DEO_20PCS.pdf"/>
        <s v="MSF2260600018925_LP_JSL_15PCS.pdf"/>
        <s v="MSF2262000000640_AS_JSL_13PCS.pdf"/>
        <s v="MSF2261000000997_AS_GAYA_17PCS.pdf"/>
        <s v="MSF2262000000628_LP_SANSKAR_9PCS.pdf"/>
        <s v="MSF2262000000630_LP_SANSKAR_156PCS.pdf"/>
        <s v="MSF2260600018926_LP_SANSKAR_5PCS.pdf"/>
        <s v="MSF2262000000645_AS_SANSKAR_15PCS.pdf"/>
        <s v="MSF2260600019708_LP_VAS-DEO_15PCS.pdf"/>
        <s v="MSF2262000000620_AS_SGMR_33PCS.pdf"/>
        <s v="MSF2262000000641_AS_SGMR_34PCS.pdf"/>
        <s v="MSF2252000000618_VH_JSL_14PCS.pdf"/>
        <s v="MSF2262000000633_VH_JSL_161PCS.pdf"/>
        <s v="MSF2262000000642_AS_FS-DEO_20PCS.pdf"/>
        <s v="MSF2262000000627_LP_BOKARO_7PCS.pdf"/>
        <s v="MSF2262000000625_LP_BOKARO_221PCS.pdf"/>
        <s v="MSF2262000000634_VH_VAS-DEO_117PCS.pdf"/>
        <s v="MSF2262000000626_LP_VAS-DEO_92PCS.pdf"/>
        <s v="MSF2262000000621_AS_FS-DEO_13PCS.pdf"/>
        <s v="MSF2262000000619_VH_FS-DEO_25PCS.pdf"/>
        <s v="MSF2260600018924_LP_BOKARO_5PCS.pdf"/>
        <s v="MSF2262000000629_LP_JSL_146PCS.pdf"/>
        <s v="Jain Adishwar -308 Ratu (22 Qty).pdf"/>
        <s v="Jain Adishwar-315 (14 Qty).pdf"/>
        <s v="MSF2262000000731_AS_FS DEO_29PCS.pdf"/>
        <s v="MSF2261000001102_AS_GAYA_8PCS.pdf"/>
        <s v="MSF2262000000726_VH_VAS-DEO_4PCS.pdf"/>
        <s v="Jay Ambey Sarees-453.pdf"/>
        <s v="MSF2262000000732_AS_JSL_7PCS.pdf"/>
        <s v="MSF2262000000725_VH_JSL_6PCS.pdf"/>
        <s v="MSF2261000001087_AS_GAYA_16PCS.pdf"/>
        <s v="MSF2262000000718_LP_VAS-DEO_1PC.pdf"/>
        <s v="MSF2262000000713_AS_FS-DEO_24PCS.pdf"/>
        <s v="MSF2262000000708_AS_FS-DEO_8PCS.pdf"/>
        <s v="MSF2260600022256_LP_BOKARO_10PCS.pdf"/>
        <s v="MSF2262000000716_AS_JSL_18PCS.pdf"/>
        <s v="C2D DISTRIBUTORS 10 (SANSKAR STORE).pdf"/>
        <s v="Plazer Fabrics-144.pdf"/>
        <s v="TAYAL GARMENTS-007.PDF"/>
        <s v="MSF2260600024118_LP_SANSKAR_10PCS.pdf"/>
        <s v="NIKITA APPARELS(EAGLE)_INV29_JSL_30PCS.pdf"/>
        <s v="MSF2260600024065_LP_DUMKA_10PCS.pdf"/>
        <s v="MSF2262900035373_LP_BOKARO_10PCS.pdf"/>
        <s v="MSF2260600024117_LP_JSL_30PCS.pdf"/>
        <s v="MSF2260600024116_LP_VAS-DEO_10PCS.pdf"/>
        <s v="MSF2262000000811_AS_FS-DEO_20PCS.pdf"/>
        <s v="MSF2261000001212_AS_GAYA_8PCS.pdf"/>
        <s v="MSF2261000001213_AS_GAYA_9PCS.pdf"/>
        <s v="MSF2262000000823_VH_VAS-DEO_5PCS.pdf"/>
        <s v="MSF2262900035370_LP_VAS-DEO_10PCS.pdf"/>
        <s v="MSF226060024066_LP_BOKARO_35PCS.pdf"/>
        <s v="MSF2262000000816_LP_DUMKA_4PCS.pdf"/>
        <s v="MSF2262000000812_AS_DUMKA_7PCS.pdf"/>
        <s v="Jay Ambey Designer - 134.pdf"/>
        <s v="MSF2262900035371_LP_JSL_10PCS.pdf"/>
        <s v="PAYAL GARMENTS-105.pdf"/>
        <s v="P R MODI &amp; Son's-1440.pdf"/>
        <s v="P R MODI &amp; Son's-1443.pdf"/>
        <s v="M N GARMENTS-126.pdf"/>
        <s v="VISHAL MARKETING &amp; CO(LINEN CLUB)-052.pdf"/>
        <s v="SHRI SAI ENTERPRISES(AMIDHARA)_WH_INV110_16PCS.pdf"/>
        <s v="D Apparel-0080.pdf"/>
        <s v="D APPAREL(STATUS QUO)_INV083_HZB_42PCS.pdf"/>
        <s v="VISHAL MARKETING &amp; CO(LITTLE PINK)-055.pdf"/>
        <s v="MN GARMENTS-139.pdf"/>
        <s v="Variety Textiles-3360.pdf"/>
        <s v="Kishor Textiles-1109.pdf"/>
        <s v="Jain Adishwar - 425 Hazaribagh (40 Qty).pdf"/>
        <s v="Jain Adishwar -438 Deoghar (29 Qty).pdf"/>
        <s v="MSF2261000001488_AS_GAYA_9PCS.pdf"/>
        <s v="C2D DISTRIBUTORS(WELSPUN)_INV17_SINGMORE_136PCS.pdf"/>
        <s v="MSF2262000001063_VH_JSL_47PCS.pdf"/>
        <s v="MSF2262000001064_VH_JSL_1PC.pdf"/>
        <s v="MSF2262000001062_AS_JSL_6PCS.pdf"/>
        <s v="Variety Textiles-3599.pdf"/>
        <s v="Variety Textiles-3603.pdf"/>
        <s v="Variety Textiles-3542.pdf"/>
        <s v="Variety Textiles-3845.pdf"/>
        <s v="VISHAL MARKETING &amp; CO(SPYKAR)-0227.pdf"/>
        <s v="VISHAL MARKETING &amp; CO(SPYKAR)-0228.pdf"/>
        <s v="VISHAL MARKETING &amp; CO(SPYKAR)-0229.pdf"/>
        <s v="VISHAL MARKETING &amp; CO(SPYKAR)-0230.pdf"/>
        <s v="MSF2260600032805_AS_GAYA_15PCS.pdf"/>
        <s v="MSF2260600032816_AS_DUMKA_9PCS.pdf"/>
        <s v="MSF2260600032801_AS_FS-DEO_18PCS.pdf"/>
        <s v="MSF2262000001121_ASDUMKA_7PCS.pdf"/>
        <s v="MSF2262900051519_AS_DUMKA_3PCS.pdf"/>
        <s v="MSF2262000001124_VH_VAS-DEO_7PCS.pdf"/>
        <s v="MSF2262900051511_AS_FS-DEO_8PCS.pdf"/>
        <s v="FS-KDPS_78PCS.pdf"/>
        <s v="FS-KDPS_85PCS.pdf"/>
        <s v="FS-KDPS_104PCS.pdf"/>
        <s v="UDHAV ENTERPRISES(JOCKEY)_INV19_WH_30PCS.pdf"/>
        <s v="MSF2262000001119_AS_JSL_12PCS.pdf"/>
        <s v="MSF2260600032809_AS_JSL_12PCS.pdf"/>
        <s v="VISHAL MARKETING &amp; CO(US POLO PROMO)-0267.pdf"/>
        <s v="P R MODI &amp; SON'S-1755.pdf"/>
        <s v="P R MODI &amp; SON'S-1756.pdf"/>
        <s v="P R MODI &amp; SON'S-1760.pdf"/>
        <s v="PLAZER GARMENTS-295.pdf"/>
        <s v="D-APPAREL(KHUSHAAL)_INV102_HZB_56PCS.pdf"/>
        <s v="FASHION WORLD GARMENTS - 954.pdf"/>
        <s v="FASHION WORLD GARMENTS - 956.pdf"/>
        <s v="FASHION WORLD GARMENTS - 957.pdf"/>
        <s v="FASHION WORLD GARMENTS - 962.pdf"/>
        <s v="Fashion Earth Garments - 258.pdf"/>
        <s v="Fashion Earth Garments - 257.pdf"/>
        <s v="WEAR ON ENSEMBLES - 723.pdf"/>
        <s v="WEAR ON ENSEMBLES - 724.pdf"/>
        <s v="Wear On Ensemble - 722.pdf"/>
        <s v="Wonders - 0037.pdf"/>
        <s v="V N Textiles-196.pdf"/>
        <s v="NarvadaTtextiles-22.pdf"/>
        <s v="P R MODI &amp; SON'S-1899.pdf"/>
        <s v="D D Sales-77.pdf"/>
        <s v="SHREE NARAYANI ENTERPRISES (P2CRS26-152).pdf"/>
        <s v="TAYAL GARMENTS - 008.PDF"/>
        <s v="Zenith Fabric - 96 (Gaya).pdf"/>
        <s v="A &amp; T ENGROS - 25.pdf"/>
        <s v="D S Creation - 361.pdf"/>
        <s v="D S Creation - 365.pdf"/>
        <s v="D S Creation - 364.pdf"/>
        <s v="D S Creation - 362.pdf"/>
        <s v="Sagar Enterprises - 0075.pdf"/>
        <s v="D S Creation - 360.pdf"/>
        <s v="MSF2262000001275_LP_BOKARO_10PCS.pdf"/>
        <s v="Variety Textiles - 4411.pdf"/>
        <s v="TARUN APPARELS(JOCKEY)_INV192_WH_30PCS.pdf"/>
        <s v="NARVADA TEXTILES(JOCKEY)_INV34_WH_20PCS.pdf"/>
        <s v="Plazer Fabrics - 259.pdf"/>
        <s v="SHREE NARAYANI(JOCKEY)_INV162_WH_39PCS.pdf"/>
        <s v="PARAS(JOCKEY)_INV175_WH_146PCS.pdf"/>
        <s v="M N GARMENTS - 224.pdf"/>
        <s v="D APPAREL(STATUS QUO)_INV124_HZB_86PCS.pdf"/>
        <s v="NARVADA TEXTILES(JOCKEY)_INV103_WH_100PCS.pdf"/>
        <s v="M N GARMENTS - 264.pdf"/>
        <s v="C2D DISTRIBUTORS (W26-82).pdf"/>
        <s v="C2D DISTRIBUTOPR (26IH-323743-003).pdf"/>
        <s v="C2D DISTRIBUTORS(WELSPUN)_INV16_BANKA_136PCS.pdf"/>
        <s v="D APPAREL - 0215.pdf"/>
        <s v="TAYAL GARMENTS PVTY LTD (JFHCRS26-378).pdf"/>
        <s v="TAYAL GARMENTS (WC-043).pdf"/>
        <s v="P M SONS - 786.pdf"/>
        <s v="PARAS TEXTILES (PECRS26-625).pdf"/>
        <s v="TARUN APPARELS(MDCRS26-680).pdf"/>
        <s v="MSF2262900051516_AS_JSL_6PCS.pdf"/>
        <s v="MSF2262000001129_LP_JSL_32PCS.pdf"/>
        <s v="Samyak Creation - 58.pdf"/>
        <s v="Saraogi Super Sales - 497.pdf"/>
        <s v="TAYAL GARMENTS - 038.pdf"/>
        <s v="MSF2262000001218_PE_SGMR_15PCS.pdf"/>
        <s v="MSF2262000001217_PE_FS-DEO_4PCS.pdf"/>
        <s v="Jain Adishwar - 624 (47 Qty).pdf"/>
        <s v="MSF2262000000809_AS_SBJ_16PCS.pdf"/>
        <s v="MSF2262000000824_VH_SBJ_1PC.pdf"/>
        <s v="MSF2262000000635_VH_SBJ_84PCS.pdf"/>
        <s v="SSS(FOGA)_INV33_WH_24PCS.pdf"/>
        <s v="Kripa Teaders - 162.pdf"/>
        <s v="MSF2261000002416_PE_GAYA_3PCS.pdf"/>
        <s v="MSF2261000002423_PE_GAYA_73PCS.pdf"/>
        <s v="MSF2261000002425_PE_GAYA_19PCS.pdf"/>
        <s v="MSF2261000002418_PE_GAYA_20PCS.pdf"/>
        <s v="MSF2262000001274_LP_VAS-DEO_15PCS.pdf"/>
        <s v="MSF2261000002419_PE_GAYA_3PCS.pdf"/>
        <s v="MSF2261000002420_PE_GAYA_17PCS.pdf"/>
        <s v="D APPAREL - 0119.pdf"/>
        <s v="Abhivadan Fashion - 1536.pdf"/>
        <s v="Abhivadan Fashion - 1537.pdf"/>
        <s v="MSF2261000001631_AS_GAYA_9PCS.pdf"/>
        <s v="MSF2262900051513_AS_GAYA_8PCS.pdf"/>
        <s v="TAYAL GARMENTS(JOCKEY)_INV77_WH_25PCS.pdf"/>
        <s v="TAYAL GARMENTS(JOCKEY)_INV79_WH_10PCS.pdf"/>
        <s v="MSF2262000001701_PE_JSL_20PCS.pdf"/>
        <s v="MSF2262000001702_PE_JSL_72PCS.pdf"/>
        <s v="MSF2262000001192_VH_JSL_5PCS.pdf"/>
        <s v="MSF2262000001190_LP_JSL_16PCS.pdf"/>
        <s v="MSF2262000001277_VH_JSL_32PCS.pdf"/>
        <s v="MSF2261000002202_PE_PATNA_6PCS.pdf"/>
        <s v="MSF2261000001796_PE_PATNA_42PCS.pdf"/>
        <s v="MSF2261000002092_PE_PATNA_132.pdf"/>
        <s v="MSF2261000002089_PE_PATNA_5PCS.pdf"/>
        <s v="MSF2261000002090_PE_PATNA_16PCS.pdf"/>
        <s v="MSF2262000000639_AS_SBJ_16PCS.pdf"/>
        <s v="MSF2252000016262_LP_DUMKA_5PCS.pdf"/>
        <s v="MSF2252000015599_LP_DUMKA_4PCS.pdf"/>
        <s v="A &amp; T ENGROS - 43.pdf"/>
        <s v="B K SILK MILLS NX LLP - 2096.pdf"/>
        <s v="Shirithik Designer LLP - 152.pdf"/>
        <s v="Shirithik Designer LLP - 153.pdf"/>
        <s v="Kashni - 165.pdf"/>
        <s v="B K SILK MILLS NX LLP - 2065.pdf"/>
        <s v="B K SILK MILLS NX LLP - 2068.pdf"/>
        <s v="B K SILK MILLS NX LLP - 2069.pdf"/>
        <s v="Karni Textiles - 174.pdf"/>
        <s v="JOMAA SAREES - 305.pdf"/>
        <s v="RTC GARMENTEX - 63.pdf"/>
        <s v="CHOKRI CREATION - 26.pdf"/>
        <s v="JANANI DESIGNER - 347.pdf"/>
        <s v="ZOE - 226.pdf"/>
        <s v="SHREE EMPORIUM - 599.pdf"/>
        <s v="WILSON PRINTS - 264.pdf"/>
        <s v="MSF2261000002385_PE_PATNA_6PCS.pdf"/>
        <s v="MSF2261000002386_PE_PATNA_1PC.pdf"/>
        <s v="CHANCELLOR INDUSTRIES - 88.pdf"/>
        <s v="SHREE EMPORIUM - 568.pdf"/>
        <s v="MSF2260600032804_ AS_SBJ_6PCS.pdf"/>
        <s v="P R MODI &amp; SON'S - 2785.pdf"/>
        <s v="SHREE EMPORIUM - 552.pdf"/>
        <s v="SAMYAK CREATION - 63.pdf"/>
        <s v="KRIPA TRADERS - 241.pdf"/>
        <s v="SHREE NARAYANI ENTERPRISES (P2CRS26-238).pdf"/>
        <s v="DD SALES (GSTN - 86).pdf"/>
        <s v="ZOE - 229.pdf"/>
        <s v="ZOE - 227.pdf"/>
        <s v="ZOE - 228.pdf"/>
        <s v="JOCKEY (WS268).pdf"/>
        <s v="SARAOGI SUPER SALES - 739.pdf"/>
        <s v="SARAOGI SUPER SALES - 741.pdf"/>
        <s v="SARAOGI SUPER SALES - 785.pdf"/>
        <s v="SARAOGI SUPER SALES - 786.pdf"/>
        <s v="SARAOGI SUPER SALES - 787.pdf"/>
        <s v="SARAOGI SUPER SALES - 788.pdf"/>
        <s v="AAROHI FASHION - 230.pdf"/>
        <s v="NARVADA TEXTILES (EDCRS26-65).pdf"/>
        <s v="TARUN APPARELS (MDCRS26-337).pdf"/>
        <s v="NARVADA TEXTILES (SCRS26-187).pdf"/>
        <s v="DD SALES (GSTN - 85).pdf"/>
        <s v="MSF2262900061136_AS_SBJ_3PCS.pdf"/>
        <s v="MSF2262900051518_AS_SAN_3PCS.pdf"/>
        <s v="A S TEXTILE - 52.pdf"/>
        <s v="A S TEXTILE - 53.pdf"/>
        <s v="A S TEXTILE - 54.pdf"/>
        <s v="A S TEXTILE - 55.pdf"/>
        <s v="A S TEXTILE - 56.pdf"/>
        <s v="A S TEXTILE - 58.pdf"/>
        <s v="ABHIVADAN DESIGNER - 977.pdf"/>
        <s v="ABHIVADAN DESIGNER - 978.pdf"/>
        <s v="MSF2262000000534_AS_SAN_22PCS.pdf"/>
        <s v="MSF2260600032812_AS_SAN_6PCS.pdf"/>
        <s v="MSF2262000001120_AS_SAN_8 PCS.pdf"/>
        <s v="VISHAL MARKETING &amp; CO(SMAG)-0295.pdf"/>
        <s v="A S TEXTILE - 61.pdf"/>
        <s v="A S TEXTILE - 62.pdf"/>
        <s v="A S TEXTILE - 65.pdf"/>
        <s v="A S TEXTILE - 68.pdf"/>
        <s v="A S TEXTILE - 74.pdf"/>
        <s v="A S TEXTILE - 75.pdf"/>
        <s v="A S TEXTILE - 80.pdf"/>
        <s v="ADITYA PRINTS - 456.pdf"/>
        <s v="AGAM CREATION - 517.pdf"/>
        <s v="AJJAWAM DESIGNER - 75.pdf"/>
        <s v="AJJAWAM DESIGNER - 76.pdf"/>
        <s v="BLAZO CLOTHING - 1337.pdf"/>
        <s v="D APPAREL - 0149.pdf"/>
        <s v="D APPAREL - 0179.pdf"/>
        <s v="D APPAREL(STATUS QUO)_INV160_HZB_43PCS.pdf"/>
        <s v="D D DEVELOPERS-43.pdf"/>
        <s v="D D DEVELOPERS-50.pdf"/>
        <s v="DD SALES - 135.pdf"/>
        <s v="DD SALES - 136.pdf"/>
        <s v="DD SALES (GSTN - 87).pdf"/>
        <s v="DD SALES (GSTN - 140).pdf"/>
        <s v="DD SALES (GSTN - 142).pdf"/>
        <s v="DS  YUVRAAJ - 121.pdf"/>
        <s v="DS YUVRAAJ - 82.pdf"/>
        <s v="GURULAXMI CREATION - 30.pdf"/>
        <s v="INDTECH APPARELS(FAHRENHEIT )_INV45_JSL_31PCS.pdf"/>
        <s v="Jain Adishwar - 1002.pdf"/>
        <s v="Jay Ambey Designer - 236.pdf"/>
        <s v="Jay Ambey Designer - 237.pdf"/>
        <s v="Jay Ambey Designer - 238.pdf"/>
        <s v="Jay Ambey Designer - 239.pdf"/>
        <s v="KISHORE TEXTILE - 1180.pdf"/>
        <s v="KISHORE TEXTILES - 1160.pdf"/>
        <s v="KODAK SAREE AND DUPATTA - 188.pdf"/>
        <s v="KRIPA TRADERS - 278.pdf"/>
        <s v="KRIPA TRADERS - 307.pdf"/>
        <s v="KRIPA TRADERS - 308.pdf"/>
        <s v="LADDU PRINTS - 421.pdf"/>
        <s v="MANISH HANDLOOM - 163.pdf"/>
        <s v="MANIYAR SYNTHETICS - 389.pdf"/>
        <s v="MANIYAR SYNTHETICS - 390.pdf"/>
        <s v="MANIYAR SYNTHETICS - 391.pdf"/>
        <s v="MANIYAR SYNTHETICS - 410.pdf"/>
        <s v="MOHAN CLOTHING(BB)_INV8500292471_GAYA_7PCS.pdf"/>
        <s v="MOHAN CLOTHING(BB)_INV8500295196_GAYA_38PCS.pdf"/>
        <s v="MOHAN CLOTHING(BB)_INV8500295631_GAYA_11PCS.pdf"/>
        <s v="MSD2261000003105_PE_GAYA_7PCS.pdf"/>
        <s v="MSF2262000001860_LP_BOKARO_3PCS.pdf"/>
        <s v="MSF2251000033081_PE_KLG2_1PC.pdf"/>
        <s v="MSF2251000035951_PE_KLG2_2PCS.pdf"/>
        <s v="MSF2251000036389_PE_KLG2_1PC.pdf"/>
        <s v="MSF2251000036606_PE_KLG2_2PCS.pdf"/>
        <s v="MSF2260600018926_LP_SAN_5PCS.pdf"/>
        <s v="MSF2260600024118_LP_SAN_10 PCS.pdf"/>
        <s v="MSF2261000002409_PE_GAYA_7PCS.pdf"/>
        <s v="MSF2261000002410_PE_GAYA_7PCS.pdf"/>
        <s v="MSF2261000002411_PE_KLG2_29PCS.PDF"/>
        <s v="MSF2261000002412_PE_MAHAGAMA_1PC.pdf"/>
        <s v="MSF2261000002413_PE_KLG2_19PCS.PDF"/>
        <s v="MSF2261000002414_PE_MAHAGAMA_7PCS.pdf"/>
        <s v="MSF2261000002417_PE_GAYA_1PC.pdf"/>
        <s v="MSF2261000002421_PE_MAHAGAMA_2PCS.pdf"/>
        <s v="MSF2261000002422_PE_KLG2_69PCS.PDF"/>
        <s v="MSF2261000002426_PE_KLG2_3PCS.PDF"/>
        <s v="MSF2261000002525_PE_KLG2_3PCS.pdf"/>
        <s v="MSF2261000002526_PE_GAYA_2PCS.pdf"/>
        <s v="MSF2261000002527_PE_GAYA_2PCS.pdf"/>
        <s v="MSF2261000002528_PE_GAYA_6PCS.pdf"/>
        <s v="MSF2261000002678_VH_BANKA_31PCS.pdf"/>
        <s v="MSF2261000002683_VH_BANKA_227PCS.pdf"/>
        <s v="MSF2261000002693_VH_BANKA_707PCS.pdf"/>
        <s v="MSF2261000002763_PE_PATNA_10PCS.pdf"/>
        <s v="MSF2261000002764_PE_GAYA_5PCS.pdf"/>
        <s v="MSF2261000002765_PE_KLG2_2PCS.pdf"/>
        <s v="MSF2261000002766_PE_PATNA_5PCS.pdf"/>
        <s v="MSF2261000002767_PE_KLG2_1PC.pdf"/>
        <s v="MSF2261000002768_PE_GAYA_14PCS.pdf"/>
        <s v="MSF2261000002769_PE_GAYA_3PCS.pdf"/>
        <s v="MSF2261000002770_PE_GAYA_1PC.pdf"/>
        <s v="MSF2261000002871_PE_PATNA_3PCS.pdf"/>
        <s v="MSF2261000002893_AS_GAYA_9PCS.pdf"/>
        <s v="MSF2261000002895_VH_BANKA_12PCS.pdf"/>
        <s v="MSF2261000002896_VH_BANKA_13PCS.pdf"/>
        <s v="MSF2261000002901_AS_GAYA_17PCS.pdf"/>
        <s v="MSF2261000002902_AS_GAYA_8PCS.pdf"/>
        <s v="MSF2261000003073_AS_GAYA_170PCS.pdf"/>
        <s v="MSF2261000003085_AS_GAYA_8PCS.pdf"/>
        <s v="MSF2261000003106_PE_PATNA_3PCS.pdf"/>
        <s v="MSF2261000003107_PE_KLG2_71PCS.pdf"/>
        <s v="MSF2261000003108_PE_GAYA_72PCS.pdf"/>
        <s v="MSF2261000003164_PE_PATNA_2PCS.pdf"/>
        <s v="MSF2261000003165_PE_GAYA_7PCS.pdf"/>
        <s v="MSF2261000003166_PE_GAYA_2PCS.pdf"/>
        <s v="MSF2261000003167_PE_PATNA_2PCS.pdf"/>
        <s v="MSF2261000003212_AS_GAYA_40PCS.pdf"/>
        <s v="MSF2261000003317_AS_GAYA_26PCS.pdf"/>
        <s v="MSF2261000003387_AS_GAYA_17PCS.pdf"/>
        <s v="MSF2261000003435_VH_BANKA_6PCS.pdf"/>
        <s v="MSF2261000003483_AS_GAYA_16PCS.pdf"/>
        <s v="MSF2261000003493_VH_BANKA_1PC.pdf"/>
        <s v="MSF2261000003920_PE_KGL2_6PCS.pdf"/>
        <s v="MSF2261000004063_PE_GAYA_6PCS.pdf"/>
        <s v="MSF2261000004068_PE_PATNA_6PCS.pdf"/>
        <s v="MSF2261000004191_PE_GAYA_1PC.pdf"/>
        <s v="MSF2261000004192_PE_PATNA_6PCS.pdf"/>
        <s v="MSF2261000004401_PE_PATNA_6PCS.pdf"/>
        <s v="MSF2261000004402_PE_GAYA_4PCS.pdf"/>
        <s v="MSF2261000004404_PE_PATNA_3PCS.pdf"/>
        <s v="MSF2261000004648_AS_GAYA_4PCS.pdf"/>
        <s v="MSF2262000000541_LP_SAN_18 PCS.pdf"/>
        <s v="MSF2262000000628_LP_SAN_9PCS.pdf"/>
        <s v="MSF2262000001347_VH_JSL_26PCS.pdf"/>
        <s v="MSF2262000001692_PE_JSL_4PCS.pdf"/>
        <s v="MSF2262000001800_VH_JSL_91PCS.pdf"/>
        <s v="MSF2262000001801_AS_SBJ_6PCS.pdf"/>
        <s v="MSF2262000001802_LP_SAN_31PCS.pdf"/>
        <s v="MSF2262000001803_LP_VAS-DEO_22PCS.pdf"/>
        <s v="MSF2262000001804_LP_BOKARO_19PCS.pdf"/>
        <s v="MSF2262000001809_LP_JSL_11PCS.pdf"/>
        <s v="MSF2262000001810_LP_JSL_7PCS.pdf"/>
        <s v="MSF2262000001811_VH_VAS-DEO_8PCS.pdf"/>
        <s v="MSF2262000001812_VH_JSL_2PCS.pdf"/>
        <s v="MSF2262000001813_VH_SBJ_19PCS.PDF"/>
        <s v="MSF2262000001817_VH_JSL_1PC.pdf"/>
        <s v="MSF2262000001861_LP_VAS-DEO_2PCS.pdf"/>
        <s v="MSF2262000001866_AS_FS-DEO_23PCS.pdf"/>
        <s v="MSF2262000001868_VH_HZB_15PCS.pdf"/>
        <s v="MSF2262000001869_VH_HZB_13PCS.pdf"/>
        <s v="MSF2262000001871_AS_JSL_138PCS.pdf"/>
        <s v="MSF2262000001872_AS_FS-DEO_349PCS.pdf"/>
        <s v="MSF2262000001874_AS_FS-DEO_4PCS.pdf"/>
        <s v="MSF2262000001877_VH_JSL_5PCS.pdf"/>
        <s v="MSF2262000001878_VH_FS-DEO_203PCS.pdf"/>
        <s v="MSF2262000001879_AS_FS-DEO_9PCS.pdf"/>
        <s v="MSF2262000001885_LP_JSL_5PCS.pdf"/>
        <s v="MSF2262000001909_PE_JSL_6PCS.pdf"/>
        <s v="MSF2262000001910_PE_SGMR_5PCS.pdf"/>
        <s v="MSF2262000001911_PE_JSL_6PCS.pdf"/>
        <s v="MSF2262000001912_PE_SAN_2PCS.pdf"/>
        <s v="MSF2262000001919_PE_JSL_28PCS.pdf"/>
        <s v="MSF2262000002023_AS_JSL_7PCS.PDF"/>
        <s v="MSF2262000002024_VH_FS-DEO_8PCS.pdf"/>
        <s v="MSF2262000002025_VH_JSL_4PCS.pdf"/>
        <s v="MSF2262000002033_LP_DUMKA_5PCS.pdf"/>
        <s v="MSF2262000002036_LP_VAS-DEO_263PCS.pdf"/>
        <s v="MSF2262000002038_VH_FS-DEO_1PC.pdf"/>
        <s v="MSF2262000002040_AS_JSL_268PCS.pdf"/>
        <s v="MSF2262000002042_AS_SGMR_13PCS.pdf"/>
        <s v="MSF2262000002046_AS_SBJ_26PCS.PDF"/>
        <s v="MSF2262000002047_AS_GAYA_8PCS.pdf"/>
        <s v="MSF2262000002122_AS_FS-DEO_7PCS.pdf"/>
        <s v="MSF2262000002125_AS_FS-DEO_5PCS.pdf"/>
        <s v="MSF2262000002130_AS_SBJ_130PCS.pdf"/>
        <s v="MSF2262000002131_AS_SAN_83PCS.pdf"/>
        <s v="MSF2262000002133_AS_AS-DEO_191PCS.pdf"/>
        <s v="MSF2262000002136_AS_DUMKA_18PCS.pdf"/>
        <s v="MSF2262000002145_AS_SGMR_10PCS.pdf"/>
        <s v="MSF2262000002146_AS_JSL_7PCS.PDF"/>
        <s v="MSF2262000002147_AS_DUMKA_8PCS.pdf"/>
        <s v="MSF2262000002148_AS_FS_DEO_18PCS.PDF"/>
        <s v="MSF2262000002150_AS_SAN_8PCS.pdf"/>
        <s v="MSF2262000002158_PE_JSL_4PCS.pdf"/>
        <s v="MSF2262000002159_PE_JSL_7PCS.pdf"/>
        <s v="MSF2262000002187_PE_JSL_5PCS.pdf"/>
        <s v="MSF2262000002188_PE_SGMR_5PCS.pdf"/>
        <s v="MSF2262000002189_PE_JSL_7PCS.pdf"/>
        <s v="MSF2262000002210_AS_SGMR_10PCS.pdf"/>
        <s v="MSF2262000002211_AS_FS-DEO_53PCS.pdf"/>
        <s v="MSF2262000002213_AS_JSL_21PCS.pdf"/>
        <s v="MSF2262000002214_AS_SAN_40PCS.pdf"/>
        <s v="MSF2262000002215_AS_SBJ_38PCS.pdf"/>
        <s v="MSF2262000002221_VH_JSL_2PCS.pdf"/>
        <s v="MSF2262000002222_VH_JSL_4PCS.pdf"/>
        <s v="MSF2262000002249_LP_VAS-DEO_14PCS.pdf"/>
        <s v="MSF2262000002251_LP_JSL_8PCS.pdf"/>
        <s v="MSF2262000002268_VH_JSL_16PCS.pdf"/>
        <s v="MSF2262000002269_VH_ SBJ_16PCS.pdf"/>
        <s v="MSF2262000002281_AS_FS-DEO_21PCS.pdf"/>
        <s v="MSF2262000002283_VH_VAS-DEO_15PCS.pdf"/>
        <s v="MSF2262000002284_AS_SGMR_19PCS.pdf"/>
        <s v="MSF2262000002289_AS_JSL_19PCS.pdf"/>
        <s v="MSF2262000002290_AS_DUMKA_26PCS.pdf"/>
        <s v="MSF2262000002292_AS_AS-DEO_27PCS.pdf"/>
        <s v="MSF2262000002293_AS_SBJ_24PCS.pdf"/>
        <s v="MSF2262000002297_AS_FS-DEO_22PCS.pdf"/>
        <s v="MSF2262000002298_AS_SGMR_12PCS.pdf"/>
        <s v="MSF2262000002303_VH_FS-DEO_4PCS.pdf"/>
        <s v="MSF2262000002333_AS_FS-DEO_3PCS.pdf"/>
        <s v="MSF2262000002335_VH_FS-DEO_1PC.pdf"/>
        <s v="MSF2262000002336_AS_FS-DEO_188PCS.pdf"/>
        <s v="MSF2262000002339_AS_AS-DEO_10PCS.pdf"/>
        <s v="MSF2262000002345_VH_VAS-DEO_9PCS.pdf"/>
        <s v="MSF2262000002359_LP_VAS-DEO_2PCS.pdf"/>
        <s v="MSF2262000002360_LP_BOKARO_3PCS.pdf"/>
        <s v="MSF2262000002363_VH_FS-DEO_7PCS.pdf"/>
        <s v="MSF2262000002364_AS_JSL_6PCS.pdf"/>
        <s v="MSF2262000002369_VH_JSL_13PCS.pdf"/>
        <s v="MSF2262000002372_AS_JSL_3PCS.pdf"/>
        <s v="MSF2262000002373_AS_JSL_146PCS.pdf"/>
        <s v="MSF2262000002374_LP_SAN_62PCS.pdf"/>
        <s v="MSF2262000002378_LP_VAS-DEO_54PCS.pdf"/>
        <s v="MSF2262000002379_LP_JSL_27PCS.pdf"/>
        <s v="MSF2262000002380_LP_DUMKA_34PCS.pdf"/>
        <s v="MSF2262000002396_AS_SGMR_10PCS.pdf"/>
        <s v="MSF2262000002397_AS_SBJ_16PCS.pdf"/>
        <s v="MSF2262000002398_AS_DUMKA_9PCS.pdf"/>
        <s v="MSF2262000002403_VH_SBJ_7PCS.pdf"/>
        <s v="MSF2262000002408_VH_JSL_1PC.pdf"/>
        <s v="MSF2262000002415_LP_VAS-DEO_109PCS.pdf"/>
        <s v="MSF2262000002422_LP_BOKARO_48PCS.pdf"/>
        <s v="MSF2262000002538_LP_VAS-DEO_15PCS.pdf"/>
        <s v="MSF2262000002698_AS_AS-DEO_11PCS.PDF"/>
        <s v="MSF2262000002699_AS_SGMR_2PCS.PDF"/>
        <s v="MSF2262000002753_VH_VAS-DEO_12PCS.pdf"/>
        <s v="MSF2262000002769_PE_JSL_2PCS.pdf"/>
        <s v="MSF2262000002771_PE_JSL_7PCS.pdf"/>
        <s v="MSF2262000002816_LP_VAS-DEO_10PCS.pdf"/>
        <s v="MSF2262000002837_PE_JSL_15PCS.pdf"/>
        <s v="MSF2262000002986_PE_SAN_10PCS.pdf"/>
        <s v="MSF2262000003221_AS_SAN_49PCS.pdf"/>
        <s v="MSF2262000003225_AS_AS-DEO_6PCS.pdf"/>
        <s v="MSG2261000002415_PE_GAYA_1PC.pdf"/>
        <s v="MUKESH AGARWAL(PETICOAT)_INVRE08_HZB_105PCS.pdf"/>
        <s v="NARAYANI ENTERPRISES (P2CRS26-376).pdf"/>
        <s v="NIKITA APPARELS(EAGLE)_INV74_JSL_24PCS.pdf"/>
        <s v="OVERSEAS ENTERPRISES(AMBRELI)_SGMR_INV176_76PCS.PDF"/>
        <s v="P R MODI AND SONS - 3429.pdf"/>
        <s v="P R MODI AND SONS - 3431.pdf"/>
        <s v="P R MODI AND SONS - 3432.pdf"/>
        <s v="P R MODI AND SONS - 3913.pdf"/>
        <s v="P R MODI AND SONS 3123 (SANSKAR STORE).pdf"/>
        <s v="P R MODI AND SONS 3126 (SANSKAR STORE).pdf"/>
        <s v="PARAS TEXTILE (PECRS26-387).pdf"/>
        <s v="PAYAL GARMENTS - 297.pdf"/>
        <s v="POONAM FASHION - 262.pdf"/>
        <s v="SAMYAK CREATION - 83.pdf"/>
        <s v="SARAOGI SUPER SALES - 485.pdf"/>
        <s v="SARAOGI SUPER SALES - 498.pdf"/>
        <s v="SARAOGI SUPER SALES - 499.pdf"/>
        <s v="SARAOGI SUPER SALES - 500.pdf"/>
        <s v="Saraogi Super Sales - 753.pdf"/>
        <s v="SARAOGI SUPER SALES - 920.pdf"/>
        <s v="SARAOGI SUPER SALES - 940.pdf"/>
        <s v="Saraogi Super Sales - 2668.pdf"/>
        <s v="SHRI MAHAVIR ENTERPRISES(JOCKEY)_MDCCRS26102_HZB_40PCS.pdf"/>
        <s v="SHRI MAHAVIR ENTERPRISES(JOCKEY)_PR2CRS2689_HZB_82PCS.pdf"/>
        <s v="SHRI MAHAVIR ENTERPRISES(JOCKEY)_SOCCRS2670_HZB_20PCS.pdf"/>
        <s v="SHRI SIDHI VINAYAK ENTERPRISES - 442.pdf"/>
        <s v="SHRIKRISHNA CREATION - 24.pdf"/>
        <s v="SHRING APPARELS(MUFTI)_INV313_JSL_23PCS.pdf"/>
        <s v="SINGLA COLLECTION - 71.pdf"/>
        <s v="SINGLA COLLECTION - 74.pdf"/>
        <s v="SINGLA COLLECTION - 76.pdf"/>
        <s v="SKY CLOTHING 68 (SANSKAR STORE).pdf"/>
        <s v="TAYAL GARMENTS - 13.PDF"/>
        <s v="TAYAL GARMENTS(LIBAS)_INV008_WH_389PCS.PDF"/>
        <s v="Transfer Stock PT File (USPA INNERWEAR).pdf"/>
        <s v="Udhav Enterprises_BRCRS26-19_Qty 30.pdf"/>
        <s v="VINAYAK EMPORIUM(BANJARAN)_INV158_SGMR_138PCS.pdf"/>
        <s v="VISHAL MARKETING &amp; CO(REX STRAUT)-0401.pdf"/>
        <s v="WEAR ON ENSEMBLES - 1233.pdf"/>
        <s v="WEAR ON ENSEMBLES - 1234.pdf"/>
        <s v="WILSON PRINTS - 296.pdf"/>
        <s v="Zenith Fabric-174 (180 Qty).pdf"/>
        <s v="DD APPARELS(SWEET DREAMS)_INV14_WH_24PCS.pdf"/>
        <s v="FASHION EARTH GARMENTS - 556.pdf"/>
        <s v="MSF2262000002770_PE_FS-DEO_2PCS.pdf"/>
        <s v="MSF2262000002890_LP_BOKARO_15PCS.pdf"/>
        <s v="MSF2262000002891_LP_SAN_14PCS.pdf"/>
        <s v="MSF2262000002967_PE_SGMR_22PCS.pdf"/>
        <s v="MSF2262000003213_VH_VAS-DEO_4PCS.pdf"/>
        <s v="MSF2262000003219_AS_AS-DEO_213PCS.pdf"/>
        <s v="TAYAL GARMENTS - 36.PDF"/>
        <s v="VIP - 01.pdf"/>
        <s v="VIP - 02.pdf"/>
        <s v="VISHAL MARKETING &amp; CO(US POLO)-535.pdf"/>
        <s v="VISHAL MARKETING &amp; CO(US POLO)-536.pdf"/>
        <s v="VISHAL MARKETING &amp; CO(US POLO)-538.pdf"/>
        <s v="VISHAL MARKETING &amp; CO(US POLO)-541.pdf"/>
        <s v="MSF2262000002968_PE_JSL_4PCS.pdf"/>
        <s v="MSF2262000002966_PE_JSL_3PCS.pdf"/>
        <s v="MSF2262000002969_PE_FS-DEO_3PCS.pdf"/>
        <s v="MSF2262000002970_PE_JSL_50PCS.pdf"/>
        <s v="MSF2262000003214_AS_FS-DEO_151PCS.pdf"/>
        <s v="D APPAREL - 0209.pdf"/>
        <s v="JOCKEY(WS310).pdf"/>
        <s v="MSF2262000003556_AS_JSL_6PCS.pdf"/>
        <s v="MSF2262000003557_AS_FS-DEO_6PCS.pdf"/>
        <s v="RTC GARMENTEX - 281.pdf"/>
        <s v="VISHAL MARKETING &amp; CO(US POLO PROMO)-584.pdf"/>
        <s v="VISHAL MARKETING &amp; CO(US POLO)-580.pdf"/>
        <s v="VISHAL MARKETING &amp; CO(US POLO)-582.pdf"/>
        <s v="VISHAL MARKETING &amp; CO(US POLO)-583.pdf"/>
        <s v="JOCKEY(WS537).pdf"/>
        <s v="MOHAN CLOTHING(BB)_INV8500298553_GAYA_6PCS.pdf"/>
        <s v="MSF2262000003224_AS_SBJ _7PCS.pdf"/>
        <s v="MSF2262000003367_AS_FS-DEO_5PCS.pdf"/>
        <s v="MSF2262000003376_AS_JSL_11PCS.pdf"/>
        <s v="MSF2262000003378_LP_JSL_4PCS.pdf"/>
        <s v="MSF2262000003422_LP_VAS-DEO_20PCS.pdf"/>
        <s v="MSF2262000003479_LP_SAN_12PCS.pdf"/>
        <s v="MSF2262000003504_LP_BOKARO_12PCS.pdf"/>
        <s v="MSF2262000003563_LP_SAN_12PCS.pdf"/>
        <s v="MSF2262000003565_AS_SAN_14PCS.pdf"/>
        <s v="VISHAL MARKETING &amp; CO(US POLO PROMO)-585.pdf"/>
        <s v="VISHAL MARKETING &amp; CO(US POLO PROMO)-586.pdf"/>
        <s v="A S TEXTILE - 83.pdf"/>
        <s v="A S TEXTILE - 84.pdf"/>
        <s v="KDPS LIFESTYLE PVT LTD(26IH-323743-001).pdf"/>
        <s v="JOCKEY (WS319).pdf"/>
        <s v="KDPS (26-IH-323743-002).pdf"/>
        <s v="KDPS (26IH-323743-004).pdf"/>
        <s v="KDPS (26IH-323743-005).pdf"/>
        <s v="MSF2261000005417_PE_PATNA_6PCS.pdf"/>
        <s v="MSF2261000004064_PE_KLG2_1PC.pdf"/>
        <s v="MSF2261000004065_PE_KLG2_7PCS.pdf"/>
        <s v="MSF2261000004403_PE_KLG2_6PCS.pdf"/>
        <s v="MSF2261000004405_PE_KLG2_7PCS.pdf"/>
        <s v="MSF2261000004647 ALLEN SOLLY GAYA 207 PCS.pdf"/>
        <s v="MSF2261000004680_PE_KLG2_1PC.pdf"/>
        <s v="MSF2261000004681_PE_PATNA_1PC.pdf"/>
        <s v="MSF2261000004773_PE_KLG2_8PCS.pdf"/>
        <s v="MSF2261000004774_PE_KLG2_1PC.pdf"/>
        <s v="MSF2261000004775_PE_PATNA_6PCS.pdf"/>
        <s v="MSF2261000004848 ALLEN SOLLY GAYA 7 PCS.pdf"/>
        <s v="MSF2261000004849 ALLEN SOLLY GAYA 9 PCS.pdf"/>
        <s v="MSF2261000004871_PE_PATNA_36PCS.pdf"/>
        <s v="MSF2261000004976_PE_GAYA_34PCS.pdf"/>
        <s v="MSF2261000004977_PE_KLG2_3PCS.pdf"/>
        <s v="MSF2261000005027_PE_GAYA_22PCS.pdf"/>
        <s v="MSF2261000005029_PE_GAYA_27PCS.pdf"/>
        <s v="MSF2261000005031_PE_PATNA_40PCS.pdf"/>
        <s v="MSF2261000005414_PE_PATNA_122PCS.pdf"/>
        <s v="MSF2261000005415_PE_GAYA_7PCS.pdf"/>
        <s v="MSF2261000005416_PE_PATNA_17PCS.pdf"/>
        <s v="MSF2261000005418_PE_GAYA_3PCS.pdf"/>
        <s v="MSF2261000005419_PE_GAYA_7PCS.pdf"/>
        <s v="MSF2262000002132_AS_JSL_7PCS.pdf"/>
        <s v="MSF2262000002165_LP_JSL_8PCS.pdf"/>
        <s v="MSF2262000003245_PE_FS-DEO_4PCS.pdf"/>
        <s v="MSF2262000003293_AS_AS-DEO_17PCS.pdf"/>
        <s v="MSF2262000003319_PE_SGMR_2PCS.pdf"/>
        <s v="MSF2262000003320_PE_FS-DEO_122PCS.pdf"/>
        <s v="MSF2262000003321_PE_FS-DEO_103PCS.pdf"/>
        <s v="MSF2262000003377_AS_FS-DEO_6PCS.pdf"/>
        <s v="MSF2262000003564_AS_AS-DEO_ 8PCS.pdf"/>
        <s v="MSF2262000003598_LP_VAS-DEO_23PCS.pdf"/>
        <s v="MSF2262000003649_LP_SAN_12PCS.pdf"/>
        <s v="MSF2262000003791_LP_SAN_78PCS.pdf"/>
        <s v="SANJU CREATION - 26.pdf"/>
        <s v="SARAOGI SUPER SALES - 281.pdf"/>
        <s v="SARAOGI SUPER SALES - 282.pdf"/>
        <s v="TAYAL GARMENTS PVT.LTD-037.PDF"/>
        <s v="TROLLEY (26-27-001).pdf"/>
        <s v="P M SONS - 746.pdf"/>
        <s v="VISHAL MARKETING &amp; CO(FM)-596.pdf"/>
        <s v="NATIONAL TRADING - 0074.pdf"/>
        <s v="JOCKEY (WS645).pdf"/>
        <s v="MANISH HANDLOOM - 52.pdf"/>
        <s v="MSF2261000004682_PE_GAYA_1PC.pdf"/>
        <s v="MSF2261000005767_PE_PATNA_28PCS.pdf"/>
        <s v="MSF2262000003645_LP_JSL_21PCS.pdf"/>
        <s v="MSF2262000003650_LP_VAS-DEO_16PCS.pdf"/>
        <s v="MSF2262000003662_VH_VAS-DEO_1PC.pdf"/>
        <s v="MSF2262000003847_LP_VAS-DEO_15PCS.pdf"/>
        <s v="MSF2262000003848_LP_JSL_20PCS.pdf"/>
        <s v="MSF2262000003849_LP_SAN_65PCS.pdf"/>
        <s v="MSF2262000003852_VH_VAS-DEO_19PCS.pdf"/>
        <s v="MSF2262000003853_VH_JSL_14PCS.pdf"/>
        <s v="MSF2262000003862_PE_JSL_2PCS.pdf"/>
        <s v="MSF2262000003863_PE_JSL_7PCS.pdf"/>
        <s v="MSF2262000003864_PE_JSL_12PCS.pdf"/>
        <s v="MSF2262000003882_LP_SAN_12PCS.pdf"/>
        <s v="MSF2262000003883_LP_JSL_41PCS.pdf"/>
        <s v="MSF2262000003884_VD_VAS-DEO_20PCS.pdf"/>
        <s v="MSF2262000003888_AS_JSL_4PCS.pdf"/>
        <s v="MSF2262000004064_AS_SAN_7PCS.pdf"/>
        <s v="MSF2262000004067_AS_AS-DEO_8PCS.pdf"/>
        <s v="RTC GARMENTEX INDIA - 304.pdf"/>
        <s v="SARAOGI SUPER SALES - 853.pdf"/>
        <s v="SARAOGI SUPER SALES - 854.pdf"/>
        <s v="SARAOGI SUPER SALES - 855.pdf"/>
        <s v="MSF2261000005765_PE_GAYA_2PCS.pdf"/>
        <s v="MSF2261000005766_PE_GAYA_10PCS.pdf"/>
        <s v="MANOHAR SONS - 602.pdf"/>
        <s v="MOHAN CLOTHING(BB)_INV8500299203_GAYA_8PCS.pdf"/>
        <s v="MOHAN CLOTHING(BB)_INV8500300147_GAYA_7PCS.pdf"/>
        <s v="MSF2261000005655_AS_GAYA-15PCS.pdf"/>
        <s v="MSF2261000005662_AS_GAYA_49PCS.pdf"/>
        <s v="MSF2261000005664_AS_GAYA_4PCS.pdf"/>
        <s v="MSF2261000005844_PE_PATNA_7PCS.pdf"/>
        <s v="MSF2262000004011_LP_VAS-DEO_24PCS.pdf"/>
        <s v="MSF2262000004031_PE_SGMR_42PCS.pdf"/>
        <s v="MSF2262000004065_AS_DUMKA_7PCS.pdf"/>
        <s v="MSF2262000004068_AS_JSL_6PCS.pdf"/>
        <s v="MSF2262000004073_AS_FS-DEO_22PCS.pdf"/>
        <s v="MSF2262000004074_AS_VAS-DEO_1PC.pdf"/>
        <s v="MSF2262000004076_AS_FS-DEO_10PCS.pdf"/>
        <s v="MSF2262000004079_LP_JSL_5PCS.pdf"/>
        <s v="MSF2262000004082_VH_VAS-DEO_5PCS.pdf"/>
        <s v="MSF2262000004083_VH_JSL_6PCS.pdf"/>
        <s v="OVERSEAS ENTERPRISES(AMBRELI)_INV370_BGP_76PCS.pdf"/>
        <s v="JOCKEY(WS673).pdf"/>
        <s v="MSF2261000005845_PE_GAYA_5PCS.pdf"/>
        <s v="MSF2262000002149_AS_SBJ_8PCS.PDF"/>
        <s v="MSF2262000004066_AS_SBJ_8PCS.pdf"/>
        <s v="MSF2262000004230_PE_SAN_5PCS.pdf"/>
        <s v="SHREE NARAYANI ENTERPRISES (P2CRS26-548).pdf"/>
        <s v="SHRI MAHAVIR ENTERPRISES(JOCKEY)_INV84_HZB_29PCS.pdf"/>
        <s v="SHRI MAHAVIR ENTERPRISES(JOCKEY)_INV94_HZB_64PCS.pdf"/>
        <s v="SHRI MAHAVIR ENTERPRISES(JOCKEY)_INV97_HZB_23PCS.pdf"/>
        <s v="SHRI MAHAVIR ENTERPRISES(JOCKEY)_INV153_HZB_32PCS.pdf"/>
        <s v="SHRI MAHAVIR ENTERPRISES(JOCKEY)_INV204_HZB_10PCS.pdf"/>
        <s v="VINAYAK EMPORIUM(BANJARAN)_INV005_SGMR_63PCS.pdf"/>
        <s v="VISHAL MARKETING &amp; CO(FM)-656.pdf"/>
        <s v="SUSHILA ENTERPRISES- 133.pdf"/>
        <s v="MSF2262000004473_PE_FS-DEO_7PCS.pdf"/>
        <s v="MSF2262000004229_PE_FS-DEO_1PC.pdf"/>
        <s v="MSF2262000004170_PE_FS-DEO_1PC.pdf"/>
        <s v="MSF2261000006349_PE_PATNA_20PCS.pdf"/>
        <s v="MSF2261000005956_PE_GAYA_1PC.pdf"/>
        <s v="MSF2262000004635_PE_FS-DEO_1PC.pdf"/>
        <s v="KDPS (26IH-323743-011) MBO BOKARO.pdf"/>
        <s v="KDPS (26IH-323743-010) VAISHNAVI DEOGHAR.pdf"/>
        <s v="KDPS (26IH-323743-009) MBO SAHEBGANJ.pdf"/>
        <s v="KDPS (26IH-323743-008).pdf"/>
        <s v="KDPS (26IH-323743-007) JOCKEY BANKA.pdf"/>
        <s v="KDPS (26-IH-323743-006) JOCKEY BANKA.pdf"/>
        <s v="KDPS ( 26IH-323743-012) VAISHNAVI SINGHMORE.pdf"/>
        <s v="FASHION MARKETING(NOSTRUM)_INV291_HBZ_12PCS.pdf"/>
        <s v="INDTECH APPARELS(FAHRENHEIT )_INV0116_JSL_16PCS.pdf"/>
        <s v="JOCKEY(WS674).pdf"/>
        <s v="KDPS (26IH-323743-013) FASHION STUDIO.pdf"/>
        <s v="KDPS (26IH-323743-014) FASHION STUDIO.pdf"/>
        <s v="MSF2261000006358_PE_KLG2_197PCS.pdf"/>
        <s v="SHREE RADHE MATCHING CENTER - 99.pdf"/>
        <s v="SHREE RADHE MATCHING CENTER - 178.pdf"/>
        <s v="SHRI MAHAVIR ENTERPRISES(JOCKEY)_INV102_HZB_20PCS_FEMALE.pdf"/>
        <s v="SHUBH SHRI CLOTHING(MINELLI)_JSL_INV1308_105PCS.pdf"/>
        <s v="SUSHILA ENTERPRISES-53.pdf"/>
        <s v="KDPS (26IH-323743-015) VAISHNAVI SINGHMORE.pdf"/>
      </sharedItems>
    </cacheField>
    <cacheField name="PT File Excel Sheet" numFmtId="0">
      <sharedItems containsBlank="1">
        <s v="-"/>
        <m/>
        <s v="Saraogi Super Sales-3.xlsx"/>
        <s v="MUKESH AGARWAL(PETICOAT)_INVRE01_HZB_140PCS.xlsx"/>
        <s v="D APPAREL(KHUSHAAL)_INV0005_JSL_13PCS.xlsx"/>
        <s v="Harshit Fashions-2444.xlsx"/>
        <s v="Variety Textile-13.xlsx"/>
        <s v="Saraogi Super Sales-72.xlsx"/>
        <s v="D D SALES-22.xlsx"/>
        <s v="D D SALES-18.xlsx"/>
        <s v="D D SALES-12.xlsx"/>
        <s v="VISHAL MARKETING &amp; CO(CHOCOLATE BABY)-010.xlsx"/>
        <s v="Variety Creation-151.xlsx"/>
        <s v="SHRING APPARELS(MUFTI)_INV45_JSL_109PCS.xlsx"/>
        <s v="D Apparel-0022.xlsx"/>
        <s v="Surya Ethenic-394.xlsx"/>
        <s v="Jain Adishwar-60(Deoghar).xlsx"/>
        <s v="Plazer Garments-43.xlsx"/>
        <s v="VISHAL MARKETING &amp; CO(USPA KIDS)-0042.xlsx"/>
        <s v="VISHAL MARKETING &amp; CO(USPA KIDS)-0041.xlsx"/>
        <s v="VISHAL MARKETING &amp; CO(US POLO)-0040.xlsx"/>
        <s v="VISHAL MARKETING &amp; CO(US POLO)-0039.xlsx"/>
        <s v="VISHAL MARKETING &amp; CO(US POLO)-0037.xlsx"/>
        <s v="VISHAL MARKETING &amp; CO(US POLO)-0030.xlsx"/>
        <s v="Jain Adishwar-64(109 Qty).xlsx"/>
        <s v="Jain Adishwar-68 (Hazaribagh).xlsx"/>
        <s v="VISHAL MARKETING &amp; CO(SPYKAR)-0005.xlsx"/>
        <s v="VISHAL MARKETING &amp; CO(SPYKAR)-0002.xlsx"/>
        <s v="VISHAL MARKETING &amp; CO(SPYKAR)-0004.xlsx"/>
        <s v="VISHAL MARKETING &amp; CO(SPYKAR)-0003.xlsx"/>
        <s v="SARAOGI SUPER SALES(FOGA)_INV33_WH_24PCS (Part-1).xlsx"/>
        <s v="A S TEXTILE-15.xlsx"/>
        <s v="A S TEXTILE-16.xlsx"/>
        <s v="A S TEXTILE-17.xlsx"/>
        <s v="A S TEXTILE-18.xlsx"/>
        <s v="Jain Adishwar - 97 Hazaribhagh  (Qty-29).xlsx"/>
        <s v="Jain Adishwar - 91 (Qty-109).xlsx"/>
        <s v="Jain Adishwar - 96  Deoghar ( Qty -36).xlsx"/>
        <s v="Variety Textiles-1112.xlsx"/>
        <s v="D D SALES-10.xlsx"/>
        <s v="Variety Textiles-1111.xlsx"/>
        <s v="Variety Textiles-1121.xlsx"/>
        <s v="Jain Adishwar -156 Ratu (36 Qty).xlsx"/>
        <s v="SHREE NARAYANI(JOCKEY)_INV38_WH_65PCS.xlsx"/>
        <s v="P M Son's-77.xlsx"/>
        <s v="Plazer Fabrics-71.xlsx"/>
        <s v="VN TEXTILES(JOCKEY)_INV70_LEEDEO_1PC.xlsx"/>
        <s v="VN TEXTILE (JOCKEY)_INV69_LEE DEOGHAR.xlsx"/>
        <s v="DD DEVELOPERS(JOCKEY)_INV10_BHAGALPUR_60PCS.xlsx"/>
        <s v="TARUN APPARELS(JOCKEY)_INV49_LEE-DEO_40PCS.xlsx"/>
        <s v="P R Modi and Sons-649.xlsx"/>
        <s v="MN GARMENTS(TWILLS)_WH_INV79_60PCS.xlsx"/>
        <s v="D APPAREL(STATUS QUO)_INV043_MAHGAMA_84PCS.xlsx"/>
        <s v="A S Textile 21.xlsx"/>
        <s v="SHRIKRISHNA CREATION - 0012.xlsx"/>
        <s v="Jain Adishwar -245 Bokaro (34 Qty).xlsx"/>
        <s v="PAYAL GARMENTS-48.xlsx"/>
        <s v="SHRING APPARELS(MUFTI)_INV130_LEEDEO_65PCS.xlsx"/>
        <s v="Jain Adishwar - 247 Hazaribhagh (13 Qty).xlsx"/>
        <s v="D APPAREL(STATUS QUO)_INV056_HZB_33PCS.xlsx"/>
        <s v="GEETANSHI APPARELS(PEPPERMINT)_HZB_INV13_24PCS.xlsx"/>
        <s v="HYPHEN GARMENTS (HYPHEN)_INV342_HZB_9PCS.xlsx"/>
        <s v="Plazer Garments-118.xlsx"/>
        <s v="Shree Radhe Matching-27.xlsx"/>
        <s v="VISHAL MARKETING &amp; CO(CHOCOLATE BABY)-037.xlsx"/>
        <s v="D APPAREL(STATUS QUO)_INV064_SBJ_66PCS.xlsx"/>
        <s v="D-APPAREL(KHUSHAAL)_INV52_HZB_8PCS.xlsx"/>
        <s v="VISHAL MARKETING &amp; CO(FM)-144.xlsx"/>
        <s v="VISHAL MARKETING &amp; CO(ARROW)-141.xlsx"/>
        <s v="MSF2262000000530_AS_FS-DEO_29PCS.xlsx"/>
        <s v="MSF2262000000532_AS_FS-DEO_91PCS.xlsx"/>
        <s v="MSF2262000000535_AS_AS-DEO_399PCS.xlsx"/>
        <s v="MSF2262000000542_LP_AS-DEO_12PCs.xlsx"/>
        <s v="MSF2261000000856_AS_GAYA_361PCS.xlsx"/>
        <s v="MSF2262000000545_VH_JSL_6PCS.xlsx"/>
        <s v="MSF2262000000531_AS_JSL_58PCS.xlsx"/>
        <s v="MSF2262000000539_AS_JSL_9PCS.xlsx"/>
        <s v="MSF2262000000536_AS_SGMR_66PCS.xlsx"/>
        <s v="MSF2262000000541_LP_SANSKAR_18PCS.xlsx"/>
        <s v="MSF2262000000544_VH_SBJ_14PCS.xlsx"/>
        <s v="MSF2262000000537_AS_SBJ_93PCS.xlsx"/>
        <s v="MSF2262000000540_LP_DUMKA_7PCS.xlsx"/>
        <s v="MSF2262000000538_AS_DUMKA_54PCS.xlsx"/>
        <s v="HS Creation - 004.xlsx"/>
        <s v="GURULAXMI CREATION - 009.xlsx"/>
        <s v="A S TEXTILE - 23.xlsx"/>
        <s v="A S TEXTILE - 26.xlsx"/>
        <s v="A S TEXTILE - 29.xlsx"/>
        <s v="PLAZER GARMENTS-151.xlsx"/>
        <s v="SHRI MAHAVIR ENTERPRISES(JOCKEY)_PR1CRS26-25_HZB_40PCS.xlsx"/>
        <s v="Shree Radhe Matching-31.xlsx"/>
        <s v="SHRI MAHAVIR ENTERPRISES(JOCKEY)_PR2CRS2627_HZB_90PCS.xlsx"/>
        <s v="SHRI MAHAVIR ENTERPRISES(JOCKEY)_INV8_HZB_41PCS.xlsx"/>
        <s v="SHRI MAHAVIR ENTERPRISES(JOCKEY)_INV09_HZB_45PCS.xlsx"/>
        <s v="SHRI MAHAVIR ENTERPRISES-27.xlsx"/>
        <s v="SHRI MAHAVIR ENTERPRISES(JOCKEY)_INV17_HZB_70PCS.xlsx"/>
        <s v="MSF2262000000644_AS_DUMKA_15PCS.xlsx"/>
        <s v="MSF2260600018923_LP_DUMKA_5PCS.xlsx"/>
        <s v="MSF2260600018922_LP_VAS-DEO_20PCS.xlsx"/>
        <s v="MSF2260600018925_LP_JSL_15PCS.xlsx"/>
        <s v="MSF2262000000640_AS_JSL_13PCS.xlsx"/>
        <s v="MSF2261000000997_AS_GAYA_17PCS.xlsx"/>
        <s v="MSF2262000000628_LP_SANSKAR_9PCS.xlsx"/>
        <s v="MSF2262000000630_LP_SANSKAR_156PCS.xlsx"/>
        <s v="MSF2260600018926_LP_SANSKAR_5PCS.xlsx"/>
        <s v="MSF2262000000645_AS_SANSKAR_15PCS.xlsx"/>
        <s v="MSF2260600019708_LP_VAS-DEO_15PCS.xlsx"/>
        <s v="MSF2262000000620_AS_SGMR_33PCS.xlsx"/>
        <s v="MSF2262000000641_AS_SGMR_34PCS.xlsx"/>
        <s v="MSF2252000000618_VH_JSL_14PCS.xlsx"/>
        <s v="MSF2262000000633_VH_JSL_161PCS.xlsx"/>
        <s v="MSF2262000000642_AS_FS-DEO_20PCS.xlsx"/>
        <s v="MSF2262000000627_LP_BOKARO_7PCS.xlsx"/>
        <s v="MSF2262000000625_LP_BOKARO_221PCS.xlsx"/>
        <s v="MSF2262000000634_VH_VAS-DEO_117PCS.xlsx"/>
        <s v="MSF2262000000626_LP_VAS-DEO_92PCS.xlsx"/>
        <s v="MSF2262000000621_AS_FS-DEO_13PCS.xlsx"/>
        <s v="MSF2262000000619_VH_FS-DEO_25PCS.xlsx"/>
        <s v="MSF2260600018924_LP_BOKARO_5PCS.xlsx"/>
        <s v="MSF2262000000629_LP_JSL_146PCS.xlsx"/>
        <s v="Jain Adishwar -308 Ratu (22 Qty).xlsx"/>
        <s v="Jain Adishwar-315 (14 Qty).xlsx"/>
        <s v="MSF2262000000731_AS_FS DEO_29PCS.xlsx"/>
        <s v="MSF2261000001102_AS_GAYA_8PCS.xlsx"/>
        <s v="MSF2262000000726_VH_VAS-DEO_4PCS.xlsx"/>
        <s v="Jay Ambey Sarees-453.xlsx"/>
        <s v="MSF2262000000732_AS_JSL_7PCS.xlsx"/>
        <s v="MSF2262000000725_VH_JSL_6PCS.xlsx"/>
        <s v="MSF2261000001087_AS_GAYA_16PCS.xlsx"/>
        <s v="MSF2262000000718_LP_VAS-DEO_1PC.xlsx"/>
        <s v="MSF2262000000713_AS_FS-DEO_24PCS.xlsx"/>
        <s v="MSF2262000000708_AS_FS-DEO_8PCS.xlsx"/>
        <s v="MSF2260600022256_LP_BOKARO_10PCS.xlsx"/>
        <s v="MSF2262000000716_AS_JSL_18PCS.xlsx"/>
        <s v="C2D DISTRIBUTORS 10 (SANSKAR STORE).xlsx"/>
        <s v="Plazer Fabrics-144.xlsx"/>
        <s v="TAYAL GARMENTS-007.xlsx"/>
        <s v="MSF2260600024118_LP_SANSKAR_10PCS.xlsx"/>
        <s v="NIKITA APPARELS(EAGLE)_INV29_JSL_30PCS.xlsx"/>
        <s v="MSF2260600024065_LP_DUMKA_10PCS.xlsx"/>
        <s v="MSF2262900035373_LP_BOKARO_10PCS.xlsx"/>
        <s v="MSF2260600024117_LP_JSL_30PCS.xlsx"/>
        <s v="MSF2260600024116_LP_VAS-DEO_10PCS.xlsx"/>
        <s v="MSF2262000000811_AS_FS-DEO_20PCS.xlsx"/>
        <s v="MSF2261000001212_AS_GAYA_8PCS.xlsx"/>
        <s v="MSF2261000001213_AS_GAYA_9PCS.xlsx"/>
        <s v="MSF2262000000823_VH_VAS-DEO_5PCS.xlsx"/>
        <s v="MSF2262900035370_LP_VAS-DEO_10PCS.xlsx"/>
        <s v="MSF226060024066_LP_BOKARO_35PCS.xlsx"/>
        <s v="MSF2262000000816_LP_DUMKA_4PCS.xlsx"/>
        <s v="MSF2262000000812_AS_DUMKA_7PCS.xlsx"/>
        <s v="Jay Ambey Designer - 134.xlsx"/>
        <s v="MSF2262900035371_LP_JSL_10PCS.xlsx"/>
        <s v="PAYAL GARMENTS-105.xlsx"/>
        <s v="P R MODI &amp; Son's-1440.xlsx"/>
        <s v="P R MODI &amp; Son's-1443.xlsx"/>
        <s v="M N GARMENTS-126.xlsx"/>
        <s v="VISHAL MARKETING &amp; CO(LINEN CLUB)-052.xlsx"/>
        <s v="SHRI SAI ENTERPRISES(AMIDHARA)_WH_INV110_16PCS.xlsx"/>
        <s v="D Apparel-0080.xlsx"/>
        <s v="D APPAREL(STATUS QUO)_INV083_HZB_42PCS.xlsx"/>
        <s v="VISHAL MARKETING &amp; CO(LITTLE PINK)-055.xlsx"/>
        <s v="MN GARMENTS-139.xlsx"/>
        <s v="Variety Textiles-3360.xlsx"/>
        <s v="Kishor Textiles-1109.xlsx"/>
        <s v="Jain Adishwar - 425 Hazaribagh (40 Qty).xlsx"/>
        <s v="Jain Adishwar -438 Deoghar (29 Qty).xlsx"/>
        <s v="MSF2261000001488_AS_GAYA_9PCS.xlsx"/>
        <s v="C2D DISTRIBUTORS(WELSPUN)_INV17_SINGMORE_136PCS.xlsx"/>
        <s v="MSF2262000001063_VH_JSL_47PCS.xlsx"/>
        <s v="MSF2262000001064_VH_JSL_1PC.xlsx"/>
        <s v="MSF2262000001062_AS_JSL_6PCS.xlsx"/>
        <s v="Variety Textiles-3599.xlsx"/>
        <s v="Variety Textiles-3603.xlsx"/>
        <s v="Variety Textiles-3542.xlsx"/>
        <s v="Variety Textiles-3845.xlsx"/>
        <s v="VISHAL MARKETING &amp; CO(SPYKAR)-0227.xlsx"/>
        <s v="VISHAL MARKETING &amp; CO(SPYKAR)-0228.xlsx"/>
        <s v="VISHAL MARKETING &amp; CO(SPYKAR)-0229.xlsx"/>
        <s v="VISHAL MARKETING &amp; CO(SPYKAR)-0230.xlsx"/>
        <s v="MSF2260600032805_AS_GAYA_15PCS.xlsx"/>
        <s v="MSF2260600032816_AS_DUMKA_9PCS.xlsx"/>
        <s v="MSF2260600032801_AS_FS-DEO_18PCS.xlsx"/>
        <s v="MSF2262000001121_ASDUMKA_7PCS.xlsx"/>
        <s v="MSF2262900051519_AS_DUMKA_3PCS.xlsx"/>
        <s v="MSF2262000001124_VH_VAS-DEO_7PCS.xlsx"/>
        <s v="MSF2262900051511_AS_FS-DEO_8PCS.xlsx"/>
        <s v="FS-KDPS_78PCS.xlsx"/>
        <s v="FS-KDPS_85PCS.xlsx"/>
        <s v="FS-KDPS_104PCS.xlsx"/>
        <s v="UDHAV ENTERPRISES(JOCKEY)_INV19_WH_30PCS.xlsx"/>
        <s v="MSF2262000001119_AS_JSL_12PCS.xlsx"/>
        <s v="MSF2260600032809_AS_JSL_12PCS.xlsx"/>
        <s v="VISHAL MARKETING &amp; CO(US POLO PROMO)-0267.xlsx"/>
        <s v="P R MODI &amp; SON'S-1755.xlsx"/>
        <s v="P R MODI &amp; SON'S-1756.xlsx"/>
        <s v="P R MODI &amp; SON'S-1760.xlsx"/>
        <s v="PLAZER GARMENTS-295.xlsx"/>
        <s v="D-APPAREL(KHUSHAAL)_INV102_HZB_56PCS.xlsx"/>
        <s v="FASHION WORLD GARMENTS - 954.xlsx"/>
        <s v="FASHION WORLD GARMENTS - 956.xlsx"/>
        <s v="FASHION WORLD GARMENTS - 957.xlsx"/>
        <s v="FASHION WORLD GARMENTS - 962.xlsx"/>
        <s v="Fashion Earth Garments - 258.xlsx"/>
        <s v="Fashion Earth Garments - 257.xlsx"/>
        <s v="WEAR ON ENSEMBLES - 723.xlsx"/>
        <s v="WEAR ON ENSEMBLES - 724.xlsx"/>
        <s v="Wear On Ensemble - 722.xlsx"/>
        <s v="Wonders - 0037.xlsx"/>
        <s v="V N Textiles-196.xlsx"/>
        <s v="NarvadaTtextiles-22.xlsx"/>
        <s v="P R MODI &amp; SON'S-1899.xlsx"/>
        <s v="D D Sales-77.xlsx"/>
        <s v="SHREE NARAYANI ENTERPRISES (P2CRS26-152).xlsx"/>
        <s v="TAYAL GARMENTS - 008.xlsx"/>
        <s v="Zenith Fabric - 96 (Gaya).xlsx"/>
        <s v="A &amp; T ENGROS - 25.xlsx"/>
        <s v="D S Creation - 361.xlsx"/>
        <s v="D S Creation - 365.xlsx"/>
        <s v="D S Creation - 364.xlsx"/>
        <s v="D S Creation - 362.xlsx"/>
        <s v="Sagar Enterprises - 0075.xlsx"/>
        <s v="D S Creation - 360.xlsx"/>
        <s v="MSF2262000001275_LP_BOKARO_10PCS.xlsx"/>
        <s v="Variety Textiles - 4411.xlsx"/>
        <s v="TARUN APPARELS(JOCKEY)_INV192_WH_30PCS.xlsx"/>
        <s v="NARVADA TEXTILES(JOCKEY)_INV34_WH_20PCS.xlsx"/>
        <s v="Plazer Fabrics - 259.xlsx"/>
        <s v="SHREE NARAYANI(JOCKEY)_INV162_WH_39PCS.xlsx"/>
        <s v="PARAS(JOCKEY)_INV175_WH_146PCS.xlsx"/>
        <s v="M N GARMENTS - 224.xlsx"/>
        <s v="D APPAREL(STATUS QUO)_INV124_HZB_86PCS.xlsx"/>
        <s v="NARVADA TEXTILES(JOCKEY)_INV103_WH_100PCS.xlsx"/>
        <s v="M N GARMENTS - 264.xlsx"/>
        <s v="C2D DISTRIBUTORS (W26-82).xlsx"/>
        <s v="C2D DISTRIBUTOPR (26IH-323743-003).xlsx"/>
        <s v="C2D DISTRIBUTORS(WELSPUN)_INV16_BANKA_136PCS.xlsx"/>
        <s v="D APPAREL - 0215.xlsx"/>
        <s v="TAYAL GARMENTS PVTY LTD (JFHCRS26-378).xlsx"/>
        <s v="TAYAL GARMENTS (WC-043).xlsx"/>
        <s v="P M SONS - 786.xlsx"/>
        <s v="PARAS TEXTILES (PECRS26-625).xlsx"/>
        <s v="TARUN APPARELS(MDCRS26-680).xlsx"/>
        <s v="MSF2262900051516_AS_JSL_6PCS.xlsx"/>
        <s v="MSF2262000001129_LP_JSL_32PCS.xlsx"/>
        <s v="Samyak Creation - 58.xlsx"/>
        <s v="Saraogi Super Sales - 497.xlsx"/>
        <s v="TAYAL GARMENTS - 038.xlsx"/>
        <s v="MSF2262000001218_PE_SGMR_15PCS.xlsx"/>
        <s v="MSF2262000001217_PE_FS-DEO_4PCS.xlsx"/>
        <s v="Jain Adishwar - 624 (47 Qty).xlsx"/>
        <s v="MSF2262000000809_AS_SBJ_16PCS.xlsx"/>
        <s v="MSF2262000000824_VH_SBJ_1PC.xlsx"/>
        <s v="MSF2262000000635_VH_SBJ_84PCS.xlsx"/>
        <s v="SSS(FOGA)_INV33_WH_24PCS.xlsx"/>
        <s v="Kripa Teaders - 162.xlsx"/>
        <s v="MSF2261000002416_PE_GAYA_3PCS.xlsx"/>
        <s v="MSF2261000002423_PE_GAYA_73PCS.xlsx"/>
        <s v="MSF2261000002425_PE_GAYA_19PCS.xlsx"/>
        <s v="MSF2261000002418_PE_GAYA_20PCS.xlsx"/>
        <s v="MSF2262000001274_LP_VAS-DEO_15PCS.xlsx"/>
        <s v="MSF2261000002419_PE_GAYA_3PCS.xlsx"/>
        <s v="MSF2261000002420_PE_GAYA_17PCS.xlsx"/>
        <s v="D APPAREL - 0119.xlsx"/>
        <s v="Abhivadan Fashion - 1536.xlsx"/>
        <s v="Abhivadan Fashion - 1537.xlsx"/>
        <s v="MSF2261000001631_AS_GAYA_9PCS.xlsx"/>
        <s v="MSF2262900051513_AS_GAYA_8PCS.xlsx"/>
        <s v="TAYAL GARMENTS(JOCKEY)_INV77_WH_25PCS.xlsx"/>
        <s v="TAYAL GARMENTS(JOCKEY)_INV79_WH_10PCS.xlsx"/>
        <s v="MSF2262000001701_PE_JSL_20PCS.xlsx"/>
        <s v="MSF2262000001702_PE_JSL_72PCS.xlsx"/>
        <s v="MSF2262000001192_VH_JSL_5PCS.xlsx"/>
        <s v="MSF2262000001190_LP_JSL_16PCS.xlsx"/>
        <s v="MSF2262000001277_VH_JSL_32PCS.xlsx"/>
        <s v="MSF2261000002202_PE_PATNA_6PCS.xlsx"/>
        <s v="MSF2261000001796_PE_PATNA_42PCS.xlsx"/>
        <s v="MSF2261000002092_PE_PATNA_132.xlsx"/>
        <s v="MSF2261000002089_PE_PATNA_5PCS.xlsx"/>
        <s v="MSF2261000002090_PE_PATNA_16PCS.xlsx"/>
        <s v="MSF2262000000639_AS_SBJ_16PCS.xlsx"/>
        <s v="MSF2252000016262_LP_DUMKA_5PCS.xlsx"/>
        <s v="MSF2252000015599_LP_DUMKA_4PCS.xlsx"/>
        <s v="A &amp; T ENGROS - 43.xlsx"/>
        <s v="B K SILK MILLS NX LLP - 2096.xlsx"/>
        <s v="Shirithik Designer LLP - 152.xlsx"/>
        <s v="Shirithik Designer LLP - 153.xlsx"/>
        <s v="Kashni - 165.xlsx"/>
        <s v="B K SILK MILLS NX LLP - 2065.xlsx"/>
        <s v="B K SILK MILLS NX LLP - 2068.xlsx"/>
        <s v="B K SILK MILLS NX LLP - 2069.xlsx"/>
        <s v="Karni Textiles - 174.xlsx"/>
        <s v="JOMAA SAREES - 305.xlsx"/>
        <s v="RTC GARMENTEX - 63.xlsx"/>
        <s v="CHOKRI CREATION - 26.xlsx"/>
        <s v="JANANI DESIGNER - 347.xlsx"/>
        <s v="ZOE - 226.xlsx"/>
        <s v="SHREE EMPORIUM - 599.xlsx"/>
        <s v="WILSON PRINTS - 264.xlsx"/>
        <s v="MSF2261000002385_PE_PATNA_6PCS.xlsx"/>
        <s v="MSF2261000002386_PE_PATNA_1PC.xlsx"/>
        <s v="CHANCELLOR INDUSTRIES - 88.xlsx"/>
        <s v="SHREE EMPORIUM - 568.xlsx"/>
        <s v="MSF2260600032804_ AS_SBJ_6PCS.xlsx"/>
        <s v="P R MODI &amp; SON'S - 2785.xlsx"/>
        <s v="SHREE EMPORIUM - 552.xlsx"/>
        <s v="SAMYAK CREATION - 63.xlsx"/>
        <s v="KRIPA TRADERS - 241.xlsx"/>
        <s v="SHREE NARAYANI ENTERPRISES (P2CRS26-238).xlsx"/>
        <s v="DD SALES (GSTN - 86).xlsx"/>
        <s v="ZOE - 229.xlsx"/>
        <s v="ZOE - 227.xlsx"/>
        <s v="ZOE - 228.xlsx"/>
        <s v="JOCKEY (WS268).xlsx"/>
        <s v="SARAOGI SUPER SALES - 739.xlsx"/>
        <s v="SARAOGI SUPER SALES - 741.xlsx"/>
        <s v="SARAOGI SUPER SALES - 785.xlsx"/>
        <s v="SARAOGI SUPER SALES - 786.xlsx"/>
        <s v="SARAOGI SUPER SALES - 787.xlsx"/>
        <s v="SARAOGI SUPER SALES - 788.xlsx"/>
        <s v="AAROHI FASHION - 230.xlsx"/>
        <s v="NARVADA TEXTILES (EDCRS26-65).xlsx"/>
        <s v="TARUN APPARELS (MDCRS26-337).xlsx"/>
        <s v="NARVADA TEXTILES (SCRS26-187).xlsx"/>
        <s v="DD SALES (GSTN - 85).xlsx"/>
        <s v="MSF2262900061136_AS_SBJ_3PCS.xlsx"/>
        <s v="MSF2262900051518_AS_SAN_3PCS.xlsx"/>
        <s v="A S TEXTILE - 52.xlsx"/>
        <s v="A S TEXTILE - 53.xlsx"/>
        <s v="A S TEXTILE - 54.xlsx"/>
        <s v="A S TEXTILE - 55.xlsx"/>
        <s v="A S TEXTILE - 56.xlsx"/>
        <s v="A S TEXTILE - 58.xlsx"/>
        <s v="ABHIVADAN DESIGNER - 977.xlsx"/>
        <s v="ABHIVADAN DESIGNER - 978.xlsx"/>
        <s v="MSF2262000000534_AS_SAN_22PCS.xlsx"/>
        <s v="MSF2260600032812_AS_SAN_6PCS.xlsx"/>
        <s v="MSF2262000001120_AS_SAN_8 PCS.xlsx"/>
        <s v="VISHAL MARKETING &amp; CO(SMAG)-0295.xlsx"/>
        <s v="A S TEXTILE - 61.xlsx"/>
        <s v="A S TEXTILE - 62.xlsx"/>
        <s v="A S TEXTILE - 65.xlsx"/>
        <s v="A S TEXTILE - 68.xlsx"/>
        <s v="A S TEXTILE - 74.xlsx"/>
        <s v="A S TEXTILE - 75.xlsx"/>
        <s v="A S TEXTILE - 80.xlsx"/>
        <s v="ADITYA PRINTS - 456.xlsx"/>
        <s v="AGAM CREATION - 517.xlsx"/>
        <s v="AJJAWAM DESIGNER - 75.xlsx"/>
        <s v="AJJAWAM DESIGNER - 76.xlsx"/>
        <s v="BLAZO CLOTHING - 1337.xlsx"/>
        <s v="D APPAREL - 0149.xlsx"/>
        <s v="D APPAREL - 0179.xlsx"/>
        <s v="D APPAREL(STATUS QUO)_INV160_HZB_43PCS.xlsx"/>
        <s v="D D DEVELOPERS-43.xlsx"/>
        <s v="D D DEVELOPERS-50.xlsx"/>
        <s v="DD SALES - 135.xlsx"/>
        <s v="DD SALES - 136.xlsx"/>
        <s v="DD SALES (GSTN - 87).xlsx"/>
        <s v="DD SALES (GSTN - 140).xlsx"/>
        <s v="DD SALES (GSTN - 142).xlsx"/>
        <s v="DS  YUVRAAJ - 121.xlsx"/>
        <s v="DS YUVRAAJ - 82.xlsx"/>
        <s v="GURULAXMI CREATION - 30.xlsx"/>
        <s v="INDTECH APPARELS(FAHRENHEIT )_INV45_JSL_31PCS.xlsx"/>
        <s v="Jain Adishwar - 1002.xlsx"/>
        <s v="Jay Ambey Designer - 236.xlsx"/>
        <s v="Jay Ambey Designer - 237.xlsx"/>
        <s v="Jay Ambey Designer - 238.xlsx"/>
        <s v="Jay Ambey Designer - 239.xlsx"/>
        <s v="KISHORE TEXTILE - 1180.xlsx"/>
        <s v="KISHORE TEXTILES - 1160.xlsx"/>
        <s v="KODAK SAREE AND DUPATTA - 188.xlsx"/>
        <s v="KRIPA TRADERS - 278.xlsx"/>
        <s v="KRIPA TRADERS - 307.xlsx"/>
        <s v="KRIPA TRADERS - 308.xlsx"/>
        <s v="LADDU PRINTS - 421.xlsx"/>
        <s v="MANISH HANDLOOM - 163.xlsx"/>
        <s v="MANIYAR SYNTHETICS - 389.xlsx"/>
        <s v="MANIYAR SYNTHETICS - 390.xlsx"/>
        <s v="MANIYAR SYNTHETICS - 391.xlsx"/>
        <s v="MANIYAR SYNTHETICS - 410.xlsx"/>
        <s v="MOHAN CLOTHING(BB)_INV8500292471_GAYA_7PCS.xlsx"/>
        <s v="MOHAN CLOTHING(BB)_INV8500295196_GAYA_38PCS.xlsx"/>
        <s v="MOHAN CLOTHING(BB)_INV8500295631_GAYA_11PCS.xlsx"/>
        <s v="MSD2261000003105_PE_GAYA_7PCS.xlsx"/>
        <s v="MSF2262000001860_LP_BOKARO_3PCS.xlsx"/>
        <s v="MSF2251000033081_PE_KLG2_1PC.xlsx"/>
        <s v="MSF2251000035951_PE_KLG2_2PCS.xlsx"/>
        <s v="MSF2251000036389_PE_KLG2_1PC.xlsx"/>
        <s v="MSF2251000036606_PE_KLG2_2PCS.xlsx"/>
        <s v="MSF2260600018926_LP_SAN_5PCS.xlsx"/>
        <s v="MSF2260600024118_LP_SAN_10 PCS.xlsx"/>
        <s v="MSF2261000002409_PE_GAYA_7PCS.xlsx"/>
        <s v="MSF2261000002410_PE_GAYA_7PCS.xlsx"/>
        <s v="MSF2261000002411_PE_KLG2_29PCS.xlsx"/>
        <s v="MSF2261000002412_PE_MAHAGAMA_1PC.xlsx"/>
        <s v="MSF2261000002413_PE_KLG2_19PCS.xlsx"/>
        <s v="MSF2261000002414_PE_MAHAGAMA_7PCS.xlsx"/>
        <s v="MSF2261000002417_PE_GAYA_1PC.xlsx"/>
        <s v="MSF2261000002421_PE_MAHAGAMA_2PCS.xlsx"/>
        <s v="MSF2261000002422_PE_KLG2_69PCS.xlsx"/>
        <s v="MSF2261000002426_PE_KLG2_3PCS.xlsx"/>
        <s v="MSF2261000002525_PE_KLG2_3PCS.xlsx"/>
        <s v="MSF2261000002526_PE_GAYA_2PCS.xlsx"/>
        <s v="MSF2261000002527_PE_GAYA_2PCS.xlsx"/>
        <s v="MSF2261000002528_PE_GAYA_6PCS.xlsx"/>
        <s v="MSF2261000002678_VH_BANKA_31PCS.xlsx"/>
        <s v="MSF2261000002683_VH_BANKA_227PCS.xlsx"/>
        <s v="MSF2261000002693_VH_BANKA_707PCS.xlsx"/>
        <s v="MSF2261000002763_PE_PATNA_10PCS.xlsx"/>
        <s v="MSF2261000002764_PE_GAYA_5PCS.xlsx"/>
        <s v="MSF2261000002765_PE_KLG2_2PCS.xlsx"/>
        <s v="MSF2261000002766_PE_PATNA_5PCS.xlsx"/>
        <s v="MSF2261000002767_PE_KLG2_1PC.xlsx"/>
        <s v="MSF2261000002768_PE_GAYA_14PCS.xlsx"/>
        <s v="MSF2261000002769_PE_GAYA_3PCS.xlsx"/>
        <s v="MSF2261000002770_PE_GAYA_1PC.xlsx"/>
        <s v="MSF2261000002871_PE_PATNA_3PCS.xlsx"/>
        <s v="MSF2261000002893_AS_GAYA_9PCS.xlsx"/>
        <s v="MSF2261000002895_VH_BANKA_12PCS.xlsx"/>
        <s v="MSF2261000002896_VH_BANKA_13PCS.xlsx"/>
        <s v="MSF2261000002901_AS_GAYA_17PCS.xlsx"/>
        <s v="MSF2261000002902_AS_GAYA_8PCS.xlsx"/>
        <s v="MSF2261000003073_AS_GAYA_170PCS.xlsx"/>
        <s v="MSF2261000003085_AS_GAYA_8PCS.xlsx"/>
        <s v="MSF2261000003106_PE_PATNA_3PCS.xlsx"/>
        <s v="MSF2261000003107_PE_KLG2_71PCS.xlsx"/>
        <s v="MSF2261000003108_PE_GAYA_72PCS.xlsx"/>
        <s v="MSF2261000003164_PE_PATNA_2PCS.xlsx"/>
        <s v="MSF2261000003165_PE_GAYA_7PCS.xlsx"/>
        <s v="MSF2261000003166_PE_GAYA_2PCS.xlsx"/>
        <s v="MSF2261000003167_PE_PATNA_2PCS.xlsx"/>
        <s v="MSF2261000003212_AS_GAYA_40PCS.xlsx"/>
        <s v="MSF2261000003317_AS_GAYA_26PCS.xlsx"/>
        <s v="MSF2261000003387_AS_GAYA_17PCS.xlsx"/>
        <s v="MSF2261000003435_VH_BANKA_6PCS.xlsx"/>
        <s v="MSF2261000003483_AS_GAYA_16PCS.xlsx"/>
        <s v="MSF2261000003493_VH_BANKA_1PC.xlsx"/>
        <s v="MSF2261000003920_PE_KGL2_6PCS.xlsx"/>
        <s v="MSF2261000004063_PE_GAYA_6PCS.xlsx"/>
        <s v="MSF2261000004068_PE_PATNA_6PCS.xlsx"/>
        <s v="MSF2261000004191_PE_GAYA_1PC.xlsx"/>
        <s v="MSF2261000004192_PE_PATNA_6PCS.xlsx"/>
        <s v="MSF2261000004401_PE_PATNA_6PCS.xlsx"/>
        <s v="MSF2261000004402_PE_GAYA_4PCS.xlsx"/>
        <s v="MSF2261000004404_PE_PATNA_3PCS.xlsx"/>
        <s v="MSF2261000004648_AS_GAYA_4PCS.xlsx"/>
        <s v="MSF2262000000541_LP_SAN_18 PCS.xlsx"/>
        <s v="MSF2262000000628_LP_SAN_9PCS.xlsx"/>
        <s v="MSF2262000001347_VH_JSL_26PCS.xlsx"/>
        <s v="MSF2262000001692_PE_JSL_4PCS.xlsx"/>
        <s v="MSF2262000001800_VH_JSL_91PCS.xlsx"/>
        <s v="MSF2262000001801_AS_SBJ_6PCS.xlsx"/>
        <s v="MSF2262000001802_LP_SAN_31PCS.xlsx"/>
        <s v="MSF2262000001803_LP_VAS-DEO_22PCS.xlsx"/>
        <s v="MSF2262000001804_LP_BOKARO_19PCS.xlsx"/>
        <s v="MSF2262000001809_LP_JSL_11PCS.xlsx"/>
        <s v="MSF2262000001810_LP_JSL_7PCS.xlsx"/>
        <s v="MSF2262000001811_VH_VAS-DEO_8PCS.xlsx"/>
        <s v="MSF2262000001812_VH_JSL_2PCS.xlsx"/>
        <s v="MSF2262000001813_VH_SBJ_19PCS.xlsx"/>
        <s v="MSF2262000001817_VH_JSL_1PC.xlsx"/>
        <s v="MSF2262000001861_LP_VAS-DEO_2PCS.xlsx"/>
        <s v="MSF2262000001866_AS_FS-DEO_23PCS.xlsx"/>
        <s v="MSF2262000001868_VH_HZB_15PCS.xlsx"/>
        <s v="MSF2262000001869_VH_HZB_13PCS.xlsx"/>
        <s v="MSF2262000001871_AS_JSL_138PCS.xlsx"/>
        <s v="MSF2262000001872_AS_FS-DEO_349PCS.xlsx"/>
        <s v="MSF2262000001874_AS_FS-DEO_4PCS.xlsx"/>
        <s v="MSF2262000001877_VH_JSL_5PCS.xlsx"/>
        <s v="MSF2262000001878_VH_FS-DEO_203PCS.xlsx"/>
        <s v="MSF2262000001879_AS_FS-DEO_9PCS.xlsx"/>
        <s v="MSF2262000001885_LP_JSL_5PCS.xlsx"/>
        <s v="MSF2262000001909_PE_JSL_6PCS.xlsx"/>
        <s v="MSF2262000001910_PE_SGMR_5PCS.xlsx"/>
        <s v="MSF2262000001911_PE_JSL_6PCS.xlsx"/>
        <s v="MSF2262000001912_PE_SAN_2PCS.xlsx"/>
        <s v="MSF2262000001919_PE_JSL_28PCS.xlsx"/>
        <s v="MSF2262000002023_AS_JSL_7PCS.xlsx"/>
        <s v="MSF2262000002024_VH_FS-DEO_8PCS.xlsx"/>
        <s v="MSF2262000002025_VH_JSL_4PCS.xlsx"/>
        <s v="MSF2262000002033_LP_DUMKA_5PCS.xlsx"/>
        <s v="MSF2262000002036_LP_VAS-DEO_263PCS.xlsx"/>
        <s v="MSF2262000002038_VH_FS-DEO_1PC.xlsx"/>
        <s v="MSF2262000002040_AS_JSL_268PCS.xlsx"/>
        <s v="MSF2262000002042_AS_SGMR_13PCS.xlsx"/>
        <s v="MSF2262000002046_AS_SBJ_26PCS.xlsx"/>
        <s v="MSF2262000002047_AS_GAYA_8PCS.xlsx"/>
        <s v="MSF2262000002122_AS_FS-DEO_7PCS.xlsx"/>
        <s v="MSF2262000002125_AS_FS-DEO_5PCS.xlsx"/>
        <s v="MSF2262000002130_AS_SBJ_130PCS.xlsx"/>
        <s v="MSF2262000002131_AS_SAN_83PCS.xlsx"/>
        <s v="MSF2262000002133_AS_AS-DEO_191PCS.xlsx"/>
        <s v="MSF2262000002136_AS_DUMKA_18PCS.xlsx"/>
        <s v="MSF2262000002145_AS_SGMR_10PCS.xlsx"/>
        <s v="MSF2262000002146_AS_JSL_7PCS.xlsx"/>
        <s v="MSF2262000002147_AS_DUMKA_8PCS.xlsx"/>
        <s v="MSF2262000002148_AS_FS_DEO_18PCS.xlsx"/>
        <s v="MSF2262000002150_AS_SAN_8PCS.xlsx"/>
        <s v="MSF2262000002158_PE_JSL_4PCS.xlsx"/>
        <s v="MSF2262000002159_PE_JSL_7PCS.xlsx"/>
        <s v="MSF2262000002187_PE_JSL_5PCS.xlsx"/>
        <s v="MSF2262000002188_PE_SGMR_5PCS.xlsx"/>
        <s v="MSF2262000002189_PE_JSL_7PCS.xlsx"/>
        <s v="MSF2262000002210_AS_SGMR_10PCS.xlsx"/>
        <s v="MSF2262000002211_AS_FS-DEO_53PCS.xlsx"/>
        <s v="MSF2262000002213_AS_JSL_21PCS.xlsx"/>
        <s v="MSF2262000002214_AS_SAN_40PCS.xlsx"/>
        <s v="MSF2262000002215_AS_SBJ_38PCS.xlsx"/>
        <s v="MSF2262000002221_VH_JSL_2PCS.xlsx"/>
        <s v="MSF2262000002222_VH_JSL_4PCS.xlsx"/>
        <s v="MSF2262000002249_LP_VAS-DEO_14PCS.xlsx"/>
        <s v="MSF2262000002251_LP_JSL_8PCS.xlsx"/>
        <s v="MSF2262000002268_VH_JSL_16PCS.xlsx"/>
        <s v="MSF2262000002269_VH_ SBJ_16PCS.xlsx"/>
        <s v="MSF2262000002281_AS_FS-DEO_21PCS.xlsx"/>
        <s v="MSF2262000002283_VH_VAS-DEO_15PCS.xlsx"/>
        <s v="MSF2262000002284_AS_SGMR_19PCS.xlsx"/>
        <s v="MSF2262000002289_AS_JSL_19PCS.xlsx"/>
        <s v="MSF2262000002290_AS_DUMKA_26PCS.xlsx"/>
        <s v="MSF2262000002292_AS_AS-DEO_27PCS.xlsx"/>
        <s v="MSF2262000002293_AS_SBJ_24PCS.xlsx"/>
        <s v="MSF2262000002297_AS_FS-DEO_22PCS.xlsx"/>
        <s v="MSF2262000002298_AS_SGMR_12PCS.xlsx"/>
        <s v="MSF2262000002303_VH_FS-DEO_4PCS.xlsx"/>
        <s v="MSF2262000002333_AS_FS-DEO_3PCS.xlsx"/>
        <s v="MSF2262000002335_VH_FS-DEO_1PC.xlsx"/>
        <s v="MSF2262000002336_AS_FS-DEO_188PCS.xlsx"/>
        <s v="MSF2262000002339_AS_AS-DEO_10PCS.xlsx"/>
        <s v="MSF2262000002345_VH_VAS-DEO_9PCS.xlsx"/>
        <s v="MSF2262000002359_LP_VAS-DEO_2PCS.xlsx"/>
        <s v="MSF2262000002360_LP_BOKARO_3PCS.xlsx"/>
        <s v="MSF2262000002363_VH_FS-DEO_7PCS.xlsx"/>
        <s v="MSF2262000002364_AS_JSL_6PCS.xlsx"/>
        <s v="MSF2262000002369_VH_JSL_13PCS.xlsx"/>
        <s v="MSF2262000002372_AS_JSL_3PCS.xlsx"/>
        <s v="MSF2262000002373_AS_JSL_146PCS.xlsx"/>
        <s v="MSF2262000002374_LP_SAN_62PCS.xlsx"/>
        <s v="MSF2262000002378_LP_VAS-DEO_54PCS.xlsx"/>
        <s v="MSF2262000002379_LP_JSL_27PCS.xlsx"/>
        <s v="MSF2262000002380_LP_DUMKA_34PCS.xlsx"/>
        <s v="MSF2262000002396_AS_SGMR_10PCS.xlsx"/>
        <s v="MSF2262000002397_AS_SBJ_16PCS.xlsx"/>
        <s v="MSF2262000002398_AS_DUMKA_9PCS.xlsx"/>
        <s v="MSF2262000002403_VH_SBJ_7PCS.xlsx"/>
        <s v="MSF2262000002408_VH_JSL_1PC.xlsx"/>
        <s v="MSF2262000002415_LP_VAS-DEO_109PCS.xlsx"/>
        <s v="MSF2262000002422_LP_BOKARO_48PCS.xlsx"/>
        <s v="MSF2262000002538_LP_VAS-DEO_15PCS.xlsx"/>
        <s v="MSF2262000002698_AS_AS-DEO_11PCS.xlsx"/>
        <s v="MSF2262000002699_AS_SGMR_2PCS.xlsx"/>
        <s v="MSF2262000002753_VH_VAS-DEO_12PCS.xlsx"/>
        <s v="MSF2262000002769_PE_JSL_2PCS.xlsx"/>
        <s v="MSF2262000002771_PE_JSL_7PCS.xlsx"/>
        <s v="MSF2262000002816_LP_VAS-DEO_10PCS.xlsx"/>
        <s v="MSF2262000002837_PE_JSL_15PCS.xlsx"/>
        <s v="MSF2262000002986_PE_SAN_10PCS.xlsx"/>
        <s v="MSF2262000003221_AS_SAN_49PCS.xlsx"/>
        <s v="MSF2262000003225_AS_AS-DEO_6PCS.xlsx"/>
        <s v="MSG2261000002415_PE_GAYA_1PC.xlsx"/>
        <s v="MUKESH AGARWAL(PETICOAT)_INVRE08_HZB_105PCS.xlsx"/>
        <s v="NARAYANI ENTERPRISES (P2CRS26-376).xlsx"/>
        <s v="NIKITA APPARELS(EAGLE)_INV74_JSL_24PCS.xlsx"/>
        <s v="OVERSEAS ENTERPRISES(AMBRELI)_SGMR_INV176_76PCS.xlsx"/>
        <s v="P R MODI AND SONS - 3429.xlsx"/>
        <s v="P R MODI AND SONS - 3431.xlsx"/>
        <s v="P R MODI AND SONS - 3432.xlsx"/>
        <s v="P R MODI AND SONS - 3913.xlsx"/>
        <s v="P R MODI AND SONS 3123 (SANSKAR STORE).xlsx"/>
        <s v="P R MODI AND SONS 3126 (SANSKAR STORE).xlsx"/>
        <s v="PARAS TEXTILE (PECRS26-387).xlsx"/>
        <s v="PAYAL GARMENTS - 297.xlsx"/>
        <s v="POONAM FASHION - 262.xlsx"/>
        <s v="SAMYAK CREATION - 83.xlsx"/>
        <s v="SARAOGI SUPER SALES - 485.xlsx"/>
        <s v="SARAOGI SUPER SALES - 498.xlsx"/>
        <s v="SARAOGI SUPER SALES - 499.xlsx"/>
        <s v="SARAOGI SUPER SALES - 500.xlsx"/>
        <s v="Saraogi Super Sales - 753.xlsx"/>
        <s v="SARAOGI SUPER SALES - 920.xlsx"/>
        <s v="SARAOGI SUPER SALES - 940.xlsx"/>
        <s v="Saraogi Super Sales - 2668.xlsx"/>
        <s v="SHRI MAHAVIR ENTERPRISES(JOCKEY)_MDCCRS26102_HZB_40PCS.xlsx"/>
        <s v="SHRI MAHAVIR ENTERPRISES(JOCKEY)_PR2CRS2689_HZB_82PCS.xlsx"/>
        <s v="SHRI MAHAVIR ENTERPRISES(JOCKEY)_SOCCRS2670_HZB_20PCS.xlsx"/>
        <s v="SHRI SIDHI VINAYAK ENTERPRISES - 442.xlsx"/>
        <s v="SHRIKRISHNA CREATION - 24.xlsx"/>
        <s v="SHRING APPARELS(MUFTI)_INV313_JSL_23PCS.xlsx"/>
        <s v="SINGLA COLLECTION - 71.xlsx"/>
        <s v="SINGLA COLLECTION - 74.xlsx"/>
        <s v="SINGLA COLLECTION - 76.xlsx"/>
        <s v="SKY CLOTHING 68 (SANSKAR STORE).xlsx"/>
        <s v="TAYAL GARMENTS - 13.xlsx"/>
        <s v="TAYAL GARMENTS(LIBAS)_INV008_WH_389PCS.xlsx"/>
        <s v="Transfer Stock PT File (USPA INNERWEAR).xlsx"/>
        <s v="Udhav Enterprises_BRCRS26-19_Qty 30.xlsx"/>
        <s v="VINAYAK EMPORIUM(BANJARAN)_INV158_SGMR_138PCS.xlsx"/>
        <s v="VISHAL MARKETING &amp; CO(REX STRAUT)-0401.xlsx"/>
        <s v="WEAR ON ENSEMBLES - 1233.xlsx"/>
        <s v="WEAR ON ENSEMBLES - 1234.xlsx"/>
        <s v="WILSON PRINTS - 296.xlsx"/>
        <s v="Zenith Fabric-174 (180 Qty).xls"/>
        <s v="DD APPARELS(SWEET DREAMS)_INV14_WH_24PCS.xlsx"/>
        <s v="FASHION EARTH GARMENTS - 556.xlsx"/>
        <s v="MSF2262000002770_PE_FS-DEO_2PCS.xlsx"/>
        <s v="MSF2262000002890_LP_BOKARO_15PCS.xlsx"/>
        <s v="MSF2262000002891_LP_SAN_14PCS.xlsx"/>
        <s v="MSF2262000002967_PE_SGMR_22PCS.xlsx"/>
        <s v="MSF2262000003213_VH_VAS-DEO_4PCS.xlsx"/>
        <s v="MSF2262000003219_AS_AS-DEO_213PCS.xlsx"/>
        <s v="TAYAL GARMENTS - 36.xlsx"/>
        <s v="VIP - 01.xlsx"/>
        <s v="VIP - 02.xlsx"/>
        <s v="VISHAL MARKETING &amp; CO(US POLO)-535.xlsx"/>
        <s v="VISHAL MARKETING &amp; CO(US POLO)-536.xlsx"/>
        <s v="VISHAL MARKETING &amp; CO(US POLO)-538.xlsx"/>
        <s v="VISHAL MARKETING &amp; CO(US POLO)-541.xlsx"/>
        <s v="MSF2262000002968_PE_JSL_4PCS.xlsx"/>
        <s v="MSF2262000002966_PE_JSL_3PCS.xlsx"/>
        <s v="MSF2262000002969_PE_FS-DEO_3PCS.xlsx"/>
        <s v="MSF2262000002970_PE_JSL_50PCS.xlsx"/>
        <s v="MSF2262000003214_AS_FS-DEO_151PCS.xlsx"/>
        <s v="D APPAREL - 0209.xlsx"/>
        <s v="JOCKEY(WS310).xlsx"/>
        <s v="MSF2262000003556_AS_JSL_6PCS.xlsx"/>
        <s v="MSF2262000003557_AS_FS-DEO_6PCS.xlsx"/>
        <s v="RTC GARMENTEX - 281.xlsx"/>
        <s v="VISHAL MARKETING &amp; CO(US POLO PROMO)-584.xlsx"/>
        <s v="VISHAL MARKETING &amp; CO(US POLO)-580.xlsx"/>
        <s v="VISHAL MARKETING &amp; CO(US POLO)-582.xlsx"/>
        <s v="VISHAL MARKETING &amp; CO(US POLO)-583.xlsx"/>
        <s v="JOCKEY(WS537).xlsx"/>
        <s v="MOHAN CLOTHING(BB)_INV8500298553_GAYA_6PCS.xlsx"/>
        <s v="MSF2262000003224_AS_SBJ _7PCS.xlsx"/>
        <s v="MSF2262000003367_AS_FS-DEO_5PCS.xlsx"/>
        <s v="MSF2262000003376_AS_JSL_11PCS.xlsx"/>
        <s v="MSF2262000003378_LP_JSL_4PCS.xlsx"/>
        <s v="MSF2262000003422_LP_VAS-DEO_20PCS.xlsx"/>
        <s v="MSF2262000003479_LP_SAN_12PCS.xlsx"/>
        <s v="MSF2262000003504_LP_BOKARO_12PCS.xlsx"/>
        <s v="MSF2262000003563_LP_SAN_12PCS.xlsx"/>
        <s v="MSF2262000003565_AS_SAN_14PCS.xlsx"/>
        <s v="VISHAL MARKETING &amp; CO(US POLO PROMO)-585.xlsx"/>
        <s v="VISHAL MARKETING &amp; CO(US POLO PROMO)-586.xlsx"/>
        <s v="A S TEXTILE - 83.xlsx"/>
        <s v="A S TEXTILE - 84.xlsx"/>
        <s v="KDPS LIFESTYLE PVT LTD(26IH-323743-001).xlsx"/>
        <s v="JOCKEY (WS319).xlsx"/>
        <s v="KDPS (26-IH-323743-002).xlsx"/>
        <s v="KDPS (26IH-323743-004).xlsx"/>
        <s v="KDPS (26IH-323743-005).xlsx"/>
        <s v="MSF2261000005417_PE_PATNA_6PCS.xlsx"/>
        <s v="MSF2261000004064_PE_KLG2_1PC.xlsx"/>
        <s v="MSF2261000004065_PE_KLG2_7PCS.xlsx"/>
        <s v="MSF2261000004403_PE_KLG2_6PCS.xlsx"/>
        <s v="MSF2261000004405_PE_KLG2_7PCS.xlsx"/>
        <s v="MSF2261000004647 ALLEN SOLLY GAYA 207 PCS.xlsx"/>
        <s v="MSF2261000004680_PE_KLG2_1PC.xlsx"/>
        <s v="MSF2261000004681_PE_PATNA_1PC.xlsx"/>
        <s v="MSF2261000004773_PE_KLG2_8PCS.xlsx"/>
        <s v="MSF2261000004774_PE_KLG2_1PC.xlsx"/>
        <s v="MSF2261000004775_PE_PATNA_6PCS.xlsx"/>
        <s v="MSF2261000004848 ALLEN SOLLY GAYA 7 PCS.xlsx"/>
        <s v="MSF2261000004849 ALLEN SOLLY GAYA 9 PCS.xlsx"/>
        <s v="MSF2261000004871_PE_PATNA_36PCS.xlsx"/>
        <s v="MSF2261000004976_PE_GAYA_34PCS.xlsx"/>
        <s v="MSF2261000004977_PE_KLG2_3PCS.xlsx"/>
        <s v="MSF2261000005027_PE_GAYA_22PCS.xlsx"/>
        <s v="MSF2261000005029_PE_GAYA_27PCS.xlsx"/>
        <s v="MSF2261000005031_PE_PATNA_40PCS.xlsx"/>
        <s v="MSF2261000005414_PE_PATNA_122PCS.xlsx"/>
        <s v="MSF2261000005415_PE_GAYA_7PCS.xlsx"/>
        <s v="MSF2261000005416_PE_PATNA_17PCS.xlsx"/>
        <s v="MSF2261000005418_PE_GAYA_3PCS.xlsx"/>
        <s v="MSF2261000005419_PE_GAYA_7PCS.xlsx"/>
        <s v="MSF2262000002132_AS_JSL_7PCS.xlsx"/>
        <s v="MSF2262000002165_LP_JSL_8PCS.xlsx"/>
        <s v="MSF2262000003245_PE_FS-DEO_4PCS.xlsx"/>
        <s v="MSF2262000003293_AS_AS-DEO_17PCS.xlsx"/>
        <s v="MSF2262000003319_PE_SGMR_2PCS.xlsx"/>
        <s v="MSF2262000003320_PE_FS-DEO_122PCS.xlsx"/>
        <s v="MSF2262000003321_PE_FS-DEO_103PCS.xlsx"/>
        <s v="MSF2262000003377_AS_FS-DEO_6PCS.xlsx"/>
        <s v="MSF2262000003564_AS_AS-DEO_ 8PCS.xlsx"/>
        <s v="MSF2262000003598_LP_VAS-DEO_23PCS.xlsx"/>
        <s v="MSF2262000003649_LP_SAN_12PCS.xlsx"/>
        <s v="MSF2262000003791_LP_SAN_78PCS.xlsx"/>
        <s v="SANJU CREATION - 26.xlsx"/>
        <s v="SARAOGI SUPER SALES - 281.xlsx"/>
        <s v="SARAOGI SUPER SALES - 282.xlsx"/>
        <s v="TAYAL GARMENTS PVT.LTD-037.xlsx"/>
        <s v="TROLLEY (26-27-001).xlsx"/>
        <s v="P M SONS - 746.xlsx"/>
        <s v="VISHAL MARKETING &amp; CO(FM)-596.xlsx"/>
        <s v="NATIONAL TRADING - 0074.xlsx"/>
        <s v="JOCKEY (WS645).xlsx"/>
        <s v="MANISH HANDLOOM - 52.xlsx"/>
        <s v="MSF2261000004682_PE_GAYA_1PC.xlsx"/>
        <s v="MSF2261000005767_PE_PATNA_28PCS.xlsx"/>
        <s v="MSF2262000003645_LP_JSL_21PCS.xlsx"/>
        <s v="MSF2262000003650_LP_VAS-DEO_16PCS.xlsx"/>
        <s v="MSF2262000003662_VH_VAS-DEO_1PC.xlsx"/>
        <s v="MSF2262000003847_LP_VAS-DEO_15PCS.xlsx"/>
        <s v="MSF2262000003848_LP_JSL_20PCS.xlsx"/>
        <s v="MSF2262000003849_LP_SAN_65PCS.xlsx"/>
        <s v="MSF2262000003852_VH_VAS-DEO_19PCS.xlsx"/>
        <s v="MSF2262000003853_VH_JSL_14PCS.xlsx"/>
        <s v="MSF2262000003862_PE_JSL_2PCS.xlsx"/>
        <s v="MSF2262000003863_PE_JSL_7PCS.xlsx"/>
        <s v="MSF2262000003864_PE_JSL_12PCS.xlsx"/>
        <s v="MSF2262000003882_LP_SAN_12PCS.xlsx"/>
        <s v="MSF2262000003883_LP_JSL_41PCS.xlsx"/>
        <s v="MSF2262000003884_VD_VAS-DEO_20PCS.xlsx"/>
        <s v="MSF2262000003888_AS_JSL_4PCS.xlsx"/>
        <s v="MSF2262000004064_AS_SAN_7PCS.xlsx"/>
        <s v="MSF2262000004067_AS_AS-DEO_8PCS.xlsx"/>
        <s v="RTC GARMENTEX INDIA - 304.xlsx"/>
        <s v="SARAOGI SUPER SALES - 853.xlsx"/>
        <s v="SARAOGI SUPER SALES - 854.xlsx"/>
        <s v="SARAOGI SUPER SALES - 855.xlsx"/>
        <s v="MSF2261000005765_PE_GAYA_2PCS.xlsx"/>
        <s v="MSF2261000005766_PE_GAYA_10PCS.xlsx"/>
        <s v="MANOHAR SONS - 602.xlsx"/>
        <s v="MOHAN CLOTHING(BB)_INV8500299203_GAYA_8PCS.xlsx"/>
        <s v="MOHAN CLOTHING(BB)_INV8500300147_GAYA_7PCS.xlsx"/>
        <s v="MSF2261000005655_AS_GAYA-15PCS.xlsx"/>
        <s v="MSF2261000005662_AS_GAYA_49PCS.xlsx"/>
        <s v="MSF2261000005664_AS_GAYA_4PCS.xlsx"/>
        <s v="MSF2261000005844_PE_PATNA_7PCS.xlsx"/>
        <s v="MSF2262000004011_LP_VAS-DEO_24PCS.xlsx"/>
        <s v="MSF2262000004031_PE_SGMR_42PCS.xlsx"/>
        <s v="MSF2262000004065_AS_DUMKA_7PCS.xlsx"/>
        <s v="MSF2262000004068_AS_JSL_6PCS.xlsx"/>
        <s v="MSF2262000004073_AS_FS-DEO_22PCS.xlsx"/>
        <s v="MSF2262000004074_AS_VAS-DEO_1PC.xlsx"/>
        <s v="MSF2262000004076_AS_FS-DEO_10PCS.xlsx"/>
        <s v="MSF2262000004079_LP_JSL_5PCS.xlsx"/>
        <s v="MSF2262000004082_VH_VAS-DEO_5PCS.xlsx"/>
        <s v="MSF2262000004083_VH_JSL_6PCS.xlsx"/>
        <s v="OVERSEAS ENTERPRISES(AMBRELI)_INV370_BGP_76PCS.xlsx"/>
        <s v="JOCKEY(WS673).xlsx"/>
        <s v="MSF2261000005845_PE_GAYA_5PCS.xlsx"/>
        <s v="MSF2262000002149_AS_SBJ_8PCS.xlsx"/>
        <s v="MSF2262000004066_AS_SBJ_8PCS.xlsx"/>
        <s v="MSF2262000004230_PE_SAN_5PCS.xlsx"/>
        <s v="SHREE NARAYANI ENTERPRISES (P2CRS26-548).xlsx"/>
        <s v="SHRI MAHAVIR ENTERPRISES(JOCKEY)_INV84_HZB_29PCS.xlsx"/>
        <s v="SHRI MAHAVIR ENTERPRISES(JOCKEY)_INV94_HZB_64PCS.xlsx"/>
        <s v="SHRI MAHAVIR ENTERPRISES(JOCKEY)_INV97_HZB_23PCS.xlsx"/>
        <s v="SHRI MAHAVIR ENTERPRISES(JOCKEY)_INV153_HZB_32PCS.xlsx"/>
        <s v="SHRI MAHAVIR ENTERPRISES(JOCKEY)_INV204_HZB_10PCS.xlsx"/>
        <s v="VINAYAK EMPORIUM(BANJARAN)_INV005_SGMR_63PCS.xlsx"/>
        <s v="VISHAL MARKETING &amp; CO(FM)-656.xlsx"/>
        <s v="SUSHILA ENTERPRISES- 133.xlsx"/>
        <s v="MSF2262000004473_PE_FS-DEO_7PCS.xlsx"/>
        <s v="MSF2262000004229_PE_FS-DEO_1PC.xlsx"/>
        <s v="MSF2262000004170_PE_FS-DEO_1PC.xlsx"/>
        <s v="MSF2261000006349_PE_PATNA_20PCS.xlsx"/>
        <s v="MSF2261000005956_PE_GAYA_1PC.xlsx"/>
        <s v="MSF2262000004635_PE_FS-DEO_1PC.xlsx"/>
        <s v="KDPS (26IH-323743-011) MBO BOKARO.xlsx"/>
        <s v="KDPS (26IH-323743-010) VAISHNAVI DEOGHAR.xlsx"/>
        <s v="KDPS (26IH-323743-009) MBO SAHEBGANJ.xlsx"/>
        <s v="KDPS (26IH-323743-008).xlsx"/>
        <s v="KDPS (26IH-323743-007) JOCKEY BANKA.xlsx"/>
        <s v="KDPS (26-IH-323743-006) JOCKEY BANKA.xlsx"/>
        <s v="KDPS ( 26IH-323743-012) VAISHNAVI SINGHMORE.xlsx"/>
        <s v="FASHION MARKETING(NOSTRUM)_INV291_HBZ_12PCS.xlsx"/>
        <s v="INDTECH APPARELS(FAHRENHEIT )_INV0116_JSL_16PCS.xlsx"/>
        <s v="JOCKEY(WS674).xlsx"/>
        <s v="KDPS (26IH-323743-013) FASHION STUDIO.xlsx"/>
        <s v="KDPS (26IH-323743-014) FASHION STUDIO.xlsx"/>
        <s v="MSF2261000006358_PE_KLG2_197PCS.xlsx"/>
        <s v="SHREE RADHE MATCHING CENTER - 99.xlsx"/>
        <s v="SHREE RADHE MATCHING CENTER - 178.xlsx"/>
        <s v="SHRI MAHAVIR ENTERPRISES(JOCKEY)_INV102_HZB_20PCS_FEMALE.xlsx"/>
        <s v="SHUBH SHRI CLOTHING(MINELLI)_JSL_INV1308_105PCS.xlsx"/>
        <s v="SUSHILA ENTERPRISES-53.xlsx"/>
        <s v="KDPS (26IH-323743-015) VAISHNAVI SINGHMORE.xlsx"/>
      </sharedItems>
    </cacheField>
    <cacheField name="TEN Uploaded Date">
      <sharedItems containsDate="1" containsBlank="1" containsMixedTypes="1">
        <s v="-"/>
        <m/>
        <d v="2026-04-11T00:00:00Z"/>
        <d v="2026-04-04T00:00:00Z"/>
        <d v="2026-04-03T00:00:00Z"/>
        <d v="2026-04-08T00:00:00Z"/>
        <d v="2026-04-06T00:00:00Z"/>
        <d v="2026-04-07T00:00:00Z"/>
        <d v="2026-04-09T00:00:00Z"/>
        <d v="2026-04-14T00:00:00Z"/>
        <d v="2026-04-13T00:00:00Z"/>
      </sharedItems>
    </cacheField>
    <cacheField name="Invoice Ageing" numFmtId="0">
      <sharedItems>
        <s v="595 Days"/>
        <s v="312 Days"/>
        <s v="275 Days"/>
        <s v="240 Days"/>
        <s v="236 Days"/>
        <s v="202 Days"/>
        <s v="187 Days"/>
        <s v="186 Days"/>
        <s v="175 Days"/>
        <s v="171 Days"/>
        <s v="168 Days"/>
        <s v="164 Days"/>
        <s v="163 Days"/>
        <s v="161 Days"/>
        <s v="160 Days"/>
        <s v="158 Days"/>
        <s v="156 Days"/>
        <s v="154 Days"/>
        <s v="153 Days"/>
        <s v="151 Days"/>
        <s v="150 Days"/>
        <s v="149 Days"/>
        <s v="145 Days"/>
        <s v="144 Days"/>
        <s v="143 Days"/>
        <s v="142 Days"/>
        <s v="138 Days"/>
        <s v="137 Days"/>
        <s v="136 Days"/>
        <s v="135 Days"/>
        <s v="133 Days"/>
        <s v="132 Days"/>
        <s v="131 Days"/>
        <s v="130 Days"/>
        <s v="129 Days"/>
        <s v="128 Days"/>
        <s v="126 Days"/>
        <s v="125 Days"/>
        <s v="124 Days"/>
        <s v="123 Days"/>
        <s v="122 Days"/>
        <s v="121 Days"/>
        <s v="120 Days"/>
        <s v="119 Days"/>
        <s v="118 Days"/>
        <s v="117 Days"/>
        <s v="116 Days"/>
        <s v="115 Days"/>
        <s v="114 Days"/>
        <s v="112 Days"/>
        <s v="111 Days"/>
        <s v="110 Days"/>
        <s v="109 Days"/>
        <s v="108 Days"/>
        <s v="107 Days"/>
        <s v="106 Days"/>
        <s v="105 Days"/>
        <s v="104 Days"/>
        <s v="103 Days"/>
        <s v="102 Days"/>
        <s v="101 Days"/>
        <s v="100 Days"/>
        <s v="99 Days"/>
        <s v="98 Days"/>
        <s v="97 Days"/>
        <s v="96 Days"/>
        <s v="95 Days"/>
        <s v="94 Days"/>
        <s v="93 Days"/>
        <s v="92 Days"/>
        <s v="91 Days"/>
        <s v="90 Days"/>
        <s v="89 Days"/>
        <s v="88 Days"/>
        <s v="87 Days"/>
        <s v="86 Days"/>
        <s v="85 Days"/>
        <s v="84 Days"/>
        <s v="83 Days"/>
        <s v="82 Days"/>
        <s v="81 Days"/>
        <s v="80 Days"/>
        <s v="79 Days"/>
        <s v="78 Days"/>
        <s v="77 Days"/>
        <s v="76 Days"/>
        <s v="75 Days"/>
        <s v="74 Days"/>
        <s v="73 Days"/>
        <s v="72 Days"/>
        <s v="70 Days"/>
        <s v="69 Days"/>
        <s v="68 Days"/>
        <s v="67 Days"/>
        <s v="66 Days"/>
        <s v="65 Days"/>
        <s v="63 Days"/>
        <s v="62 Days"/>
        <s v="61 Days"/>
        <s v="60 Days"/>
        <s v="59 Days"/>
        <s v="58 Days"/>
        <s v="56 Days"/>
        <s v="54 Days"/>
        <s v="23 Days"/>
        <s v="21 Days"/>
        <s v="19 Days"/>
        <s v="17 Days"/>
        <s v="16 Days"/>
        <s v="14 Days"/>
        <s v=""/>
      </sharedItems>
    </cacheField>
    <cacheField name="Bank Name" numFmtId="0">
      <sharedItems containsBlank="1">
        <s v="D D SALES CO"/>
        <s v="-"/>
        <s v="ROOP LAXMI SAREES (P) LTD"/>
        <s v="D APPAREL"/>
        <s v="VISHAL MARKETING &amp; CO."/>
        <s v="SOUL INDIA"/>
        <s v="D S CREATION"/>
        <s v="PLAZER FABRICS"/>
        <s v="P R MODI AND SONS"/>
        <s v="C2D VENTURES LLP"/>
        <s v="DIL SE"/>
        <s v="SARAOGI SUPER SALES PVT LTD"/>
        <s v="KIRAN CREATION"/>
        <s v="SHRIJEE ENTERPRISES"/>
        <s v="TATHASTU ENTERPRISE"/>
        <s v="JAIN ADISHWAR HOSIERY WORKS LLP"/>
        <s v="SHRITHIK DESIGNER LLP"/>
        <s v="UNNATI CREATION"/>
        <s v="AS TEXTILE"/>
        <s v="WILSON PRINTS"/>
        <s v="NARVADA TEXTILES"/>
        <s v="V N TEXTILE"/>
        <s v="SHREE NARAYANI ENTERPRISE"/>
        <s v="JAY AMBEY SAREES"/>
        <s v="GTN ENGINEERING INDIA LTD"/>
        <s v="ANAYA DESIGNER"/>
        <s v="MUKESH AGRAWAL"/>
        <s v="B B FASHIONS"/>
        <s v="GAJENDRA OVERSEAS"/>
        <s v="SRI RADHEY MACHING CENTER"/>
        <s v="RTC Garmentex India Pvgt LTd"/>
        <s v="SHUBH SHRI CLOTHING PVT LTD"/>
        <s v="SHRING APPARELS"/>
        <m/>
        <s v="M. N. GARMENTS"/>
        <s v="KEVIN ENTERPRISE"/>
        <s v="MOHAN CLOTHING COMPANY PVT LTD"/>
        <s v="SUSHILA ENTERPRISES"/>
        <s v="TAYAL GARMENTS PVT. LTD."/>
        <s v="EMPORIO SIDDHARTH SALES PRIVATE LIMITED"/>
        <s v="DS YUVRAAJ"/>
        <s v="RAASHI"/>
        <s v="POONAM FASHION"/>
        <s v="FLAIR KIDS CAMP"/>
        <s v="ASHMITA BOUTIQUE PVT. LTD."/>
        <s v="MADAM"/>
        <s v="GAURAV TEXTILES"/>
        <s v="FASHION WORLD GARMENTS PVT LTD"/>
        <s v="SURYA ETHNIC FASHION(INDIA) PVT. LTD."/>
        <s v="D D APPARELS"/>
        <s v="SIDDHI CLOTHING CO."/>
        <s v="SIYA FASHION"/>
        <s v="SHRI SAI ENTERPRISES"/>
        <s v="SHREE BALAJI"/>
        <s v="SAAGEDO INTERNATIONAL"/>
        <s v="ARP FASHION PVT LTD"/>
        <s v="VEEDAM FASHIONS"/>
        <s v="DIYA CREATION"/>
        <s v="M B ENTERPRISES"/>
        <s v="SOURABH GARMENTS PRIVATE LIMITED"/>
        <s v="MYGLAM"/>
        <s v="NATIONAL COTTAGE INDUSTRIES"/>
        <s v="SINGLA COLLECTIONS PVT. LTD"/>
        <s v="RAMESHWAR TRADING CO."/>
        <s v="P M SONS"/>
        <s v="HYPHEN GARMENTS PVT. LTD."/>
        <s v="SAESHA CREATION"/>
        <s v="GEETANSHI APPARELS"/>
        <s v="SHRI MAHAVIR ENTERPRISES"/>
        <s v="SHREE SANSKRUTI"/>
        <s v=""/>
        <s v="PLAZER GARMENTS"/>
        <s v="FASHION EARTH GARMENTS PVT LTD"/>
        <s v="PAYAL GARMENTS"/>
        <s v="VINAYAK EMPORIUM PVT LIMITED"/>
        <s v="JAY AMBEY TEXTILE"/>
        <s v="C2D DISTRIBUTORS"/>
        <s v="WEAR ON ENSEMBLES PRIVATE LIMITED"/>
        <s v="PARAS TEXTILES"/>
        <s v="B.K.SILK MILLS NX LLP"/>
        <s v="KASHNI"/>
        <s v="AJJAWAM DESIGNER PRIVATE LIMITED"/>
        <s v="LADDU PRINTS"/>
        <s v="MANOHAR SONS"/>
      </sharedItems>
    </cacheField>
    <cacheField name="Bank Account" numFmtId="0">
      <sharedItems containsBlank="1">
        <s v="29205007835"/>
        <s v="-"/>
        <s v="0221083000003432"/>
        <s v="722501010050397"/>
        <s v="1091008700001025"/>
        <s v="250705501258"/>
        <s v="9830047013"/>
        <s v="50200014256984"/>
        <s v="490930150000030"/>
        <s v="50484840037"/>
        <s v="11197610000574"/>
        <s v="SASUSP011006"/>
        <s v="50200007524171"/>
        <s v="31849543930"/>
        <s v="50200043443581"/>
        <s v="99917644444444"/>
        <s v="339805000598"/>
        <s v="99992001015861"/>
        <s v="50200012846193"/>
        <s v="510044017719"/>
        <s v="72610200000442"/>
        <s v="252005000323"/>
        <s v="29205005382"/>
        <s v="50200027562802"/>
        <s v="4437002100000153"/>
        <s v="2650415227"/>
        <s v="3581044998"/>
        <s v="4913058844"/>
        <s v="777705312611"/>
        <s v="3626026563"/>
        <s v="112605502571"/>
        <s v="002225010000006"/>
        <s v="50200030713091"/>
        <m/>
        <s v="50200058436598"/>
        <s v="89700200003263"/>
        <s v="0710096023"/>
        <s v="747805000665"/>
        <s v="1199911999"/>
        <s v="50200111968638"/>
        <s v="6912012063"/>
        <s v="7511957908"/>
        <s v="50200033738992"/>
        <s v="627951000036"/>
        <s v="19267630000070"/>
        <s v="19268730000279"/>
        <s v="3613991079"/>
        <s v="99909810046731"/>
        <s v="029205007835"/>
        <s v="50200008024296"/>
        <s v="0579102000010584"/>
        <s v="114905500994"/>
        <s v="3845084693"/>
        <s v="06261300053929"/>
        <s v="925020022342072"/>
        <s v="176115090000015"/>
        <s v="199502000000874"/>
        <s v="50200035172636"/>
        <s v="072105501101"/>
        <s v="9876551919"/>
        <s v="10002000001111"/>
        <s v="112605500650"/>
        <s v="00000043011374497"/>
        <s v="8084600000325"/>
        <s v="0303261100828"/>
        <s v="8141048013"/>
        <s v="50200083410855"/>
        <s v="048905500722"/>
        <s v="50200012886505"/>
        <s v=""/>
        <s v="50200065043307"/>
        <s v="59209830559685"/>
        <s v="99921800000005"/>
        <s v="2192790001113"/>
        <s v="9725605738"/>
        <s v="50507532165"/>
        <s v="627905502440"/>
        <s v="1574210665"/>
        <s v="58451000050"/>
        <s v="99999326997373"/>
        <s v="925020021188499"/>
        <s v="915020029941646"/>
        <s v="50200032851542"/>
      </sharedItems>
    </cacheField>
    <cacheField name="IFSC Code" numFmtId="0">
      <sharedItems containsBlank="1">
        <s v="ICIC0000292"/>
        <s v="-"/>
        <s v="SIBL0000221"/>
        <s v="UBIN0572250"/>
        <s v="PUNB0109100"/>
        <s v="ICIC0002507"/>
        <s v="KKBK0006562"/>
        <s v="HDFC0002834"/>
        <s v="BKID0004909"/>
        <s v="IDIB000D600"/>
        <s v="HDFC0001119"/>
        <s v="ICIC0000106"/>
        <s v="HDFC0000765"/>
        <s v="SBIN0001521"/>
        <s v="HDFC0001704"/>
        <s v="HDFC0002063"/>
        <s v="ICIC0003398"/>
        <s v="GSCB0ASCB02"/>
        <s v="HDFC0001249"/>
        <s v="KKBK0002852"/>
        <s v="BARB0DBRANC"/>
        <s v="ICIC0002520"/>
        <s v="HDFC0009027"/>
        <s v="PUNB0020700"/>
        <s v="KKBK0000884"/>
        <s v="CBIN0281277"/>
        <s v="KKBK0004599"/>
        <s v="ICIC0001387"/>
        <s v="CBIN0281393"/>
        <s v="ICIC0001126"/>
        <s v="UBIN0900222"/>
        <s v="HDFC0000186"/>
        <m/>
        <s v="HDFC0001470"/>
        <s v="BARB0VJBAND"/>
        <s v="CITI0000002"/>
        <s v="ICIC0007478"/>
        <s v="KKBK0005632"/>
        <s v="HDFC000186"/>
        <s v="KKBK0004586"/>
        <s v="KKBK 0001376"/>
        <s v="HDFC0001007"/>
        <s v="ICICI0006279"/>
        <s v="HDFC0001926"/>
        <s v="KKBK0006584"/>
        <s v="HDFC0001981"/>
        <s v="IBKL0000579"/>
        <s v="ICIC0001149"/>
        <s v="KKBK0006605"/>
        <s v="PSIB0000626"/>
        <s v="UTIB0005749"/>
        <s v="UBIN0817619"/>
        <s v="IOBA0001995"/>
        <s v="ICIC0000721"/>
        <s v="KKBK0003910"/>
        <s v="HDFC0001000"/>
        <s v="SBIN0020377"/>
        <s v="YESB0000080"/>
        <s v="CNRB0000303"/>
        <s v="HDFC0005189"/>
        <s v="ICIC0000489"/>
        <s v="HDFC0000146"/>
        <s v=""/>
        <s v="HDFC0000150"/>
        <s v="HDFC0000219"/>
        <s v="KKBK0002847"/>
        <s v="ICIC0006279"/>
        <s v="ICIC0000584"/>
        <s v="UTIB0004665"/>
        <s v="UTIB0000236"/>
        <s v="HDFC0001416"/>
      </sharedItems>
    </cacheField>
    <cacheField name="Payment Amount" numFmtId="0">
      <sharedItems containsString="0" containsBlank="1" containsNumber="1" containsInteger="1">
        <m/>
        <n v="81731.0"/>
        <n v="54167.0"/>
        <n v="51401.0"/>
        <n v="17388.0"/>
        <n v="15215.0"/>
        <n v="10601.0"/>
        <n v="3396.0"/>
        <n v="13402.0"/>
        <n v="14200.0"/>
        <n v="9416.0"/>
        <n v="11592.0"/>
        <n v="11084.0"/>
        <n v="16300.0"/>
        <n v="6279.0"/>
        <n v="9349.0"/>
        <n v="11348.0"/>
        <n v="6254.0"/>
        <n v="16674.0"/>
        <n v="52736.0"/>
        <n v="21920.0"/>
        <n v="28088.0"/>
        <n v="23447.0"/>
        <n v="10575.0"/>
        <n v="12695.0"/>
        <n v="108744.0"/>
        <n v="93680.0"/>
        <n v="75079.0"/>
        <n v="77056.0"/>
        <n v="83814.0"/>
        <n v="60680.0"/>
        <n v="154525.0"/>
        <n v="27709.0"/>
        <n v="33273.0"/>
        <n v="30016.0"/>
        <n v="117876.0"/>
        <n v="45752.0"/>
        <n v="89840.0"/>
        <n v="23174.0"/>
        <n v="33858.0"/>
        <n v="8808.0"/>
        <n v="303345.0"/>
        <n v="195422.0"/>
        <n v="92812.0"/>
        <n v="67314.0"/>
        <n v="40701.0"/>
        <n v="40412.0"/>
      </sharedItems>
    </cacheField>
    <cacheField name="Payment Date" numFmtId="0">
      <sharedItems containsDate="1" containsString="0" containsBlank="1">
        <m/>
        <d v="2026-02-27T00:00:00Z"/>
        <d v="2026-04-19T00:00:00Z"/>
        <d v="2026-02-11T00:00:00Z"/>
        <d v="2026-02-16T00:00:00Z"/>
        <d v="2026-03-04T00:00:00Z"/>
        <d v="2026-04-21T00:00:00Z"/>
        <d v="2026-04-22T00:00:00Z"/>
        <d v="2026-03-20T00:00:00Z"/>
        <d v="2026-03-24T00:00:00Z"/>
        <d v="2026-06-13T00:00:00Z"/>
        <d v="2026-04-27T00:00:00Z"/>
        <d v="2026-04-16T00:00:00Z"/>
        <d v="2026-06-14T00:00:00Z"/>
        <d v="2026-04-20T00:00:00Z"/>
      </sharedItems>
    </cacheField>
    <cacheField name="CD Amount">
      <sharedItems containsBlank="1" containsMixedTypes="1" containsNumber="1">
        <m/>
        <n v="20247.0"/>
        <s v="NIL"/>
        <n v="991.44"/>
        <n v="1190.16"/>
        <n v="3044.0"/>
        <n v="2266.0"/>
        <n v="2425.0"/>
        <n v="1785.0"/>
        <n v="4545.0"/>
        <n v="565.0"/>
        <n v="902.0"/>
        <n v="1801.0"/>
        <n v="1346.0"/>
        <n v="4492.0"/>
        <n v="24070.0"/>
        <n v="1693.0"/>
        <n v="24938.0"/>
      </sharedItems>
    </cacheField>
    <cacheField name="GR Amount" numFmtId="0">
      <sharedItems containsString="0" containsBlank="1" containsNumber="1" containsInteger="1">
        <m/>
        <n v="214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rowGrandTotals="0" compact="0" compactData="0">
  <location ref="A2:B129" firstHeaderRow="0" firstDataRow="1" firstDataCol="0"/>
  <pivotFields>
    <pivotField name="Supplier Name" axis="axisRow" compact="0" outline="0" multipleItemSelectionAllowed="1" showAll="0" sortType="ascending">
      <items>
        <item x="90"/>
        <item x="112"/>
        <item x="59"/>
        <item x="118"/>
        <item x="1"/>
        <item x="119"/>
        <item x="98"/>
        <item x="25"/>
        <item x="67"/>
        <item x="18"/>
        <item x="51"/>
        <item x="27"/>
        <item x="103"/>
        <item x="115"/>
        <item x="120"/>
        <item x="106"/>
        <item x="9"/>
        <item x="3"/>
        <item x="60"/>
        <item x="104"/>
        <item x="0"/>
        <item x="6"/>
        <item x="70"/>
        <item x="87"/>
        <item x="10"/>
        <item x="72"/>
        <item x="46"/>
        <item x="68"/>
        <item x="44"/>
        <item x="92"/>
        <item x="125"/>
        <item x="94"/>
        <item x="55"/>
        <item x="49"/>
        <item x="28"/>
        <item x="54"/>
        <item x="83"/>
        <item x="61"/>
        <item x="24"/>
        <item x="105"/>
        <item x="81"/>
        <item x="126"/>
        <item x="15"/>
        <item x="107"/>
        <item x="23"/>
        <item x="96"/>
        <item x="116"/>
        <item x="108"/>
        <item x="38"/>
        <item x="75"/>
        <item x="12"/>
        <item x="121"/>
        <item x="73"/>
        <item x="37"/>
        <item x="53"/>
        <item x="122"/>
        <item x="124"/>
        <item x="30"/>
        <item x="40"/>
        <item x="26"/>
        <item x="76"/>
        <item x="20"/>
        <item x="77"/>
        <item x="32"/>
        <item x="86"/>
        <item x="102"/>
        <item x="80"/>
        <item x="8"/>
        <item x="114"/>
        <item x="93"/>
        <item x="7"/>
        <item x="91"/>
        <item x="48"/>
        <item x="36"/>
        <item x="47"/>
        <item x="79"/>
        <item x="2"/>
        <item x="50"/>
        <item x="88"/>
        <item x="66"/>
        <item x="100"/>
        <item x="82"/>
        <item x="113"/>
        <item x="69"/>
        <item x="11"/>
        <item x="65"/>
        <item x="117"/>
        <item x="99"/>
        <item sd="0" x="22"/>
        <item x="89"/>
        <item x="34"/>
        <item x="39"/>
        <item x="84"/>
        <item x="64"/>
        <item x="123"/>
        <item x="13"/>
        <item x="33"/>
        <item x="16"/>
        <item x="31"/>
        <item x="85"/>
        <item x="62"/>
        <item x="78"/>
        <item x="63"/>
        <item x="57"/>
        <item x="5"/>
        <item x="74"/>
        <item x="52"/>
        <item x="29"/>
        <item x="56"/>
        <item x="41"/>
        <item x="42"/>
        <item x="58"/>
        <item x="14"/>
        <item x="43"/>
        <item x="109"/>
        <item x="17"/>
        <item x="21"/>
        <item x="45"/>
        <item x="71"/>
        <item x="95"/>
        <item x="97"/>
        <item x="4"/>
        <item x="110"/>
        <item sd="0" x="19"/>
        <item x="111"/>
        <item x="35"/>
        <item x="101"/>
        <item t="default"/>
      </items>
    </pivotField>
    <pivotField name="Brand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gency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redi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D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voice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t="default"/>
      </items>
    </pivotField>
    <pivotField name="Invoice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Invoice Q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Invoice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name="Invoice Soft Cop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t="default"/>
      </items>
    </pivotField>
    <pivotField name="PT File Excel Sh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t="default"/>
      </items>
    </pivotField>
    <pivotField name="TEN Upload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voice 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Bank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Bank 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IFSC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Payment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R Amount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Invoice Val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0" dT="2025-09-16T07:59:34.00" personId="{809d0789-92fc-4bb1-a6a6-1666635fd80f}" id="{c43f6ec5-8dfd-4d32-a4f8-7f96acef0849}" done="0">
    <x18tc:text xml:space="preserve">DUFFEL BAG 5 NOS BACKPACK 10 NOS &amp; TROLLEY 2 NOS TOTAL 17 NOS PROMO ALSO BILLED.</x18tc:text>
  </x18tc:threadedComment>
  <x18tc:threadedComment ref="B68" dT="2026-02-10T14:03:43.00" personId="{809d0789-92fc-4bb1-a6a6-1666635fd80f}" id="{f4a2f8aa-6354-4c88-a2a2-1c1b9421e4e8}" done="0">
    <x18tc:text xml:space="preserve">51 NOS GR TO VMC DUE TO UNORDERED STOCK.</x18tc:text>
  </x18tc:threadedComment>
  <x18tc:threadedComment ref="B38" dT="2026-02-10T13:59:07.00" personId="{809d0789-92fc-4bb1-a6a6-1666635fd80f}" id="{ea516cfb-3bbb-4aca-8e15-239d14129e6d}" done="0">
    <x18tc:text xml:space="preserve">21 NOS GR TO VMC FOR PRICE MISMATCH.</x18tc:text>
  </x18tc:threadedComment>
  <x18tc:threadedComment ref="B28" dT="2025-09-17T12:39:48.00" personId="{809d0789-92fc-4bb1-a6a6-1666635fd80f}" id="{564bf10d-9769-46b6-b39b-044788bbf664}" done="0">
    <x18tc:text xml:space="preserve">GOODS RETURNED FROM SAINSONS (HZB).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5" dT="2026-02-21T09:22:31.00" personId="{7bf90487-30ac-4050-8dba-3f8779dd4088}" id="{df052d15-17d1-4f07-ad6b-a8d2ecbbcda4}" done="1">
    <x18tc:text xml:space="preserve">D D SALES</x18tc:text>
  </x18tc:threadedComment>
  <x18tc:threadedComment ref="J75" dT="2026-02-24T09:05:38.00" personId="{809d0789-92fc-4bb1-a6a6-1666635fd80f}" id="{897e657b-365f-4afc-9ec2-86039d566bc2}" parentId="{df052d15-17d1-4f07-ad6b-a8d2ecbbcda4}">
    <x18tc:text xml:space="preserve">Marked as resolved</x18tc:text>
  </x18tc:threadedComment>
  <x18tc:threadedComment ref="J56" dT="2026-02-21T09:27:54.00" personId="{7bf90487-30ac-4050-8dba-3f8779dd4088}" id="{641ca748-abe3-49f2-88cb-8d1ad25b9d08}" done="1">
    <x18tc:text xml:space="preserve">SHREE NARAYANI ENTERPRISE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zbPR04CDVYQ4GpNLkTpY9H4EAeyzboXz/view?usp=drive_link" TargetMode="External"/><Relationship Id="rId42" Type="http://schemas.openxmlformats.org/officeDocument/2006/relationships/hyperlink" Target="https://drive.google.com/file/d/1RiiepH_TFYZKvaJLBGjIRC4ah0-8osUn/view?usp=drive_link" TargetMode="External"/><Relationship Id="rId41" Type="http://schemas.openxmlformats.org/officeDocument/2006/relationships/hyperlink" Target="https://drive.google.com/file/d/1j7qVaP4pyRdo2BUtiBwKRZNqtkYh_8Ay/view?usp=drive_link" TargetMode="External"/><Relationship Id="rId44" Type="http://schemas.openxmlformats.org/officeDocument/2006/relationships/hyperlink" Target="https://drive.google.com/open?id=1Gya18S_gINVGEpkzfmo659hhfy56uyHq&amp;usp=drive_copy" TargetMode="External"/><Relationship Id="rId43" Type="http://schemas.openxmlformats.org/officeDocument/2006/relationships/hyperlink" Target="https://drive.google.com/open?id=1PlPIzqrCxhTWdh8VZiLrNsni3BoUWXvl&amp;usp=drive_copy" TargetMode="External"/><Relationship Id="rId46" Type="http://schemas.openxmlformats.org/officeDocument/2006/relationships/hyperlink" Target="https://drive.google.com/open?id=1qV3GieJ50Ln-uwVYL6k5Zp-PQDs-5ckz&amp;usp=drive_copy" TargetMode="External"/><Relationship Id="rId45" Type="http://schemas.openxmlformats.org/officeDocument/2006/relationships/hyperlink" Target="https://drive.google.com/open?id=1B7oL7-auh_Vb8twDch3lmwBkYAcJFNiV&amp;usp=drive_copy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N9XJWPpBTsREwObZRHfZ-QN0nzQy9yle/view?usp=drive_link" TargetMode="External"/><Relationship Id="rId9" Type="http://schemas.openxmlformats.org/officeDocument/2006/relationships/hyperlink" Target="https://drive.google.com/file/d/1xGxFSurQQjNFmKEfNP0QD-46ZHygXsxU/view?usp=drive_link" TargetMode="External"/><Relationship Id="rId48" Type="http://schemas.openxmlformats.org/officeDocument/2006/relationships/hyperlink" Target="https://drive.google.com/open?id=1aFuotif9vWNhyVLJx3Iz9Sf2LY5iInyq&amp;usp=drive_copy" TargetMode="External"/><Relationship Id="rId47" Type="http://schemas.openxmlformats.org/officeDocument/2006/relationships/hyperlink" Target="https://drive.google.com/open?id=1snGWfPCyliRt34abPzfOzqC4SvDXmy7z&amp;usp=drive_copy" TargetMode="External"/><Relationship Id="rId49" Type="http://schemas.openxmlformats.org/officeDocument/2006/relationships/hyperlink" Target="https://drive.google.com/open?id=1wp5e7ggZt6P99Knjto_9vF_2M3LDxPns&amp;usp=drive_copy" TargetMode="External"/><Relationship Id="rId5" Type="http://schemas.openxmlformats.org/officeDocument/2006/relationships/hyperlink" Target="https://drive.google.com/file/d/1ie43TkEd0RPD8JvMNSzLtULE_AjbiQ9D/view?usp=drive_link" TargetMode="External"/><Relationship Id="rId6" Type="http://schemas.openxmlformats.org/officeDocument/2006/relationships/hyperlink" Target="https://drive.google.com/file/d/1Aib7R4VH_VQ8dKrpNxdxC7Hhwfbds73C/view?usp=drive_link" TargetMode="External"/><Relationship Id="rId7" Type="http://schemas.openxmlformats.org/officeDocument/2006/relationships/hyperlink" Target="https://drive.google.com/file/d/1iszspHfdBf175IDfKaL-0VO-gp0m-g0h/view?usp=drive_link" TargetMode="External"/><Relationship Id="rId8" Type="http://schemas.openxmlformats.org/officeDocument/2006/relationships/hyperlink" Target="https://drive.google.com/file/d/1BRxIaOniXjAjaMx5S9-exTcnos2IW2S5/view?usp=drive_link" TargetMode="External"/><Relationship Id="rId72" Type="http://schemas.openxmlformats.org/officeDocument/2006/relationships/vmlDrawing" Target="../drawings/vmlDrawing1.vml"/><Relationship Id="rId31" Type="http://schemas.openxmlformats.org/officeDocument/2006/relationships/hyperlink" Target="https://drive.google.com/file/d/1FfH1FxFgmecHvnd-gBoBpcFtewIiS1gz/view?usp=drive_link" TargetMode="External"/><Relationship Id="rId30" Type="http://schemas.openxmlformats.org/officeDocument/2006/relationships/hyperlink" Target="https://drive.google.com/file/d/1jRqfAISgdREekLwmRU7uISEowUvAQT-Z/view?usp=drive_link" TargetMode="External"/><Relationship Id="rId33" Type="http://schemas.openxmlformats.org/officeDocument/2006/relationships/hyperlink" Target="https://drive.google.com/file/d/1z8ugujKhTWPHYdGC7nS7xkH3p_Ur6wla/view?usp=drive_link" TargetMode="External"/><Relationship Id="rId32" Type="http://schemas.openxmlformats.org/officeDocument/2006/relationships/hyperlink" Target="https://drive.google.com/file/d/1osB6NasFGEzJqq1wUqfeQyhgMikc-YpI/view?usp=drive_link" TargetMode="External"/><Relationship Id="rId35" Type="http://schemas.openxmlformats.org/officeDocument/2006/relationships/hyperlink" Target="https://drive.google.com/file/d/1OkTNs9PsRWAWv-JRID1RIksz-OwL_IVX/view?usp=drive_link" TargetMode="External"/><Relationship Id="rId34" Type="http://schemas.openxmlformats.org/officeDocument/2006/relationships/hyperlink" Target="https://drive.google.com/file/d/1wodVTGS3PXEQkOv_mv4-8SuU9iZovnW9/view?usp=drive_link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drive.google.com/open?id=1I7DlH3Akqenm45SRet37UEh0tFaCPFam&amp;usp=drive_copy" TargetMode="External"/><Relationship Id="rId37" Type="http://schemas.openxmlformats.org/officeDocument/2006/relationships/hyperlink" Target="https://drive.google.com/file/d/1xJ5N56hOqS66wzqbxuGnQazzOXx-v4qJ/view?usp=drive_link" TargetMode="External"/><Relationship Id="rId36" Type="http://schemas.openxmlformats.org/officeDocument/2006/relationships/hyperlink" Target="https://drive.google.com/file/d/1_zYjUKSQD1-0oKqCKeqOV1m-0LODNm9H/view?usp=drive_link" TargetMode="External"/><Relationship Id="rId39" Type="http://schemas.openxmlformats.org/officeDocument/2006/relationships/hyperlink" Target="https://drive.google.com/file/d/110zWkYUqc58HnenDSLEppP6OOsuRSW7c/view?usp=drive_link" TargetMode="External"/><Relationship Id="rId38" Type="http://schemas.openxmlformats.org/officeDocument/2006/relationships/hyperlink" Target="https://drive.google.com/file/d/1X--2qGqDAIvSWEpW4Ym7ERyaSDz_HChg/view?usp=drive_link" TargetMode="External"/><Relationship Id="rId62" Type="http://schemas.openxmlformats.org/officeDocument/2006/relationships/hyperlink" Target="https://drive.google.com/open?id=16CcK1EzUkWKv9SxSLUDkplqjmmQ_o0H5&amp;usp=drive_copy" TargetMode="External"/><Relationship Id="rId61" Type="http://schemas.openxmlformats.org/officeDocument/2006/relationships/hyperlink" Target="https://drive.google.com/open?id=1-ndHO0b2FukdUGWFok9Nx-t0xXesagMS&amp;usp=drive_copy" TargetMode="External"/><Relationship Id="rId20" Type="http://schemas.openxmlformats.org/officeDocument/2006/relationships/hyperlink" Target="https://drive.google.com/file/d/1WWMqqV-ZeboJXwfaH5Q4Gf8lWhh37v3S/view?usp=drive_link" TargetMode="External"/><Relationship Id="rId64" Type="http://schemas.openxmlformats.org/officeDocument/2006/relationships/hyperlink" Target="https://drive.google.com/open?id=17jRabITU4nOg75yI2kzqaGdmTZfez5Pr&amp;usp=drive_copy" TargetMode="External"/><Relationship Id="rId63" Type="http://schemas.openxmlformats.org/officeDocument/2006/relationships/hyperlink" Target="https://drive.google.com/open?id=1g92gLydPDpoqNTMLF0sb8zywq6HklWaa&amp;usp=drive_copy" TargetMode="External"/><Relationship Id="rId22" Type="http://schemas.openxmlformats.org/officeDocument/2006/relationships/hyperlink" Target="https://drive.google.com/file/d/1uFac8iYAtFPkWxyFjaVchiHVZS5X90zC/view?usp=drive_link" TargetMode="External"/><Relationship Id="rId66" Type="http://schemas.openxmlformats.org/officeDocument/2006/relationships/hyperlink" Target="https://drive.google.com/open?id=1KhjnJAaIFJBf0mav2LQptFa38ULZm4De&amp;usp=drive_copy" TargetMode="External"/><Relationship Id="rId21" Type="http://schemas.openxmlformats.org/officeDocument/2006/relationships/hyperlink" Target="https://drive.google.com/file/d/1JMQ8p6elwgzzJXBYlLnnvpCNx0wLU6dp/view?usp=drive_link" TargetMode="External"/><Relationship Id="rId65" Type="http://schemas.openxmlformats.org/officeDocument/2006/relationships/hyperlink" Target="https://drive.google.com/open?id=1-zWN5hcuz8wvcdu7a_7LUrsdQmldx-gD&amp;usp=drive_copy" TargetMode="External"/><Relationship Id="rId24" Type="http://schemas.openxmlformats.org/officeDocument/2006/relationships/hyperlink" Target="https://drive.google.com/file/d/12jC6pJKMM1znsBM0JOWzCb7UfGwckijc/view?usp=drive_link" TargetMode="External"/><Relationship Id="rId68" Type="http://schemas.openxmlformats.org/officeDocument/2006/relationships/hyperlink" Target="https://drive.google.com/open?id=1F3oXtcEzJZelGnjOk6Myx32OvyQP7Ctq&amp;usp=drive_copy" TargetMode="External"/><Relationship Id="rId23" Type="http://schemas.openxmlformats.org/officeDocument/2006/relationships/hyperlink" Target="https://drive.google.com/file/d/1IX4av1Nep0CqF-ip4Nbf0cqpiqVqUJR5/view?usp=drive_link" TargetMode="External"/><Relationship Id="rId67" Type="http://schemas.openxmlformats.org/officeDocument/2006/relationships/hyperlink" Target="https://drive.google.com/open?id=1O18ZPBDbAFm19bS2sywZFAYR4O8beSmu&amp;usp=drive_copy" TargetMode="External"/><Relationship Id="rId60" Type="http://schemas.openxmlformats.org/officeDocument/2006/relationships/hyperlink" Target="https://drive.google.com/open?id=12mXPYL8KNvYx5cMe2koiaOmXt6WrKD2y&amp;usp=drive_copy" TargetMode="External"/><Relationship Id="rId26" Type="http://schemas.openxmlformats.org/officeDocument/2006/relationships/hyperlink" Target="https://drive.google.com/file/d/1XSI-a-boCWCGEJtTWCHnibhmATfTpu-1/view?usp=drive_link" TargetMode="External"/><Relationship Id="rId25" Type="http://schemas.openxmlformats.org/officeDocument/2006/relationships/hyperlink" Target="https://drive.google.com/file/d/1ecIzByciGOK3DvOiaCLFgSgVXMKpVo60/view?usp=drive_link" TargetMode="External"/><Relationship Id="rId69" Type="http://schemas.openxmlformats.org/officeDocument/2006/relationships/hyperlink" Target="https://drive.google.com/open?id=1bMXxULfoiaf_ZN58pFtloRmOppCke9XD&amp;usp=drive_copy" TargetMode="External"/><Relationship Id="rId28" Type="http://schemas.openxmlformats.org/officeDocument/2006/relationships/hyperlink" Target="https://drive.google.com/file/d/1uZbiObtD9blxpE4qvJdgN9yCkDzmWibI/view?usp=drive_link" TargetMode="External"/><Relationship Id="rId27" Type="http://schemas.openxmlformats.org/officeDocument/2006/relationships/hyperlink" Target="https://drive.google.com/file/d/1J8loI_vtIqULmdXuFUG2-rc_RQKe6TAK/view?usp=drive_link" TargetMode="External"/><Relationship Id="rId29" Type="http://schemas.openxmlformats.org/officeDocument/2006/relationships/hyperlink" Target="https://drive.google.com/file/d/19gUU-BQ4YnLvKQdlXBKJAisuVeyYHosk/view?usp=drive_link" TargetMode="External"/><Relationship Id="rId51" Type="http://schemas.openxmlformats.org/officeDocument/2006/relationships/hyperlink" Target="https://drive.google.com/open?id=1p85tL92dUWo1z2uUD1NtQ9OSDxqD8X03&amp;usp=drive_copy" TargetMode="External"/><Relationship Id="rId50" Type="http://schemas.openxmlformats.org/officeDocument/2006/relationships/hyperlink" Target="https://drive.google.com/open?id=1oebRTJ4Ctw-rwh7ljqROmhVa7dW2IEbd&amp;usp=drive_copy" TargetMode="External"/><Relationship Id="rId53" Type="http://schemas.openxmlformats.org/officeDocument/2006/relationships/hyperlink" Target="https://drive.google.com/open?id=1655gbVOC8x0CLp1xQRrzSBfjOl9BrWt8&amp;usp=drive_copy" TargetMode="External"/><Relationship Id="rId52" Type="http://schemas.openxmlformats.org/officeDocument/2006/relationships/hyperlink" Target="https://drive.google.com/open?id=1UUPX4RiwNwOpMYOeSJCapH23CMRr0isQ&amp;usp=drive_copy" TargetMode="External"/><Relationship Id="rId11" Type="http://schemas.openxmlformats.org/officeDocument/2006/relationships/hyperlink" Target="https://drive.google.com/file/d/1YeEMW-QkdnMLEcKaHo0DvA0zRXTn-XC6/view?usp=drive_link" TargetMode="External"/><Relationship Id="rId55" Type="http://schemas.openxmlformats.org/officeDocument/2006/relationships/hyperlink" Target="https://drive.google.com/open?id=1gQvuK_3B_6laUqUpbRrFzUmQtiAGzrDa&amp;usp=drive_copy" TargetMode="External"/><Relationship Id="rId10" Type="http://schemas.openxmlformats.org/officeDocument/2006/relationships/hyperlink" Target="https://drive.google.com/file/d/1WofS9aL_a1KLX4SdmWVZQz-5rKE-W3ey/view?usp=drive_link" TargetMode="External"/><Relationship Id="rId54" Type="http://schemas.openxmlformats.org/officeDocument/2006/relationships/hyperlink" Target="https://drive.google.com/open?id=1tnxVHx_kAZkkIU-HLcKsa8a-KdZm6ryx&amp;usp=drive_copy" TargetMode="External"/><Relationship Id="rId13" Type="http://schemas.openxmlformats.org/officeDocument/2006/relationships/hyperlink" Target="https://drive.google.com/file/d/1kM09VUn5vlrKQ_j1oNFqz1-4-fihTC05/view?usp=drive_link" TargetMode="External"/><Relationship Id="rId57" Type="http://schemas.openxmlformats.org/officeDocument/2006/relationships/hyperlink" Target="https://drive.google.com/open?id=1EVXsUn4jfJx_zwk3ZUe-k7wV1ZCbNHno&amp;usp=drive_copy" TargetMode="External"/><Relationship Id="rId12" Type="http://schemas.openxmlformats.org/officeDocument/2006/relationships/hyperlink" Target="https://drive.google.com/file/d/1r2YwlamvMNS5d5t5ugkd6R9gOzdFsDhe/view?usp=drive_link" TargetMode="External"/><Relationship Id="rId56" Type="http://schemas.openxmlformats.org/officeDocument/2006/relationships/hyperlink" Target="https://drive.google.com/open?id=1GbqVRGnWebj5vVKxNkxdDLbH1G8aWeT3&amp;usp=drive_copy" TargetMode="External"/><Relationship Id="rId15" Type="http://schemas.openxmlformats.org/officeDocument/2006/relationships/hyperlink" Target="https://drive.google.com/file/d/1E7K_6Zqm9vD5-HTyxy2JjG34YziORCuN/view?usp=drive_link" TargetMode="External"/><Relationship Id="rId59" Type="http://schemas.openxmlformats.org/officeDocument/2006/relationships/hyperlink" Target="https://drive.google.com/open?id=17dDVNQi9pO_cyRQi3XitVEisXfotVD_E&amp;usp=drive_copy" TargetMode="External"/><Relationship Id="rId14" Type="http://schemas.openxmlformats.org/officeDocument/2006/relationships/hyperlink" Target="https://drive.google.com/file/d/1_pb9L9aRzsG5XSxBirCWyY76yn42Qk-H/view?usp=drive_link" TargetMode="External"/><Relationship Id="rId58" Type="http://schemas.openxmlformats.org/officeDocument/2006/relationships/hyperlink" Target="https://drive.google.com/open?id=15ghCGZ3WYh6y6tjTbR0T5bniBaQ6qggs&amp;usp=drive_copy" TargetMode="External"/><Relationship Id="rId17" Type="http://schemas.openxmlformats.org/officeDocument/2006/relationships/hyperlink" Target="https://drive.google.com/file/d/1dsVtJ5Vxdul1SD3lM6WzwlB5l4ejtJXF/view?usp=drive_link" TargetMode="External"/><Relationship Id="rId16" Type="http://schemas.openxmlformats.org/officeDocument/2006/relationships/hyperlink" Target="https://drive.google.com/file/d/1MBpbsqCcdgvixBMrOgAJOX0vHcPquVSm/view?usp=drive_link" TargetMode="External"/><Relationship Id="rId19" Type="http://schemas.openxmlformats.org/officeDocument/2006/relationships/hyperlink" Target="https://drive.google.com/file/d/1_augpRQ1dDsxcQOaNG2IhhM8BqI8Faxe/view?usp=drive_link" TargetMode="External"/><Relationship Id="rId18" Type="http://schemas.openxmlformats.org/officeDocument/2006/relationships/hyperlink" Target="https://drive.google.com/file/d/118JohdkTO58VpPGpyvHwTlOS-xsZUS_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hgp0rX-cyRyrVXQxozwICg2dUElDmF6/view?usp=drive_link" TargetMode="External"/><Relationship Id="rId42" Type="http://schemas.openxmlformats.org/officeDocument/2006/relationships/hyperlink" Target="https://drive.google.com/file/d/1hIhSnipnpRZ29uvvYBagB8xy-pKtm-XY/view?usp=drive_link" TargetMode="External"/><Relationship Id="rId41" Type="http://schemas.openxmlformats.org/officeDocument/2006/relationships/hyperlink" Target="https://drive.google.com/file/d/1QPASWbYK6Q8iX858AIus7S-KEOcWSJVT/view?usp=drive_link" TargetMode="External"/><Relationship Id="rId44" Type="http://schemas.openxmlformats.org/officeDocument/2006/relationships/hyperlink" Target="https://drive.google.com/file/d/1Ahgp0rX-cyRyrVXQxozwICg2dUElDmF6/view?usp=drive_link" TargetMode="External"/><Relationship Id="rId43" Type="http://schemas.openxmlformats.org/officeDocument/2006/relationships/hyperlink" Target="https://drive.google.com/file/d/1lLvVHVp-KUa4C2LPL0sFR9mxbzD--xKB/view?usp=drive_link" TargetMode="External"/><Relationship Id="rId46" Type="http://schemas.openxmlformats.org/officeDocument/2006/relationships/hyperlink" Target="https://drive.google.com/file/d/1zSlXn7YNqmtwwsC7husaKixZI6B2DS1R/view?usp=drive_link" TargetMode="External"/><Relationship Id="rId45" Type="http://schemas.openxmlformats.org/officeDocument/2006/relationships/hyperlink" Target="https://drive.google.com/file/d/1icMjdPPDVaJVQA4dDkb9MCarYiQChuVn/view?usp=drive_link" TargetMode="External"/><Relationship Id="rId1" Type="http://schemas.openxmlformats.org/officeDocument/2006/relationships/hyperlink" Target="https://drive.google.com/file/d/1kRXRzisvVFqWJdUNbClqS3avYNLJ4xV2/view?usp=drive_link" TargetMode="External"/><Relationship Id="rId2" Type="http://schemas.openxmlformats.org/officeDocument/2006/relationships/hyperlink" Target="https://drive.google.com/file/d/1LnUZO3qbQ9kKxjSDQMXG4S-fPu0T4r54/view?usp=drive_link" TargetMode="External"/><Relationship Id="rId3" Type="http://schemas.openxmlformats.org/officeDocument/2006/relationships/hyperlink" Target="https://drive.google.com/file/d/1cLPDJqg4B7OYNHX6PQSLKcd6DZQyj8j9/view?usp=drive_link" TargetMode="External"/><Relationship Id="rId4" Type="http://schemas.openxmlformats.org/officeDocument/2006/relationships/hyperlink" Target="https://drive.google.com/file/d/1LwKIiBd1oW4NrWDuwPLRtwlV7JX8efVn/view?usp=drive_link" TargetMode="External"/><Relationship Id="rId9" Type="http://schemas.openxmlformats.org/officeDocument/2006/relationships/hyperlink" Target="https://drive.google.com/file/d/1rxD4ZDRG6oS9q0gqaeQeuSWoP_iV_D7u/view?usp=drive_link" TargetMode="External"/><Relationship Id="rId48" Type="http://schemas.openxmlformats.org/officeDocument/2006/relationships/hyperlink" Target="https://drive.google.com/file/d/1VCLYVPk7PmRPbeNXgLwn0mPtJ97potWI/view?usp=drive_link" TargetMode="External"/><Relationship Id="rId47" Type="http://schemas.openxmlformats.org/officeDocument/2006/relationships/hyperlink" Target="https://drive.google.com/file/d/1KiZ_lGNYI79fPpWwBuzzKKAcfDyw2iue/view?usp=drive_link" TargetMode="External"/><Relationship Id="rId49" Type="http://schemas.openxmlformats.org/officeDocument/2006/relationships/hyperlink" Target="https://drive.google.com/file/d/1fqJx_RZ-J6oSkW7KWV2p7z4PtNH7O07I/view?usp=drive_link" TargetMode="External"/><Relationship Id="rId5" Type="http://schemas.openxmlformats.org/officeDocument/2006/relationships/hyperlink" Target="https://drive.google.com/file/d/17OtL5AJPEbmMoJ3gGXc6igTRyA6i3Fr1/view?usp=drive_link" TargetMode="External"/><Relationship Id="rId6" Type="http://schemas.openxmlformats.org/officeDocument/2006/relationships/hyperlink" Target="https://drive.google.com/file/d/1ar8fgnCexMSa5o55xHsLanNP_Y_GYmjZ/view?usp=drive_link" TargetMode="External"/><Relationship Id="rId7" Type="http://schemas.openxmlformats.org/officeDocument/2006/relationships/hyperlink" Target="https://drive.google.com/file/d/1p6vW4kl9-balzIKsxY4sdJDknhsur6lh/view?usp=drive_link" TargetMode="External"/><Relationship Id="rId8" Type="http://schemas.openxmlformats.org/officeDocument/2006/relationships/hyperlink" Target="https://drive.google.com/file/d/1sqtzn033avVvnTigNVdq-WCzqzGV_0LE/view?usp=drive_link" TargetMode="External"/><Relationship Id="rId73" Type="http://schemas.openxmlformats.org/officeDocument/2006/relationships/hyperlink" Target="https://drive.google.com/open?id=1VvlpjVjj0AvipV-_1POFRUKSm53YpbYN&amp;usp=drive_copy" TargetMode="External"/><Relationship Id="rId72" Type="http://schemas.openxmlformats.org/officeDocument/2006/relationships/hyperlink" Target="https://drive.google.com/open?id=1dZcO4jrcJXptTitYW2e_ElGvZFW4GGyz&amp;usp=drive_copy" TargetMode="External"/><Relationship Id="rId31" Type="http://schemas.openxmlformats.org/officeDocument/2006/relationships/hyperlink" Target="https://drive.google.com/file/d/1Ahgp0rX-cyRyrVXQxozwICg2dUElDmF6/view?usp=drive_link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drive.google.com/file/d/17BRDcouHmsgsWav6iZEPu9ELEgK_D7Zn/view?usp=drive_link" TargetMode="External"/><Relationship Id="rId74" Type="http://schemas.openxmlformats.org/officeDocument/2006/relationships/hyperlink" Target="https://drive.google.com/open?id=1JBUI5WClQNFR3t-tpd6H8hBEMFhJqonF&amp;usp=drive_copy" TargetMode="External"/><Relationship Id="rId33" Type="http://schemas.openxmlformats.org/officeDocument/2006/relationships/hyperlink" Target="https://drive.google.com/file/d/1hFchEu6dbC1tn3reFzcOe0bNLWNDMZDl/view?usp=drive_link" TargetMode="External"/><Relationship Id="rId32" Type="http://schemas.openxmlformats.org/officeDocument/2006/relationships/hyperlink" Target="https://drive.google.com/file/d/1eERvcVBhE27AmL55Ct4ZZoPBXx7Q3JrJ/view?usp=drive_link" TargetMode="External"/><Relationship Id="rId35" Type="http://schemas.openxmlformats.org/officeDocument/2006/relationships/hyperlink" Target="https://drive.google.com/file/d/1m1mPcpCgRukOJlQy_K0uvbvVPLj2Axzx/view?usp=drive_link" TargetMode="External"/><Relationship Id="rId34" Type="http://schemas.openxmlformats.org/officeDocument/2006/relationships/hyperlink" Target="https://drive.google.com/file/d/1tbCR1EILxFQu-Jmw8GMZ1hr7wLGKZbQ2/view?usp=drive_link" TargetMode="External"/><Relationship Id="rId71" Type="http://schemas.openxmlformats.org/officeDocument/2006/relationships/hyperlink" Target="https://drive.google.com/open?id=1m86K-zg1qOIHGLYDQrE9bYLOoOA4Ht0m&amp;usp=drive_copy" TargetMode="External"/><Relationship Id="rId70" Type="http://schemas.openxmlformats.org/officeDocument/2006/relationships/hyperlink" Target="https://drive.google.com/open?id=1V1FeORiT-2SCdLC5pRX3leyYV5nSdURd&amp;usp=drive_copy" TargetMode="External"/><Relationship Id="rId37" Type="http://schemas.openxmlformats.org/officeDocument/2006/relationships/hyperlink" Target="https://drive.google.com/file/d/1AqYR_rq1EC-g8FycAEtj3myeAZXUFhQZ/view?usp=drive_link" TargetMode="External"/><Relationship Id="rId36" Type="http://schemas.openxmlformats.org/officeDocument/2006/relationships/hyperlink" Target="https://drive.google.com/file/d/1hIhSnipnpRZ29uvvYBagB8xy-pKtm-XY/view?usp=drive_link" TargetMode="External"/><Relationship Id="rId39" Type="http://schemas.openxmlformats.org/officeDocument/2006/relationships/hyperlink" Target="https://drive.google.com/file/d/17BRDcouHmsgsWav6iZEPu9ELEgK_D7Zn/view?usp=drive_link" TargetMode="External"/><Relationship Id="rId38" Type="http://schemas.openxmlformats.org/officeDocument/2006/relationships/hyperlink" Target="https://drive.google.com/file/d/1weIK4w33nC2FXcwG5MV-kOn07_p8ajsr/view?usp=drive_link" TargetMode="External"/><Relationship Id="rId62" Type="http://schemas.openxmlformats.org/officeDocument/2006/relationships/hyperlink" Target="https://drive.google.com/file/d/1ke36wa6Tl9S1MsJ6wYIYr6SwhZX61LrO/view?usp=drive_link" TargetMode="External"/><Relationship Id="rId61" Type="http://schemas.openxmlformats.org/officeDocument/2006/relationships/hyperlink" Target="https://drive.google.com/file/d/1a6itk-ElAaIJpPCKmyMcTPnRa5jfA-qg/view?usp=drive_link" TargetMode="External"/><Relationship Id="rId20" Type="http://schemas.openxmlformats.org/officeDocument/2006/relationships/hyperlink" Target="https://drive.google.com/file/d/1lNSbv5sioZpGGEWHfYgzS5bLVolF2BwC/view?usp=drive_link" TargetMode="External"/><Relationship Id="rId64" Type="http://schemas.openxmlformats.org/officeDocument/2006/relationships/hyperlink" Target="https://drive.google.com/open?id=1Xr-bDiRQ5Zo6t9TQnnxfymMGDWE6P747&amp;usp=drive_copy" TargetMode="External"/><Relationship Id="rId63" Type="http://schemas.openxmlformats.org/officeDocument/2006/relationships/hyperlink" Target="https://drive.google.com/file/d/1Huosrsx48qLewpaYWcQsu-qUH450OLaq/view?usp=drive_link" TargetMode="External"/><Relationship Id="rId22" Type="http://schemas.openxmlformats.org/officeDocument/2006/relationships/hyperlink" Target="https://drive.google.com/file/d/1pIWL3CZcNXIA-0I6gtOfU5xY4FYoF7Wv/view?usp=drive_link" TargetMode="External"/><Relationship Id="rId66" Type="http://schemas.openxmlformats.org/officeDocument/2006/relationships/hyperlink" Target="https://drive.google.com/open?id=1xBVLtVZNuwp8RSI8qHaVi43n9fEq1r5J&amp;usp=drive_copy" TargetMode="External"/><Relationship Id="rId21" Type="http://schemas.openxmlformats.org/officeDocument/2006/relationships/hyperlink" Target="https://drive.google.com/file/d/1ZPEMpEB5OieYBM4Vzu_ZWyomWzc_CqkZ/view?usp=drive_link" TargetMode="External"/><Relationship Id="rId65" Type="http://schemas.openxmlformats.org/officeDocument/2006/relationships/hyperlink" Target="https://drive.google.com/open?id=1ZPCaejnzYPKSmiJUbY-53hFN1jnAvrsQ&amp;usp=drive_copy" TargetMode="External"/><Relationship Id="rId24" Type="http://schemas.openxmlformats.org/officeDocument/2006/relationships/hyperlink" Target="https://drive.google.com/file/d/1yaoEnYrcqCCvX6WJy5nxqtEB-CN39GWi/view?usp=drive_link" TargetMode="External"/><Relationship Id="rId68" Type="http://schemas.openxmlformats.org/officeDocument/2006/relationships/hyperlink" Target="https://drive.google.com/open?id=1bJ1D45nT8ijhqNos5TZRhlohjN6Brh6B&amp;usp=drive_copy" TargetMode="External"/><Relationship Id="rId23" Type="http://schemas.openxmlformats.org/officeDocument/2006/relationships/hyperlink" Target="https://drive.google.com/file/d/1P57wI6QWM74ph5fg0t8e8kQa4hH13SIZ/view?usp=drive_link" TargetMode="External"/><Relationship Id="rId67" Type="http://schemas.openxmlformats.org/officeDocument/2006/relationships/hyperlink" Target="https://drive.google.com/open?id=1MslTxyiAWbkk2CrAKeP_ECBo5jQZCIGl&amp;usp=drive_copy" TargetMode="External"/><Relationship Id="rId60" Type="http://schemas.openxmlformats.org/officeDocument/2006/relationships/hyperlink" Target="https://drive.google.com/file/d/1kR-US78XUUk6BkJAvGmDofXUy9GNvw_n/view?usp=drive_link" TargetMode="External"/><Relationship Id="rId26" Type="http://schemas.openxmlformats.org/officeDocument/2006/relationships/hyperlink" Target="https://drive.google.com/file/d/1pegIrQh_Iykmg36KLAlFmyMAtAIBgfbY/view?usp=drive_link" TargetMode="External"/><Relationship Id="rId25" Type="http://schemas.openxmlformats.org/officeDocument/2006/relationships/hyperlink" Target="https://drive.google.com/file/d/1HUSyGKpxtjvF50zk4-nO6wTIag2RafRD/view?usp=drive_link" TargetMode="External"/><Relationship Id="rId69" Type="http://schemas.openxmlformats.org/officeDocument/2006/relationships/hyperlink" Target="https://drive.google.com/open?id=1WrRc_BMqtkc6wHRLbrTbtOkiVQbW1s7I&amp;usp=drive_copy" TargetMode="External"/><Relationship Id="rId28" Type="http://schemas.openxmlformats.org/officeDocument/2006/relationships/hyperlink" Target="https://drive.google.com/file/d/1QPASWbYK6Q8iX858AIus7S-KEOcWSJVT/view?usp=drive_link" TargetMode="External"/><Relationship Id="rId27" Type="http://schemas.openxmlformats.org/officeDocument/2006/relationships/hyperlink" Target="https://drive.google.com/file/d/1N2yZFtEKWmiP5FMhWvlMqW7MmdP-gGCB/view?usp=drive_link" TargetMode="External"/><Relationship Id="rId29" Type="http://schemas.openxmlformats.org/officeDocument/2006/relationships/hyperlink" Target="https://drive.google.com/file/d/1pegIrQh_Iykmg36KLAlFmyMAtAIBgfbY/view?usp=drive_link" TargetMode="External"/><Relationship Id="rId51" Type="http://schemas.openxmlformats.org/officeDocument/2006/relationships/hyperlink" Target="https://drive.google.com/file/d/1HNwUrNX3SInrr-KAJ7XWhQlJWffVmypa/view?usp=drive_link" TargetMode="External"/><Relationship Id="rId50" Type="http://schemas.openxmlformats.org/officeDocument/2006/relationships/hyperlink" Target="https://drive.google.com/file/d/15rFmforrGSz4pHpmhnWEvuY5r5s5OCNl/view?usp=drive_link" TargetMode="External"/><Relationship Id="rId53" Type="http://schemas.openxmlformats.org/officeDocument/2006/relationships/hyperlink" Target="https://drive.google.com/file/d/1r6XoFMnIO_6fbzMNNoXD3YNGeROa6OdF/view?usp=drive_link" TargetMode="External"/><Relationship Id="rId52" Type="http://schemas.openxmlformats.org/officeDocument/2006/relationships/hyperlink" Target="https://drive.google.com/file/d/13RnbIJ7DCPCvWOCJXYZiiscgM5_RJUHF/view?usp=drive_link" TargetMode="External"/><Relationship Id="rId11" Type="http://schemas.openxmlformats.org/officeDocument/2006/relationships/hyperlink" Target="https://drive.google.com/file/d/1HvVvfu03_7aQzaHIjYn0hVM1TUT5C1gv/view?usp=drive_link" TargetMode="External"/><Relationship Id="rId55" Type="http://schemas.openxmlformats.org/officeDocument/2006/relationships/hyperlink" Target="https://drive.google.com/file/d/1qc7uPbUzntXONEZk2jLIvxI5-TTZRgBn/view?usp=drive_link" TargetMode="External"/><Relationship Id="rId10" Type="http://schemas.openxmlformats.org/officeDocument/2006/relationships/hyperlink" Target="https://drive.google.com/file/d/1akiBIi4r9yxZaUiAXyt9OrFOJjSTz47B/view?usp=drive_link" TargetMode="External"/><Relationship Id="rId54" Type="http://schemas.openxmlformats.org/officeDocument/2006/relationships/hyperlink" Target="https://drive.google.com/file/d/1t8zZ7L3IWWqgQ2wySkwWnpXs7QqYgvFT/view?usp=drive_link" TargetMode="External"/><Relationship Id="rId13" Type="http://schemas.openxmlformats.org/officeDocument/2006/relationships/hyperlink" Target="https://drive.google.com/file/d/1wtvYbr7JtahsLtiWjJqISnw6OV6QEOCc/view?usp=drive_link" TargetMode="External"/><Relationship Id="rId57" Type="http://schemas.openxmlformats.org/officeDocument/2006/relationships/hyperlink" Target="https://drive.google.com/file/d/1VCLYVPk7PmRPbeNXgLwn0mPtJ97potWI/view?usp=drive_link" TargetMode="External"/><Relationship Id="rId12" Type="http://schemas.openxmlformats.org/officeDocument/2006/relationships/hyperlink" Target="https://drive.google.com/file/d/1S40Z0sVnDrk4TyW1kIHJ68ClJm8da9e9/view?usp=drive_link" TargetMode="External"/><Relationship Id="rId56" Type="http://schemas.openxmlformats.org/officeDocument/2006/relationships/hyperlink" Target="https://drive.google.com/file/d/1KiZ_lGNYI79fPpWwBuzzKKAcfDyw2iue/view?usp=drive_link" TargetMode="External"/><Relationship Id="rId15" Type="http://schemas.openxmlformats.org/officeDocument/2006/relationships/hyperlink" Target="https://drive.google.com/file/d/1y3KfhWudID-xw3igadwT8KtsBh85aTVf/view?usp=drive_link" TargetMode="External"/><Relationship Id="rId59" Type="http://schemas.openxmlformats.org/officeDocument/2006/relationships/hyperlink" Target="https://drive.google.com/file/d/15rFmforrGSz4pHpmhnWEvuY5r5s5OCNl/view?usp=drive_link" TargetMode="External"/><Relationship Id="rId14" Type="http://schemas.openxmlformats.org/officeDocument/2006/relationships/hyperlink" Target="https://drive.google.com/file/d/1z0aDs7FNeICXSYFR5i_lrcolJzd-MX2I/view?usp=drive_link" TargetMode="External"/><Relationship Id="rId58" Type="http://schemas.openxmlformats.org/officeDocument/2006/relationships/hyperlink" Target="https://drive.google.com/file/d/1fqJx_RZ-J6oSkW7KWV2p7z4PtNH7O07I/view?usp=drive_link" TargetMode="External"/><Relationship Id="rId17" Type="http://schemas.openxmlformats.org/officeDocument/2006/relationships/hyperlink" Target="https://drive.google.com/file/d/1-1vexpvFIg0gHmPCDWxoXJVfHEqgCZ1O/view?usp=drive_link" TargetMode="External"/><Relationship Id="rId16" Type="http://schemas.openxmlformats.org/officeDocument/2006/relationships/hyperlink" Target="https://drive.google.com/file/d/1VCEvJv70_9a1KX3V-7LbpgLwCeja3srm/view?usp=drive_link" TargetMode="External"/><Relationship Id="rId19" Type="http://schemas.openxmlformats.org/officeDocument/2006/relationships/hyperlink" Target="https://drive.google.com/file/d/1N_mULtv9pG9qRrt-cKkgo9i3DtTTo6aN/view?usp=drive_link" TargetMode="External"/><Relationship Id="rId18" Type="http://schemas.openxmlformats.org/officeDocument/2006/relationships/hyperlink" Target="https://drive.google.com/file/d/1DMRS6r4CsY8JJh07uxqPopspt3m5SPZZ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Da1cFf5UfRodA0ZMkxL9p7WrkH12WTtB&amp;usp=drive_copy" TargetMode="External"/><Relationship Id="rId391" Type="http://schemas.openxmlformats.org/officeDocument/2006/relationships/hyperlink" Target="https://drive.google.com/open?id=1XkK6D3sCInFSEnk9XPwjPuHJbR-8KnE0&amp;usp=drive_copy" TargetMode="External"/><Relationship Id="rId390" Type="http://schemas.openxmlformats.org/officeDocument/2006/relationships/hyperlink" Target="https://drive.google.com/file/d/1e-9VsFt82p0sOClEoLKcAqqvkw8c5q3Y/view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open?id=1X50NQkZun2F6zldLm5kBLgrC_LKd3Xkq&amp;usp=drive_copy" TargetMode="External"/><Relationship Id="rId2180" Type="http://schemas.openxmlformats.org/officeDocument/2006/relationships/hyperlink" Target="https://drive.google.com/open?id=1OxZZ6fZutEANxWM8X_HpYSBStljY_Jmi&amp;usp=drive_copy" TargetMode="External"/><Relationship Id="rId2181" Type="http://schemas.openxmlformats.org/officeDocument/2006/relationships/hyperlink" Target="https://drive.google.com/open?id=1exy7gRL5fxsyo_hqG4CIPij-hVGxVV2p&amp;usp=drive_copy" TargetMode="External"/><Relationship Id="rId2182" Type="http://schemas.openxmlformats.org/officeDocument/2006/relationships/hyperlink" Target="https://drive.google.com/open?id=1JvCmzwBw8j2jJZacr0hlEaPCWT1qm-fQ&amp;usp=drive_copy" TargetMode="External"/><Relationship Id="rId2183" Type="http://schemas.openxmlformats.org/officeDocument/2006/relationships/hyperlink" Target="https://drive.google.com/open?id=1hiPz4KLJKRwj_bmBQEJhb72xllK5ZVsY&amp;usp=drive_copy" TargetMode="External"/><Relationship Id="rId9" Type="http://schemas.openxmlformats.org/officeDocument/2006/relationships/hyperlink" Target="https://drive.google.com/open?id=1m9p20igR4DcxQUGoy2ksKQKRbi0mGmfF&amp;usp=drive_copy" TargetMode="External"/><Relationship Id="rId385" Type="http://schemas.openxmlformats.org/officeDocument/2006/relationships/hyperlink" Target="https://drive.google.com/open?id=1J4qRKZJ18lEjhysq0nommNWVyxMjZhl6&amp;usp=drive_copy" TargetMode="External"/><Relationship Id="rId2184" Type="http://schemas.openxmlformats.org/officeDocument/2006/relationships/hyperlink" Target="https://drive.google.com/open?id=1GTxoeBRezhwBR-QuD7qK92cHwvkndp3n&amp;usp=drive_copy" TargetMode="External"/><Relationship Id="rId384" Type="http://schemas.openxmlformats.org/officeDocument/2006/relationships/hyperlink" Target="https://drive.google.com/open?id=14zGYsi-Q10L-tJUEdCPFGVZ63D_KbMfQ&amp;usp=drive_copy" TargetMode="External"/><Relationship Id="rId2185" Type="http://schemas.openxmlformats.org/officeDocument/2006/relationships/hyperlink" Target="https://drive.google.com/open?id=1ZGVoRY9xH0b3vN99x07bcR2X0J5haAy-&amp;usp=drive_copy" TargetMode="External"/><Relationship Id="rId383" Type="http://schemas.openxmlformats.org/officeDocument/2006/relationships/hyperlink" Target="https://drive.google.com/open?id=1NKJQ7QzwwOdudVClOCSiuEIZ1KkWBEhL&amp;usp=drive_copy" TargetMode="External"/><Relationship Id="rId2186" Type="http://schemas.openxmlformats.org/officeDocument/2006/relationships/hyperlink" Target="https://drive.google.com/open?id=1ZoRF0jWeJIqreuwjfEPF7BeDGpCsMlFa&amp;usp=drive_copy" TargetMode="External"/><Relationship Id="rId382" Type="http://schemas.openxmlformats.org/officeDocument/2006/relationships/hyperlink" Target="https://drive.google.com/open?id=1avT6e1lXU4DRvqVGV9n84VOOLl3fdzMu&amp;usp=drive_copy" TargetMode="External"/><Relationship Id="rId2187" Type="http://schemas.openxmlformats.org/officeDocument/2006/relationships/hyperlink" Target="https://drive.google.com/open?id=1Wc_F09tGKNzr3Q4wUIPCJGf2IPtrFA5K&amp;usp=drive_copy" TargetMode="External"/><Relationship Id="rId5" Type="http://schemas.openxmlformats.org/officeDocument/2006/relationships/hyperlink" Target="https://drive.google.com/open?id=1-YeZIcj8ykigE5gYdnxgtb_RYomNwiSn&amp;usp=drive_copy" TargetMode="External"/><Relationship Id="rId389" Type="http://schemas.openxmlformats.org/officeDocument/2006/relationships/hyperlink" Target="https://drive.google.com/file/d/1B0do0T-YO_ltecmFaR2s1HBqfAdMtVB8/view?usp=drive_link" TargetMode="External"/><Relationship Id="rId2188" Type="http://schemas.openxmlformats.org/officeDocument/2006/relationships/hyperlink" Target="https://drive.google.com/open?id=1URJwGu-Av2LICM1M3xN-cYutMxsXTLuU&amp;usp=drive_copy" TargetMode="External"/><Relationship Id="rId6" Type="http://schemas.openxmlformats.org/officeDocument/2006/relationships/hyperlink" Target="https://drive.google.com/open?id=1_kVR_B-O0MEwsudOma1DWyH-NrWfcK8G&amp;usp=drive_copy" TargetMode="External"/><Relationship Id="rId388" Type="http://schemas.openxmlformats.org/officeDocument/2006/relationships/hyperlink" Target="https://drive.google.com/file/d/1FIaR794XAmghS5B2Vo6uw1iZbKctWvXU/view?usp=drive_link" TargetMode="External"/><Relationship Id="rId2189" Type="http://schemas.openxmlformats.org/officeDocument/2006/relationships/hyperlink" Target="https://drive.google.com/open?id=1bH6Op1eX9QLyvQfI7zJtf2k1-7CBBROb&amp;usp=drive_copy" TargetMode="External"/><Relationship Id="rId7" Type="http://schemas.openxmlformats.org/officeDocument/2006/relationships/hyperlink" Target="https://drive.google.com/open?id=1bdb3GamcLSfiXYcIXzIrZzvlB_UI4NxK&amp;usp=drive_copy" TargetMode="External"/><Relationship Id="rId387" Type="http://schemas.openxmlformats.org/officeDocument/2006/relationships/hyperlink" Target="https://drive.google.com/file/d/1UjVFW_Fnw8v740WvVXFNxkqt64a4j5tE/view?usp=drive_link" TargetMode="External"/><Relationship Id="rId8" Type="http://schemas.openxmlformats.org/officeDocument/2006/relationships/hyperlink" Target="https://drive.google.com/open?id=1VlLpk1muFsjCXFQP2wit_z_5Bk-GYmR0&amp;usp=drive_copy" TargetMode="External"/><Relationship Id="rId386" Type="http://schemas.openxmlformats.org/officeDocument/2006/relationships/hyperlink" Target="https://drive.google.com/file/d/1VBQvjDXx8vjEqUs5461rbmEscv-pXQCL/view?usp=drive_link" TargetMode="External"/><Relationship Id="rId381" Type="http://schemas.openxmlformats.org/officeDocument/2006/relationships/hyperlink" Target="https://drive.google.com/open?id=1ucoqOa5TK5KLVmz18y_kEeBP5r6TUbOb&amp;usp=drive_copy" TargetMode="External"/><Relationship Id="rId380" Type="http://schemas.openxmlformats.org/officeDocument/2006/relationships/hyperlink" Target="https://drive.google.com/open?id=10e1CBk-YPOTx5gyFM3hmEy_oFAAFXKg7&amp;usp=drive_copy" TargetMode="External"/><Relationship Id="rId379" Type="http://schemas.openxmlformats.org/officeDocument/2006/relationships/hyperlink" Target="https://drive.google.com/open?id=1gos8M7OZR6pkPQtqnyT84zYOup-YoOjr&amp;usp=drive_copy" TargetMode="External"/><Relationship Id="rId2170" Type="http://schemas.openxmlformats.org/officeDocument/2006/relationships/hyperlink" Target="https://drive.google.com/open?id=1PXNaHP_e9PQk7v9A_QptyxbvZ3jIz8Qn&amp;usp=drive_copy" TargetMode="External"/><Relationship Id="rId2171" Type="http://schemas.openxmlformats.org/officeDocument/2006/relationships/hyperlink" Target="https://drive.google.com/open?id=1PL7RUY2gUYgmek0B9pQ6QuFOyid9MsL0&amp;usp=drive_copy" TargetMode="External"/><Relationship Id="rId2172" Type="http://schemas.openxmlformats.org/officeDocument/2006/relationships/hyperlink" Target="https://drive.google.com/open?id=1UZ_ry6ikWHJOmONnOmQW7m-flXwM0Sr0&amp;usp=drive_copy" TargetMode="External"/><Relationship Id="rId374" Type="http://schemas.openxmlformats.org/officeDocument/2006/relationships/hyperlink" Target="https://drive.google.com/open?id=1pnQL3TM5DkSAC-pJYN430vTxcY2vA9KV&amp;usp=drive_copy" TargetMode="External"/><Relationship Id="rId2173" Type="http://schemas.openxmlformats.org/officeDocument/2006/relationships/hyperlink" Target="https://drive.google.com/open?id=19IKlsHA3auSNXpXqVW5oGXFijnoVQRvP&amp;usp=drive_copy" TargetMode="External"/><Relationship Id="rId373" Type="http://schemas.openxmlformats.org/officeDocument/2006/relationships/hyperlink" Target="https://drive.google.com/open?id=1TTBPaEFktf7SZgKX_rf_NqQqhaWmSstV&amp;usp=drive_copy" TargetMode="External"/><Relationship Id="rId2174" Type="http://schemas.openxmlformats.org/officeDocument/2006/relationships/hyperlink" Target="https://drive.google.com/open?id=1EzXBwj8za6OPyTStMsaljvkgIO8Qv2qk&amp;usp=drive_copy" TargetMode="External"/><Relationship Id="rId372" Type="http://schemas.openxmlformats.org/officeDocument/2006/relationships/hyperlink" Target="https://drive.google.com/open?id=1JHES-eqOtbLRFqnovlKYEqSzmOCkYIWI&amp;usp=drive_copy" TargetMode="External"/><Relationship Id="rId2175" Type="http://schemas.openxmlformats.org/officeDocument/2006/relationships/hyperlink" Target="https://drive.google.com/open?id=1RNCkE05qWTWKERgB3pPnhBtkN9OmXcKb&amp;usp=drive_copy" TargetMode="External"/><Relationship Id="rId371" Type="http://schemas.openxmlformats.org/officeDocument/2006/relationships/hyperlink" Target="https://drive.google.com/open?id=1WgbSFBa2qJK9ItH0nwvVOtovN8VEgAU0&amp;usp=drive_copy" TargetMode="External"/><Relationship Id="rId2176" Type="http://schemas.openxmlformats.org/officeDocument/2006/relationships/hyperlink" Target="https://drive.google.com/open?id=1_yRw61klFWGrZ1YYdp3MwqfpG8AzSzGK&amp;usp=drive_copy" TargetMode="External"/><Relationship Id="rId378" Type="http://schemas.openxmlformats.org/officeDocument/2006/relationships/hyperlink" Target="https://drive.google.com/open?id=1hDP6HKqB3-l3F-djQWp8pEvuP9FIC8Dz&amp;usp=drive_copy" TargetMode="External"/><Relationship Id="rId2177" Type="http://schemas.openxmlformats.org/officeDocument/2006/relationships/hyperlink" Target="https://drive.google.com/open?id=1RcRdDGG9VvUbVqf8u1CxWnCt8lgIA20k&amp;usp=drive_copy" TargetMode="External"/><Relationship Id="rId377" Type="http://schemas.openxmlformats.org/officeDocument/2006/relationships/hyperlink" Target="https://drive.google.com/open?id=1TU-cubc9eVbOBq3aIOjkPvp5UY4dISJ1&amp;usp=drive_copy" TargetMode="External"/><Relationship Id="rId2178" Type="http://schemas.openxmlformats.org/officeDocument/2006/relationships/hyperlink" Target="https://drive.google.com/open?id=1u4OwKz-hP41Bs_3UNKq0U-Vt-cpdWGXi&amp;usp=drive_copy" TargetMode="External"/><Relationship Id="rId376" Type="http://schemas.openxmlformats.org/officeDocument/2006/relationships/hyperlink" Target="https://drive.google.com/open?id=1Q0sK1yIyKMCC86fV5uk_elz4qxTRsOhc&amp;usp=drive_copy" TargetMode="External"/><Relationship Id="rId2179" Type="http://schemas.openxmlformats.org/officeDocument/2006/relationships/hyperlink" Target="https://drive.google.com/open?id=1XlZFsj3HO6QevtcmrxMnxUImmTnsNty4&amp;usp=drive_copy" TargetMode="External"/><Relationship Id="rId375" Type="http://schemas.openxmlformats.org/officeDocument/2006/relationships/hyperlink" Target="https://drive.google.com/open?id=17Q6WAxWuCUZGSWfIqH9RogzF12StgSq0&amp;usp=drive_copy" TargetMode="External"/><Relationship Id="rId2190" Type="http://schemas.openxmlformats.org/officeDocument/2006/relationships/hyperlink" Target="https://drive.google.com/open?id=1po95VpC-RAFgNkQisBlGR-31LYyuXCac&amp;usp=drive_copy" TargetMode="External"/><Relationship Id="rId2191" Type="http://schemas.openxmlformats.org/officeDocument/2006/relationships/hyperlink" Target="https://drive.google.com/open?id=1r_Zhrepymwo8HHQuTb9-aciCBv12W2qd&amp;usp=drive_copy" TargetMode="External"/><Relationship Id="rId2192" Type="http://schemas.openxmlformats.org/officeDocument/2006/relationships/hyperlink" Target="https://drive.google.com/open?id=1YAba2FFS_9JZnHfJUMReDYOCH0eYLfjU&amp;usp=drive_copy" TargetMode="External"/><Relationship Id="rId2193" Type="http://schemas.openxmlformats.org/officeDocument/2006/relationships/hyperlink" Target="https://drive.google.com/open?id=1phLvJeOtIztsmrdFEt7PgytmvX0ONV_7&amp;usp=drive_copy" TargetMode="External"/><Relationship Id="rId2194" Type="http://schemas.openxmlformats.org/officeDocument/2006/relationships/hyperlink" Target="https://drive.google.com/open?id=1gY156ac1Qwxa8XUC6dehE0EEZfSnad8b&amp;usp=drive_copy" TargetMode="External"/><Relationship Id="rId396" Type="http://schemas.openxmlformats.org/officeDocument/2006/relationships/hyperlink" Target="https://drive.google.com/open?id=1yXwpRHDGtrRYxXxIsr_Ik6g4W3iDO-_C&amp;usp=drive_copy" TargetMode="External"/><Relationship Id="rId2195" Type="http://schemas.openxmlformats.org/officeDocument/2006/relationships/hyperlink" Target="https://drive.google.com/open?id=15Fg5pPhyW4iTyNdcDLpizx3-ewClhJl7&amp;usp=drive_copy" TargetMode="External"/><Relationship Id="rId395" Type="http://schemas.openxmlformats.org/officeDocument/2006/relationships/hyperlink" Target="https://drive.google.com/open?id=1QBr76yna1vNzeoQ7QGy3JGmg_kBJUwlQ&amp;usp=drive_copy" TargetMode="External"/><Relationship Id="rId2196" Type="http://schemas.openxmlformats.org/officeDocument/2006/relationships/hyperlink" Target="https://drive.google.com/open?id=1-tJj_8_-JryrHUfOZOyjhlmlzTW9W6Pk&amp;usp=drive_copy" TargetMode="External"/><Relationship Id="rId394" Type="http://schemas.openxmlformats.org/officeDocument/2006/relationships/hyperlink" Target="https://drive.google.com/open?id=1izLVYl39uWc-g9lkp-tkljH8_OV0bww3&amp;usp=drive_copy" TargetMode="External"/><Relationship Id="rId2197" Type="http://schemas.openxmlformats.org/officeDocument/2006/relationships/hyperlink" Target="https://drive.google.com/open?id=1xobJ6KK30qc3sbX_J1A3Ogb-oEMaG6x_&amp;usp=drive_copy" TargetMode="External"/><Relationship Id="rId393" Type="http://schemas.openxmlformats.org/officeDocument/2006/relationships/hyperlink" Target="https://drive.google.com/open?id=1nAxnXNbPUed9vZn_skY-MAUk5YM3i3uj&amp;usp=drive_copy" TargetMode="External"/><Relationship Id="rId2198" Type="http://schemas.openxmlformats.org/officeDocument/2006/relationships/hyperlink" Target="https://drive.google.com/open?id=1rO3f-TcQinF-upycm3nyj7NVnkEFt66Z&amp;usp=drive_copy" TargetMode="External"/><Relationship Id="rId2199" Type="http://schemas.openxmlformats.org/officeDocument/2006/relationships/hyperlink" Target="https://drive.google.com/open?id=1hdIfBImHEgZbRu5dzi5v9NMWrzdIYoRh&amp;usp=drive_copy" TargetMode="External"/><Relationship Id="rId399" Type="http://schemas.openxmlformats.org/officeDocument/2006/relationships/hyperlink" Target="https://drive.google.com/file/d/1f7UiF76E1H3h5VoNmQT2sTbGHlq_YFrj/view?usp=drive_link" TargetMode="External"/><Relationship Id="rId398" Type="http://schemas.openxmlformats.org/officeDocument/2006/relationships/hyperlink" Target="https://drive.google.com/file/d/1nYRJnb77HvkMl2G0xHSltVRlctLbT0pj/view?usp=drive_link" TargetMode="External"/><Relationship Id="rId397" Type="http://schemas.openxmlformats.org/officeDocument/2006/relationships/hyperlink" Target="https://drive.google.com/open?id=1r10tZoYUt2beBy-1dFfssZDRVFF0dZ-K&amp;usp=drive_copy" TargetMode="External"/><Relationship Id="rId1730" Type="http://schemas.openxmlformats.org/officeDocument/2006/relationships/hyperlink" Target="https://drive.google.com/open?id=1HGI4Elod8lUIXepQMJOESOc0H0S1BAgs&amp;usp=drive_copy" TargetMode="External"/><Relationship Id="rId1731" Type="http://schemas.openxmlformats.org/officeDocument/2006/relationships/hyperlink" Target="https://drive.google.com/open?id=1N_SQRPaUFs9K0TG9HdP1MnFRIqOn2ZXu&amp;usp=drive_copy" TargetMode="External"/><Relationship Id="rId1732" Type="http://schemas.openxmlformats.org/officeDocument/2006/relationships/hyperlink" Target="https://drive.google.com/open?id=1ycZZTakvIOALXkEliKpJrLXgg7aFQv1L&amp;usp=drive_copy" TargetMode="External"/><Relationship Id="rId1733" Type="http://schemas.openxmlformats.org/officeDocument/2006/relationships/hyperlink" Target="https://drive.google.com/open?id=12Ji5DcSqu81G_pQNuFEKJF85bRMhtBVQ&amp;usp=drive_copy" TargetMode="External"/><Relationship Id="rId1734" Type="http://schemas.openxmlformats.org/officeDocument/2006/relationships/hyperlink" Target="https://drive.google.com/open?id=1EQF8p0Xtu8bl0W7lU9xEKMBLIV2of14e&amp;usp=drive_copy" TargetMode="External"/><Relationship Id="rId1735" Type="http://schemas.openxmlformats.org/officeDocument/2006/relationships/hyperlink" Target="https://drive.google.com/open?id=18_1KLJNHFurrTJcipaMH97gXA6HyKg_P&amp;usp=drive_copy" TargetMode="External"/><Relationship Id="rId1736" Type="http://schemas.openxmlformats.org/officeDocument/2006/relationships/hyperlink" Target="https://drive.google.com/open?id=1ZtapnMxTeha2wUVZlpa587kM5WR2RjGg&amp;usp=drive_copy" TargetMode="External"/><Relationship Id="rId1737" Type="http://schemas.openxmlformats.org/officeDocument/2006/relationships/hyperlink" Target="https://drive.google.com/open?id=1bcnbBEgBVeo87p0Kprwabx-I6IYyZLMz&amp;usp=drive_copy" TargetMode="External"/><Relationship Id="rId1738" Type="http://schemas.openxmlformats.org/officeDocument/2006/relationships/hyperlink" Target="https://drive.google.com/open?id=1e6ILaVKIyJlxInLjUSURYHk1oblHn0zO&amp;usp=drive_copy" TargetMode="External"/><Relationship Id="rId1739" Type="http://schemas.openxmlformats.org/officeDocument/2006/relationships/hyperlink" Target="https://drive.google.com/open?id=1XPd9DkBaLqsbA0dSwISNXebxSuWrPyPB&amp;usp=drive_copy" TargetMode="External"/><Relationship Id="rId1720" Type="http://schemas.openxmlformats.org/officeDocument/2006/relationships/hyperlink" Target="https://drive.google.com/open?id=16-HKy1Yc0kES89gCAMwdxpO6hrQk6m7Z&amp;usp=drive_copy" TargetMode="External"/><Relationship Id="rId1721" Type="http://schemas.openxmlformats.org/officeDocument/2006/relationships/hyperlink" Target="https://drive.google.com/open?id=12JmipgukeBs68a2QBrb5wDhfPa6iw2Xu&amp;usp=drive_copy" TargetMode="External"/><Relationship Id="rId1722" Type="http://schemas.openxmlformats.org/officeDocument/2006/relationships/hyperlink" Target="https://drive.google.com/open?id=1hT0M6ZtObbVIdyAV6nSv6r1hRHLtIPU7&amp;usp=drive_copy" TargetMode="External"/><Relationship Id="rId1723" Type="http://schemas.openxmlformats.org/officeDocument/2006/relationships/hyperlink" Target="https://drive.google.com/open?id=16EFPPxEEy1umC8yJfJ4__WKC-w7ab7l6&amp;usp=drive_copy" TargetMode="External"/><Relationship Id="rId1724" Type="http://schemas.openxmlformats.org/officeDocument/2006/relationships/hyperlink" Target="https://drive.google.com/open?id=1N873gqdZkeZG93Lg88yvlkUV9lm5R65a&amp;usp=drive_copy" TargetMode="External"/><Relationship Id="rId1725" Type="http://schemas.openxmlformats.org/officeDocument/2006/relationships/hyperlink" Target="https://drive.google.com/open?id=1pyQhVWPqTdKKUPUpysEL-vR7w-3yzuR6&amp;usp=drive_copy" TargetMode="External"/><Relationship Id="rId1726" Type="http://schemas.openxmlformats.org/officeDocument/2006/relationships/hyperlink" Target="https://drive.google.com/open?id=1ju6ZOj_A3X-OeJkcve6o_qeDDtargPPn&amp;usp=drive_copy" TargetMode="External"/><Relationship Id="rId1727" Type="http://schemas.openxmlformats.org/officeDocument/2006/relationships/hyperlink" Target="https://drive.google.com/open?id=1InTOr1KsIuu6n1L_n0EuNF07mi_kMHN3&amp;usp=drive_copy" TargetMode="External"/><Relationship Id="rId1728" Type="http://schemas.openxmlformats.org/officeDocument/2006/relationships/hyperlink" Target="https://drive.google.com/open?id=1u9-lLUUjmlXSQx1HuGyBLqTtqEpfPWS9&amp;usp=drive_copy" TargetMode="External"/><Relationship Id="rId1729" Type="http://schemas.openxmlformats.org/officeDocument/2006/relationships/hyperlink" Target="https://drive.google.com/open?id=1FYGmitrku8Fbl7PL4bEaO1FNaEMe6JFN&amp;usp=drive_copy" TargetMode="External"/><Relationship Id="rId1752" Type="http://schemas.openxmlformats.org/officeDocument/2006/relationships/hyperlink" Target="https://drive.google.com/open?id=14t1bR0Geh2P0jMB04lNiMUjPmYUC-cLq&amp;usp=drive_copy" TargetMode="External"/><Relationship Id="rId1753" Type="http://schemas.openxmlformats.org/officeDocument/2006/relationships/hyperlink" Target="https://drive.google.com/open?id=1dTPIXd2KVnLqlEjOqzoDXe8i-KnnX7yh&amp;usp=drive_copy" TargetMode="External"/><Relationship Id="rId1754" Type="http://schemas.openxmlformats.org/officeDocument/2006/relationships/hyperlink" Target="https://drive.google.com/open?id=1nlst0JxmfS2Unwo5RUwXEumzNP64jOxV&amp;usp=drive_copy" TargetMode="External"/><Relationship Id="rId1755" Type="http://schemas.openxmlformats.org/officeDocument/2006/relationships/hyperlink" Target="https://drive.google.com/open?id=1O1xIruuzwvMfdgScNeNC7oZetpLEtuR4&amp;usp=drive_copy" TargetMode="External"/><Relationship Id="rId1756" Type="http://schemas.openxmlformats.org/officeDocument/2006/relationships/hyperlink" Target="https://drive.google.com/open?id=1HYWbmVvGmVjBTGegbMrBXnCy_J4SWMdl&amp;usp=drive_copy" TargetMode="External"/><Relationship Id="rId1757" Type="http://schemas.openxmlformats.org/officeDocument/2006/relationships/hyperlink" Target="https://drive.google.com/open?id=1dP6n4ok2YMAJ89OouHLJkJ9K8XHLNETw&amp;usp=drive_copy" TargetMode="External"/><Relationship Id="rId1758" Type="http://schemas.openxmlformats.org/officeDocument/2006/relationships/hyperlink" Target="https://drive.google.com/open?id=1sfIniS45jrHLkQTojFDz7BG9Y4D094oj&amp;usp=drive_copy" TargetMode="External"/><Relationship Id="rId1759" Type="http://schemas.openxmlformats.org/officeDocument/2006/relationships/hyperlink" Target="https://drive.google.com/open?id=1emwwZtdOAn6uYFkMb4-Sz1XJSqZ7nCH6&amp;usp=drive_copy" TargetMode="External"/><Relationship Id="rId808" Type="http://schemas.openxmlformats.org/officeDocument/2006/relationships/hyperlink" Target="https://drive.google.com/open?id=1ToBiRsIdUXq4SfX8SE6khVskU7dwHmdc&amp;usp=drive_copy" TargetMode="External"/><Relationship Id="rId807" Type="http://schemas.openxmlformats.org/officeDocument/2006/relationships/hyperlink" Target="https://drive.google.com/open?id=1zSTzYWLlDVPzR_DmH2AMGSEO7ibLwBiV&amp;usp=drive_copy" TargetMode="External"/><Relationship Id="rId806" Type="http://schemas.openxmlformats.org/officeDocument/2006/relationships/hyperlink" Target="https://drive.google.com/open?id=1lWxOLyOcb_j6uvmztQKvFi03mouD3sqB&amp;usp=drive_copy" TargetMode="External"/><Relationship Id="rId805" Type="http://schemas.openxmlformats.org/officeDocument/2006/relationships/hyperlink" Target="https://drive.google.com/open?id=1h2NsDNX9GCSuP8rUMbw21uLSCz5XEEaf&amp;usp=drive_copy" TargetMode="External"/><Relationship Id="rId809" Type="http://schemas.openxmlformats.org/officeDocument/2006/relationships/hyperlink" Target="https://drive.google.com/open?id=1CRCOslmGo4RINlEvz8zuJESmMRCVaY-m&amp;usp=drive_copy" TargetMode="External"/><Relationship Id="rId800" Type="http://schemas.openxmlformats.org/officeDocument/2006/relationships/hyperlink" Target="https://drive.google.com/open?id=1dBVliGz9V_4ajb1P9U0r-1gwsfOCNmEi&amp;usp=drive_copy" TargetMode="External"/><Relationship Id="rId804" Type="http://schemas.openxmlformats.org/officeDocument/2006/relationships/hyperlink" Target="https://drive.google.com/open?id=1NaVK3jKw__ZCDAMUqyxldPAMwRFtJM-3&amp;usp=drive_copy" TargetMode="External"/><Relationship Id="rId803" Type="http://schemas.openxmlformats.org/officeDocument/2006/relationships/hyperlink" Target="https://drive.google.com/open?id=1bATXFIPWHmYg9RDfS2m0kRzRafeAFm7K&amp;usp=drive_copy" TargetMode="External"/><Relationship Id="rId802" Type="http://schemas.openxmlformats.org/officeDocument/2006/relationships/hyperlink" Target="https://drive.google.com/open?id=1OLwGVxbqhvs6UXHnqCdsHGQpOpWWGQZI&amp;usp=drive_copy" TargetMode="External"/><Relationship Id="rId801" Type="http://schemas.openxmlformats.org/officeDocument/2006/relationships/hyperlink" Target="https://drive.google.com/open?id=1Z-ksumYl7irA82-zhgIkhq4vw-XdpUot&amp;usp=drive_copy" TargetMode="External"/><Relationship Id="rId1750" Type="http://schemas.openxmlformats.org/officeDocument/2006/relationships/hyperlink" Target="https://drive.google.com/open?id=19SU-LyMv5ggAb6vlGnsSn-HfO1nexwhZ&amp;usp=drive_copy" TargetMode="External"/><Relationship Id="rId1751" Type="http://schemas.openxmlformats.org/officeDocument/2006/relationships/hyperlink" Target="https://drive.google.com/open?id=1bKHKJPgxHKwW9mRwTGGhTyNLsdyw3sKN&amp;usp=drive_copy" TargetMode="External"/><Relationship Id="rId1741" Type="http://schemas.openxmlformats.org/officeDocument/2006/relationships/hyperlink" Target="https://drive.google.com/open?id=1-iBRa28EzC9-LXFunIT3G_zHBg-LUJ1x&amp;usp=drive_copy" TargetMode="External"/><Relationship Id="rId1742" Type="http://schemas.openxmlformats.org/officeDocument/2006/relationships/hyperlink" Target="https://drive.google.com/open?id=16trN99M9Rhhey32NSpdxqd6qCljBzfUC&amp;usp=drive_copy" TargetMode="External"/><Relationship Id="rId1743" Type="http://schemas.openxmlformats.org/officeDocument/2006/relationships/hyperlink" Target="https://drive.google.com/open?id=1H91Ch0Z3izPrECowJiBtt13Wl00ctQqL&amp;usp=drive_copy" TargetMode="External"/><Relationship Id="rId1744" Type="http://schemas.openxmlformats.org/officeDocument/2006/relationships/hyperlink" Target="https://drive.google.com/open?id=1cpRpK4iGeKEBG1oYGgJq8r9X-JGeN3Oi&amp;usp=drive_copy" TargetMode="External"/><Relationship Id="rId1745" Type="http://schemas.openxmlformats.org/officeDocument/2006/relationships/hyperlink" Target="https://drive.google.com/open?id=1crJQL_JRl_E5LsDPhVNpzZhyN7fp5VAO&amp;usp=drive_copy" TargetMode="External"/><Relationship Id="rId1746" Type="http://schemas.openxmlformats.org/officeDocument/2006/relationships/hyperlink" Target="https://drive.google.com/open?id=1z87iNHd5lAFJtCP7CQWbG-aspBerHxOw&amp;usp=drive_copy" TargetMode="External"/><Relationship Id="rId1747" Type="http://schemas.openxmlformats.org/officeDocument/2006/relationships/hyperlink" Target="https://drive.google.com/open?id=1W4R7Dt_q67gc0XZN4m_q1WtUpL4Eq88H&amp;usp=drive_copy" TargetMode="External"/><Relationship Id="rId1748" Type="http://schemas.openxmlformats.org/officeDocument/2006/relationships/hyperlink" Target="https://drive.google.com/open?id=1_DQbulIeqKgR8tdO__lGWm98JuP5Dkhu&amp;usp=drive_copy" TargetMode="External"/><Relationship Id="rId1749" Type="http://schemas.openxmlformats.org/officeDocument/2006/relationships/hyperlink" Target="https://drive.google.com/open?id=1huGq5Nk1nJkEtt8kWoqDvwUFi7CDu7Zq&amp;usp=drive_copy" TargetMode="External"/><Relationship Id="rId1740" Type="http://schemas.openxmlformats.org/officeDocument/2006/relationships/hyperlink" Target="https://drive.google.com/open?id=1raQ_NK74G7pK68VIRVSmaDRX9Fz3L5cE&amp;usp=drive_copy" TargetMode="External"/><Relationship Id="rId1710" Type="http://schemas.openxmlformats.org/officeDocument/2006/relationships/hyperlink" Target="https://drive.google.com/open?id=1XKhWTljSFCQqTF16YEMSNO8ykXy858T9&amp;usp=drive_copy" TargetMode="External"/><Relationship Id="rId1711" Type="http://schemas.openxmlformats.org/officeDocument/2006/relationships/hyperlink" Target="https://drive.google.com/open?id=1JvgD_Bz5i6giyKRXMccC0n8287qTl0GF&amp;usp=drive_copy" TargetMode="External"/><Relationship Id="rId1712" Type="http://schemas.openxmlformats.org/officeDocument/2006/relationships/hyperlink" Target="https://drive.google.com/open?id=1EuNUhYxYSG8P6aP194I-d5Lh7xBYaL29&amp;usp=drive_copy" TargetMode="External"/><Relationship Id="rId1713" Type="http://schemas.openxmlformats.org/officeDocument/2006/relationships/hyperlink" Target="https://drive.google.com/open?id=1e9j20mwPp8wVdpKM2TvwsBdYLTMCeUZW&amp;usp=drive_copy" TargetMode="External"/><Relationship Id="rId1714" Type="http://schemas.openxmlformats.org/officeDocument/2006/relationships/hyperlink" Target="https://drive.google.com/open?id=1skwLTsyNNx5ykr_jjxfvWEutDoPV1ZNr&amp;usp=drive_copy" TargetMode="External"/><Relationship Id="rId1715" Type="http://schemas.openxmlformats.org/officeDocument/2006/relationships/hyperlink" Target="https://drive.google.com/open?id=1jHDko7k53lfomKRofWtfBHCL3p62EZw5&amp;usp=drive_copy" TargetMode="External"/><Relationship Id="rId1716" Type="http://schemas.openxmlformats.org/officeDocument/2006/relationships/hyperlink" Target="https://drive.google.com/open?id=1KRNftnLBqdvzC6UMG0CSnzyqjPUq1TVp&amp;usp=drive_copy" TargetMode="External"/><Relationship Id="rId1717" Type="http://schemas.openxmlformats.org/officeDocument/2006/relationships/hyperlink" Target="https://drive.google.com/open?id=1Nskeq0yQ7a06_7sg1N7A1dfNQaWx94zk&amp;usp=drive_copy" TargetMode="External"/><Relationship Id="rId1718" Type="http://schemas.openxmlformats.org/officeDocument/2006/relationships/hyperlink" Target="https://drive.google.com/open?id=1FRI-WImFcDrHZNc2ynCvde0pg7TaDvjR&amp;usp=drive_copy" TargetMode="External"/><Relationship Id="rId1719" Type="http://schemas.openxmlformats.org/officeDocument/2006/relationships/hyperlink" Target="https://drive.google.com/open?id=1yjyXsdATRJU_nzNdy4KQAOJCT4Dyy_4I&amp;usp=drive_copy" TargetMode="External"/><Relationship Id="rId1700" Type="http://schemas.openxmlformats.org/officeDocument/2006/relationships/hyperlink" Target="https://drive.google.com/open?id=1v_HjNeSD5ITw5cmIJ9MIffGCr8F-Itx4&amp;usp=drive_copy" TargetMode="External"/><Relationship Id="rId1701" Type="http://schemas.openxmlformats.org/officeDocument/2006/relationships/hyperlink" Target="https://drive.google.com/open?id=1C1THrHYOXh0E6_iWS18GOlBb55m09i-L&amp;usp=drive_copy" TargetMode="External"/><Relationship Id="rId1702" Type="http://schemas.openxmlformats.org/officeDocument/2006/relationships/hyperlink" Target="https://drive.google.com/open?id=1dmL8EYsL_ByM38q0A8yrpX2IoIJx8e3I&amp;usp=drive_copy" TargetMode="External"/><Relationship Id="rId1703" Type="http://schemas.openxmlformats.org/officeDocument/2006/relationships/hyperlink" Target="https://drive.google.com/open?id=1Cm9iEtipO5F9BqiC3AivB8p8o08Hw09w&amp;usp=drive_copy" TargetMode="External"/><Relationship Id="rId1704" Type="http://schemas.openxmlformats.org/officeDocument/2006/relationships/hyperlink" Target="https://drive.google.com/open?id=1ndD93uMhBWsQ7EFKT8Fl_PGMTniUq6BP&amp;usp=drive_copy" TargetMode="External"/><Relationship Id="rId1705" Type="http://schemas.openxmlformats.org/officeDocument/2006/relationships/hyperlink" Target="https://drive.google.com/open?id=10csNNsH1boB5Bu1BsfewI9GM80Kb1PKA&amp;usp=drive_copy" TargetMode="External"/><Relationship Id="rId1706" Type="http://schemas.openxmlformats.org/officeDocument/2006/relationships/hyperlink" Target="https://drive.google.com/open?id=1xtBm2EQyFmcYnAxu9o8neo3I2mJcLQok&amp;usp=drive_copy" TargetMode="External"/><Relationship Id="rId1707" Type="http://schemas.openxmlformats.org/officeDocument/2006/relationships/hyperlink" Target="https://drive.google.com/open?id=12cPPZ3ZRr1o_uXqPNyBfXxe-Wi1EMTTS&amp;usp=drive_copy" TargetMode="External"/><Relationship Id="rId1708" Type="http://schemas.openxmlformats.org/officeDocument/2006/relationships/hyperlink" Target="https://drive.google.com/open?id=1qQDRTyXAjuYofjTqNUNF8ie3oaTv6MRZ&amp;usp=drive_copy" TargetMode="External"/><Relationship Id="rId1709" Type="http://schemas.openxmlformats.org/officeDocument/2006/relationships/hyperlink" Target="https://drive.google.com/open?id=11ACKw3JrRCHNF7XKcra_hDxyN0cx2JBg&amp;usp=drive_copy" TargetMode="External"/><Relationship Id="rId40" Type="http://schemas.openxmlformats.org/officeDocument/2006/relationships/hyperlink" Target="https://drive.google.com/open?id=1mlFw1DVtiuSR4kSY5gbF0tDHHq8Nsw8H&amp;usp=drive_copy" TargetMode="External"/><Relationship Id="rId1334" Type="http://schemas.openxmlformats.org/officeDocument/2006/relationships/hyperlink" Target="https://drive.google.com/open?id=1HcZ8vq0U-OSQPM1y7l1_YsZSyIsXEOgc&amp;usp=drive_copy" TargetMode="External"/><Relationship Id="rId1335" Type="http://schemas.openxmlformats.org/officeDocument/2006/relationships/hyperlink" Target="https://drive.google.com/open?id=1OJlWCjIxcbvptG2sD1zfM3VN_Rqa0doU&amp;usp=drive_copy" TargetMode="External"/><Relationship Id="rId42" Type="http://schemas.openxmlformats.org/officeDocument/2006/relationships/hyperlink" Target="https://drive.google.com/open?id=1p2QsNJGJM7cIZ18LwhoMMG9cLjl4ALhF&amp;usp=drive_copy" TargetMode="External"/><Relationship Id="rId1336" Type="http://schemas.openxmlformats.org/officeDocument/2006/relationships/hyperlink" Target="https://drive.google.com/open?id=1SqxNbljN9wu88T2NkY_pkf4mozeUiBfE&amp;usp=drive_copy" TargetMode="External"/><Relationship Id="rId41" Type="http://schemas.openxmlformats.org/officeDocument/2006/relationships/hyperlink" Target="https://drive.google.com/open?id=1Qx1QpuUEMXIxH59jRBE591E8Z_rjnMoM&amp;usp=drive_copy" TargetMode="External"/><Relationship Id="rId1337" Type="http://schemas.openxmlformats.org/officeDocument/2006/relationships/hyperlink" Target="https://drive.google.com/open?id=1lWUx2WWa2VNvsuEM9iprJvxpUuU6Y5XP&amp;usp=drive_copy" TargetMode="External"/><Relationship Id="rId44" Type="http://schemas.openxmlformats.org/officeDocument/2006/relationships/hyperlink" Target="https://drive.google.com/open?id=16A36NYPjWUNOWJYzl5-_fwwix_z0Vxxq&amp;usp=drive_copy" TargetMode="External"/><Relationship Id="rId1338" Type="http://schemas.openxmlformats.org/officeDocument/2006/relationships/hyperlink" Target="https://drive.google.com/open?id=1ynNP2UH96ZYn5TRl-J0gQaeOlyGC7sf1&amp;usp=drive_copy" TargetMode="External"/><Relationship Id="rId43" Type="http://schemas.openxmlformats.org/officeDocument/2006/relationships/hyperlink" Target="https://drive.google.com/open?id=1hLhBHdIESFsGgnnOdl4B3UpT3JwoEfgt&amp;usp=drive_copy" TargetMode="External"/><Relationship Id="rId1339" Type="http://schemas.openxmlformats.org/officeDocument/2006/relationships/hyperlink" Target="https://drive.google.com/open?id=1zACUXqI3LDSX1YVVI4PuiyHTft-C68-w&amp;usp=drive_copy" TargetMode="External"/><Relationship Id="rId46" Type="http://schemas.openxmlformats.org/officeDocument/2006/relationships/hyperlink" Target="https://drive.google.com/open?id=1JPepFJMUfhD9AYlqxIvijYKo_PTlT5e8&amp;usp=drive_copy" TargetMode="External"/><Relationship Id="rId45" Type="http://schemas.openxmlformats.org/officeDocument/2006/relationships/hyperlink" Target="https://drive.google.com/open?id=1cTlCsPhga-O22xa_Tin4kPWx-R79pl5w&amp;usp=drive_copy" TargetMode="External"/><Relationship Id="rId745" Type="http://schemas.openxmlformats.org/officeDocument/2006/relationships/hyperlink" Target="https://drive.google.com/open?id=1l-2pQl6NXkk0QoBA9aF5arZeR_cHlVT9&amp;usp=drive_copy" TargetMode="External"/><Relationship Id="rId744" Type="http://schemas.openxmlformats.org/officeDocument/2006/relationships/hyperlink" Target="https://drive.google.com/open?id=16U3SouAdyflFlQ3sFpQrVKakLe_5mELg&amp;usp=drive_copy" TargetMode="External"/><Relationship Id="rId743" Type="http://schemas.openxmlformats.org/officeDocument/2006/relationships/hyperlink" Target="https://drive.google.com/open?id=1dQlyOdkuD1ZY3BAnyGZyjNpGPrcyNBxk&amp;usp=drive_copy" TargetMode="External"/><Relationship Id="rId742" Type="http://schemas.openxmlformats.org/officeDocument/2006/relationships/hyperlink" Target="https://drive.google.com/open?id=1nkfch0RGd589bA_7TPOaVowj6wxsl9uW&amp;usp=drive_copy" TargetMode="External"/><Relationship Id="rId749" Type="http://schemas.openxmlformats.org/officeDocument/2006/relationships/hyperlink" Target="https://drive.google.com/open?id=1x9xVdhQJ_8Yd6Db7iabHXVE8YCG0ZUAB&amp;usp=drive_copy" TargetMode="External"/><Relationship Id="rId748" Type="http://schemas.openxmlformats.org/officeDocument/2006/relationships/hyperlink" Target="https://drive.google.com/open?id=1HrG00Odg_v1J-xlRkaQZ8yxk5BTqsqG3&amp;usp=drive_copy" TargetMode="External"/><Relationship Id="rId747" Type="http://schemas.openxmlformats.org/officeDocument/2006/relationships/hyperlink" Target="https://drive.google.com/open?id=1rN9HsCdqm68ZcMkSLXMFYVRVfL9T7zSQ&amp;usp=drive_copy" TargetMode="External"/><Relationship Id="rId746" Type="http://schemas.openxmlformats.org/officeDocument/2006/relationships/hyperlink" Target="https://drive.google.com/open?id=1iCrRHujnGpFcSY0SFuIFYQ2n3ccA-zzL&amp;usp=drive_copy" TargetMode="External"/><Relationship Id="rId48" Type="http://schemas.openxmlformats.org/officeDocument/2006/relationships/hyperlink" Target="https://drive.google.com/open?id=1R5f6YHqSHtwrzBqyhv95NjmNbq0Jej-n&amp;usp=drive_copy" TargetMode="External"/><Relationship Id="rId47" Type="http://schemas.openxmlformats.org/officeDocument/2006/relationships/hyperlink" Target="https://drive.google.com/open?id=1sH8S6pmeM2p7vZdycUCKYNXyyNmtDopP&amp;usp=drive_copy" TargetMode="External"/><Relationship Id="rId49" Type="http://schemas.openxmlformats.org/officeDocument/2006/relationships/hyperlink" Target="https://drive.google.com/open?id=1dXp5lu5fnkBetRQdM8nuCtIvjhoW34H-&amp;usp=drive_copy" TargetMode="External"/><Relationship Id="rId741" Type="http://schemas.openxmlformats.org/officeDocument/2006/relationships/hyperlink" Target="https://drive.google.com/open?id=1XIV1sYkkHSW8NawJTtZFdDI4hcdZh96s&amp;usp=drive_copy" TargetMode="External"/><Relationship Id="rId1330" Type="http://schemas.openxmlformats.org/officeDocument/2006/relationships/hyperlink" Target="https://drive.google.com/open?id=1AKuXpBStYuB9D7A4c51pct94UClNPvL1&amp;usp=drive_copy" TargetMode="External"/><Relationship Id="rId740" Type="http://schemas.openxmlformats.org/officeDocument/2006/relationships/hyperlink" Target="https://drive.google.com/open?id=1jj2iPGU6BBZ_uAGYVvXgtYoSU02DSSwk&amp;usp=drive_copy" TargetMode="External"/><Relationship Id="rId1331" Type="http://schemas.openxmlformats.org/officeDocument/2006/relationships/hyperlink" Target="https://drive.google.com/open?id=1ullDIobOGCNw5Ai9atCcbexprVFAMOY9&amp;usp=drive_copy" TargetMode="External"/><Relationship Id="rId1332" Type="http://schemas.openxmlformats.org/officeDocument/2006/relationships/hyperlink" Target="https://drive.google.com/open?id=1UPeynq4ceUlX7iABXzGiXDvnpU1SZqcR&amp;usp=drive_copy" TargetMode="External"/><Relationship Id="rId1333" Type="http://schemas.openxmlformats.org/officeDocument/2006/relationships/hyperlink" Target="https://drive.google.com/open?id=1zQdpIajJxuZhQ9v51sC6TmNX7afBh7qZ&amp;usp=drive_copy" TargetMode="External"/><Relationship Id="rId1323" Type="http://schemas.openxmlformats.org/officeDocument/2006/relationships/hyperlink" Target="https://drive.google.com/open?id=1fdsiEVYSrf_1bXxvJfSh1N5QBBLotl9h&amp;usp=drive_copy" TargetMode="External"/><Relationship Id="rId1324" Type="http://schemas.openxmlformats.org/officeDocument/2006/relationships/hyperlink" Target="https://drive.google.com/open?id=1pyBvlv3NPwq5BcFVo4qzlqQnew1xH0t4&amp;usp=drive_copy" TargetMode="External"/><Relationship Id="rId31" Type="http://schemas.openxmlformats.org/officeDocument/2006/relationships/hyperlink" Target="https://drive.google.com/open?id=1t937Hxs0Oopf5mil4ODZ3FsifPVPi1n5&amp;usp=drive_copy" TargetMode="External"/><Relationship Id="rId1325" Type="http://schemas.openxmlformats.org/officeDocument/2006/relationships/hyperlink" Target="https://drive.google.com/open?id=1jzNXiX-e57bmNWE5YE1kCg2UJtATFXQ8&amp;usp=drive_copy" TargetMode="External"/><Relationship Id="rId30" Type="http://schemas.openxmlformats.org/officeDocument/2006/relationships/hyperlink" Target="https://drive.google.com/open?id=1Y7kc48BBXhnKKMqtJKMX5YqzjOWE-9E7&amp;usp=drive_copy" TargetMode="External"/><Relationship Id="rId1326" Type="http://schemas.openxmlformats.org/officeDocument/2006/relationships/hyperlink" Target="https://drive.google.com/open?id=14UowFiByW_tgpKJIV2MoZM8XSIe8CRmX&amp;usp=drive_copy" TargetMode="External"/><Relationship Id="rId33" Type="http://schemas.openxmlformats.org/officeDocument/2006/relationships/hyperlink" Target="https://drive.google.com/open?id=1AgZR-QKiU6gfsLlFDpNQ3jKiDZJw3a2X&amp;usp=drive_copy" TargetMode="External"/><Relationship Id="rId1327" Type="http://schemas.openxmlformats.org/officeDocument/2006/relationships/hyperlink" Target="https://drive.google.com/open?id=14ZVvgiM6wFRVtpuLzHEAdQDaxLJHCM55&amp;usp=drive_copy" TargetMode="External"/><Relationship Id="rId32" Type="http://schemas.openxmlformats.org/officeDocument/2006/relationships/hyperlink" Target="https://drive.google.com/open?id=1PuNutAbQGVfdpgFn39R3zO_dWEScktzN&amp;usp=drive_copy" TargetMode="External"/><Relationship Id="rId1328" Type="http://schemas.openxmlformats.org/officeDocument/2006/relationships/hyperlink" Target="https://drive.google.com/open?id=1Z1vE-j0Xj7SqX3zoQh3Db5VMXs5RPNca&amp;usp=drive_copy" TargetMode="External"/><Relationship Id="rId35" Type="http://schemas.openxmlformats.org/officeDocument/2006/relationships/hyperlink" Target="https://drive.google.com/open?id=1gMES6o4Xl_RkTLklZQGi2EhB48dLV43h&amp;usp=drive_copy" TargetMode="External"/><Relationship Id="rId1329" Type="http://schemas.openxmlformats.org/officeDocument/2006/relationships/hyperlink" Target="https://drive.google.com/open?id=1fzikWGkatkOhiW65KPi6-ryFhRwgHeLK&amp;usp=drive_copy" TargetMode="External"/><Relationship Id="rId34" Type="http://schemas.openxmlformats.org/officeDocument/2006/relationships/hyperlink" Target="https://drive.google.com/open?id=1niBPSXGtLpO5DuNMlqDuS6Y20C0zH4p7&amp;usp=drive_copy" TargetMode="External"/><Relationship Id="rId739" Type="http://schemas.openxmlformats.org/officeDocument/2006/relationships/hyperlink" Target="https://drive.google.com/open?id=1oYBsGHr2Wg-qh36NUYX6Y8IbBqV6a-qL&amp;usp=drive_copy" TargetMode="External"/><Relationship Id="rId734" Type="http://schemas.openxmlformats.org/officeDocument/2006/relationships/hyperlink" Target="https://drive.google.com/open?id=1dAy5tFC9XFmCyuIW3qGYIeELqsOtszTV&amp;usp=drive_copy" TargetMode="External"/><Relationship Id="rId733" Type="http://schemas.openxmlformats.org/officeDocument/2006/relationships/hyperlink" Target="https://drive.google.com/open?id=1p3T1CZDbzrhISYZNt79AAOEQISJxe_n6&amp;usp=drive_copy" TargetMode="External"/><Relationship Id="rId732" Type="http://schemas.openxmlformats.org/officeDocument/2006/relationships/hyperlink" Target="https://drive.google.com/open?id=1piwxGR7HVcnFE8urwBMVm9s0lyvpISV0&amp;usp=drive_copy" TargetMode="External"/><Relationship Id="rId731" Type="http://schemas.openxmlformats.org/officeDocument/2006/relationships/hyperlink" Target="https://drive.google.com/open?id=1ej0HyueXGKsg8y2JylMYwLKPPx8CYLAn&amp;usp=drive_copy" TargetMode="External"/><Relationship Id="rId738" Type="http://schemas.openxmlformats.org/officeDocument/2006/relationships/hyperlink" Target="https://drive.google.com/open?id=1OtvMZvNAuu6FevZPKT1xoalXTRTJrbGl&amp;usp=drive_copy" TargetMode="External"/><Relationship Id="rId737" Type="http://schemas.openxmlformats.org/officeDocument/2006/relationships/hyperlink" Target="https://drive.google.com/open?id=1VeBxgv48ZTUTK4iZT5Hoi2HBAIp9ESIR&amp;usp=drive_copy" TargetMode="External"/><Relationship Id="rId736" Type="http://schemas.openxmlformats.org/officeDocument/2006/relationships/hyperlink" Target="https://drive.google.com/open?id=1sNVekpBekJTs84BvtSCTI578Idddp6ME&amp;usp=drive_copy" TargetMode="External"/><Relationship Id="rId735" Type="http://schemas.openxmlformats.org/officeDocument/2006/relationships/hyperlink" Target="https://drive.google.com/open?id=1UCLuj-bFtijqzwvhXeQp87frT-rerHrZ&amp;usp=drive_copy" TargetMode="External"/><Relationship Id="rId37" Type="http://schemas.openxmlformats.org/officeDocument/2006/relationships/hyperlink" Target="https://drive.google.com/open?id=1Ve04yvSSVSdtaBnje-jBvWdD7BHa5FB4&amp;usp=drive_copy" TargetMode="External"/><Relationship Id="rId36" Type="http://schemas.openxmlformats.org/officeDocument/2006/relationships/hyperlink" Target="https://drive.google.com/open?id=1OGZTA8HhzfASJYVWjyyRM1L1fEyw0Suq&amp;usp=drive_copy" TargetMode="External"/><Relationship Id="rId39" Type="http://schemas.openxmlformats.org/officeDocument/2006/relationships/hyperlink" Target="https://drive.google.com/open?id=1ghbXfZw01aHdFDYu5Q0gFAMdXjJWjx6e&amp;usp=drive_copy" TargetMode="External"/><Relationship Id="rId38" Type="http://schemas.openxmlformats.org/officeDocument/2006/relationships/hyperlink" Target="https://drive.google.com/open?id=13Vfjdd-ELfeNzNH06svi7D26bvFob38t&amp;usp=drive_copy" TargetMode="External"/><Relationship Id="rId730" Type="http://schemas.openxmlformats.org/officeDocument/2006/relationships/hyperlink" Target="https://drive.google.com/open?id=1PRXujciDhd_q4xOqJfZt1XD2r12gzXz0&amp;usp=drive_copy" TargetMode="External"/><Relationship Id="rId1320" Type="http://schemas.openxmlformats.org/officeDocument/2006/relationships/hyperlink" Target="https://drive.google.com/open?id=1KYywvT4M62advI1wBFbFMMtLY8nlYsN_&amp;usp=drive_copy" TargetMode="External"/><Relationship Id="rId1321" Type="http://schemas.openxmlformats.org/officeDocument/2006/relationships/hyperlink" Target="https://drive.google.com/open?id=17PfX1mE1uVlMNKa5QNkvJBAdyFP-xTec&amp;usp=drive_copy" TargetMode="External"/><Relationship Id="rId1322" Type="http://schemas.openxmlformats.org/officeDocument/2006/relationships/hyperlink" Target="https://drive.google.com/open?id=1HnE-JqfV4ofMm7bpQxQDjFat5vl1wma1&amp;usp=drive_copy" TargetMode="External"/><Relationship Id="rId1356" Type="http://schemas.openxmlformats.org/officeDocument/2006/relationships/hyperlink" Target="https://drive.google.com/open?id=1YoF_WHCBbxnsXQBwRQj8B8i2Id8jHfjx&amp;usp=drive_copy" TargetMode="External"/><Relationship Id="rId2203" Type="http://schemas.openxmlformats.org/officeDocument/2006/relationships/hyperlink" Target="https://drive.google.com/open?id=1Acw66y11Zt-s43Ma_-JY9zwLVHa1j5kl&amp;usp=drive_copy" TargetMode="External"/><Relationship Id="rId1357" Type="http://schemas.openxmlformats.org/officeDocument/2006/relationships/hyperlink" Target="https://drive.google.com/open?id=1TxvDMlJBs7Iin0tWUEmEHAHMAvsMF5tr&amp;usp=drive_copy" TargetMode="External"/><Relationship Id="rId2204" Type="http://schemas.openxmlformats.org/officeDocument/2006/relationships/hyperlink" Target="https://drive.google.com/open?id=1MuqfKEuXPVnp2cNDnb2MTPN1HRNx4Wjm&amp;usp=drive_copy" TargetMode="External"/><Relationship Id="rId20" Type="http://schemas.openxmlformats.org/officeDocument/2006/relationships/hyperlink" Target="https://drive.google.com/open?id=1X83otwp0ZllGog_fXjXrYyoVDsJDfwNB&amp;usp=drive_copy" TargetMode="External"/><Relationship Id="rId1358" Type="http://schemas.openxmlformats.org/officeDocument/2006/relationships/hyperlink" Target="https://drive.google.com/open?id=10Aie7R9PkTRovT4xtKJsAdgMhEsMpE5P&amp;usp=drive_copy" TargetMode="External"/><Relationship Id="rId2205" Type="http://schemas.openxmlformats.org/officeDocument/2006/relationships/hyperlink" Target="https://drive.google.com/open?id=1PMTPmDXv2q_DI-fLDWu7nN9T2-y5MyyS&amp;usp=drive_copy" TargetMode="External"/><Relationship Id="rId1359" Type="http://schemas.openxmlformats.org/officeDocument/2006/relationships/hyperlink" Target="https://drive.google.com/open?id=1hTvUpS73sIf7znTwEjHcRFdu1ll0YxIc&amp;usp=drive_copy" TargetMode="External"/><Relationship Id="rId2206" Type="http://schemas.openxmlformats.org/officeDocument/2006/relationships/hyperlink" Target="https://drive.google.com/open?id=15T3x8CrNxXEqB173C_TWFSItivXtgEv9&amp;usp=drive_copy" TargetMode="External"/><Relationship Id="rId22" Type="http://schemas.openxmlformats.org/officeDocument/2006/relationships/hyperlink" Target="https://drive.google.com/open?id=1tDFfr2yTYoj3sf11ackAMxcsxMjcOQiZ&amp;usp=drive_copy" TargetMode="External"/><Relationship Id="rId2207" Type="http://schemas.openxmlformats.org/officeDocument/2006/relationships/hyperlink" Target="https://drive.google.com/open?id=1sXizm7Rx4pIcC3mlbxRlKSIqctAmFjku&amp;usp=drive_copy" TargetMode="External"/><Relationship Id="rId21" Type="http://schemas.openxmlformats.org/officeDocument/2006/relationships/hyperlink" Target="https://drive.google.com/open?id=1c5YEwRtbElYmbF7alJyKTvVfeeRVyTXc&amp;usp=drive_copy" TargetMode="External"/><Relationship Id="rId2208" Type="http://schemas.openxmlformats.org/officeDocument/2006/relationships/hyperlink" Target="https://drive.google.com/open?id=18r35F0QzZ-IsgFb21xS4W79SQ9WgwUWs&amp;usp=drive_copy" TargetMode="External"/><Relationship Id="rId24" Type="http://schemas.openxmlformats.org/officeDocument/2006/relationships/hyperlink" Target="https://drive.google.com/open?id=1JD0wVFnA5Tr3CBmONq0iywpKItzJMWbl&amp;usp=drive_copy" TargetMode="External"/><Relationship Id="rId2209" Type="http://schemas.openxmlformats.org/officeDocument/2006/relationships/hyperlink" Target="https://drive.google.com/open?id=1ofj_iMzqp8iAXrAw8DPahyLclqPgiV8J&amp;usp=drive_copy" TargetMode="External"/><Relationship Id="rId23" Type="http://schemas.openxmlformats.org/officeDocument/2006/relationships/hyperlink" Target="https://drive.google.com/open?id=1RTVK5XskvGavNr1dNM3eu0hGe79qLdVQ&amp;usp=drive_copy" TargetMode="External"/><Relationship Id="rId767" Type="http://schemas.openxmlformats.org/officeDocument/2006/relationships/hyperlink" Target="https://drive.google.com/open?id=1TH5Iwkf_eG1Vb6oaM89kKJq9vpC4XO4i&amp;usp=drive_copy" TargetMode="External"/><Relationship Id="rId766" Type="http://schemas.openxmlformats.org/officeDocument/2006/relationships/hyperlink" Target="https://drive.google.com/open?id=1UiLsCDjT-Bf38rmpGuUCenxiysg4tmc2&amp;usp=drive_copy" TargetMode="External"/><Relationship Id="rId765" Type="http://schemas.openxmlformats.org/officeDocument/2006/relationships/hyperlink" Target="https://drive.google.com/open?id=17kInR2_XgXKMqPk90Q3-xKObPZdewSVK&amp;usp=drive_copy" TargetMode="External"/><Relationship Id="rId764" Type="http://schemas.openxmlformats.org/officeDocument/2006/relationships/hyperlink" Target="https://drive.google.com/open?id=1GD3WlyBAKr1ecu_cUhG-C-bo_8QP0TiP&amp;usp=drive_copy" TargetMode="External"/><Relationship Id="rId769" Type="http://schemas.openxmlformats.org/officeDocument/2006/relationships/hyperlink" Target="https://drive.google.com/open?id=1XnA6ZuV98qdgI_wpNII4rHKHDNXy96LM&amp;usp=drive_copy" TargetMode="External"/><Relationship Id="rId768" Type="http://schemas.openxmlformats.org/officeDocument/2006/relationships/hyperlink" Target="https://drive.google.com/open?id=1q0neRFUSM_U81wLdvPewWpCaQPA-SUp2&amp;usp=drive_copy" TargetMode="External"/><Relationship Id="rId26" Type="http://schemas.openxmlformats.org/officeDocument/2006/relationships/hyperlink" Target="https://drive.google.com/open?id=1jeabLCccUG9n6k_f4KS5PhZi0O4EAJeS&amp;usp=drive_copy" TargetMode="External"/><Relationship Id="rId25" Type="http://schemas.openxmlformats.org/officeDocument/2006/relationships/hyperlink" Target="https://drive.google.com/open?id=1_pDAhpG8MI7Uxh0J9kjD5UeCcTBVBSWT&amp;usp=drive_copy" TargetMode="External"/><Relationship Id="rId28" Type="http://schemas.openxmlformats.org/officeDocument/2006/relationships/hyperlink" Target="https://drive.google.com/open?id=1D2HDcWfvU_x845rNttH_o72HMfqAQEgC&amp;usp=drive_copy" TargetMode="External"/><Relationship Id="rId1350" Type="http://schemas.openxmlformats.org/officeDocument/2006/relationships/hyperlink" Target="https://drive.google.com/open?id=1yQO3fv6LhvTqYT24vXHIONbKm3dmURUr&amp;usp=drive_copy" TargetMode="External"/><Relationship Id="rId27" Type="http://schemas.openxmlformats.org/officeDocument/2006/relationships/hyperlink" Target="https://drive.google.com/open?id=1cSucx7uowirI_COXnpiOV07-OVr1291A&amp;usp=drive_copy" TargetMode="External"/><Relationship Id="rId1351" Type="http://schemas.openxmlformats.org/officeDocument/2006/relationships/hyperlink" Target="https://drive.google.com/open?id=1S7K4BnJpoegOU4TB-Nxure68niXNhO6i&amp;usp=drive_copy" TargetMode="External"/><Relationship Id="rId763" Type="http://schemas.openxmlformats.org/officeDocument/2006/relationships/hyperlink" Target="https://drive.google.com/open?id=1nL7tuHgJvZK39-dkHS4bGsGCcl3J5BSO&amp;usp=drive_copy" TargetMode="External"/><Relationship Id="rId1352" Type="http://schemas.openxmlformats.org/officeDocument/2006/relationships/hyperlink" Target="https://drive.google.com/open?id=1TVy69CWNDHhjXFlTbrQ0FTorV75UOlji&amp;usp=drive_copy" TargetMode="External"/><Relationship Id="rId29" Type="http://schemas.openxmlformats.org/officeDocument/2006/relationships/hyperlink" Target="https://drive.google.com/open?id=1rEpfzWgsyCkE9m6d-3qEyZOcW6P1Q4T-&amp;usp=drive_copy" TargetMode="External"/><Relationship Id="rId762" Type="http://schemas.openxmlformats.org/officeDocument/2006/relationships/hyperlink" Target="https://drive.google.com/open?id=1qXic-PtV27pTDoMabdXrUHLA6_6Lyujx&amp;usp=drive_copy" TargetMode="External"/><Relationship Id="rId1353" Type="http://schemas.openxmlformats.org/officeDocument/2006/relationships/hyperlink" Target="https://drive.google.com/open?id=1Mb_6BCBrPusvgItheoSlLC5RylHnpHqV&amp;usp=drive_copy" TargetMode="External"/><Relationship Id="rId2200" Type="http://schemas.openxmlformats.org/officeDocument/2006/relationships/hyperlink" Target="https://drive.google.com/open?id=1jbexIsJOClIe1TfJUXG_2dXkl9_uXK6I&amp;usp=drive_copy" TargetMode="External"/><Relationship Id="rId761" Type="http://schemas.openxmlformats.org/officeDocument/2006/relationships/hyperlink" Target="https://drive.google.com/open?id=1SSwSYTqQk_aBGBa9_Xt971Pw3n_4ra27&amp;usp=drive_copy" TargetMode="External"/><Relationship Id="rId1354" Type="http://schemas.openxmlformats.org/officeDocument/2006/relationships/hyperlink" Target="https://drive.google.com/open?id=1bFR9h7bvA4Ojs2org-iq6MLRHR8fS-sv&amp;usp=drive_copy" TargetMode="External"/><Relationship Id="rId2201" Type="http://schemas.openxmlformats.org/officeDocument/2006/relationships/hyperlink" Target="https://drive.google.com/open?id=1RGCDaubd8MfgX17VF62iL2Wve34vR-ed&amp;usp=drive_copy" TargetMode="External"/><Relationship Id="rId760" Type="http://schemas.openxmlformats.org/officeDocument/2006/relationships/hyperlink" Target="https://drive.google.com/open?id=1p9FR0x0Bw3SG1SMuEzkjNRRzJNif9TVD&amp;usp=drive_copy" TargetMode="External"/><Relationship Id="rId1355" Type="http://schemas.openxmlformats.org/officeDocument/2006/relationships/hyperlink" Target="https://drive.google.com/open?id=1-1CpMZiHxdRRtbN8x5fsOSVTkjG4dwg3&amp;usp=drive_copy" TargetMode="External"/><Relationship Id="rId2202" Type="http://schemas.openxmlformats.org/officeDocument/2006/relationships/hyperlink" Target="https://drive.google.com/open?id=1g8WGpcypz7CmqwyL3SaH09yBOOG_CDvq&amp;usp=drive_copy" TargetMode="External"/><Relationship Id="rId1345" Type="http://schemas.openxmlformats.org/officeDocument/2006/relationships/hyperlink" Target="https://drive.google.com/open?id=1ogVi6jQ9ifQouvVLWy8xwDGWxxtTO5Uo&amp;usp=drive_copy" TargetMode="External"/><Relationship Id="rId1346" Type="http://schemas.openxmlformats.org/officeDocument/2006/relationships/hyperlink" Target="https://drive.google.com/open?id=1aWuAP3FEz-A4IeZeTlvmB13IOgCtEl9i&amp;usp=drive_copy" TargetMode="External"/><Relationship Id="rId1347" Type="http://schemas.openxmlformats.org/officeDocument/2006/relationships/hyperlink" Target="https://drive.google.com/open?id=13JmoeNnIUUAL60HPYsaaQfsGz_8_6I2X&amp;usp=drive_copy" TargetMode="External"/><Relationship Id="rId1348" Type="http://schemas.openxmlformats.org/officeDocument/2006/relationships/hyperlink" Target="https://drive.google.com/open?id=1lK8RPaHTZpUG3H6_y17ipx97EfW-bcHp&amp;usp=drive_copy" TargetMode="External"/><Relationship Id="rId11" Type="http://schemas.openxmlformats.org/officeDocument/2006/relationships/hyperlink" Target="https://drive.google.com/open?id=1i51Cb3qUMIe5GtzwXfpk6auxecJ4IoSZ&amp;usp=drive_copy" TargetMode="External"/><Relationship Id="rId1349" Type="http://schemas.openxmlformats.org/officeDocument/2006/relationships/hyperlink" Target="https://drive.google.com/open?id=1y8JOax2RbsTCbuwh32OIpn3EXer3Xqnc&amp;usp=drive_copy" TargetMode="External"/><Relationship Id="rId10" Type="http://schemas.openxmlformats.org/officeDocument/2006/relationships/hyperlink" Target="https://drive.google.com/file/d/1IqBdp_qmWD2Q6K49UPQbH26C-QOYS4ns/view?usp=drive_link" TargetMode="External"/><Relationship Id="rId13" Type="http://schemas.openxmlformats.org/officeDocument/2006/relationships/hyperlink" Target="https://drive.google.com/open?id=1JiTH66PEgKf9kNQ4WbWVhXDhzOfwdLpB&amp;usp=drive_copy" TargetMode="External"/><Relationship Id="rId12" Type="http://schemas.openxmlformats.org/officeDocument/2006/relationships/hyperlink" Target="https://drive.google.com/open?id=1a5omir4s1CQShkmBZ_R-iVSKUOk3FDqq&amp;usp=drive_copy" TargetMode="External"/><Relationship Id="rId756" Type="http://schemas.openxmlformats.org/officeDocument/2006/relationships/hyperlink" Target="https://drive.google.com/open?id=1Y6LCvfxEEqCKe4ll6Lm-MHS4XudRPixD&amp;usp=drive_copy" TargetMode="External"/><Relationship Id="rId755" Type="http://schemas.openxmlformats.org/officeDocument/2006/relationships/hyperlink" Target="https://drive.google.com/open?id=1c4J0T9Ldl5A-FxNMIkbSE-FnpBYXqvUj&amp;usp=drive_copy" TargetMode="External"/><Relationship Id="rId754" Type="http://schemas.openxmlformats.org/officeDocument/2006/relationships/hyperlink" Target="https://drive.google.com/open?id=1Mm7HvZJwUpipgJMAusai1lc-_C1o98eK&amp;usp=drive_copy" TargetMode="External"/><Relationship Id="rId753" Type="http://schemas.openxmlformats.org/officeDocument/2006/relationships/hyperlink" Target="https://drive.google.com/open?id=1ipuDqyVvLX9ZMp3wOJ-vR0kZV2R75YAh&amp;usp=drive_copy" TargetMode="External"/><Relationship Id="rId759" Type="http://schemas.openxmlformats.org/officeDocument/2006/relationships/hyperlink" Target="https://drive.google.com/open?id=10jCqEYIYtCCOWrzZUZZvrPrwgTve-RY1&amp;usp=drive_copy" TargetMode="External"/><Relationship Id="rId758" Type="http://schemas.openxmlformats.org/officeDocument/2006/relationships/hyperlink" Target="https://drive.google.com/open?id=1W7K6ejxOXQiv9Qif_9zhpJdMyxcLzCsx&amp;usp=drive_copy" TargetMode="External"/><Relationship Id="rId757" Type="http://schemas.openxmlformats.org/officeDocument/2006/relationships/hyperlink" Target="https://drive.google.com/open?id=142jz5WcXAz_uOWXaD4RVlPOcWfZfhx-0&amp;usp=drive_copy" TargetMode="External"/><Relationship Id="rId15" Type="http://schemas.openxmlformats.org/officeDocument/2006/relationships/hyperlink" Target="https://drive.google.com/open?id=1RB6Y-4pC8zldvufCdBOAhFZwI4HmGd8T&amp;usp=drive_copy" TargetMode="External"/><Relationship Id="rId14" Type="http://schemas.openxmlformats.org/officeDocument/2006/relationships/hyperlink" Target="https://drive.google.com/open?id=1N66fdF82XjQ_dUvFG-abD4rorcKdRsTS&amp;usp=drive_copy" TargetMode="External"/><Relationship Id="rId17" Type="http://schemas.openxmlformats.org/officeDocument/2006/relationships/hyperlink" Target="https://drive.google.com/open?id=1D0wKE2_v5Rbr9lF6xIJNtnHQdmuRYnJf&amp;usp=drive_copy" TargetMode="External"/><Relationship Id="rId16" Type="http://schemas.openxmlformats.org/officeDocument/2006/relationships/hyperlink" Target="https://drive.google.com/open?id=182Fuf-NKtga1f3zMli0KEOVMlEcEnVsP&amp;usp=drive_copy" TargetMode="External"/><Relationship Id="rId1340" Type="http://schemas.openxmlformats.org/officeDocument/2006/relationships/hyperlink" Target="https://drive.google.com/open?id=1-AZDg18PCkCzk8zdK62rf2KYjW7o3l0f&amp;usp=drive_copy" TargetMode="External"/><Relationship Id="rId19" Type="http://schemas.openxmlformats.org/officeDocument/2006/relationships/hyperlink" Target="https://drive.google.com/open?id=1r2B70bOHF7nQgDPCMvvkA0YLP5nVXMwW&amp;usp=drive_copy" TargetMode="External"/><Relationship Id="rId752" Type="http://schemas.openxmlformats.org/officeDocument/2006/relationships/hyperlink" Target="https://drive.google.com/open?id=1h-MxGJlEtdnJHqxXAxUrLSWL7v8d4I_t&amp;usp=drive_copy" TargetMode="External"/><Relationship Id="rId1341" Type="http://schemas.openxmlformats.org/officeDocument/2006/relationships/hyperlink" Target="https://drive.google.com/open?id=1TXf4SKPhZlT5p1a3BhvHtN1knE25C4cC&amp;usp=drive_copy" TargetMode="External"/><Relationship Id="rId18" Type="http://schemas.openxmlformats.org/officeDocument/2006/relationships/hyperlink" Target="https://drive.google.com/open?id=1RGHoZoipyb7YD7HNbrVk0z2-DCOW__vi&amp;usp=drive_copy" TargetMode="External"/><Relationship Id="rId751" Type="http://schemas.openxmlformats.org/officeDocument/2006/relationships/hyperlink" Target="https://drive.google.com/open?id=1IgXS3ltY0q9ECa2LhAg9MnhiwTJUAltN&amp;usp=drive_copy" TargetMode="External"/><Relationship Id="rId1342" Type="http://schemas.openxmlformats.org/officeDocument/2006/relationships/hyperlink" Target="https://drive.google.com/open?id=17N9gS1s-BygAgjEgo-Suv7keIMcLf2y0&amp;usp=drive_copy" TargetMode="External"/><Relationship Id="rId750" Type="http://schemas.openxmlformats.org/officeDocument/2006/relationships/hyperlink" Target="https://drive.google.com/open?id=1SnSB_eLoNRJ3xPhLnp1FrnKNt7QlYtU0&amp;usp=drive_copy" TargetMode="External"/><Relationship Id="rId1343" Type="http://schemas.openxmlformats.org/officeDocument/2006/relationships/hyperlink" Target="https://drive.google.com/open?id=13sWN4GH2sa2hrQBh4u53N3qU2SYC1Op0&amp;usp=drive_copy" TargetMode="External"/><Relationship Id="rId1344" Type="http://schemas.openxmlformats.org/officeDocument/2006/relationships/hyperlink" Target="https://drive.google.com/open?id=1BWDk369f5G1O7xR3W9ElVNXZQaZKGPsv&amp;usp=drive_copy" TargetMode="External"/><Relationship Id="rId84" Type="http://schemas.openxmlformats.org/officeDocument/2006/relationships/hyperlink" Target="https://drive.google.com/open?id=13rPISqaj6RSqF9A7T69z3aaxny7S4wqK&amp;usp=drive_copy" TargetMode="External"/><Relationship Id="rId1774" Type="http://schemas.openxmlformats.org/officeDocument/2006/relationships/hyperlink" Target="https://drive.google.com/open?id=1ShwmoVgnt3UFfE5FPCPfsYmMrTJ2Pysa&amp;usp=drive_copy" TargetMode="External"/><Relationship Id="rId83" Type="http://schemas.openxmlformats.org/officeDocument/2006/relationships/hyperlink" Target="https://drive.google.com/open?id=1Fhn2W3XqcjQEB-JIckmpzw95rhGfRZIG&amp;usp=drive_copy" TargetMode="External"/><Relationship Id="rId1775" Type="http://schemas.openxmlformats.org/officeDocument/2006/relationships/hyperlink" Target="https://drive.google.com/open?id=1HycQHg8-Y6LcwGW0C8YG63w_W25yneNQ&amp;usp=drive_copy" TargetMode="External"/><Relationship Id="rId86" Type="http://schemas.openxmlformats.org/officeDocument/2006/relationships/hyperlink" Target="https://drive.google.com/file/d/17GNUJWXmtsIjcPZk833RuNT8SkZze2YJ/view?usp=drive_link" TargetMode="External"/><Relationship Id="rId1776" Type="http://schemas.openxmlformats.org/officeDocument/2006/relationships/hyperlink" Target="https://drive.google.com/open?id=1gpcREWrr_cYLps3Ydw2lzOXwvK3uE9iS&amp;usp=drive_copy" TargetMode="External"/><Relationship Id="rId85" Type="http://schemas.openxmlformats.org/officeDocument/2006/relationships/hyperlink" Target="https://drive.google.com/open?id=1aGPIAihXNty96kusomLjisstKr89Ce2W&amp;usp=drive_copy" TargetMode="External"/><Relationship Id="rId1777" Type="http://schemas.openxmlformats.org/officeDocument/2006/relationships/hyperlink" Target="https://drive.google.com/open?id=1q0511rnj3ohG6aPtcRU3IrPbBa1deJpR&amp;usp=drive_copy" TargetMode="External"/><Relationship Id="rId88" Type="http://schemas.openxmlformats.org/officeDocument/2006/relationships/hyperlink" Target="https://drive.google.com/open?id=15e4gD-HG5Zc8fDlDOxl7QdcAoxsrYnAu&amp;usp=drive_copy" TargetMode="External"/><Relationship Id="rId1778" Type="http://schemas.openxmlformats.org/officeDocument/2006/relationships/hyperlink" Target="https://drive.google.com/open?id=1bNlLdQSqBXMxngDQNMw9lK0PSTxqinAN&amp;usp=drive_copy" TargetMode="External"/><Relationship Id="rId87" Type="http://schemas.openxmlformats.org/officeDocument/2006/relationships/hyperlink" Target="https://drive.google.com/open?id=18oVKw7YUP23ZBm-kJeobEG2lnGbEQPse&amp;usp=drive_copy" TargetMode="External"/><Relationship Id="rId1779" Type="http://schemas.openxmlformats.org/officeDocument/2006/relationships/hyperlink" Target="https://drive.google.com/open?id=1OKv99pAVt6ZsB2VNLRx6ac-GtMmqfL2P&amp;usp=drive_copy" TargetMode="External"/><Relationship Id="rId89" Type="http://schemas.openxmlformats.org/officeDocument/2006/relationships/hyperlink" Target="https://drive.google.com/open?id=1wLpP22RCZZHDV5Qz6dZ2KfQns9WzUg85&amp;usp=drive_copy" TargetMode="External"/><Relationship Id="rId709" Type="http://schemas.openxmlformats.org/officeDocument/2006/relationships/hyperlink" Target="https://drive.google.com/open?id=1_oj9sQwIXbr143My9T9fjM1Q_UvJmAc2&amp;usp=drive_copy" TargetMode="External"/><Relationship Id="rId708" Type="http://schemas.openxmlformats.org/officeDocument/2006/relationships/hyperlink" Target="https://drive.google.com/open?id=1yOGoJG0Ir4nKqDhG4sngOYJS0Sd37ten&amp;usp=drive_copy" TargetMode="External"/><Relationship Id="rId707" Type="http://schemas.openxmlformats.org/officeDocument/2006/relationships/hyperlink" Target="https://drive.google.com/open?id=13Si1UFSbNljRNi1-IVJMwLte1K9DPncC&amp;usp=drive_copy" TargetMode="External"/><Relationship Id="rId706" Type="http://schemas.openxmlformats.org/officeDocument/2006/relationships/hyperlink" Target="https://drive.google.com/open?id=1hC4zHlFxsvNoH14mk9ZBA1Pd0ulG6vEe&amp;usp=drive_copy" TargetMode="External"/><Relationship Id="rId80" Type="http://schemas.openxmlformats.org/officeDocument/2006/relationships/hyperlink" Target="https://drive.google.com/open?id=1VWrn3QjB4c0UHVr0xRBbG3gklVDNt60A&amp;usp=drive_copy" TargetMode="External"/><Relationship Id="rId82" Type="http://schemas.openxmlformats.org/officeDocument/2006/relationships/hyperlink" Target="https://drive.google.com/open?id=1TB-wh4K_9B_DLKXhIAZuPi58DQmJK6Yp&amp;usp=drive_copy" TargetMode="External"/><Relationship Id="rId81" Type="http://schemas.openxmlformats.org/officeDocument/2006/relationships/hyperlink" Target="https://drive.google.com/open?id=1YR5E6KBEEJEp73vNqICNFA35FUzDuVEv&amp;usp=drive_copy" TargetMode="External"/><Relationship Id="rId701" Type="http://schemas.openxmlformats.org/officeDocument/2006/relationships/hyperlink" Target="https://drive.google.com/open?id=1hOWIZC-bJ6Yy1UNQmHZfkQ_TA76LskET&amp;usp=drive_copy" TargetMode="External"/><Relationship Id="rId700" Type="http://schemas.openxmlformats.org/officeDocument/2006/relationships/hyperlink" Target="https://drive.google.com/open?id=1J4sQ4ES-FQk8fomZqtkhim4-IE8CGJER&amp;usp=drive_copy" TargetMode="External"/><Relationship Id="rId705" Type="http://schemas.openxmlformats.org/officeDocument/2006/relationships/hyperlink" Target="https://drive.google.com/open?id=1g5Mnkn3EhQUGPDOmLIMbIpngZx2Bv5lS&amp;usp=drive_copy" TargetMode="External"/><Relationship Id="rId704" Type="http://schemas.openxmlformats.org/officeDocument/2006/relationships/hyperlink" Target="https://drive.google.com/open?id=11qSuFau9ktc71lsxIP8KdQwPSYCBVfK9&amp;usp=drive_copy" TargetMode="External"/><Relationship Id="rId703" Type="http://schemas.openxmlformats.org/officeDocument/2006/relationships/hyperlink" Target="https://drive.google.com/open?id=1-Oy-82r00VeWIAa57t_vpbrzmoAJXpfW&amp;usp=drive_copy" TargetMode="External"/><Relationship Id="rId702" Type="http://schemas.openxmlformats.org/officeDocument/2006/relationships/hyperlink" Target="https://drive.google.com/open?id=1cFUsnn-1xPlBc90h8-pr_9uypqiGrCln&amp;usp=drive_copy" TargetMode="External"/><Relationship Id="rId1770" Type="http://schemas.openxmlformats.org/officeDocument/2006/relationships/hyperlink" Target="https://drive.google.com/open?id=1si5NRQXUbg6Z7XvQ_YlCWQlV1NBbBDBP&amp;usp=drive_copy" TargetMode="External"/><Relationship Id="rId1771" Type="http://schemas.openxmlformats.org/officeDocument/2006/relationships/hyperlink" Target="https://drive.google.com/open?id=1x4kbxjReWeiiQGVQFRnTs7YStTSQbjEN&amp;usp=drive_copy" TargetMode="External"/><Relationship Id="rId1772" Type="http://schemas.openxmlformats.org/officeDocument/2006/relationships/hyperlink" Target="https://drive.google.com/open?id=1gSL8cJCuuvzYel1DHffJd9-NaxO59Fii&amp;usp=drive_copy" TargetMode="External"/><Relationship Id="rId1773" Type="http://schemas.openxmlformats.org/officeDocument/2006/relationships/hyperlink" Target="https://drive.google.com/open?id=1eRxqE9kGO1TIV36q0DOOTJpwvI--lJry&amp;usp=drive_copy" TargetMode="External"/><Relationship Id="rId73" Type="http://schemas.openxmlformats.org/officeDocument/2006/relationships/hyperlink" Target="https://drive.google.com/open?id=1HNqV1der-yAesA6Nl4nk0I4rRm887kqu&amp;usp=drive_copy" TargetMode="External"/><Relationship Id="rId1763" Type="http://schemas.openxmlformats.org/officeDocument/2006/relationships/hyperlink" Target="https://drive.google.com/open?id=1UbcqbnSvp-s7iWgiM4vxkTLx1PfB558t&amp;usp=drive_copy" TargetMode="External"/><Relationship Id="rId72" Type="http://schemas.openxmlformats.org/officeDocument/2006/relationships/hyperlink" Target="https://drive.google.com/open?id=1Rxj-j1h1y4sRhA2t0EXgLAtZtWx2M5Sg&amp;usp=drive_copy" TargetMode="External"/><Relationship Id="rId1764" Type="http://schemas.openxmlformats.org/officeDocument/2006/relationships/hyperlink" Target="https://drive.google.com/open?id=1VEuk4YIrOUaZCYHIMzIudh7l9tb-Q472&amp;usp=drive_copy" TargetMode="External"/><Relationship Id="rId75" Type="http://schemas.openxmlformats.org/officeDocument/2006/relationships/hyperlink" Target="https://drive.google.com/open?id=1XNktx-1_xHVoUbsvLJc7mjtpIlBEndqW&amp;usp=drive_copy" TargetMode="External"/><Relationship Id="rId1765" Type="http://schemas.openxmlformats.org/officeDocument/2006/relationships/hyperlink" Target="https://drive.google.com/open?id=1sjh1vad2VjDDYknfRtxQSnd3vAX9DATK&amp;usp=drive_copy" TargetMode="External"/><Relationship Id="rId74" Type="http://schemas.openxmlformats.org/officeDocument/2006/relationships/hyperlink" Target="https://drive.google.com/open?id=1eTTsG51uGDM3LNO6RxwnmnV0FGwqa8EH&amp;usp=drive_copy" TargetMode="External"/><Relationship Id="rId1766" Type="http://schemas.openxmlformats.org/officeDocument/2006/relationships/hyperlink" Target="https://drive.google.com/open?id=1m_jiaxYsct_seRI3UUj9Ego-QL3hDzfV&amp;usp=drive_copy" TargetMode="External"/><Relationship Id="rId77" Type="http://schemas.openxmlformats.org/officeDocument/2006/relationships/hyperlink" Target="https://drive.google.com/open?id=1Wo_3E7Pe6_TDNyYOTbJmECTUCkZopKGW&amp;usp=drive_copy" TargetMode="External"/><Relationship Id="rId1767" Type="http://schemas.openxmlformats.org/officeDocument/2006/relationships/hyperlink" Target="https://drive.google.com/open?id=1G86Xd_BM03wxgTZxNbcyKckNBti8TAxD&amp;usp=drive_copy" TargetMode="External"/><Relationship Id="rId76" Type="http://schemas.openxmlformats.org/officeDocument/2006/relationships/hyperlink" Target="https://drive.google.com/open?id=1pjsdJTmiAuXPKoHgsT0ogl0a86ubM8jc&amp;usp=drive_copy" TargetMode="External"/><Relationship Id="rId1768" Type="http://schemas.openxmlformats.org/officeDocument/2006/relationships/hyperlink" Target="https://drive.google.com/open?id=1N7Ce7x1MSo__yjUDKRET1adCajM7vvVE&amp;usp=drive_copy" TargetMode="External"/><Relationship Id="rId79" Type="http://schemas.openxmlformats.org/officeDocument/2006/relationships/hyperlink" Target="https://drive.google.com/open?id=1ywSBBWV4PiJA4iqNP-4HWKxT86PSlFzo&amp;usp=drive_copy" TargetMode="External"/><Relationship Id="rId1769" Type="http://schemas.openxmlformats.org/officeDocument/2006/relationships/hyperlink" Target="https://drive.google.com/open?id=1kr62u7N6IrEM5S91oUgNcLG1CKBvmCgL&amp;usp=drive_copy" TargetMode="External"/><Relationship Id="rId78" Type="http://schemas.openxmlformats.org/officeDocument/2006/relationships/hyperlink" Target="https://drive.google.com/open?id=1ztC80W8mjmGtXLZ_7BVakNXvY1UuzoJR&amp;usp=drive_copy" TargetMode="External"/><Relationship Id="rId71" Type="http://schemas.openxmlformats.org/officeDocument/2006/relationships/hyperlink" Target="https://drive.google.com/open?id=1NXf3MRhI0EbxUI_QhRTrBE1HV9I3hBaK&amp;usp=drive_copy" TargetMode="External"/><Relationship Id="rId70" Type="http://schemas.openxmlformats.org/officeDocument/2006/relationships/hyperlink" Target="https://drive.google.com/open?id=1YQKoSxFFjtFxT-DDCoD-Dxkze_VKexbi&amp;usp=drive_copy" TargetMode="External"/><Relationship Id="rId1760" Type="http://schemas.openxmlformats.org/officeDocument/2006/relationships/hyperlink" Target="https://drive.google.com/open?id=1wDKbEGVebLjDm_gxpKsIf5h2oS9VunaO&amp;usp=drive_copy" TargetMode="External"/><Relationship Id="rId1761" Type="http://schemas.openxmlformats.org/officeDocument/2006/relationships/hyperlink" Target="https://drive.google.com/open?id=1KOUdtDB6IygmSYYi7nEIWijecPFX2Jkc&amp;usp=drive_copy" TargetMode="External"/><Relationship Id="rId1762" Type="http://schemas.openxmlformats.org/officeDocument/2006/relationships/hyperlink" Target="https://drive.google.com/open?id=1kC18M9ywXk4YVcyojcf__odk3cAN7LnY&amp;usp=drive_copy" TargetMode="External"/><Relationship Id="rId62" Type="http://schemas.openxmlformats.org/officeDocument/2006/relationships/hyperlink" Target="https://drive.google.com/open?id=1YN87sfm7SnUB7O4iyIWgxkkTKPyu_wNE&amp;usp=drive_copy" TargetMode="External"/><Relationship Id="rId1312" Type="http://schemas.openxmlformats.org/officeDocument/2006/relationships/hyperlink" Target="https://drive.google.com/open?id=1n076XSG2dkWl9SObQrwzCQX600ziebF0&amp;usp=drive_copy" TargetMode="External"/><Relationship Id="rId1796" Type="http://schemas.openxmlformats.org/officeDocument/2006/relationships/hyperlink" Target="https://drive.google.com/open?id=196uIPoTL4xTq_unm03FTxNbRHVBZzl0k&amp;usp=drive_copy" TargetMode="External"/><Relationship Id="rId61" Type="http://schemas.openxmlformats.org/officeDocument/2006/relationships/hyperlink" Target="https://drive.google.com/open?id=16chvCYChmU-rVhNQQNBv5BHdThwR4Tpf&amp;usp=drive_copy" TargetMode="External"/><Relationship Id="rId1313" Type="http://schemas.openxmlformats.org/officeDocument/2006/relationships/hyperlink" Target="https://drive.google.com/open?id=1AcI0TVG6TTwqLNOztKSlg9Um35P-QlrY&amp;usp=drive_copy" TargetMode="External"/><Relationship Id="rId1797" Type="http://schemas.openxmlformats.org/officeDocument/2006/relationships/hyperlink" Target="https://drive.google.com/open?id=1MruwQlmCvfMAHJosfCQiYYnVSQ1U3JBb&amp;usp=drive_copy" TargetMode="External"/><Relationship Id="rId64" Type="http://schemas.openxmlformats.org/officeDocument/2006/relationships/hyperlink" Target="https://drive.google.com/open?id=1FfW6kfORmOAUHEmi63ZRYZLKarT6vG5O&amp;usp=drive_copy" TargetMode="External"/><Relationship Id="rId1314" Type="http://schemas.openxmlformats.org/officeDocument/2006/relationships/hyperlink" Target="https://drive.google.com/open?id=12TZxOB4Bg2GBeKIvcLsA8jTr4ITjzWPo&amp;usp=drive_copy" TargetMode="External"/><Relationship Id="rId1798" Type="http://schemas.openxmlformats.org/officeDocument/2006/relationships/hyperlink" Target="https://drive.google.com/open?id=1xK3lwg1CiYPoOmZow56VDSbap_3oG27B&amp;usp=drive_copy" TargetMode="External"/><Relationship Id="rId63" Type="http://schemas.openxmlformats.org/officeDocument/2006/relationships/hyperlink" Target="https://drive.google.com/open?id=1WaSC8CL3OuYImeOXC0pypfoiJ2lkzvc7&amp;usp=drive_copy" TargetMode="External"/><Relationship Id="rId1315" Type="http://schemas.openxmlformats.org/officeDocument/2006/relationships/hyperlink" Target="https://drive.google.com/open?id=10MJDPXMdmCo5N8DazsvHMsErruty4lPF&amp;usp=drive_copy" TargetMode="External"/><Relationship Id="rId1799" Type="http://schemas.openxmlformats.org/officeDocument/2006/relationships/hyperlink" Target="https://drive.google.com/open?id=1MOEHM7BT_LFGLQ8N9mmXWepdMg6x_Lbm&amp;usp=drive_copy" TargetMode="External"/><Relationship Id="rId66" Type="http://schemas.openxmlformats.org/officeDocument/2006/relationships/hyperlink" Target="https://drive.google.com/open?id=1PpDQ2ksf4npHBb49tOcutj9q9ftcqiOq&amp;usp=drive_copy" TargetMode="External"/><Relationship Id="rId1316" Type="http://schemas.openxmlformats.org/officeDocument/2006/relationships/hyperlink" Target="https://drive.google.com/open?id=1g04SV80L4u4QTxxTPZv_pfCqblzHY9rR&amp;usp=drive_copy" TargetMode="External"/><Relationship Id="rId65" Type="http://schemas.openxmlformats.org/officeDocument/2006/relationships/hyperlink" Target="https://drive.google.com/open?id=1riIW_EZKG5I8og4CIpNq85OucAboeDD6&amp;usp=drive_copy" TargetMode="External"/><Relationship Id="rId1317" Type="http://schemas.openxmlformats.org/officeDocument/2006/relationships/hyperlink" Target="https://drive.google.com/open?id=18OefDp9YtR9ReBfxinMW1cXsoABEXZLp&amp;usp=drive_copy" TargetMode="External"/><Relationship Id="rId68" Type="http://schemas.openxmlformats.org/officeDocument/2006/relationships/hyperlink" Target="https://drive.google.com/open?id=1BF0i9Y8hg_ha4m7kajinDLWEgZTpPsVA&amp;usp=drive_copy" TargetMode="External"/><Relationship Id="rId1318" Type="http://schemas.openxmlformats.org/officeDocument/2006/relationships/hyperlink" Target="https://drive.google.com/open?id=1ozIQfRexhb5GisFA2b-BUP-b4aA0aUwY&amp;usp=drive_copy" TargetMode="External"/><Relationship Id="rId67" Type="http://schemas.openxmlformats.org/officeDocument/2006/relationships/hyperlink" Target="https://drive.google.com/open?id=1K6O7D-zxqkavrAeJ6W7BccFxsQLI_fy5&amp;usp=drive_copy" TargetMode="External"/><Relationship Id="rId1319" Type="http://schemas.openxmlformats.org/officeDocument/2006/relationships/hyperlink" Target="https://drive.google.com/open?id=19uCDkc6pms4ZQKfGDKWREOzaX4WyTsNC&amp;usp=drive_copy" TargetMode="External"/><Relationship Id="rId729" Type="http://schemas.openxmlformats.org/officeDocument/2006/relationships/hyperlink" Target="https://drive.google.com/open?id=1DVr2vjkkZa9DIuJAqAGuc2SkQVllmfGz&amp;usp=drive_copy" TargetMode="External"/><Relationship Id="rId728" Type="http://schemas.openxmlformats.org/officeDocument/2006/relationships/hyperlink" Target="https://drive.google.com/open?id=1LHHizoQtC5N7X373sPLxQtO23WdiPuwy&amp;usp=drive_copy" TargetMode="External"/><Relationship Id="rId60" Type="http://schemas.openxmlformats.org/officeDocument/2006/relationships/hyperlink" Target="https://drive.google.com/open?id=1oPNY1dTVZkEnklFJG8u35qHcG-aBFz_6&amp;usp=drive_copy" TargetMode="External"/><Relationship Id="rId723" Type="http://schemas.openxmlformats.org/officeDocument/2006/relationships/hyperlink" Target="https://drive.google.com/open?id=12dtAXa2Mlya4TZ_GSYLWkEU-CMSEC37G&amp;usp=drive_copy" TargetMode="External"/><Relationship Id="rId722" Type="http://schemas.openxmlformats.org/officeDocument/2006/relationships/hyperlink" Target="https://drive.google.com/open?id=1HUla518eIstiz5DIoihUV_a88T7nKMz2&amp;usp=drive_copy" TargetMode="External"/><Relationship Id="rId721" Type="http://schemas.openxmlformats.org/officeDocument/2006/relationships/hyperlink" Target="https://drive.google.com/open?id=1j5afcywGtI-uGN_9V9ux_aQ2UrlcEebC&amp;usp=drive_copy" TargetMode="External"/><Relationship Id="rId720" Type="http://schemas.openxmlformats.org/officeDocument/2006/relationships/hyperlink" Target="https://drive.google.com/open?id=1RfeLKtPOaplOvIh9SLjEEVPQ1SbbYaEm&amp;usp=drive_copy" TargetMode="External"/><Relationship Id="rId727" Type="http://schemas.openxmlformats.org/officeDocument/2006/relationships/hyperlink" Target="https://drive.google.com/open?id=1795b0sgPuBkUXQqL1HtsW5WUzG6cy7HO&amp;usp=drive_copy" TargetMode="External"/><Relationship Id="rId726" Type="http://schemas.openxmlformats.org/officeDocument/2006/relationships/hyperlink" Target="https://drive.google.com/open?id=1dRYHIgbUUAVIC9V4FLUYFPtvnHwvNCJp&amp;usp=drive_copy" TargetMode="External"/><Relationship Id="rId725" Type="http://schemas.openxmlformats.org/officeDocument/2006/relationships/hyperlink" Target="https://drive.google.com/open?id=1XRVuyzUElgfuvygnRg21FQb6w6O-2xEl&amp;usp=drive_copy" TargetMode="External"/><Relationship Id="rId724" Type="http://schemas.openxmlformats.org/officeDocument/2006/relationships/hyperlink" Target="https://drive.google.com/open?id=1Op57BUsUIXlO65d-MzMItFCY2BfD3bIG&amp;usp=drive_copy" TargetMode="External"/><Relationship Id="rId69" Type="http://schemas.openxmlformats.org/officeDocument/2006/relationships/hyperlink" Target="https://drive.google.com/open?id=1BwV4Z5NatW2pCZoAvtXxlHEuew57I5KR&amp;usp=drive_copy" TargetMode="External"/><Relationship Id="rId1790" Type="http://schemas.openxmlformats.org/officeDocument/2006/relationships/hyperlink" Target="https://drive.google.com/open?id=1yPTGPxumwqtYAjT1HIDHe0iIF0pHOh6H&amp;usp=drive_copy" TargetMode="External"/><Relationship Id="rId1791" Type="http://schemas.openxmlformats.org/officeDocument/2006/relationships/hyperlink" Target="https://drive.google.com/open?id=16tm5XnPXiu5u7vt3CPY9s7YrtUPiOTyK&amp;usp=drive_copy" TargetMode="External"/><Relationship Id="rId1792" Type="http://schemas.openxmlformats.org/officeDocument/2006/relationships/hyperlink" Target="https://drive.google.com/open?id=1ZEk-ArD0uJJy17h8ibO65nuVYuY_ttX_&amp;usp=drive_copy" TargetMode="External"/><Relationship Id="rId1793" Type="http://schemas.openxmlformats.org/officeDocument/2006/relationships/hyperlink" Target="https://drive.google.com/open?id=1BMV0BiOdt7mWIFjS8ES2n-1JqkUqU7DD&amp;usp=drive_copy" TargetMode="External"/><Relationship Id="rId1310" Type="http://schemas.openxmlformats.org/officeDocument/2006/relationships/hyperlink" Target="https://drive.google.com/open?id=1gYKKas81-lhE37fQnN5i06epxputzqrB&amp;usp=drive_copy" TargetMode="External"/><Relationship Id="rId1794" Type="http://schemas.openxmlformats.org/officeDocument/2006/relationships/hyperlink" Target="https://drive.google.com/open?id=1sq9_bIqiOuZMsRR-XTNaZ3w4EXzmgVdD&amp;usp=drive_copy" TargetMode="External"/><Relationship Id="rId1311" Type="http://schemas.openxmlformats.org/officeDocument/2006/relationships/hyperlink" Target="https://drive.google.com/open?id=1Xqe62GRs42_2cTIfio3V03H3tFMarTjU&amp;usp=drive_copy" TargetMode="External"/><Relationship Id="rId1795" Type="http://schemas.openxmlformats.org/officeDocument/2006/relationships/hyperlink" Target="https://drive.google.com/open?id=17z6O8sxsc7DZexKRgWD0D1Y_Ti1bzJUe&amp;usp=drive_copy" TargetMode="External"/><Relationship Id="rId51" Type="http://schemas.openxmlformats.org/officeDocument/2006/relationships/hyperlink" Target="https://drive.google.com/open?id=1f-YZ5y_2Q3_VeVk3sx9e35Z8T9h7Kkb8&amp;usp=drive_copy" TargetMode="External"/><Relationship Id="rId1301" Type="http://schemas.openxmlformats.org/officeDocument/2006/relationships/hyperlink" Target="https://drive.google.com/open?id=1VFUpBMm9CacdQn-1h8xTREg8nZ7SfTOf&amp;usp=drive_copy" TargetMode="External"/><Relationship Id="rId1785" Type="http://schemas.openxmlformats.org/officeDocument/2006/relationships/hyperlink" Target="https://drive.google.com/open?id=1gEYev7I6orixIIpvbyRSJjkINvvhSbR_&amp;usp=drive_copy" TargetMode="External"/><Relationship Id="rId50" Type="http://schemas.openxmlformats.org/officeDocument/2006/relationships/hyperlink" Target="https://drive.google.com/open?id=1YW0WnC5Rc7QPDAZd-5eH06EQRU_NKYQa&amp;usp=drive_copy" TargetMode="External"/><Relationship Id="rId1302" Type="http://schemas.openxmlformats.org/officeDocument/2006/relationships/hyperlink" Target="https://drive.google.com/open?id=1TtjVyahRBdpprXP1PwAwYmiiIMKy63WE&amp;usp=drive_copy" TargetMode="External"/><Relationship Id="rId1786" Type="http://schemas.openxmlformats.org/officeDocument/2006/relationships/hyperlink" Target="https://drive.google.com/open?id=1PZZkaZcGToU93J_Hyqh8tzwM30-s4iWq&amp;usp=drive_copy" TargetMode="External"/><Relationship Id="rId53" Type="http://schemas.openxmlformats.org/officeDocument/2006/relationships/hyperlink" Target="https://drive.google.com/open?id=16nKLxkSh1xLcrjK5S0A8gn-B3zB6Gj9d&amp;usp=drive_copy" TargetMode="External"/><Relationship Id="rId1303" Type="http://schemas.openxmlformats.org/officeDocument/2006/relationships/hyperlink" Target="https://drive.google.com/open?id=16O9FKwzqZQa77CVAHXysXK6RyQeu-Yu5&amp;usp=drive_copy" TargetMode="External"/><Relationship Id="rId1787" Type="http://schemas.openxmlformats.org/officeDocument/2006/relationships/hyperlink" Target="https://drive.google.com/open?id=1V4XF9ZjGWTecqwzK8oVUBchE9F8YZcH1&amp;usp=drive_copy" TargetMode="External"/><Relationship Id="rId52" Type="http://schemas.openxmlformats.org/officeDocument/2006/relationships/hyperlink" Target="https://drive.google.com/open?id=1iM8QgiEtyavj3VV52XJMUa7VQ4cfKTVa&amp;usp=drive_copy" TargetMode="External"/><Relationship Id="rId1304" Type="http://schemas.openxmlformats.org/officeDocument/2006/relationships/hyperlink" Target="https://drive.google.com/open?id=1z54R4pqlybzcu3Y7ACxyNK2sQNYbxWkK&amp;usp=drive_copy" TargetMode="External"/><Relationship Id="rId1788" Type="http://schemas.openxmlformats.org/officeDocument/2006/relationships/hyperlink" Target="https://drive.google.com/open?id=124NID_X1wrz-eWlyuq1Og3C0Ipu_WBoW&amp;usp=drive_copy" TargetMode="External"/><Relationship Id="rId55" Type="http://schemas.openxmlformats.org/officeDocument/2006/relationships/hyperlink" Target="https://drive.google.com/open?id=1FML0o6Fdsc2k3TpgNd0UBKfXXlgz6DYM&amp;usp=drive_copy" TargetMode="External"/><Relationship Id="rId1305" Type="http://schemas.openxmlformats.org/officeDocument/2006/relationships/hyperlink" Target="https://drive.google.com/open?id=15JAfOOthQv2hwu_BXE1-hrob0fK1EhYg&amp;usp=drive_copy" TargetMode="External"/><Relationship Id="rId1789" Type="http://schemas.openxmlformats.org/officeDocument/2006/relationships/hyperlink" Target="https://drive.google.com/open?id=1cvXfBZ3Be4DJJATbSaHuG9ljEEQ8yyjT&amp;usp=drive_copy" TargetMode="External"/><Relationship Id="rId54" Type="http://schemas.openxmlformats.org/officeDocument/2006/relationships/hyperlink" Target="https://drive.google.com/open?id=11PP7Xs0iVzU3diFAD4_l4bv9LdW_NQ2P&amp;usp=drive_copy" TargetMode="External"/><Relationship Id="rId1306" Type="http://schemas.openxmlformats.org/officeDocument/2006/relationships/hyperlink" Target="https://drive.google.com/open?id=1Mzbg5LPRyTx5ucrBeixUqWgE3Mv2dktx&amp;usp=drive_copy" TargetMode="External"/><Relationship Id="rId57" Type="http://schemas.openxmlformats.org/officeDocument/2006/relationships/hyperlink" Target="https://drive.google.com/open?id=1zpfV2Pqu8LSmQvteYmFhRtW0HEjkeP22&amp;usp=drive_copy" TargetMode="External"/><Relationship Id="rId1307" Type="http://schemas.openxmlformats.org/officeDocument/2006/relationships/hyperlink" Target="https://drive.google.com/open?id=1_DsIcMmAgatBEL1DpcL4KKq-HCSaTIUq&amp;usp=drive_copy" TargetMode="External"/><Relationship Id="rId56" Type="http://schemas.openxmlformats.org/officeDocument/2006/relationships/hyperlink" Target="https://drive.google.com/open?id=1xvpoqPtykoCtZupwIvAsZNIiR0MJy2L_&amp;usp=drive_copy" TargetMode="External"/><Relationship Id="rId1308" Type="http://schemas.openxmlformats.org/officeDocument/2006/relationships/hyperlink" Target="https://drive.google.com/open?id=13KLO4s96puSKnEJ8_UGcYEf0UDwP_elb&amp;usp=drive_copy" TargetMode="External"/><Relationship Id="rId1309" Type="http://schemas.openxmlformats.org/officeDocument/2006/relationships/hyperlink" Target="https://drive.google.com/open?id=1pO49W2vZ7c2e9eZUOMLy36buidcRJt_y&amp;usp=drive_copy" TargetMode="External"/><Relationship Id="rId719" Type="http://schemas.openxmlformats.org/officeDocument/2006/relationships/hyperlink" Target="https://drive.google.com/open?id=1A5E6ayw5yYeLWMkQPp47jszf7STiUQpi&amp;usp=drive_copy" TargetMode="External"/><Relationship Id="rId718" Type="http://schemas.openxmlformats.org/officeDocument/2006/relationships/hyperlink" Target="https://drive.google.com/open?id=1PfXaMzg_lJdsQF9kYjB8A4ofW2Kfmty9&amp;usp=drive_copy" TargetMode="External"/><Relationship Id="rId717" Type="http://schemas.openxmlformats.org/officeDocument/2006/relationships/hyperlink" Target="https://drive.google.com/open?id=1yiEFRQsxDgBmrU4khwPSfhgrkGl8m-3u&amp;usp=drive_copy" TargetMode="External"/><Relationship Id="rId712" Type="http://schemas.openxmlformats.org/officeDocument/2006/relationships/hyperlink" Target="https://drive.google.com/open?id=1Ru0ngsb4kQpvbvRRpJ6hMSrTzR8zqI-D&amp;usp=drive_copy" TargetMode="External"/><Relationship Id="rId711" Type="http://schemas.openxmlformats.org/officeDocument/2006/relationships/hyperlink" Target="https://drive.google.com/open?id=1T84qhXaLOS3PI9XdgZq1QlQ0k6QEpdhh&amp;usp=drive_copy" TargetMode="External"/><Relationship Id="rId710" Type="http://schemas.openxmlformats.org/officeDocument/2006/relationships/hyperlink" Target="https://drive.google.com/open?id=1LsAA2dBEMIhPb1BGi_M6dDrp19RcHtQs&amp;usp=drive_copy" TargetMode="External"/><Relationship Id="rId716" Type="http://schemas.openxmlformats.org/officeDocument/2006/relationships/hyperlink" Target="https://drive.google.com/open?id=1IfXW6zCYSmBxERqZZqNH1SllUDdKxwX-&amp;usp=drive_copy" TargetMode="External"/><Relationship Id="rId715" Type="http://schemas.openxmlformats.org/officeDocument/2006/relationships/hyperlink" Target="https://drive.google.com/open?id=1AaRDv98l0b555ePCJWsyrqWgFdUUg_WB&amp;usp=drive_copy" TargetMode="External"/><Relationship Id="rId714" Type="http://schemas.openxmlformats.org/officeDocument/2006/relationships/hyperlink" Target="https://drive.google.com/open?id=1YPJKv_C7hB9C690ZLJHqUjcjNqvea6m5&amp;usp=drive_copy" TargetMode="External"/><Relationship Id="rId713" Type="http://schemas.openxmlformats.org/officeDocument/2006/relationships/hyperlink" Target="https://drive.google.com/open?id=1Ez6OTmX4Mycg8k4PELyCEd06q7rqYtyF&amp;usp=drive_copy" TargetMode="External"/><Relationship Id="rId59" Type="http://schemas.openxmlformats.org/officeDocument/2006/relationships/hyperlink" Target="https://drive.google.com/open?id=10MNSzk4iy4p3c0CJjD09tKbmhS6K-XbD&amp;usp=drive_copy" TargetMode="External"/><Relationship Id="rId58" Type="http://schemas.openxmlformats.org/officeDocument/2006/relationships/hyperlink" Target="https://drive.google.com/open?id=1eIjkhobzFUsj9K4Hb4XFWMXEyURh9aGH&amp;usp=drive_copy" TargetMode="External"/><Relationship Id="rId1780" Type="http://schemas.openxmlformats.org/officeDocument/2006/relationships/hyperlink" Target="https://drive.google.com/open?id=1QPO5W3pPZDcCY8pv4SiErKh3dIsyaSMz&amp;usp=drive_copy" TargetMode="External"/><Relationship Id="rId1781" Type="http://schemas.openxmlformats.org/officeDocument/2006/relationships/hyperlink" Target="https://drive.google.com/open?id=1Ip-ILzZdyVZUCdcZOqjM593VS4szdS08&amp;usp=drive_copy" TargetMode="External"/><Relationship Id="rId1782" Type="http://schemas.openxmlformats.org/officeDocument/2006/relationships/hyperlink" Target="https://drive.google.com/open?id=19pKwdr2drrsYyxBQ0_OwTMAZE8BFL_L8&amp;usp=drive_copy" TargetMode="External"/><Relationship Id="rId1783" Type="http://schemas.openxmlformats.org/officeDocument/2006/relationships/hyperlink" Target="https://drive.google.com/open?id=1_u8zKcSMhdUG0uYpSeUB4KSco7Oxbo94&amp;usp=drive_copy" TargetMode="External"/><Relationship Id="rId1300" Type="http://schemas.openxmlformats.org/officeDocument/2006/relationships/hyperlink" Target="https://drive.google.com/open?id=1cuWGzSH9PwiXj5mDXwdCJCA4_zxdMWoD&amp;usp=drive_copy" TargetMode="External"/><Relationship Id="rId1784" Type="http://schemas.openxmlformats.org/officeDocument/2006/relationships/hyperlink" Target="https://drive.google.com/open?id=1u6hhmj9Pvnx_L1A81crtQ1dlEN867wJY&amp;usp=drive_copy" TargetMode="External"/><Relationship Id="rId349" Type="http://schemas.openxmlformats.org/officeDocument/2006/relationships/hyperlink" Target="https://drive.google.com/open?id=1X0RkWAr4CPjslYrDsiIErJ6yOpZxfKwS&amp;usp=drive_copy" TargetMode="External"/><Relationship Id="rId348" Type="http://schemas.openxmlformats.org/officeDocument/2006/relationships/hyperlink" Target="https://drive.google.com/open?id=11MLtZ0LtziG9llBue8IqSbulhKotUfIi&amp;usp=drive_copy" TargetMode="External"/><Relationship Id="rId347" Type="http://schemas.openxmlformats.org/officeDocument/2006/relationships/hyperlink" Target="https://drive.google.com/open?id=1paYOIFo7ud62ZH4ttMgUxZKiWa_QKINF&amp;usp=drive_copy" TargetMode="External"/><Relationship Id="rId346" Type="http://schemas.openxmlformats.org/officeDocument/2006/relationships/hyperlink" Target="https://drive.google.com/open?id=1J7634uPN8iGwfdAM4L0eKtKX0h3YrApn&amp;usp=drive_copy" TargetMode="External"/><Relationship Id="rId2260" Type="http://schemas.openxmlformats.org/officeDocument/2006/relationships/drawing" Target="../drawings/drawing4.xml"/><Relationship Id="rId341" Type="http://schemas.openxmlformats.org/officeDocument/2006/relationships/hyperlink" Target="https://drive.google.com/open?id=17L89Qqiw6TrBWCapD4wBzebw72mbiNd9&amp;usp=drive_copy" TargetMode="External"/><Relationship Id="rId2261" Type="http://schemas.openxmlformats.org/officeDocument/2006/relationships/vmlDrawing" Target="../drawings/vmlDrawing2.vml"/><Relationship Id="rId340" Type="http://schemas.openxmlformats.org/officeDocument/2006/relationships/hyperlink" Target="https://drive.google.com/open?id=1yvyK35KFGMNdFiICwn5Z9BWCuaXJlNf6&amp;usp=drive_copy" TargetMode="External"/><Relationship Id="rId345" Type="http://schemas.openxmlformats.org/officeDocument/2006/relationships/hyperlink" Target="https://drive.google.com/open?id=1euoQcXxxDdBL6ixNw1BXIiz1BQ8UVUsc&amp;usp=drive_copy" TargetMode="External"/><Relationship Id="rId344" Type="http://schemas.openxmlformats.org/officeDocument/2006/relationships/hyperlink" Target="https://drive.google.com/open?id=1FbBDVkGaIvqH0k2SG4RDRi7xkhtrtrvx&amp;usp=drive_copy" TargetMode="External"/><Relationship Id="rId343" Type="http://schemas.openxmlformats.org/officeDocument/2006/relationships/hyperlink" Target="https://drive.google.com/open?id=1tMOMjBvtJCBKWqsMaW8IwBtaRYIxV1eO&amp;usp=drive_copy" TargetMode="External"/><Relationship Id="rId342" Type="http://schemas.openxmlformats.org/officeDocument/2006/relationships/hyperlink" Target="https://drive.google.com/open?id=1hD5NS_xP7AE2_yrxBHSg_3rR1HliQuvS&amp;usp=drive_copy" TargetMode="External"/><Relationship Id="rId2258" Type="http://schemas.openxmlformats.org/officeDocument/2006/relationships/hyperlink" Target="https://drive.google.com/open?id=18olErPbD9enkI-WCjj4ZtTnEjg2G_zuu&amp;usp=drive_copy" TargetMode="External"/><Relationship Id="rId2259" Type="http://schemas.openxmlformats.org/officeDocument/2006/relationships/hyperlink" Target="https://drive.google.com/open?id=1pOlkucjt22R47cJ0-CzDuutPmcROt5Gk&amp;usp=drive_copy" TargetMode="External"/><Relationship Id="rId338" Type="http://schemas.openxmlformats.org/officeDocument/2006/relationships/hyperlink" Target="https://drive.google.com/open?id=1ArsVhysTZuUd_mMCx6lrbb9jW_omdju_&amp;usp=drive_copy" TargetMode="External"/><Relationship Id="rId337" Type="http://schemas.openxmlformats.org/officeDocument/2006/relationships/hyperlink" Target="https://drive.google.com/file/d/1uKNjvwc-dml3Hi3-bOrhBA0P8cVdpPGg/view?usp=drive_link" TargetMode="External"/><Relationship Id="rId336" Type="http://schemas.openxmlformats.org/officeDocument/2006/relationships/hyperlink" Target="https://drive.google.com/file/d/1m59C1ztJx3F03Ngd8ODAu6M-BTE9jq_u/view?usp=drive_link" TargetMode="External"/><Relationship Id="rId335" Type="http://schemas.openxmlformats.org/officeDocument/2006/relationships/hyperlink" Target="https://drive.google.com/file/d/1XE4Ssrl_dbVPQDkEm5j0fqbWCwtNa49Y/view?usp=drive_link" TargetMode="External"/><Relationship Id="rId339" Type="http://schemas.openxmlformats.org/officeDocument/2006/relationships/hyperlink" Target="https://drive.google.com/open?id=1oPSXIEmjhSK6pwAfyBrTpvl-4Fs6HlUq&amp;usp=drive_copy" TargetMode="External"/><Relationship Id="rId330" Type="http://schemas.openxmlformats.org/officeDocument/2006/relationships/hyperlink" Target="https://drive.google.com/open?id=1KMp-Lnwa15yzvDAQ4vU69RzdjLUKtGVe&amp;usp=drive_copy" TargetMode="External"/><Relationship Id="rId2250" Type="http://schemas.openxmlformats.org/officeDocument/2006/relationships/hyperlink" Target="https://drive.google.com/open?id=15Z9qWocu4Zx3kdV1uc6zD2kAU6qr36LN&amp;usp=drive_copy" TargetMode="External"/><Relationship Id="rId2251" Type="http://schemas.openxmlformats.org/officeDocument/2006/relationships/hyperlink" Target="https://drive.google.com/open?id=1fvrrBE2UvKHFh6OO1lutlX-TIEJtlJmS&amp;usp=drive_copy" TargetMode="External"/><Relationship Id="rId2252" Type="http://schemas.openxmlformats.org/officeDocument/2006/relationships/hyperlink" Target="https://drive.google.com/open?id=1HTuubbosW3l5ThPbtYmwLVix5umaYDgA&amp;usp=drive_copy" TargetMode="External"/><Relationship Id="rId2253" Type="http://schemas.openxmlformats.org/officeDocument/2006/relationships/hyperlink" Target="https://drive.google.com/open?id=1XaWutvKhrFeTggKff87ydGX7sVNcswB2&amp;usp=drive_copy" TargetMode="External"/><Relationship Id="rId334" Type="http://schemas.openxmlformats.org/officeDocument/2006/relationships/hyperlink" Target="https://drive.google.com/file/d/1tQfO5wU8sGIlllx45JKB23HXA1RXylbj/view?usp=drive_link" TargetMode="External"/><Relationship Id="rId2254" Type="http://schemas.openxmlformats.org/officeDocument/2006/relationships/hyperlink" Target="https://drive.google.com/open?id=1BeEstItNv7kL5Q1XnCLoHeGYKmp7T8be&amp;usp=drive_copy" TargetMode="External"/><Relationship Id="rId333" Type="http://schemas.openxmlformats.org/officeDocument/2006/relationships/hyperlink" Target="https://drive.google.com/file/d/1fqJlyoIZdXbVNTFYJk4OJ5TuSn-fWF4o/view?usp=drive_link" TargetMode="External"/><Relationship Id="rId2255" Type="http://schemas.openxmlformats.org/officeDocument/2006/relationships/hyperlink" Target="https://drive.google.com/open?id=1mfSp3m9CO1SNv-iXiUCBnwOCyVoncfQE&amp;usp=drive_copy" TargetMode="External"/><Relationship Id="rId332" Type="http://schemas.openxmlformats.org/officeDocument/2006/relationships/hyperlink" Target="https://drive.google.com/file/d/16aQlzPa3oafUcGRe7zanrjfPNvTu5ONR/view?usp=drive_link" TargetMode="External"/><Relationship Id="rId2256" Type="http://schemas.openxmlformats.org/officeDocument/2006/relationships/hyperlink" Target="https://drive.google.com/open?id=1MHn2QFWV5LOw4SOTOkKvDg3ZmmqJqL2F&amp;usp=drive_copy" TargetMode="External"/><Relationship Id="rId331" Type="http://schemas.openxmlformats.org/officeDocument/2006/relationships/hyperlink" Target="https://drive.google.com/open?id=1pihNoFZjn5GEHpoMcE9Nv5oOKr3-bOud&amp;usp=drive_copy" TargetMode="External"/><Relationship Id="rId2257" Type="http://schemas.openxmlformats.org/officeDocument/2006/relationships/hyperlink" Target="https://drive.google.com/open?id=14zlOC5d_5VTuzTmb4xLOj7wY0OteJoWd&amp;usp=drive_copy" TargetMode="External"/><Relationship Id="rId370" Type="http://schemas.openxmlformats.org/officeDocument/2006/relationships/hyperlink" Target="https://drive.google.com/open?id=1vJWvSS_ByWOfi8Rr3a4UF2RCbcaGIcqh&amp;usp=drive_copy" TargetMode="External"/><Relationship Id="rId369" Type="http://schemas.openxmlformats.org/officeDocument/2006/relationships/hyperlink" Target="https://drive.google.com/open?id=1eHN6MyU3Zzb_wKlTcacqywhu2tbjhrwr&amp;usp=drive_copy" TargetMode="External"/><Relationship Id="rId368" Type="http://schemas.openxmlformats.org/officeDocument/2006/relationships/hyperlink" Target="https://drive.google.com/file/d/11UtpnwSWs4FayYP4AI59Pq7LDENawap3/view?usp=drive_link" TargetMode="External"/><Relationship Id="rId363" Type="http://schemas.openxmlformats.org/officeDocument/2006/relationships/hyperlink" Target="https://drive.google.com/open?id=1EmLkn4g69Yz4NtOw0YLly8z_z_Diys3Q&amp;usp=drive_copy" TargetMode="External"/><Relationship Id="rId362" Type="http://schemas.openxmlformats.org/officeDocument/2006/relationships/hyperlink" Target="https://drive.google.com/open?id=1ixySe06BdE2dHngGjsSYHacGoo8UIpcu&amp;usp=drive_copy" TargetMode="External"/><Relationship Id="rId361" Type="http://schemas.openxmlformats.org/officeDocument/2006/relationships/hyperlink" Target="https://drive.google.com/open?id=1NKbSajxg6g4zC0Jjhw-HuDSa2NHUcDXv&amp;usp=drive_copy" TargetMode="External"/><Relationship Id="rId360" Type="http://schemas.openxmlformats.org/officeDocument/2006/relationships/hyperlink" Target="https://drive.google.com/open?id=1gTB8jeU76LTaa_dqUaRBGKIYJUix6O6K&amp;usp=drive_copy" TargetMode="External"/><Relationship Id="rId367" Type="http://schemas.openxmlformats.org/officeDocument/2006/relationships/hyperlink" Target="https://drive.google.com/file/d/1ui0nEkByL3rwSTq2rimUZ6UdtLTn9Jdf/view?usp=drive_link" TargetMode="External"/><Relationship Id="rId366" Type="http://schemas.openxmlformats.org/officeDocument/2006/relationships/hyperlink" Target="https://drive.google.com/open?id=1mjCc7sGWmSmDeBEdXJD5kJPsinrBFzDq&amp;usp=drive_copy" TargetMode="External"/><Relationship Id="rId365" Type="http://schemas.openxmlformats.org/officeDocument/2006/relationships/hyperlink" Target="https://drive.google.com/open?id=1vu395qeiabq8Xn09qa4oF3z7zMTydkRp&amp;usp=drive_copy" TargetMode="External"/><Relationship Id="rId364" Type="http://schemas.openxmlformats.org/officeDocument/2006/relationships/hyperlink" Target="https://drive.google.com/open?id=1B2a92cviiFEYclZiDUrCtLhu_wSQUWzp&amp;usp=drive_copy" TargetMode="External"/><Relationship Id="rId95" Type="http://schemas.openxmlformats.org/officeDocument/2006/relationships/hyperlink" Target="https://drive.google.com/open?id=1mNvXO30bZJnT-JNct937v5LSCIMOpLnz&amp;usp=drive_copy" TargetMode="External"/><Relationship Id="rId94" Type="http://schemas.openxmlformats.org/officeDocument/2006/relationships/hyperlink" Target="https://drive.google.com/open?id=1ya0oXvljFoIfQTWQs8zdSqzHEh3BZAbR&amp;usp=drive_copy" TargetMode="External"/><Relationship Id="rId97" Type="http://schemas.openxmlformats.org/officeDocument/2006/relationships/hyperlink" Target="https://drive.google.com/open?id=1S9PfLBLlRbyzNRScwKJlmd_xDdNd_W7C&amp;usp=drive_copy" TargetMode="External"/><Relationship Id="rId96" Type="http://schemas.openxmlformats.org/officeDocument/2006/relationships/hyperlink" Target="https://drive.google.com/file/d/1zpXRXIRMEVk7Lbrk95YD9F2iMadtYLBk/view?usp=drive_link" TargetMode="External"/><Relationship Id="rId99" Type="http://schemas.openxmlformats.org/officeDocument/2006/relationships/hyperlink" Target="https://drive.google.com/open?id=15L9NmTo4mF0bf_FeHEmPyIxNkH6-76km&amp;usp=drive_copy" TargetMode="External"/><Relationship Id="rId98" Type="http://schemas.openxmlformats.org/officeDocument/2006/relationships/hyperlink" Target="https://drive.google.com/open?id=1wEggQz7i8zVx598eBhrRCMX2AOFAtRyy&amp;usp=drive_copy" TargetMode="External"/><Relationship Id="rId91" Type="http://schemas.openxmlformats.org/officeDocument/2006/relationships/hyperlink" Target="https://drive.google.com/open?id=1Kr3Enh0L0sLSqpZL38qtOOFCwFIw4DNo&amp;usp=drive_copy" TargetMode="External"/><Relationship Id="rId90" Type="http://schemas.openxmlformats.org/officeDocument/2006/relationships/hyperlink" Target="https://drive.google.com/open?id=1qhLBimfE1fIRXsYz5rPyxk0cHynfjK1v&amp;usp=drive_copy" TargetMode="External"/><Relationship Id="rId93" Type="http://schemas.openxmlformats.org/officeDocument/2006/relationships/hyperlink" Target="https://drive.google.com/open?id=16TfzSU1afzFDPu8r77MuVrVSos0j8cpl&amp;usp=drive_copy" TargetMode="External"/><Relationship Id="rId92" Type="http://schemas.openxmlformats.org/officeDocument/2006/relationships/hyperlink" Target="https://drive.google.com/open?id=1mJFZ3TUuRFjC0ct48Hoc4_2yilc4jp1m&amp;usp=drive_copy" TargetMode="External"/><Relationship Id="rId359" Type="http://schemas.openxmlformats.org/officeDocument/2006/relationships/hyperlink" Target="https://drive.google.com/open?id=17C1c4GNjHwmBb_p0GTJuSzgvZahgKMVo&amp;usp=drive_copy" TargetMode="External"/><Relationship Id="rId358" Type="http://schemas.openxmlformats.org/officeDocument/2006/relationships/hyperlink" Target="https://drive.google.com/file/d/1fbTYO52UZWKvoGnX1OxLUHEcZ6LyXHAY/view?usp=drive_link" TargetMode="External"/><Relationship Id="rId357" Type="http://schemas.openxmlformats.org/officeDocument/2006/relationships/hyperlink" Target="https://drive.google.com/file/d/1pCbKRmWko03cUfjzoYS5nW3b5rgqaRdP/view?usp=drive_link" TargetMode="External"/><Relationship Id="rId352" Type="http://schemas.openxmlformats.org/officeDocument/2006/relationships/hyperlink" Target="https://drive.google.com/open?id=1VLWzRd2OdiiNlBe5rrRcrQef7fK4QxdL&amp;usp=drive_copy" TargetMode="External"/><Relationship Id="rId351" Type="http://schemas.openxmlformats.org/officeDocument/2006/relationships/hyperlink" Target="https://drive.google.com/open?id=1ESRFE8oCbmMtinye-DaEdmmdLOEr89m0&amp;usp=drive_copy" TargetMode="External"/><Relationship Id="rId350" Type="http://schemas.openxmlformats.org/officeDocument/2006/relationships/hyperlink" Target="https://drive.google.com/open?id=1SpM23uTKIJB8k4kFobDbl8zdCoppQQez&amp;usp=drive_copy" TargetMode="External"/><Relationship Id="rId356" Type="http://schemas.openxmlformats.org/officeDocument/2006/relationships/hyperlink" Target="https://drive.google.com/file/d/1s3eXKuLV4FrAj-kWNZKJd6hiSElw0Sje/view?usp=drive_link" TargetMode="External"/><Relationship Id="rId355" Type="http://schemas.openxmlformats.org/officeDocument/2006/relationships/hyperlink" Target="https://drive.google.com/open?id=1xtB5pWf31-QxpJufxcgdNrFtv3Sdlcmi&amp;usp=drive_copy" TargetMode="External"/><Relationship Id="rId354" Type="http://schemas.openxmlformats.org/officeDocument/2006/relationships/hyperlink" Target="https://drive.google.com/open?id=1IjoXy4mGQQlOl3VsXg9pvxa6TG1idZQV&amp;usp=drive_copy" TargetMode="External"/><Relationship Id="rId353" Type="http://schemas.openxmlformats.org/officeDocument/2006/relationships/hyperlink" Target="https://drive.google.com/open?id=11UkhHGfvc1IRZbIIu0lRdKnFYk5PBX4i&amp;usp=drive_copy" TargetMode="External"/><Relationship Id="rId1378" Type="http://schemas.openxmlformats.org/officeDocument/2006/relationships/hyperlink" Target="https://drive.google.com/open?id=1ZPBX4UZwM7EjnOPeavj19CZijVU9rPKi&amp;usp=drive_copy" TargetMode="External"/><Relationship Id="rId2225" Type="http://schemas.openxmlformats.org/officeDocument/2006/relationships/hyperlink" Target="https://drive.google.com/open?id=1r7ou_dCjc9-fFPeKopjLIdkgsF-ZHz9Z&amp;usp=drive_copy" TargetMode="External"/><Relationship Id="rId1379" Type="http://schemas.openxmlformats.org/officeDocument/2006/relationships/hyperlink" Target="https://drive.google.com/open?id=1GjMD5bU6Ieqwi2BYYZH02-KIPmlrOsXd&amp;usp=drive_copy" TargetMode="External"/><Relationship Id="rId2226" Type="http://schemas.openxmlformats.org/officeDocument/2006/relationships/hyperlink" Target="https://drive.google.com/open?id=1gg3kbvUm5XrdQXFZEhd7ZUIdYaepi8If&amp;usp=drive_copy" TargetMode="External"/><Relationship Id="rId2227" Type="http://schemas.openxmlformats.org/officeDocument/2006/relationships/hyperlink" Target="https://drive.google.com/open?id=1GA-I1rlLb1ieuwI_Mht2eUE56uEyzuPJ&amp;usp=drive_copy" TargetMode="External"/><Relationship Id="rId2228" Type="http://schemas.openxmlformats.org/officeDocument/2006/relationships/hyperlink" Target="https://drive.google.com/open?id=1LK-ty-N3-MESGXDPO07iEdkqfAlIZM1j&amp;usp=drive_copy" TargetMode="External"/><Relationship Id="rId2229" Type="http://schemas.openxmlformats.org/officeDocument/2006/relationships/hyperlink" Target="https://drive.google.com/open?id=1LWgYt6XS8btUo9uej7r8L9xDBNaXkrAq&amp;usp=drive_copy" TargetMode="External"/><Relationship Id="rId305" Type="http://schemas.openxmlformats.org/officeDocument/2006/relationships/hyperlink" Target="https://drive.google.com/file/d/1l7JR2k_ysYWJ9ym8rEHdyg9N2fTCAO-0/view?usp=drive_link" TargetMode="External"/><Relationship Id="rId789" Type="http://schemas.openxmlformats.org/officeDocument/2006/relationships/hyperlink" Target="https://drive.google.com/open?id=1BiQ2LSahFMhMW-kBsLxB8r9uCkdKsvar&amp;usp=drive_copy" TargetMode="External"/><Relationship Id="rId304" Type="http://schemas.openxmlformats.org/officeDocument/2006/relationships/hyperlink" Target="https://drive.google.com/file/d/1p1DRnqYVKfsMtqpvMuxU7Yskfr5qKf6K/view?usp=drive_link" TargetMode="External"/><Relationship Id="rId788" Type="http://schemas.openxmlformats.org/officeDocument/2006/relationships/hyperlink" Target="https://drive.google.com/open?id=183V70brOxf8hi6hRz-OveZVIUkuOc_T5&amp;usp=drive_copy" TargetMode="External"/><Relationship Id="rId303" Type="http://schemas.openxmlformats.org/officeDocument/2006/relationships/hyperlink" Target="https://drive.google.com/file/d/1-Y-D4fkgM1-8rZMl3Df_Ws-8tslo_rnM/view?usp=drive_link" TargetMode="External"/><Relationship Id="rId787" Type="http://schemas.openxmlformats.org/officeDocument/2006/relationships/hyperlink" Target="https://drive.google.com/open?id=1CdIGJpGNWZUU_6UIdX2hI95mTeJX1dH3&amp;usp=drive_copy" TargetMode="External"/><Relationship Id="rId302" Type="http://schemas.openxmlformats.org/officeDocument/2006/relationships/hyperlink" Target="https://drive.google.com/file/d/1khjWxIwyKfoP1BX3plLcs3kGfMFg_0dR/view?usp=drive_link" TargetMode="External"/><Relationship Id="rId786" Type="http://schemas.openxmlformats.org/officeDocument/2006/relationships/hyperlink" Target="https://drive.google.com/open?id=1fkeeZDttPFQmyB363f5HUJcrBLfzgg0a&amp;usp=drive_copy" TargetMode="External"/><Relationship Id="rId309" Type="http://schemas.openxmlformats.org/officeDocument/2006/relationships/hyperlink" Target="https://drive.google.com/file/d/1L9qCVXt8J8lkB7SU5-Yjleh29mmKDIt0/view?usp=drive_link" TargetMode="External"/><Relationship Id="rId308" Type="http://schemas.openxmlformats.org/officeDocument/2006/relationships/hyperlink" Target="https://drive.google.com/file/d/1kNrm3LSCymNQo9UjfmbLmkGytcu46OXM/view?usp=drive_link" TargetMode="External"/><Relationship Id="rId307" Type="http://schemas.openxmlformats.org/officeDocument/2006/relationships/hyperlink" Target="https://drive.google.com/file/d/1hbCllvh-gH5GpUToxa5K_ktSbCvbZt1M/view?usp=drive_link" TargetMode="External"/><Relationship Id="rId306" Type="http://schemas.openxmlformats.org/officeDocument/2006/relationships/hyperlink" Target="https://drive.google.com/file/d/1dqeE-caFbvSghVqOlvg0l1nfQiOSWMcA/view?usp=drive_link" TargetMode="External"/><Relationship Id="rId781" Type="http://schemas.openxmlformats.org/officeDocument/2006/relationships/hyperlink" Target="https://drive.google.com/open?id=1LkMgQrQfW9tcs26xHikUEQDkmgFiKqvG&amp;usp=drive_copy" TargetMode="External"/><Relationship Id="rId1370" Type="http://schemas.openxmlformats.org/officeDocument/2006/relationships/hyperlink" Target="https://drive.google.com/open?id=1p6TvrsZymWBRblmbRY99udmkOns_vJiO&amp;usp=drive_copy" TargetMode="External"/><Relationship Id="rId780" Type="http://schemas.openxmlformats.org/officeDocument/2006/relationships/hyperlink" Target="https://drive.google.com/open?id=1QGZPlVgobUlGIQinVYhG9Ys-H_nwlpMc&amp;usp=drive_copy" TargetMode="External"/><Relationship Id="rId1371" Type="http://schemas.openxmlformats.org/officeDocument/2006/relationships/hyperlink" Target="https://drive.google.com/open?id=1p7zv2kFpxBOcmG5IqkvbBgOplI3Ojj7a&amp;usp=drive_copy" TargetMode="External"/><Relationship Id="rId1372" Type="http://schemas.openxmlformats.org/officeDocument/2006/relationships/hyperlink" Target="https://drive.google.com/open?id=1r0vi9sFtoYZqE5QDtWJayKS5rBPO_VqQ&amp;usp=drive_copy" TargetMode="External"/><Relationship Id="rId1373" Type="http://schemas.openxmlformats.org/officeDocument/2006/relationships/hyperlink" Target="https://drive.google.com/open?id=1WKw5ahjPrLUpnS8oldtTEeXlQ2IjHv87&amp;usp=drive_copy" TargetMode="External"/><Relationship Id="rId2220" Type="http://schemas.openxmlformats.org/officeDocument/2006/relationships/hyperlink" Target="https://drive.google.com/open?id=1mV6WxQajuN1CsvYs-sr73u5h8HHt1ebv&amp;usp=drive_copy" TargetMode="External"/><Relationship Id="rId301" Type="http://schemas.openxmlformats.org/officeDocument/2006/relationships/hyperlink" Target="https://drive.google.com/file/d/166dXuLNAQ2E7UZFG4Us45uRZzVWGnIbM/view?usp=drive_link" TargetMode="External"/><Relationship Id="rId785" Type="http://schemas.openxmlformats.org/officeDocument/2006/relationships/hyperlink" Target="https://drive.google.com/open?id=11-XhuEmsyl6Ptz-ZrU9FJzF_6rCWMoJG&amp;usp=drive_copy" TargetMode="External"/><Relationship Id="rId1374" Type="http://schemas.openxmlformats.org/officeDocument/2006/relationships/hyperlink" Target="https://drive.google.com/open?id=1eiM81hEkWlSxfOX_t_MQseIDO0Ne8Q0V&amp;usp=drive_copy" TargetMode="External"/><Relationship Id="rId2221" Type="http://schemas.openxmlformats.org/officeDocument/2006/relationships/hyperlink" Target="https://drive.google.com/open?id=1RgVhk92OBwDstVa4Eoasma-vZTF50c4E&amp;usp=drive_copy" TargetMode="External"/><Relationship Id="rId300" Type="http://schemas.openxmlformats.org/officeDocument/2006/relationships/hyperlink" Target="https://drive.google.com/file/d/18s4zf2MNFOE7mE3T0HuvRaIQxoE1fMxw/view?usp=drive_link" TargetMode="External"/><Relationship Id="rId784" Type="http://schemas.openxmlformats.org/officeDocument/2006/relationships/hyperlink" Target="https://drive.google.com/open?id=1_YFWllZ9Db4HXcTzbSgs4Edubzj1E4M0&amp;usp=drive_copy" TargetMode="External"/><Relationship Id="rId1375" Type="http://schemas.openxmlformats.org/officeDocument/2006/relationships/hyperlink" Target="https://drive.google.com/open?id=1QDE6KTb60aVwV1qw6Zn0f-sUCLAFAAdv&amp;usp=drive_copy" TargetMode="External"/><Relationship Id="rId2222" Type="http://schemas.openxmlformats.org/officeDocument/2006/relationships/hyperlink" Target="https://drive.google.com/open?id=18-Wq6GX2UFd5QNV6ibpmhJCScETarnJX&amp;usp=drive_copy" TargetMode="External"/><Relationship Id="rId783" Type="http://schemas.openxmlformats.org/officeDocument/2006/relationships/hyperlink" Target="https://drive.google.com/open?id=1o2uBdJxfgKs4cZcA927PcwnFf1u837nH&amp;usp=drive_copy" TargetMode="External"/><Relationship Id="rId1376" Type="http://schemas.openxmlformats.org/officeDocument/2006/relationships/hyperlink" Target="https://drive.google.com/open?id=1yQZjG-b67M8RET4-EqkjhniYm6a0yIG8&amp;usp=drive_copy" TargetMode="External"/><Relationship Id="rId2223" Type="http://schemas.openxmlformats.org/officeDocument/2006/relationships/hyperlink" Target="https://drive.google.com/open?id=1-46TyOPb4bpJyohmAbaxr1acyajQsLiy&amp;usp=drive_copy" TargetMode="External"/><Relationship Id="rId782" Type="http://schemas.openxmlformats.org/officeDocument/2006/relationships/hyperlink" Target="https://drive.google.com/open?id=1iKERntn9uNiLxjD_cRvy8dID33z2uYKz&amp;usp=drive_copy" TargetMode="External"/><Relationship Id="rId1377" Type="http://schemas.openxmlformats.org/officeDocument/2006/relationships/hyperlink" Target="https://drive.google.com/open?id=13FgmhFhOX0EW__RR6SVG0ty6w6ndj3PW&amp;usp=drive_copy" TargetMode="External"/><Relationship Id="rId2224" Type="http://schemas.openxmlformats.org/officeDocument/2006/relationships/hyperlink" Target="https://drive.google.com/open?id=1UwJ2Hl9fCwDB7GtT0SBoDZGNnBv9hf4A&amp;usp=drive_copy" TargetMode="External"/><Relationship Id="rId1367" Type="http://schemas.openxmlformats.org/officeDocument/2006/relationships/hyperlink" Target="https://drive.google.com/open?id=12bsnQprMjUQR6_GXFPPvRFY6yGXr-hCr&amp;usp=drive_copy" TargetMode="External"/><Relationship Id="rId2214" Type="http://schemas.openxmlformats.org/officeDocument/2006/relationships/hyperlink" Target="https://drive.google.com/open?id=1JksJB4bivBuioCM4UId20fTB_D_HafGf&amp;usp=drive_copy" TargetMode="External"/><Relationship Id="rId1368" Type="http://schemas.openxmlformats.org/officeDocument/2006/relationships/hyperlink" Target="https://drive.google.com/open?id=1i4vchBRyrC8goJEdxkVLjCAfuoS2AZID&amp;usp=drive_copy" TargetMode="External"/><Relationship Id="rId2215" Type="http://schemas.openxmlformats.org/officeDocument/2006/relationships/hyperlink" Target="https://drive.google.com/open?id=1A1pjlqsaexgqturQVHmq0h3gkfMOOzuX&amp;usp=drive_copy" TargetMode="External"/><Relationship Id="rId1369" Type="http://schemas.openxmlformats.org/officeDocument/2006/relationships/hyperlink" Target="https://drive.google.com/open?id=1qOCVTDCiYn83KzsMVYQq6CzpZ3_qKLy3&amp;usp=drive_copy" TargetMode="External"/><Relationship Id="rId2216" Type="http://schemas.openxmlformats.org/officeDocument/2006/relationships/hyperlink" Target="https://drive.google.com/open?id=1n7EF6CAynytXdiKObetHyeWZsJS92ELK&amp;usp=drive_copy" TargetMode="External"/><Relationship Id="rId2217" Type="http://schemas.openxmlformats.org/officeDocument/2006/relationships/hyperlink" Target="https://drive.google.com/open?id=1ycHuOMM0YeoH-vfL4KVgMJHkQRVFB3Sx&amp;usp=drive_copy" TargetMode="External"/><Relationship Id="rId2218" Type="http://schemas.openxmlformats.org/officeDocument/2006/relationships/hyperlink" Target="https://drive.google.com/open?id=1ufOcHHfAuV2gG7HBoLLk6jvlve4m0P7N&amp;usp=drive_copy" TargetMode="External"/><Relationship Id="rId2219" Type="http://schemas.openxmlformats.org/officeDocument/2006/relationships/hyperlink" Target="https://drive.google.com/open?id=1RrALllAvrvnF766p_KF-Ygtwb1_XoKAp&amp;usp=drive_copy" TargetMode="External"/><Relationship Id="rId778" Type="http://schemas.openxmlformats.org/officeDocument/2006/relationships/hyperlink" Target="https://drive.google.com/open?id=156jM0UQ26_QG7OIuLbOM3GkPPX3tgVWd&amp;usp=drive_copy" TargetMode="External"/><Relationship Id="rId777" Type="http://schemas.openxmlformats.org/officeDocument/2006/relationships/hyperlink" Target="https://drive.google.com/open?id=1LZaiefaYBruLeoywMxfGJTzmd1vkH3nF&amp;usp=drive_copy" TargetMode="External"/><Relationship Id="rId776" Type="http://schemas.openxmlformats.org/officeDocument/2006/relationships/hyperlink" Target="https://drive.google.com/open?id=1lm2z-QPmEWt_KKY8A4IUDuqnsmGB74nO&amp;usp=drive_copy" TargetMode="External"/><Relationship Id="rId775" Type="http://schemas.openxmlformats.org/officeDocument/2006/relationships/hyperlink" Target="https://drive.google.com/open?id=1_ICJafPrnb1HvMFssQ3p5ZYyvWKznOVX&amp;usp=drive_copy" TargetMode="External"/><Relationship Id="rId779" Type="http://schemas.openxmlformats.org/officeDocument/2006/relationships/hyperlink" Target="https://drive.google.com/open?id=1CggSfYTIYaqaGnvRTWydoi2F_sFAVaZE&amp;usp=drive_copy" TargetMode="External"/><Relationship Id="rId770" Type="http://schemas.openxmlformats.org/officeDocument/2006/relationships/hyperlink" Target="https://drive.google.com/open?id=1aA_NmGvotMZJd_fr5CnIw28-zaPUo7Gr&amp;usp=drive_copy" TargetMode="External"/><Relationship Id="rId1360" Type="http://schemas.openxmlformats.org/officeDocument/2006/relationships/hyperlink" Target="https://drive.google.com/open?id=1VjNo8FlnKZ-9Ja1nRv5AdGkKJg_TSLVf&amp;usp=drive_copy" TargetMode="External"/><Relationship Id="rId1361" Type="http://schemas.openxmlformats.org/officeDocument/2006/relationships/hyperlink" Target="https://drive.google.com/open?id=13EUDuJrXNCz2p2wiCk7weSK9lWuy_MM4&amp;usp=drive_copy" TargetMode="External"/><Relationship Id="rId1362" Type="http://schemas.openxmlformats.org/officeDocument/2006/relationships/hyperlink" Target="https://drive.google.com/open?id=1Khs6nenhOKeJbGbUAoGx0jkFN1Ug9ImU&amp;usp=drive_copy" TargetMode="External"/><Relationship Id="rId774" Type="http://schemas.openxmlformats.org/officeDocument/2006/relationships/hyperlink" Target="https://drive.google.com/open?id=1_tw567uc-FEuu3sncLoKpIclSPAbL_RM&amp;usp=drive_copy" TargetMode="External"/><Relationship Id="rId1363" Type="http://schemas.openxmlformats.org/officeDocument/2006/relationships/hyperlink" Target="https://drive.google.com/open?id=1S9y7v2iTu7A_XSHZLwZ7nKUR6m-dHi5n&amp;usp=drive_copy" TargetMode="External"/><Relationship Id="rId2210" Type="http://schemas.openxmlformats.org/officeDocument/2006/relationships/hyperlink" Target="https://drive.google.com/open?id=11sPrgTve97GAJ6hmjyF2oseHxx0pj6dY&amp;usp=drive_copy" TargetMode="External"/><Relationship Id="rId773" Type="http://schemas.openxmlformats.org/officeDocument/2006/relationships/hyperlink" Target="https://drive.google.com/open?id=1qtg3U9LY9LorFihJ2CIINmmj7TsiZtx-&amp;usp=drive_copy" TargetMode="External"/><Relationship Id="rId1364" Type="http://schemas.openxmlformats.org/officeDocument/2006/relationships/hyperlink" Target="https://drive.google.com/open?id=1For0WbwmOWsdlGIr0M7s3biM7dHVNnym&amp;usp=drive_copy" TargetMode="External"/><Relationship Id="rId2211" Type="http://schemas.openxmlformats.org/officeDocument/2006/relationships/hyperlink" Target="https://drive.google.com/open?id=1uxrGHZvN_mKC6SB7x6Eoy1XdS2xm_gnF&amp;usp=drive_copy" TargetMode="External"/><Relationship Id="rId772" Type="http://schemas.openxmlformats.org/officeDocument/2006/relationships/hyperlink" Target="https://drive.google.com/open?id=1VY0tv8cf5P4iF8l6LNtFdwqKsU2abppo&amp;usp=drive_copy" TargetMode="External"/><Relationship Id="rId1365" Type="http://schemas.openxmlformats.org/officeDocument/2006/relationships/hyperlink" Target="https://drive.google.com/open?id=1xo9GDwtthBrrDBD_xCklFYjnWCFeI4KM&amp;usp=drive_copy" TargetMode="External"/><Relationship Id="rId2212" Type="http://schemas.openxmlformats.org/officeDocument/2006/relationships/hyperlink" Target="https://drive.google.com/open?id=1vCXByxHQ9ZbB3NgHNUKPv_4nwA3A50rS&amp;usp=drive_copy" TargetMode="External"/><Relationship Id="rId771" Type="http://schemas.openxmlformats.org/officeDocument/2006/relationships/hyperlink" Target="https://drive.google.com/open?id=1dlR7m03oKAoJJPxz2GFwC7kGVf6YwKdt&amp;usp=drive_copy" TargetMode="External"/><Relationship Id="rId1366" Type="http://schemas.openxmlformats.org/officeDocument/2006/relationships/hyperlink" Target="https://drive.google.com/open?id=1qyA-ietWXc4qL04NcsnFoG7QOdtTD3bN&amp;usp=drive_copy" TargetMode="External"/><Relationship Id="rId2213" Type="http://schemas.openxmlformats.org/officeDocument/2006/relationships/hyperlink" Target="https://drive.google.com/open?id=1Jdl1gIBQamTHqhNbeRKhHwrR2YFH0_eh&amp;usp=drive_copy" TargetMode="External"/><Relationship Id="rId2247" Type="http://schemas.openxmlformats.org/officeDocument/2006/relationships/hyperlink" Target="https://drive.google.com/open?id=16qJjYvKP9b9awT7e5A3WN0bsSA1Yerji&amp;usp=drive_copy" TargetMode="External"/><Relationship Id="rId2248" Type="http://schemas.openxmlformats.org/officeDocument/2006/relationships/hyperlink" Target="https://drive.google.com/open?id=1Rjsks1i9CEzrwXR1bm7hQNHxZTtu0mwk&amp;usp=drive_copy" TargetMode="External"/><Relationship Id="rId2249" Type="http://schemas.openxmlformats.org/officeDocument/2006/relationships/hyperlink" Target="https://drive.google.com/open?id=1EQ88yZ-o__XWkCISuyDjiTZnmzVrEmxu&amp;usp=drive_copy" TargetMode="External"/><Relationship Id="rId327" Type="http://schemas.openxmlformats.org/officeDocument/2006/relationships/hyperlink" Target="https://drive.google.com/file/d/1eSdb3xUiG2tgP_O70m0gG-1i4g0okYot/view?usp=drive_link" TargetMode="External"/><Relationship Id="rId326" Type="http://schemas.openxmlformats.org/officeDocument/2006/relationships/hyperlink" Target="https://drive.google.com/file/d/1ESW0Af0-dhskW5202WMvRLhg1MEvo0hW/view?usp=drive_link" TargetMode="External"/><Relationship Id="rId325" Type="http://schemas.openxmlformats.org/officeDocument/2006/relationships/hyperlink" Target="https://drive.google.com/file/d/1wG1sAJYo-bIWyLORr_gtTU4FJYSpGJhf/view?usp=drive_link" TargetMode="External"/><Relationship Id="rId324" Type="http://schemas.openxmlformats.org/officeDocument/2006/relationships/hyperlink" Target="https://drive.google.com/open?id=1w6ax1aY5BQNYf8WfYCO0KhLooJNOoQRn&amp;usp=drive_copy" TargetMode="External"/><Relationship Id="rId329" Type="http://schemas.openxmlformats.org/officeDocument/2006/relationships/hyperlink" Target="https://drive.google.com/open?id=1HGyHuMDjZolhYYgFKzhprX9UbPOl-wYU&amp;usp=drive_copy" TargetMode="External"/><Relationship Id="rId1390" Type="http://schemas.openxmlformats.org/officeDocument/2006/relationships/hyperlink" Target="https://drive.google.com/open?id=1g8J8lK4K9cUFfQK4igSD8ej5EoFyf4Eo&amp;usp=drive_copy" TargetMode="External"/><Relationship Id="rId328" Type="http://schemas.openxmlformats.org/officeDocument/2006/relationships/hyperlink" Target="https://drive.google.com/open?id=1WXnr7CWPVlMZMmdRBJ-OQBarn8UZSFzA&amp;usp=drive_copy" TargetMode="External"/><Relationship Id="rId1391" Type="http://schemas.openxmlformats.org/officeDocument/2006/relationships/hyperlink" Target="https://drive.google.com/open?id=1MxLomrbFItyXQ9f6NPcBk9jr5rhC3VXv&amp;usp=drive_copy" TargetMode="External"/><Relationship Id="rId1392" Type="http://schemas.openxmlformats.org/officeDocument/2006/relationships/hyperlink" Target="https://drive.google.com/open?id=1SWy3odapTZwNWwC_0fLbrUZU-BSQ_z5G&amp;usp=drive_copy" TargetMode="External"/><Relationship Id="rId1393" Type="http://schemas.openxmlformats.org/officeDocument/2006/relationships/hyperlink" Target="https://drive.google.com/open?id=1U89Dk1JKjrg85jkJGUTAdJrtwyGc5Ati&amp;usp=drive_copy" TargetMode="External"/><Relationship Id="rId2240" Type="http://schemas.openxmlformats.org/officeDocument/2006/relationships/hyperlink" Target="https://drive.google.com/open?id=1-Yw8NOT6A6q9mErtnm9IqW3epmMPVN9a&amp;usp=drive_copy" TargetMode="External"/><Relationship Id="rId1394" Type="http://schemas.openxmlformats.org/officeDocument/2006/relationships/hyperlink" Target="https://drive.google.com/open?id=1LPwHoEIlfJT-tlQ4ecCn9aqBUwTSrbHU&amp;usp=drive_copy" TargetMode="External"/><Relationship Id="rId2241" Type="http://schemas.openxmlformats.org/officeDocument/2006/relationships/hyperlink" Target="https://drive.google.com/open?id=1XpqfAZcbShsIJDD2a146NwJYc0GJwUuH&amp;usp=drive_copy" TargetMode="External"/><Relationship Id="rId1395" Type="http://schemas.openxmlformats.org/officeDocument/2006/relationships/hyperlink" Target="https://drive.google.com/open?id=1m6liNDpOCbWIHCn64qTTXVZToYM0E3vI&amp;usp=drive_copy" TargetMode="External"/><Relationship Id="rId2242" Type="http://schemas.openxmlformats.org/officeDocument/2006/relationships/hyperlink" Target="https://drive.google.com/open?id=11mQ97quGav__tg_kz2slvMMrQfYnsEia&amp;usp=drive_copy" TargetMode="External"/><Relationship Id="rId323" Type="http://schemas.openxmlformats.org/officeDocument/2006/relationships/hyperlink" Target="https://drive.google.com/open?id=1bP_rnNBw8HfAF2w9Z4ft7VJe0D91xKHI&amp;usp=drive_copy" TargetMode="External"/><Relationship Id="rId1396" Type="http://schemas.openxmlformats.org/officeDocument/2006/relationships/hyperlink" Target="https://drive.google.com/open?id=1fSrXZ2UIUcHcd8e2gJZqXzlYj2WUNc0A&amp;usp=drive_copy" TargetMode="External"/><Relationship Id="rId2243" Type="http://schemas.openxmlformats.org/officeDocument/2006/relationships/hyperlink" Target="https://drive.google.com/open?id=1hnsl73D1h4oqYHlMWXvDvl6rMHeQ8-3q&amp;usp=drive_copy" TargetMode="External"/><Relationship Id="rId322" Type="http://schemas.openxmlformats.org/officeDocument/2006/relationships/hyperlink" Target="https://drive.google.com/open?id=1rJDH1VMxDOOe9SkJBiQ8k3hNzHdQHj0g&amp;usp=drive_copy" TargetMode="External"/><Relationship Id="rId1397" Type="http://schemas.openxmlformats.org/officeDocument/2006/relationships/hyperlink" Target="https://drive.google.com/open?id=14Pl58vskfjqrL6kuCHTNFQyZTqYps1qZ&amp;usp=drive_copy" TargetMode="External"/><Relationship Id="rId2244" Type="http://schemas.openxmlformats.org/officeDocument/2006/relationships/hyperlink" Target="https://drive.google.com/open?id=1HBON69gfH0IUjMvK4wVDdcVVJyswOiVW&amp;usp=drive_copy" TargetMode="External"/><Relationship Id="rId321" Type="http://schemas.openxmlformats.org/officeDocument/2006/relationships/hyperlink" Target="https://drive.google.com/open?id=1S0EHsI_GtNnioyQWx-bmoS7pH0JIwroR&amp;usp=drive_copy" TargetMode="External"/><Relationship Id="rId1398" Type="http://schemas.openxmlformats.org/officeDocument/2006/relationships/hyperlink" Target="https://drive.google.com/open?id=1d0fUoc8_sAxSXD2JJoxf1eZ0_TqmIZVX&amp;usp=drive_copy" TargetMode="External"/><Relationship Id="rId2245" Type="http://schemas.openxmlformats.org/officeDocument/2006/relationships/hyperlink" Target="https://drive.google.com/open?id=1TlmU_DSZjHuwz7_BzNJULRj33ZEJd0qD&amp;usp=drive_copy" TargetMode="External"/><Relationship Id="rId320" Type="http://schemas.openxmlformats.org/officeDocument/2006/relationships/hyperlink" Target="https://drive.google.com/open?id=1r3ZL9TcvzijDk6oziVKd77lHaJZSN3r1&amp;usp=drive_copy" TargetMode="External"/><Relationship Id="rId1399" Type="http://schemas.openxmlformats.org/officeDocument/2006/relationships/hyperlink" Target="https://drive.google.com/open?id=1wMY3zyiTi4SEc-x1sIJEhjTcuZTnyhcp&amp;usp=drive_copy" TargetMode="External"/><Relationship Id="rId2246" Type="http://schemas.openxmlformats.org/officeDocument/2006/relationships/hyperlink" Target="https://drive.google.com/open?id=12qv3ubURqYBFZzqYtpzINu4cIwUIhwb8&amp;usp=drive_copy" TargetMode="External"/><Relationship Id="rId1389" Type="http://schemas.openxmlformats.org/officeDocument/2006/relationships/hyperlink" Target="https://drive.google.com/open?id=1ASWFhefTrQGSvUrJeCh178IKFna96A2N&amp;usp=drive_copy" TargetMode="External"/><Relationship Id="rId2236" Type="http://schemas.openxmlformats.org/officeDocument/2006/relationships/hyperlink" Target="https://drive.google.com/open?id=1zkfIJdMXhHkIO3uw8zg4oHET5np0U4h_&amp;usp=drive_copy" TargetMode="External"/><Relationship Id="rId2237" Type="http://schemas.openxmlformats.org/officeDocument/2006/relationships/hyperlink" Target="https://drive.google.com/open?id=1Wc8_ABlblCRrnVhXJ77ZyU6tG0nHHQyw&amp;usp=drive_copy" TargetMode="External"/><Relationship Id="rId2238" Type="http://schemas.openxmlformats.org/officeDocument/2006/relationships/hyperlink" Target="https://drive.google.com/open?id=1S87cRrkpJK0oVRiyRrhk5UdAJDgwUIC8&amp;usp=drive_copy" TargetMode="External"/><Relationship Id="rId2239" Type="http://schemas.openxmlformats.org/officeDocument/2006/relationships/hyperlink" Target="https://drive.google.com/open?id=1H01baYZX2_1bnZWliX1f8GdkjILwEI7D&amp;usp=drive_copy" TargetMode="External"/><Relationship Id="rId316" Type="http://schemas.openxmlformats.org/officeDocument/2006/relationships/hyperlink" Target="https://drive.google.com/open?id=1hfqwp5aanhCre3AwFg4gDBHv6UvZbYdZ&amp;usp=drive_copy" TargetMode="External"/><Relationship Id="rId315" Type="http://schemas.openxmlformats.org/officeDocument/2006/relationships/hyperlink" Target="https://drive.google.com/open?id=1hHz_CHjYJjYcJ-D1bRQld22bkdQXoyN2&amp;usp=drive_copy" TargetMode="External"/><Relationship Id="rId799" Type="http://schemas.openxmlformats.org/officeDocument/2006/relationships/hyperlink" Target="https://drive.google.com/open?id=1EsmkiTC6CAdiCLA3siGGgVQDIL98VbZd&amp;usp=drive_copy" TargetMode="External"/><Relationship Id="rId314" Type="http://schemas.openxmlformats.org/officeDocument/2006/relationships/hyperlink" Target="https://drive.google.com/file/d/1HWrQI_lsKLJNkrelyf25_Z1qP2cZvSgZ/view?usp=drive_link" TargetMode="External"/><Relationship Id="rId798" Type="http://schemas.openxmlformats.org/officeDocument/2006/relationships/hyperlink" Target="https://drive.google.com/open?id=1rodb9y8EaCiBVQFP7Cb_qo--ZhVSXFrR&amp;usp=drive_copy" TargetMode="External"/><Relationship Id="rId313" Type="http://schemas.openxmlformats.org/officeDocument/2006/relationships/hyperlink" Target="https://drive.google.com/file/d/1wQWoge8VMXDWmh8Dc8ynHCfQ6_QvlcVD/view?usp=drive_link" TargetMode="External"/><Relationship Id="rId797" Type="http://schemas.openxmlformats.org/officeDocument/2006/relationships/hyperlink" Target="https://drive.google.com/open?id=1X1U0jeZoCq2ALOCF18-RcWXGgJNX9UTz&amp;usp=drive_copy" TargetMode="External"/><Relationship Id="rId319" Type="http://schemas.openxmlformats.org/officeDocument/2006/relationships/hyperlink" Target="https://drive.google.com/open?id=1sS_E9mJQH-Jr2qPGTUEe69wuHl5KnCB8&amp;usp=drive_copy" TargetMode="External"/><Relationship Id="rId318" Type="http://schemas.openxmlformats.org/officeDocument/2006/relationships/hyperlink" Target="https://drive.google.com/open?id=1lUhVEm4sCACqeO8AFTp2fCTmmhLKMzAP&amp;usp=drive_copy" TargetMode="External"/><Relationship Id="rId317" Type="http://schemas.openxmlformats.org/officeDocument/2006/relationships/hyperlink" Target="https://drive.google.com/open?id=1NaTnjmYBj1ZOjJ0UMGHRdAsJhBzOeKDW&amp;usp=drive_copy" TargetMode="External"/><Relationship Id="rId1380" Type="http://schemas.openxmlformats.org/officeDocument/2006/relationships/hyperlink" Target="https://drive.google.com/open?id=1JRL_qBohCJTfS23yb1LSO9omXubRLagG&amp;usp=drive_copy" TargetMode="External"/><Relationship Id="rId792" Type="http://schemas.openxmlformats.org/officeDocument/2006/relationships/hyperlink" Target="https://drive.google.com/open?id=10TkfYZeWeD9h0ilM818u-eyTPicUZmcz&amp;usp=drive_copy" TargetMode="External"/><Relationship Id="rId1381" Type="http://schemas.openxmlformats.org/officeDocument/2006/relationships/hyperlink" Target="https://drive.google.com/open?id=1T2azJ1NO3NuY1yRWbiOnFCTtBhBRC2Rs&amp;usp=drive_copy" TargetMode="External"/><Relationship Id="rId791" Type="http://schemas.openxmlformats.org/officeDocument/2006/relationships/hyperlink" Target="https://drive.google.com/open?id=12FZpi4nt-vej0AhUVd9fMAdHF1b8D1AG&amp;usp=drive_copy" TargetMode="External"/><Relationship Id="rId1382" Type="http://schemas.openxmlformats.org/officeDocument/2006/relationships/hyperlink" Target="https://drive.google.com/open?id=1NKuf3uuPeWxNTt2N67iINlWFQMTRpG6-&amp;usp=drive_copy" TargetMode="External"/><Relationship Id="rId790" Type="http://schemas.openxmlformats.org/officeDocument/2006/relationships/hyperlink" Target="https://drive.google.com/open?id=1wKSH8YJckKAdyqIPY_oWJrVD6CHStijg&amp;usp=drive_copy" TargetMode="External"/><Relationship Id="rId1383" Type="http://schemas.openxmlformats.org/officeDocument/2006/relationships/hyperlink" Target="https://drive.google.com/open?id=1XwbHyW8fk1XzD1SaB0md4Fr6uASyAic1&amp;usp=drive_copy" TargetMode="External"/><Relationship Id="rId2230" Type="http://schemas.openxmlformats.org/officeDocument/2006/relationships/hyperlink" Target="https://drive.google.com/open?id=1Jz5LzGJ0aOP1MXqwACLkhn3p0ari0H_Y&amp;usp=drive_copy" TargetMode="External"/><Relationship Id="rId1384" Type="http://schemas.openxmlformats.org/officeDocument/2006/relationships/hyperlink" Target="https://drive.google.com/open?id=15lvQWT40dE0lx3WorTDr7MIofp4Wj0ef&amp;usp=drive_copy" TargetMode="External"/><Relationship Id="rId2231" Type="http://schemas.openxmlformats.org/officeDocument/2006/relationships/hyperlink" Target="https://drive.google.com/open?id=1O5DQ3JvjS_k7urJAonbtY4GrTxT_aTSi&amp;usp=drive_copy" TargetMode="External"/><Relationship Id="rId312" Type="http://schemas.openxmlformats.org/officeDocument/2006/relationships/hyperlink" Target="https://drive.google.com/file/d/1anwueO54EBK_4h1n0_61RBAF1UeST_l6/view?usp=drive_link" TargetMode="External"/><Relationship Id="rId796" Type="http://schemas.openxmlformats.org/officeDocument/2006/relationships/hyperlink" Target="https://drive.google.com/open?id=1dDx6PjWemFdBriB_316klKxkPzeoiZjP&amp;usp=drive_copy" TargetMode="External"/><Relationship Id="rId1385" Type="http://schemas.openxmlformats.org/officeDocument/2006/relationships/hyperlink" Target="https://drive.google.com/open?id=1otntgGAVtRhmZD9EaiLVsBOSGA_Z1VSH&amp;usp=drive_copy" TargetMode="External"/><Relationship Id="rId2232" Type="http://schemas.openxmlformats.org/officeDocument/2006/relationships/hyperlink" Target="https://drive.google.com/open?id=1iMY-7GeCn9eyzmiaWP_SqPnXZ26vqdDg&amp;usp=drive_copy" TargetMode="External"/><Relationship Id="rId311" Type="http://schemas.openxmlformats.org/officeDocument/2006/relationships/hyperlink" Target="https://drive.google.com/file/d/13mPzC0JBbF4gsH2NYTA24XVJ1uIfLFo6/view?usp=drive_link" TargetMode="External"/><Relationship Id="rId795" Type="http://schemas.openxmlformats.org/officeDocument/2006/relationships/hyperlink" Target="https://drive.google.com/open?id=10uQj74bz5N8KaVYi7trXovrbeL2lURPc&amp;usp=drive_copy" TargetMode="External"/><Relationship Id="rId1386" Type="http://schemas.openxmlformats.org/officeDocument/2006/relationships/hyperlink" Target="https://drive.google.com/open?id=1gERtxKwqGEtWpFmZXKD5-YEew9RbfI2I&amp;usp=drive_copy" TargetMode="External"/><Relationship Id="rId2233" Type="http://schemas.openxmlformats.org/officeDocument/2006/relationships/hyperlink" Target="https://drive.google.com/open?id=1LypOV2c2CT61zkthPXJCqpMq2LZLv5zS&amp;usp=drive_copy" TargetMode="External"/><Relationship Id="rId310" Type="http://schemas.openxmlformats.org/officeDocument/2006/relationships/hyperlink" Target="https://drive.google.com/file/d/1Je8pcFlC86XBitRxsOXw7t2DZvmXAfsh/view?usp=drive_link" TargetMode="External"/><Relationship Id="rId794" Type="http://schemas.openxmlformats.org/officeDocument/2006/relationships/hyperlink" Target="https://drive.google.com/open?id=1G1T5xd65mVVA50aEfdhD1coE3aBAxpoN&amp;usp=drive_copy" TargetMode="External"/><Relationship Id="rId1387" Type="http://schemas.openxmlformats.org/officeDocument/2006/relationships/hyperlink" Target="https://drive.google.com/open?id=1bmnSCFoIQVbl_DHdOa9om_5LPGn6e34k&amp;usp=drive_copy" TargetMode="External"/><Relationship Id="rId2234" Type="http://schemas.openxmlformats.org/officeDocument/2006/relationships/hyperlink" Target="https://drive.google.com/open?id=1487Rhj73oVw31L0VPTxgynMQpp6odI7u&amp;usp=drive_copy" TargetMode="External"/><Relationship Id="rId793" Type="http://schemas.openxmlformats.org/officeDocument/2006/relationships/hyperlink" Target="https://drive.google.com/open?id=1mwRUTzWBXQ07hZv8-jonPQrqO2rd8HAs&amp;usp=drive_copy" TargetMode="External"/><Relationship Id="rId1388" Type="http://schemas.openxmlformats.org/officeDocument/2006/relationships/hyperlink" Target="https://drive.google.com/open?id=1fLXb3AXJy7L3myGdKx8tJAY_RNzEokt0&amp;usp=drive_copy" TargetMode="External"/><Relationship Id="rId2235" Type="http://schemas.openxmlformats.org/officeDocument/2006/relationships/hyperlink" Target="https://drive.google.com/open?id=1XOY7WurdqEohl2MS-UeMqBvDM0gh-ihb&amp;usp=drive_copy" TargetMode="External"/><Relationship Id="rId297" Type="http://schemas.openxmlformats.org/officeDocument/2006/relationships/hyperlink" Target="https://drive.google.com/file/d/1fXsqRrzS1pJoMGFbRxrCEPxt08srkePN/view?usp=drive_link" TargetMode="External"/><Relationship Id="rId296" Type="http://schemas.openxmlformats.org/officeDocument/2006/relationships/hyperlink" Target="https://drive.google.com/file/d/1v7tGbioRw5hTSvKEr7-qIoUwlBNR05fq/view?usp=drive_link" TargetMode="External"/><Relationship Id="rId295" Type="http://schemas.openxmlformats.org/officeDocument/2006/relationships/hyperlink" Target="https://drive.google.com/file/d/1UgUc_byxTdfT9I_NEz4Tp9AbLaf6PML_/view?usp=drive_link" TargetMode="External"/><Relationship Id="rId294" Type="http://schemas.openxmlformats.org/officeDocument/2006/relationships/hyperlink" Target="https://drive.google.com/open?id=1lZ8I55bkqjPfJxSVfhZyfUTDOaHleKdQ&amp;usp=drive_copy" TargetMode="External"/><Relationship Id="rId299" Type="http://schemas.openxmlformats.org/officeDocument/2006/relationships/hyperlink" Target="https://drive.google.com/file/d/18Hub1M1Or5nnFZb_m9cTvFsC11DRGaZ0/view?usp=drive_link" TargetMode="External"/><Relationship Id="rId298" Type="http://schemas.openxmlformats.org/officeDocument/2006/relationships/hyperlink" Target="https://drive.google.com/file/d/1Hlf20ejJtHAow1Nxv656XkhZuhyOjorG/view?usp=drive_link" TargetMode="External"/><Relationship Id="rId271" Type="http://schemas.openxmlformats.org/officeDocument/2006/relationships/hyperlink" Target="https://drive.google.com/open?id=1ov86bJdd83f3a-FMyZIIed_RA64LIUlq&amp;usp=drive_copy" TargetMode="External"/><Relationship Id="rId270" Type="http://schemas.openxmlformats.org/officeDocument/2006/relationships/hyperlink" Target="https://drive.google.com/open?id=1dc4RIyE9kbA7cHZmhcE3UhrHqAPs56_L&amp;usp=drive_copy" TargetMode="External"/><Relationship Id="rId269" Type="http://schemas.openxmlformats.org/officeDocument/2006/relationships/hyperlink" Target="https://drive.google.com/open?id=1wAgpTNwhftCkQt9POATeDxQh-MgIKAuF&amp;usp=drive_copy" TargetMode="External"/><Relationship Id="rId264" Type="http://schemas.openxmlformats.org/officeDocument/2006/relationships/hyperlink" Target="https://drive.google.com/file/d/1t9BoBb3GjvuK1kk_cK2NEh3q20vHUZq8/view?usp=drive_link" TargetMode="External"/><Relationship Id="rId263" Type="http://schemas.openxmlformats.org/officeDocument/2006/relationships/hyperlink" Target="https://drive.google.com/file/d/1971octHDwXdi9YQagSViBkO6JQLDLSnn/view?usp=drive_link" TargetMode="External"/><Relationship Id="rId262" Type="http://schemas.openxmlformats.org/officeDocument/2006/relationships/hyperlink" Target="https://drive.google.com/file/d/1UgNVD6I_fmZCAnOqZFALd8XFFWYPeHzK/view?usp=drive_link" TargetMode="External"/><Relationship Id="rId261" Type="http://schemas.openxmlformats.org/officeDocument/2006/relationships/hyperlink" Target="https://drive.google.com/file/d/1qA5S0JK0CJP6TKmXTvlE4mEifTBHPRlw/view?usp=drive_link" TargetMode="External"/><Relationship Id="rId268" Type="http://schemas.openxmlformats.org/officeDocument/2006/relationships/hyperlink" Target="https://drive.google.com/open?id=1KuR6BTvzVJv3cL-UkLGVNnWPwMcMpCGg&amp;usp=drive_copy" TargetMode="External"/><Relationship Id="rId267" Type="http://schemas.openxmlformats.org/officeDocument/2006/relationships/hyperlink" Target="https://drive.google.com/open?id=1bxhKOgm7N9ABih_NFA8M0oX06t3ArN1g&amp;usp=drive_copy" TargetMode="External"/><Relationship Id="rId266" Type="http://schemas.openxmlformats.org/officeDocument/2006/relationships/hyperlink" Target="https://drive.google.com/open?id=1r3GIQ_KQVJgPhMLVDChDB35VpkoFG76q&amp;usp=drive_copy" TargetMode="External"/><Relationship Id="rId265" Type="http://schemas.openxmlformats.org/officeDocument/2006/relationships/hyperlink" Target="https://drive.google.com/open?id=1Mbqd4ct89UDT7NWEr-5fTYndAcKVnSs9&amp;usp=drive_copy" TargetMode="External"/><Relationship Id="rId260" Type="http://schemas.openxmlformats.org/officeDocument/2006/relationships/hyperlink" Target="https://drive.google.com/file/d/1X4rNXHZNjUZ1RYFJ-0E1-Sr2qYRcs9pt/view?usp=drive_link" TargetMode="External"/><Relationship Id="rId259" Type="http://schemas.openxmlformats.org/officeDocument/2006/relationships/hyperlink" Target="https://drive.google.com/file/d/1fo5xwb6ZeUl_mMDksPM9ciTdIokUkMUT/view?usp=drive_link" TargetMode="External"/><Relationship Id="rId258" Type="http://schemas.openxmlformats.org/officeDocument/2006/relationships/hyperlink" Target="https://drive.google.com/file/d/16ayKAhENHvosg02ZeQC-eHXGZoljv4N6/view?usp=drive_link" TargetMode="External"/><Relationship Id="rId253" Type="http://schemas.openxmlformats.org/officeDocument/2006/relationships/hyperlink" Target="https://drive.google.com/open?id=1dNlmawS-uN3fuKHN_1_NclqLaz-wY1xC&amp;usp=drive_copy" TargetMode="External"/><Relationship Id="rId252" Type="http://schemas.openxmlformats.org/officeDocument/2006/relationships/hyperlink" Target="https://drive.google.com/file/d/1o4-Q_0bx3DIlYorCGI9OWnJCSWSwzAGa/view?usp=drive_link" TargetMode="External"/><Relationship Id="rId251" Type="http://schemas.openxmlformats.org/officeDocument/2006/relationships/hyperlink" Target="https://drive.google.com/file/d/1hAGEJDHmPCIHgA6Gll9DPnOiAD81ekTu/view?usp=drive_link" TargetMode="External"/><Relationship Id="rId250" Type="http://schemas.openxmlformats.org/officeDocument/2006/relationships/hyperlink" Target="https://drive.google.com/file/d/17PSShVZGjJCqRlHv7XXDYwkEePsvjFj6/view?usp=drive_link" TargetMode="External"/><Relationship Id="rId257" Type="http://schemas.openxmlformats.org/officeDocument/2006/relationships/hyperlink" Target="https://drive.google.com/file/d/101B2vAZvm7oSaqNm0-hUW95BF8P3WUN6/view?usp=drive_link" TargetMode="External"/><Relationship Id="rId256" Type="http://schemas.openxmlformats.org/officeDocument/2006/relationships/hyperlink" Target="https://drive.google.com/open?id=1wI3UITtLxD3b6W80DmsYeoRa9FwWQe4e&amp;usp=drive_copy" TargetMode="External"/><Relationship Id="rId255" Type="http://schemas.openxmlformats.org/officeDocument/2006/relationships/hyperlink" Target="https://drive.google.com/open?id=1dxt5hViXL3_3DazlBhpWPZ04hKg0a_Ra&amp;usp=drive_copy" TargetMode="External"/><Relationship Id="rId254" Type="http://schemas.openxmlformats.org/officeDocument/2006/relationships/hyperlink" Target="https://drive.google.com/open?id=1ndxh9lmGokExDAmNeQxs-JaYwK4DI-or&amp;usp=drive_copy" TargetMode="External"/><Relationship Id="rId293" Type="http://schemas.openxmlformats.org/officeDocument/2006/relationships/hyperlink" Target="https://drive.google.com/open?id=1sAv37rN0wJHyK4ftdXLIuwpmeeSmYJHC&amp;usp=drive_copy" TargetMode="External"/><Relationship Id="rId292" Type="http://schemas.openxmlformats.org/officeDocument/2006/relationships/hyperlink" Target="https://drive.google.com/open?id=14PU_KGrvWX-605LME4mejHatAAraLcma&amp;usp=drive_copy" TargetMode="External"/><Relationship Id="rId291" Type="http://schemas.openxmlformats.org/officeDocument/2006/relationships/hyperlink" Target="https://drive.google.com/open?id=1rRmq1v75JvLneu7MjHu8qC0kKrx0navZ&amp;usp=drive_copy" TargetMode="External"/><Relationship Id="rId290" Type="http://schemas.openxmlformats.org/officeDocument/2006/relationships/hyperlink" Target="https://drive.google.com/open?id=1SwAf5uOfuNVZqV-ZMjEwF7QvN9vbufeO&amp;usp=drive_copy" TargetMode="External"/><Relationship Id="rId286" Type="http://schemas.openxmlformats.org/officeDocument/2006/relationships/hyperlink" Target="https://drive.google.com/file/d/1jSTuJPNGXkwDmlHtRhM7hI3pCSic1cul/view?usp=drive_link" TargetMode="External"/><Relationship Id="rId285" Type="http://schemas.openxmlformats.org/officeDocument/2006/relationships/hyperlink" Target="https://drive.google.com/file/d/1kwpVx69wRVJWgpAJxh9x6Y_MwomrsNd3/view?usp=drive_link" TargetMode="External"/><Relationship Id="rId284" Type="http://schemas.openxmlformats.org/officeDocument/2006/relationships/hyperlink" Target="https://drive.google.com/file/d/1PjFF4nQN-G__Ur8Iw0IDwDymbu0Jddzh/view?usp=drive_link" TargetMode="External"/><Relationship Id="rId283" Type="http://schemas.openxmlformats.org/officeDocument/2006/relationships/hyperlink" Target="https://drive.google.com/file/d/1wRwNVUT1xXTcK1NpAVxtGXaVf68mqEbf/view?usp=drive_link" TargetMode="External"/><Relationship Id="rId289" Type="http://schemas.openxmlformats.org/officeDocument/2006/relationships/hyperlink" Target="https://drive.google.com/open?id=1deQVgLxncwcGWj7ZjTPDqgioFrUTqctf&amp;usp=drive_copy" TargetMode="External"/><Relationship Id="rId288" Type="http://schemas.openxmlformats.org/officeDocument/2006/relationships/hyperlink" Target="https://drive.google.com/open?id=1_Mc9ftl5N2JZnCULqqLWOx52IKHirus8&amp;usp=drive_copy" TargetMode="External"/><Relationship Id="rId287" Type="http://schemas.openxmlformats.org/officeDocument/2006/relationships/hyperlink" Target="https://drive.google.com/open?id=1GH4SD2OTxQWV_4aUH64WaSeEsJOVYsR6&amp;usp=drive_copy" TargetMode="External"/><Relationship Id="rId282" Type="http://schemas.openxmlformats.org/officeDocument/2006/relationships/hyperlink" Target="https://drive.google.com/file/d/1jexUZcmQwUVK04CtylQ9c-qhMiRPbZak/view?usp=drive_link" TargetMode="External"/><Relationship Id="rId281" Type="http://schemas.openxmlformats.org/officeDocument/2006/relationships/hyperlink" Target="https://drive.google.com/file/d/1i2WTFRqa7_pw1__nEV_teIWj8CUxP8oV/view?usp=drive_link" TargetMode="External"/><Relationship Id="rId280" Type="http://schemas.openxmlformats.org/officeDocument/2006/relationships/hyperlink" Target="https://drive.google.com/file/d/1IFyz3cKq5Hq5HhJ855BE2qKisdIn5ygh/view?usp=drive_link" TargetMode="External"/><Relationship Id="rId275" Type="http://schemas.openxmlformats.org/officeDocument/2006/relationships/hyperlink" Target="https://drive.google.com/file/d/13InU4sn0cqusKN86LUEjOFNki1KvxFpE/view?usp=drive_link" TargetMode="External"/><Relationship Id="rId274" Type="http://schemas.openxmlformats.org/officeDocument/2006/relationships/hyperlink" Target="https://drive.google.com/file/d/17lUikm6f88ZPNa8lSTHD_S5oWbLlOGdd/view?usp=drive_link" TargetMode="External"/><Relationship Id="rId273" Type="http://schemas.openxmlformats.org/officeDocument/2006/relationships/hyperlink" Target="https://drive.google.com/file/d/1E4MZvY---3-7EjEz2L-kjBJOaqvfJTrs/view?usp=drive_link" TargetMode="External"/><Relationship Id="rId272" Type="http://schemas.openxmlformats.org/officeDocument/2006/relationships/hyperlink" Target="https://drive.google.com/open?id=13M6RWFtFE4t3gx616MskIXIIwfmSqMkn&amp;usp=drive_copy" TargetMode="External"/><Relationship Id="rId279" Type="http://schemas.openxmlformats.org/officeDocument/2006/relationships/hyperlink" Target="https://drive.google.com/file/d/1OOV6E9tStBXlima4ddAm40dkD4j_QbxY/view?usp=drive_link" TargetMode="External"/><Relationship Id="rId278" Type="http://schemas.openxmlformats.org/officeDocument/2006/relationships/hyperlink" Target="https://drive.google.com/file/d/1vnQmWRFBmJ3ywqSIBxqkV0Fg9XMUTe1m/view?usp=drive_link" TargetMode="External"/><Relationship Id="rId277" Type="http://schemas.openxmlformats.org/officeDocument/2006/relationships/hyperlink" Target="https://drive.google.com/file/d/1YUXVvtCJ8kkwP5KaFtiv53MwyZujz1KM/view?usp=drive_link" TargetMode="External"/><Relationship Id="rId276" Type="http://schemas.openxmlformats.org/officeDocument/2006/relationships/hyperlink" Target="https://drive.google.com/file/d/1BEKRzGxaA2s71zeBwxc3KAn24MV1wRIf/view?usp=drive_link" TargetMode="External"/><Relationship Id="rId1851" Type="http://schemas.openxmlformats.org/officeDocument/2006/relationships/hyperlink" Target="https://drive.google.com/open?id=18i8iyklV_4_Bzgr66AJPuiVd06FyQci7&amp;usp=drive_copy" TargetMode="External"/><Relationship Id="rId1852" Type="http://schemas.openxmlformats.org/officeDocument/2006/relationships/hyperlink" Target="https://drive.google.com/open?id=17NnVYd96oXRNYG_0p2-EKsdGZhZKrHAZ&amp;usp=drive_copy" TargetMode="External"/><Relationship Id="rId1853" Type="http://schemas.openxmlformats.org/officeDocument/2006/relationships/hyperlink" Target="https://drive.google.com/open?id=1Hz7mIMJ8XpP8TslzFjB423zzKdk81GKo&amp;usp=drive_copy" TargetMode="External"/><Relationship Id="rId1854" Type="http://schemas.openxmlformats.org/officeDocument/2006/relationships/hyperlink" Target="https://drive.google.com/open?id=12UhaoRXpqoFvJOUfqdYfqg2vHJIkkTJt&amp;usp=drive_copy" TargetMode="External"/><Relationship Id="rId1855" Type="http://schemas.openxmlformats.org/officeDocument/2006/relationships/hyperlink" Target="https://drive.google.com/open?id=1wGpxKmHgzT7kgQHu0nFqfkhidFgne_56&amp;usp=drive_copy" TargetMode="External"/><Relationship Id="rId1856" Type="http://schemas.openxmlformats.org/officeDocument/2006/relationships/hyperlink" Target="https://drive.google.com/open?id=1MU7WFGNAoZzbV1rO6HqnaijdDl7GRfYp&amp;usp=drive_copy" TargetMode="External"/><Relationship Id="rId1857" Type="http://schemas.openxmlformats.org/officeDocument/2006/relationships/hyperlink" Target="https://drive.google.com/open?id=1lQstzy9YFNkZe1Go08D0Bg7iBbVwZdds&amp;usp=drive_copy" TargetMode="External"/><Relationship Id="rId1858" Type="http://schemas.openxmlformats.org/officeDocument/2006/relationships/hyperlink" Target="https://drive.google.com/open?id=1vkGzkcbeG7wjfezZNfh3zRnR43-gxn_p&amp;usp=drive_copy" TargetMode="External"/><Relationship Id="rId1859" Type="http://schemas.openxmlformats.org/officeDocument/2006/relationships/hyperlink" Target="https://drive.google.com/open?id=1ENx3Xmj1LyGqcKBRTUdlJy5xftk4bNVQ&amp;usp=drive_copy" TargetMode="External"/><Relationship Id="rId1850" Type="http://schemas.openxmlformats.org/officeDocument/2006/relationships/hyperlink" Target="https://drive.google.com/open?id=1ujSLZ8HevNCgwPWZg9Wuk8Rr8uXyTz0g&amp;usp=drive_copy" TargetMode="External"/><Relationship Id="rId1840" Type="http://schemas.openxmlformats.org/officeDocument/2006/relationships/hyperlink" Target="https://drive.google.com/open?id=1Sl06aerTJWswSoKNdbfzytIZGq7d17KA&amp;usp=drive_copy" TargetMode="External"/><Relationship Id="rId1841" Type="http://schemas.openxmlformats.org/officeDocument/2006/relationships/hyperlink" Target="https://drive.google.com/open?id=1Ddr4tGhkJNEgiPjXfkh5KLij69xK7QmL&amp;usp=drive_copy" TargetMode="External"/><Relationship Id="rId1842" Type="http://schemas.openxmlformats.org/officeDocument/2006/relationships/hyperlink" Target="https://drive.google.com/open?id=1pBQiIEo0plbGXHA_P0eGbUo-QuMfBp9d&amp;usp=drive_copy" TargetMode="External"/><Relationship Id="rId1843" Type="http://schemas.openxmlformats.org/officeDocument/2006/relationships/hyperlink" Target="https://drive.google.com/open?id=1XbqTMC-9k5tWj-i4Qfgg3ZcwZrFWekRV&amp;usp=drive_copy" TargetMode="External"/><Relationship Id="rId1844" Type="http://schemas.openxmlformats.org/officeDocument/2006/relationships/hyperlink" Target="https://drive.google.com/open?id=1y1x2AOS11cu2ZKz8y-UnSI0yP8Mvulz1&amp;usp=drive_copy" TargetMode="External"/><Relationship Id="rId1845" Type="http://schemas.openxmlformats.org/officeDocument/2006/relationships/hyperlink" Target="https://drive.google.com/open?id=1PZ_twyyccnPiZ0L6WavPl1oYU_aLUjEA&amp;usp=drive_copy" TargetMode="External"/><Relationship Id="rId1846" Type="http://schemas.openxmlformats.org/officeDocument/2006/relationships/hyperlink" Target="https://drive.google.com/open?id=1GiAa0EvwmRW1CUWzcfKt4zU1YDAv70JM&amp;usp=drive_copy" TargetMode="External"/><Relationship Id="rId1847" Type="http://schemas.openxmlformats.org/officeDocument/2006/relationships/hyperlink" Target="https://drive.google.com/open?id=1kugaWnzcnqgAH3sV0iyxE7mSN0XPhDU8&amp;usp=drive_copy" TargetMode="External"/><Relationship Id="rId1848" Type="http://schemas.openxmlformats.org/officeDocument/2006/relationships/hyperlink" Target="https://drive.google.com/open?id=18S7CCaAhqShRC-4iWroOXIVMn3ADHVk-&amp;usp=drive_copy" TargetMode="External"/><Relationship Id="rId1849" Type="http://schemas.openxmlformats.org/officeDocument/2006/relationships/hyperlink" Target="https://drive.google.com/open?id=1KnLBrVtLZHK1ZSilCai1z42ZJsS0fDHM&amp;usp=drive_copy" TargetMode="External"/><Relationship Id="rId1873" Type="http://schemas.openxmlformats.org/officeDocument/2006/relationships/hyperlink" Target="https://drive.google.com/open?id=1NDqMBM2B7-l58XWSYMFe3kXfacPALyHE&amp;usp=drive_copy" TargetMode="External"/><Relationship Id="rId1874" Type="http://schemas.openxmlformats.org/officeDocument/2006/relationships/hyperlink" Target="https://drive.google.com/open?id=1qnL9vHhndPh4T5gkeXcBHv8Pn6OnFpZD&amp;usp=drive_copy" TargetMode="External"/><Relationship Id="rId1875" Type="http://schemas.openxmlformats.org/officeDocument/2006/relationships/hyperlink" Target="https://drive.google.com/open?id=14Yt0p5PJVsJw8BrMUzNQ4OtKI3pt9DLQ&amp;usp=drive_copy" TargetMode="External"/><Relationship Id="rId1876" Type="http://schemas.openxmlformats.org/officeDocument/2006/relationships/hyperlink" Target="https://drive.google.com/open?id=15QAP37olfpNJ-3KIeUvfDkncF6GCY4zo&amp;usp=drive_copy" TargetMode="External"/><Relationship Id="rId1877" Type="http://schemas.openxmlformats.org/officeDocument/2006/relationships/hyperlink" Target="https://drive.google.com/open?id=16abLQr7Y-UCG0FwY0ktOygGdXDebUlcF&amp;usp=drive_copy" TargetMode="External"/><Relationship Id="rId1878" Type="http://schemas.openxmlformats.org/officeDocument/2006/relationships/hyperlink" Target="https://drive.google.com/open?id=1GwlrLUWl9DykyXvMSR3H61egoDRyQtDh&amp;usp=drive_copy" TargetMode="External"/><Relationship Id="rId1879" Type="http://schemas.openxmlformats.org/officeDocument/2006/relationships/hyperlink" Target="https://drive.google.com/open?id=1lwd2w1XCLj4HkZdmzOQdLXMnz3EBH8H2&amp;usp=drive_copy" TargetMode="External"/><Relationship Id="rId1870" Type="http://schemas.openxmlformats.org/officeDocument/2006/relationships/hyperlink" Target="https://drive.google.com/open?id=1igkHP-GczHqy8jv8Thh1S2yPh9PCazSk&amp;usp=drive_copy" TargetMode="External"/><Relationship Id="rId1871" Type="http://schemas.openxmlformats.org/officeDocument/2006/relationships/hyperlink" Target="https://drive.google.com/open?id=1w2nIyCk988iRpMfl4XQhCYgA3zH_SpTR&amp;usp=drive_copy" TargetMode="External"/><Relationship Id="rId1872" Type="http://schemas.openxmlformats.org/officeDocument/2006/relationships/hyperlink" Target="https://drive.google.com/open?id=1I2hD6ailIAuZtDuhv2Cay7dsQGV0ubN4&amp;usp=drive_copy" TargetMode="External"/><Relationship Id="rId1862" Type="http://schemas.openxmlformats.org/officeDocument/2006/relationships/hyperlink" Target="https://drive.google.com/open?id=1XTYUObb1YbhRobPIEHhCfe268I_C7Q9i&amp;usp=drive_copy" TargetMode="External"/><Relationship Id="rId1863" Type="http://schemas.openxmlformats.org/officeDocument/2006/relationships/hyperlink" Target="https://drive.google.com/open?id=1yywE8EGhk8kDnh055EnLv6hHXlBgoegV&amp;usp=drive_copy" TargetMode="External"/><Relationship Id="rId1864" Type="http://schemas.openxmlformats.org/officeDocument/2006/relationships/hyperlink" Target="https://drive.google.com/open?id=13LuN1EeHztQGK0olsSXfUH2e3PcAmvmh&amp;usp=drive_copy" TargetMode="External"/><Relationship Id="rId1865" Type="http://schemas.openxmlformats.org/officeDocument/2006/relationships/hyperlink" Target="https://drive.google.com/open?id=1In6QMeR1mCZbOuZzLF0JPSI60duVxjzh&amp;usp=drive_copy" TargetMode="External"/><Relationship Id="rId1866" Type="http://schemas.openxmlformats.org/officeDocument/2006/relationships/hyperlink" Target="https://drive.google.com/open?id=1-F-RndITZE6Jja-HLSBqnHfiB-COBvNB&amp;usp=drive_copy" TargetMode="External"/><Relationship Id="rId1867" Type="http://schemas.openxmlformats.org/officeDocument/2006/relationships/hyperlink" Target="https://drive.google.com/open?id=1TW_o8nlgQl4o8wf26aEzBngq10EML-vd&amp;usp=drive_copy" TargetMode="External"/><Relationship Id="rId1868" Type="http://schemas.openxmlformats.org/officeDocument/2006/relationships/hyperlink" Target="https://drive.google.com/open?id=1J61e7ZwtZPKGanYwRoBQ2yRS3mZC6Ll0&amp;usp=drive_copy" TargetMode="External"/><Relationship Id="rId1869" Type="http://schemas.openxmlformats.org/officeDocument/2006/relationships/hyperlink" Target="https://drive.google.com/open?id=1SASR3wWZZOkqmJ-yFxvRDp4otIwN3Rwv&amp;usp=drive_copy" TargetMode="External"/><Relationship Id="rId1860" Type="http://schemas.openxmlformats.org/officeDocument/2006/relationships/hyperlink" Target="https://drive.google.com/open?id=1KzIyqF92GhkaX7bOQriXKxxrHDpVin0G&amp;usp=drive_copy" TargetMode="External"/><Relationship Id="rId1861" Type="http://schemas.openxmlformats.org/officeDocument/2006/relationships/hyperlink" Target="https://drive.google.com/open?id=1GDRiKW_pQvQLyhShGkMMiNsYFgTYGaN3&amp;usp=drive_copy" TargetMode="External"/><Relationship Id="rId1810" Type="http://schemas.openxmlformats.org/officeDocument/2006/relationships/hyperlink" Target="https://drive.google.com/open?id=1oLpXLjKcd6_jDsRDz8vwWR1_-UgOx8JD&amp;usp=drive_copy" TargetMode="External"/><Relationship Id="rId1811" Type="http://schemas.openxmlformats.org/officeDocument/2006/relationships/hyperlink" Target="https://drive.google.com/open?id=1ZgYYj-pmPfZmDd1P7-t2RfVXn9NzjFwq&amp;usp=drive_copy" TargetMode="External"/><Relationship Id="rId1812" Type="http://schemas.openxmlformats.org/officeDocument/2006/relationships/hyperlink" Target="https://drive.google.com/open?id=1wHTXHRBBRT-Wg_4OmAlRDEV3Ieagb7cr&amp;usp=drive_copy" TargetMode="External"/><Relationship Id="rId1813" Type="http://schemas.openxmlformats.org/officeDocument/2006/relationships/hyperlink" Target="https://drive.google.com/open?id=1xXYwnUtAVavldL390AwscC31HMrljQ0C&amp;usp=drive_copy" TargetMode="External"/><Relationship Id="rId1814" Type="http://schemas.openxmlformats.org/officeDocument/2006/relationships/hyperlink" Target="https://drive.google.com/open?id=1I_72RlgqdcE5AqmDDZ2-yJXZZ862ZFub&amp;usp=drive_copy" TargetMode="External"/><Relationship Id="rId1815" Type="http://schemas.openxmlformats.org/officeDocument/2006/relationships/hyperlink" Target="https://drive.google.com/open?id=1_GitO0BJQaAOVGNbEk7xzU1-Kdd28_65&amp;usp=drive_copy" TargetMode="External"/><Relationship Id="rId1816" Type="http://schemas.openxmlformats.org/officeDocument/2006/relationships/hyperlink" Target="https://drive.google.com/open?id=1fOyPQDECJsohfEco5r0XORxiLiyTNQwV&amp;usp=drive_copy" TargetMode="External"/><Relationship Id="rId1817" Type="http://schemas.openxmlformats.org/officeDocument/2006/relationships/hyperlink" Target="https://drive.google.com/open?id=1vN9frPplCONQsUEaZPsLpOle-CLoeHz8&amp;usp=drive_copy" TargetMode="External"/><Relationship Id="rId1818" Type="http://schemas.openxmlformats.org/officeDocument/2006/relationships/hyperlink" Target="https://drive.google.com/open?id=1upEcURcIovUi6xFsXO3hJx5MZZ4CvwPl&amp;usp=drive_copy" TargetMode="External"/><Relationship Id="rId1819" Type="http://schemas.openxmlformats.org/officeDocument/2006/relationships/hyperlink" Target="https://drive.google.com/open?id=1H8010JVrjnqS9E_1DaQu1dHgSmCFuu7q&amp;usp=drive_copy" TargetMode="External"/><Relationship Id="rId1800" Type="http://schemas.openxmlformats.org/officeDocument/2006/relationships/hyperlink" Target="https://drive.google.com/open?id=1kEJUuxD9842L4-jLBA5piYS63CBoxlrn&amp;usp=drive_copy" TargetMode="External"/><Relationship Id="rId1801" Type="http://schemas.openxmlformats.org/officeDocument/2006/relationships/hyperlink" Target="https://drive.google.com/open?id=1NKpYcX6sMkyWPkCoH3vceoKptsbnu5Jm&amp;usp=drive_copy" TargetMode="External"/><Relationship Id="rId1802" Type="http://schemas.openxmlformats.org/officeDocument/2006/relationships/hyperlink" Target="https://drive.google.com/open?id=1qD2areC25Rw42WM78YIkeGHAgYqzJVfx&amp;usp=drive_copy" TargetMode="External"/><Relationship Id="rId1803" Type="http://schemas.openxmlformats.org/officeDocument/2006/relationships/hyperlink" Target="https://drive.google.com/open?id=1TOv6xGmP7XsI7DIHubXVAcRkA_JnP9Ad&amp;usp=drive_copy" TargetMode="External"/><Relationship Id="rId1804" Type="http://schemas.openxmlformats.org/officeDocument/2006/relationships/hyperlink" Target="https://drive.google.com/open?id=12kf1Kebc9QVw1VXa1vClluqLDoW-KQP3&amp;usp=drive_copy" TargetMode="External"/><Relationship Id="rId1805" Type="http://schemas.openxmlformats.org/officeDocument/2006/relationships/hyperlink" Target="https://drive.google.com/open?id=1Sw4UYj7UnvxTWXT0vDqMFP5toyX_zkyE&amp;usp=drive_copy" TargetMode="External"/><Relationship Id="rId1806" Type="http://schemas.openxmlformats.org/officeDocument/2006/relationships/hyperlink" Target="https://drive.google.com/open?id=1DMb4IkciwDj6bwB15xt5GvxEtzjKU5tX&amp;usp=drive_copy" TargetMode="External"/><Relationship Id="rId1807" Type="http://schemas.openxmlformats.org/officeDocument/2006/relationships/hyperlink" Target="https://drive.google.com/open?id=1_-Bq948Sn0XJ5nr_hMDlXHz0OqV5eEtV&amp;usp=drive_copy" TargetMode="External"/><Relationship Id="rId1808" Type="http://schemas.openxmlformats.org/officeDocument/2006/relationships/hyperlink" Target="https://drive.google.com/open?id=1Wy6lfeY9G2iMx7vtUFzKP4vJrYXobb_A&amp;usp=drive_copy" TargetMode="External"/><Relationship Id="rId1809" Type="http://schemas.openxmlformats.org/officeDocument/2006/relationships/hyperlink" Target="https://drive.google.com/open?id=10kUiuiLxLL5LpKosAWyZ7vBxSmHyhW_H&amp;usp=drive_copy" TargetMode="External"/><Relationship Id="rId1830" Type="http://schemas.openxmlformats.org/officeDocument/2006/relationships/hyperlink" Target="https://drive.google.com/open?id=1PWbMk-AYmx6M5SWY6ZNfVuL-jsq-kVlG&amp;usp=drive_copy" TargetMode="External"/><Relationship Id="rId1831" Type="http://schemas.openxmlformats.org/officeDocument/2006/relationships/hyperlink" Target="https://drive.google.com/open?id=1eX7kwY5SlPQmZazIBsVnXA7eve1s90W8&amp;usp=drive_copy" TargetMode="External"/><Relationship Id="rId1832" Type="http://schemas.openxmlformats.org/officeDocument/2006/relationships/hyperlink" Target="https://drive.google.com/open?id=1pZJmrfQpm0GP0IQtPNvH3kKB8eItzlzq&amp;usp=drive_copy" TargetMode="External"/><Relationship Id="rId1833" Type="http://schemas.openxmlformats.org/officeDocument/2006/relationships/hyperlink" Target="https://drive.google.com/open?id=12oQGIZ_N-u1ahkEPXNe2_IRypE4mMVwK&amp;usp=drive_copy" TargetMode="External"/><Relationship Id="rId1834" Type="http://schemas.openxmlformats.org/officeDocument/2006/relationships/hyperlink" Target="https://drive.google.com/open?id=1R7Z48Z8X54g1QCNSntsKXQP7gF27deaz&amp;usp=drive_copy" TargetMode="External"/><Relationship Id="rId1835" Type="http://schemas.openxmlformats.org/officeDocument/2006/relationships/hyperlink" Target="https://drive.google.com/open?id=1eybaBRGHfCZjXUSt6pKRePkUBli6C1Oc&amp;usp=drive_copy" TargetMode="External"/><Relationship Id="rId1836" Type="http://schemas.openxmlformats.org/officeDocument/2006/relationships/hyperlink" Target="https://drive.google.com/open?id=1m-ES8MtMfykBt-KStXPUgn_E8ybz_7to&amp;usp=drive_copy" TargetMode="External"/><Relationship Id="rId1837" Type="http://schemas.openxmlformats.org/officeDocument/2006/relationships/hyperlink" Target="https://drive.google.com/open?id=1uRrWDBpwWEb1qZHepzlswz7HytmZCJv1&amp;usp=drive_copy" TargetMode="External"/><Relationship Id="rId1838" Type="http://schemas.openxmlformats.org/officeDocument/2006/relationships/hyperlink" Target="https://drive.google.com/open?id=17EVyveCxN4XWV4rvQyW6MAciwnY8nGFU&amp;usp=drive_copy" TargetMode="External"/><Relationship Id="rId1839" Type="http://schemas.openxmlformats.org/officeDocument/2006/relationships/hyperlink" Target="https://drive.google.com/open?id=1WZFn8GwBgMRxcOOMiqk-RWPW-vqu8Nzb&amp;usp=drive_copy" TargetMode="External"/><Relationship Id="rId1820" Type="http://schemas.openxmlformats.org/officeDocument/2006/relationships/hyperlink" Target="https://drive.google.com/open?id=1G3lRiWmMAOIU_oxo7V7h6Deri2paYd8g&amp;usp=drive_copy" TargetMode="External"/><Relationship Id="rId1821" Type="http://schemas.openxmlformats.org/officeDocument/2006/relationships/hyperlink" Target="https://drive.google.com/open?id=1cizKcn6XPP-yXe9iqxQr4p294sh8gmqO&amp;usp=drive_copy" TargetMode="External"/><Relationship Id="rId1822" Type="http://schemas.openxmlformats.org/officeDocument/2006/relationships/hyperlink" Target="https://drive.google.com/open?id=1G8UBnV4XBm-rQiJzME6Lznw8CXw_ukYT&amp;usp=drive_copy" TargetMode="External"/><Relationship Id="rId1823" Type="http://schemas.openxmlformats.org/officeDocument/2006/relationships/hyperlink" Target="https://drive.google.com/open?id=126oAkMI5WYNlXixhM4V7Ckj8ikd1ddlk&amp;usp=drive_copy" TargetMode="External"/><Relationship Id="rId1824" Type="http://schemas.openxmlformats.org/officeDocument/2006/relationships/hyperlink" Target="https://drive.google.com/open?id=1WPGSD5uqEA85c2t1l0RW1Y3Kq87N3zXJ&amp;usp=drive_copy" TargetMode="External"/><Relationship Id="rId1825" Type="http://schemas.openxmlformats.org/officeDocument/2006/relationships/hyperlink" Target="https://drive.google.com/open?id=1QLPwFAH8Sh0Xlwg1GbJcwCr57VTpML-z&amp;usp=drive_copy" TargetMode="External"/><Relationship Id="rId1826" Type="http://schemas.openxmlformats.org/officeDocument/2006/relationships/hyperlink" Target="https://drive.google.com/open?id=1WIDCt8wkmQ8YwuAGOgDzpPM69RU9fNlD&amp;usp=drive_copy" TargetMode="External"/><Relationship Id="rId1827" Type="http://schemas.openxmlformats.org/officeDocument/2006/relationships/hyperlink" Target="https://drive.google.com/open?id=1WclHk_6YfKxUE0DxpXo85jH5NkZf_dew&amp;usp=drive_copy" TargetMode="External"/><Relationship Id="rId1828" Type="http://schemas.openxmlformats.org/officeDocument/2006/relationships/hyperlink" Target="https://drive.google.com/open?id=10Kd7H2CdcMmpfBKY56rOHA-RHKIjsQqB&amp;usp=drive_copy" TargetMode="External"/><Relationship Id="rId1829" Type="http://schemas.openxmlformats.org/officeDocument/2006/relationships/hyperlink" Target="https://drive.google.com/open?id=1KJA4t6Tw80ctHostf4xc3breHck1h9Nw&amp;usp=drive_copy" TargetMode="External"/><Relationship Id="rId1455" Type="http://schemas.openxmlformats.org/officeDocument/2006/relationships/hyperlink" Target="https://drive.google.com/open?id=1ftGjUhHDC6OCu6j9iLgmqdg7ULwzen_M&amp;usp=drive_copy" TargetMode="External"/><Relationship Id="rId1456" Type="http://schemas.openxmlformats.org/officeDocument/2006/relationships/hyperlink" Target="https://drive.google.com/open?id=1clD4kR24R9HpdJJk3LyZbL34Hc1fLS6h&amp;usp=drive_copy" TargetMode="External"/><Relationship Id="rId1457" Type="http://schemas.openxmlformats.org/officeDocument/2006/relationships/hyperlink" Target="https://drive.google.com/open?id=1lwOxwEkSqM8UUgpDB9W7kA2Nf8M70qn5&amp;usp=drive_copy" TargetMode="External"/><Relationship Id="rId1458" Type="http://schemas.openxmlformats.org/officeDocument/2006/relationships/hyperlink" Target="https://drive.google.com/open?id=1TYyZf-0hZDqlqGmvXw4kH8c60mYyqBEU&amp;usp=drive_copy" TargetMode="External"/><Relationship Id="rId1459" Type="http://schemas.openxmlformats.org/officeDocument/2006/relationships/hyperlink" Target="https://drive.google.com/open?id=1PX7DFPIJhExsAvegxLnUge3pHRATDUQ1&amp;usp=drive_copy" TargetMode="External"/><Relationship Id="rId629" Type="http://schemas.openxmlformats.org/officeDocument/2006/relationships/hyperlink" Target="https://drive.google.com/open?id=1JDjdVEooj_n4h-q7vJv4e4io3nGkSqeM&amp;usp=drive_copy" TargetMode="External"/><Relationship Id="rId624" Type="http://schemas.openxmlformats.org/officeDocument/2006/relationships/hyperlink" Target="https://drive.google.com/open?id=1AZHomrcCZGX36Mjhatd9fnSr130GQZlS&amp;usp=drive_copy" TargetMode="External"/><Relationship Id="rId623" Type="http://schemas.openxmlformats.org/officeDocument/2006/relationships/hyperlink" Target="https://drive.google.com/open?id=1ot7qt6kjZio9-SN8abna6nvmpWEIRPUH&amp;usp=drive_copy" TargetMode="External"/><Relationship Id="rId622" Type="http://schemas.openxmlformats.org/officeDocument/2006/relationships/hyperlink" Target="https://drive.google.com/open?id=1oARco6l0FC7am647ZShdDL4CGQdfm-bH&amp;usp=drive_copy" TargetMode="External"/><Relationship Id="rId621" Type="http://schemas.openxmlformats.org/officeDocument/2006/relationships/hyperlink" Target="https://drive.google.com/open?id=11Ne3VYcP7Uummm_2h_CFMr5tSsCfc0cT&amp;usp=drive_copy" TargetMode="External"/><Relationship Id="rId628" Type="http://schemas.openxmlformats.org/officeDocument/2006/relationships/hyperlink" Target="https://drive.google.com/open?id=1VAyKIHZrWkhwDNpDa1W77FR00TEV5A4G&amp;usp=drive_copy" TargetMode="External"/><Relationship Id="rId627" Type="http://schemas.openxmlformats.org/officeDocument/2006/relationships/hyperlink" Target="https://drive.google.com/open?id=17ZPq4AmizPNqooLRVtJilTKPa_xhM30n&amp;usp=drive_copy" TargetMode="External"/><Relationship Id="rId626" Type="http://schemas.openxmlformats.org/officeDocument/2006/relationships/hyperlink" Target="https://drive.google.com/open?id=1A46DN6F-GzBun8sZo-4g8QS7nuCzuiOf&amp;usp=drive_copy" TargetMode="External"/><Relationship Id="rId625" Type="http://schemas.openxmlformats.org/officeDocument/2006/relationships/hyperlink" Target="https://drive.google.com/open?id=1ztAQQTwyjffQQUFW1qTULB02VmWAzxJZ&amp;usp=drive_copy" TargetMode="External"/><Relationship Id="rId1450" Type="http://schemas.openxmlformats.org/officeDocument/2006/relationships/hyperlink" Target="https://drive.google.com/open?id=1skJnJHni_6kq6oHtqUzoli2_yczyQvDm&amp;usp=drive_copy" TargetMode="External"/><Relationship Id="rId620" Type="http://schemas.openxmlformats.org/officeDocument/2006/relationships/hyperlink" Target="https://drive.google.com/open?id=1vu1-m9mFP8h2xwX97H8P4MvN_dT0FzvL&amp;usp=drive_copy" TargetMode="External"/><Relationship Id="rId1451" Type="http://schemas.openxmlformats.org/officeDocument/2006/relationships/hyperlink" Target="https://drive.google.com/open?id=1QKGrtqLunXq9YVg4l5bUXyl3QCaBjqd4&amp;usp=drive_copy" TargetMode="External"/><Relationship Id="rId1452" Type="http://schemas.openxmlformats.org/officeDocument/2006/relationships/hyperlink" Target="https://drive.google.com/open?id=1xhfzoyCoAA3egoUdGnkA4U4rAJqS3tFr&amp;usp=drive_copy" TargetMode="External"/><Relationship Id="rId1453" Type="http://schemas.openxmlformats.org/officeDocument/2006/relationships/hyperlink" Target="https://drive.google.com/open?id=1sXoGzO0uXUeWYilmmPj3P9b5it7RxofX&amp;usp=drive_copy" TargetMode="External"/><Relationship Id="rId1454" Type="http://schemas.openxmlformats.org/officeDocument/2006/relationships/hyperlink" Target="https://drive.google.com/open?id=1BQiecXqAwXElXP1pcV0wr4x4Cysj75V7&amp;usp=drive_copy" TargetMode="External"/><Relationship Id="rId1444" Type="http://schemas.openxmlformats.org/officeDocument/2006/relationships/hyperlink" Target="https://drive.google.com/open?id=1LedazRiqCQA5EBq-6qVe9VQgGs1DPwsU&amp;usp=drive_copy" TargetMode="External"/><Relationship Id="rId1445" Type="http://schemas.openxmlformats.org/officeDocument/2006/relationships/hyperlink" Target="https://drive.google.com/open?id=17qZSOtZS6E35u_bsHswDhZXFIchm9CVP&amp;usp=drive_copy" TargetMode="External"/><Relationship Id="rId1446" Type="http://schemas.openxmlformats.org/officeDocument/2006/relationships/hyperlink" Target="https://drive.google.com/open?id=13GmPVD0vUs3Q5A71_zdJ0N8JGa6_f6cI&amp;usp=drive_copy" TargetMode="External"/><Relationship Id="rId1447" Type="http://schemas.openxmlformats.org/officeDocument/2006/relationships/hyperlink" Target="https://drive.google.com/open?id=1DaTploSbNHoJl-eFNrVGCb6Tkyq-eYEl&amp;usp=drive_copy" TargetMode="External"/><Relationship Id="rId1448" Type="http://schemas.openxmlformats.org/officeDocument/2006/relationships/hyperlink" Target="https://drive.google.com/open?id=1ijhGwCtdEMKwIz0GyhGowbLY-KJ1rGVQ&amp;usp=drive_copy" TargetMode="External"/><Relationship Id="rId1449" Type="http://schemas.openxmlformats.org/officeDocument/2006/relationships/hyperlink" Target="https://drive.google.com/open?id=13Ke7TtclSPLLO_uZCxNb_NyGgsv89-Np&amp;usp=drive_copy" TargetMode="External"/><Relationship Id="rId619" Type="http://schemas.openxmlformats.org/officeDocument/2006/relationships/hyperlink" Target="https://drive.google.com/open?id=1H5aIMLPHgaEY0mnLOjXJ9N4H_4t6XxoF&amp;usp=drive_copy" TargetMode="External"/><Relationship Id="rId618" Type="http://schemas.openxmlformats.org/officeDocument/2006/relationships/hyperlink" Target="https://drive.google.com/open?id=1hgGVH-iDKrmGI-viQ8zCR8gr8IlYqUOM&amp;usp=drive_copy" TargetMode="External"/><Relationship Id="rId613" Type="http://schemas.openxmlformats.org/officeDocument/2006/relationships/hyperlink" Target="https://drive.google.com/open?id=1G_5PsoDX_5f7EshZirUNQMFT6Abwxd12&amp;usp=drive_copy" TargetMode="External"/><Relationship Id="rId612" Type="http://schemas.openxmlformats.org/officeDocument/2006/relationships/hyperlink" Target="https://drive.google.com/open?id=1uiNSUFfdxjKocI-TNe2LcXUkEgKtx9e_&amp;usp=drive_copy" TargetMode="External"/><Relationship Id="rId611" Type="http://schemas.openxmlformats.org/officeDocument/2006/relationships/hyperlink" Target="https://drive.google.com/open?id=198q4ED1kiNew-7O5Baf4PqQDkZmPTCcq&amp;usp=drive_copy" TargetMode="External"/><Relationship Id="rId610" Type="http://schemas.openxmlformats.org/officeDocument/2006/relationships/hyperlink" Target="https://drive.google.com/open?id=1m-0pnZbRvDOw4TYA9loROPmgu-wZWDi1&amp;usp=drive_copy" TargetMode="External"/><Relationship Id="rId617" Type="http://schemas.openxmlformats.org/officeDocument/2006/relationships/hyperlink" Target="https://drive.google.com/open?id=1EVz63eFCeRsW100YFUSEhFjDFtPX3nzw&amp;usp=drive_copy" TargetMode="External"/><Relationship Id="rId616" Type="http://schemas.openxmlformats.org/officeDocument/2006/relationships/hyperlink" Target="https://drive.google.com/open?id=1KvO9N6RRE4JsoUaoNIC_HYfl3fl20VNe&amp;usp=drive_copy" TargetMode="External"/><Relationship Id="rId615" Type="http://schemas.openxmlformats.org/officeDocument/2006/relationships/hyperlink" Target="https://drive.google.com/open?id=1IQjdeeuISfZMCChk4cpZMsjnmBzvGulb&amp;usp=drive_copy" TargetMode="External"/><Relationship Id="rId614" Type="http://schemas.openxmlformats.org/officeDocument/2006/relationships/hyperlink" Target="https://drive.google.com/open?id=1paBrJsvBBjj57JP_-admviIbz9Y8AZN_&amp;usp=drive_copy" TargetMode="External"/><Relationship Id="rId1440" Type="http://schemas.openxmlformats.org/officeDocument/2006/relationships/hyperlink" Target="https://drive.google.com/open?id=1KxEZQMChBVW9cF7EnLMZdls7yAYjSC7Z&amp;usp=drive_copy" TargetMode="External"/><Relationship Id="rId1441" Type="http://schemas.openxmlformats.org/officeDocument/2006/relationships/hyperlink" Target="https://drive.google.com/open?id=1T9kcHH5pLV7v_u_G9DrQX1dXkrvNPI6x&amp;usp=drive_copy" TargetMode="External"/><Relationship Id="rId1442" Type="http://schemas.openxmlformats.org/officeDocument/2006/relationships/hyperlink" Target="https://drive.google.com/open?id=19VYN6CdQD8_YuN0g9Gr4RmkqxQ27-xgL&amp;usp=drive_copy" TargetMode="External"/><Relationship Id="rId1443" Type="http://schemas.openxmlformats.org/officeDocument/2006/relationships/hyperlink" Target="https://drive.google.com/open?id=1L9AM0aGvItk8uk3qQtWegYOcw2WW6dYZ&amp;usp=drive_copy" TargetMode="External"/><Relationship Id="rId1477" Type="http://schemas.openxmlformats.org/officeDocument/2006/relationships/hyperlink" Target="https://drive.google.com/open?id=1twg-1dayds6YopbPyaU8Jz_YF-FlBBdc&amp;usp=drive_copy" TargetMode="External"/><Relationship Id="rId1478" Type="http://schemas.openxmlformats.org/officeDocument/2006/relationships/hyperlink" Target="https://drive.google.com/open?id=1XK4cYySpn3qErU7SCPoWiU-_nA-T7ybH&amp;usp=drive_copy" TargetMode="External"/><Relationship Id="rId1479" Type="http://schemas.openxmlformats.org/officeDocument/2006/relationships/hyperlink" Target="https://drive.google.com/open?id=19TavKlBFNbfVQxl8rgHkEc1Gm4xsCJ_U&amp;usp=drive_copy" TargetMode="External"/><Relationship Id="rId646" Type="http://schemas.openxmlformats.org/officeDocument/2006/relationships/hyperlink" Target="https://drive.google.com/open?id=1p7yxXozSKuJIMayT6JgO7whQHEeo7Wxu&amp;usp=drive_copy" TargetMode="External"/><Relationship Id="rId645" Type="http://schemas.openxmlformats.org/officeDocument/2006/relationships/hyperlink" Target="https://drive.google.com/open?id=1_ggiPFIM95LWhnEuo_PD0v8Aezq3ZQBD&amp;usp=drive_copy" TargetMode="External"/><Relationship Id="rId644" Type="http://schemas.openxmlformats.org/officeDocument/2006/relationships/hyperlink" Target="https://drive.google.com/open?id=1y3_NeHOtN7RH0HcePPylerlTh_jQdWO3&amp;usp=drive_copy" TargetMode="External"/><Relationship Id="rId643" Type="http://schemas.openxmlformats.org/officeDocument/2006/relationships/hyperlink" Target="https://drive.google.com/open?id=1JIGnbN54VklbzYzoJI5p1L0F5PKXG-A-&amp;usp=drive_copy" TargetMode="External"/><Relationship Id="rId649" Type="http://schemas.openxmlformats.org/officeDocument/2006/relationships/hyperlink" Target="https://drive.google.com/open?id=1PbfWrkWWa32x2_mDt5tthvRtcN-YlX2D&amp;usp=drive_copy" TargetMode="External"/><Relationship Id="rId648" Type="http://schemas.openxmlformats.org/officeDocument/2006/relationships/hyperlink" Target="https://drive.google.com/open?id=1a0sB7SGUzG2bBuQ9BUMQt2KR1RqBqtJq&amp;usp=drive_copy" TargetMode="External"/><Relationship Id="rId647" Type="http://schemas.openxmlformats.org/officeDocument/2006/relationships/hyperlink" Target="https://drive.google.com/open?id=1CCIpNjLE_v5aKRS32lEmtV3kWHQQDzCl&amp;usp=drive_copy" TargetMode="External"/><Relationship Id="rId1470" Type="http://schemas.openxmlformats.org/officeDocument/2006/relationships/hyperlink" Target="https://drive.google.com/open?id=1DI_cLnAEpggr0PD3cbbp-S201FOOa9xG&amp;usp=drive_copy" TargetMode="External"/><Relationship Id="rId1471" Type="http://schemas.openxmlformats.org/officeDocument/2006/relationships/hyperlink" Target="https://drive.google.com/open?id=1JM8DQksg4qi_-hW0-w5PL0YPfQJJYilQ&amp;usp=drive_copy" TargetMode="External"/><Relationship Id="rId1472" Type="http://schemas.openxmlformats.org/officeDocument/2006/relationships/hyperlink" Target="https://drive.google.com/open?id=12_M0tV-zQw9ovihBdhBf3Ux--2CRLzpe&amp;usp=drive_copy" TargetMode="External"/><Relationship Id="rId642" Type="http://schemas.openxmlformats.org/officeDocument/2006/relationships/hyperlink" Target="https://drive.google.com/open?id=1oaF_0afNYRzwc9Uq65tIGzQy_u8sn2Dz&amp;usp=drive_copy" TargetMode="External"/><Relationship Id="rId1473" Type="http://schemas.openxmlformats.org/officeDocument/2006/relationships/hyperlink" Target="https://drive.google.com/open?id=1qxU9UkdrCmyp4S1e-_qjRNKDBhvxMaP6&amp;usp=drive_copy" TargetMode="External"/><Relationship Id="rId641" Type="http://schemas.openxmlformats.org/officeDocument/2006/relationships/hyperlink" Target="https://drive.google.com/open?id=1ar2rhPaft2c5X1G0Jq0TL85mYbyENy8r&amp;usp=drive_copy" TargetMode="External"/><Relationship Id="rId1474" Type="http://schemas.openxmlformats.org/officeDocument/2006/relationships/hyperlink" Target="https://drive.google.com/open?id=1KIXBhrNms2MFu-jt2zmxFHC0qcumsfGl&amp;usp=drive_copy" TargetMode="External"/><Relationship Id="rId640" Type="http://schemas.openxmlformats.org/officeDocument/2006/relationships/hyperlink" Target="https://drive.google.com/open?id=1RjFaIcma1J7zRhDdwPmh7-IbW1Mxzbki&amp;usp=drive_copy" TargetMode="External"/><Relationship Id="rId1475" Type="http://schemas.openxmlformats.org/officeDocument/2006/relationships/hyperlink" Target="https://drive.google.com/open?id=1lHtaOA70bbSWUyfHgU1xD6HOul5yIzns&amp;usp=drive_copy" TargetMode="External"/><Relationship Id="rId1476" Type="http://schemas.openxmlformats.org/officeDocument/2006/relationships/hyperlink" Target="https://drive.google.com/open?id=1ECNopWVdaUpwv8UuGfPFq6uAIXlQXEfJ&amp;usp=drive_copy" TargetMode="External"/><Relationship Id="rId1466" Type="http://schemas.openxmlformats.org/officeDocument/2006/relationships/hyperlink" Target="https://drive.google.com/open?id=1phGbDw3Fa922H0Po9r0e5xPUev5VAJP2&amp;usp=drive_copy" TargetMode="External"/><Relationship Id="rId1467" Type="http://schemas.openxmlformats.org/officeDocument/2006/relationships/hyperlink" Target="https://drive.google.com/open?id=1FCctY_DTP6yUcsAHKM8h3DoFxyN2w6_X&amp;usp=drive_copy" TargetMode="External"/><Relationship Id="rId1468" Type="http://schemas.openxmlformats.org/officeDocument/2006/relationships/hyperlink" Target="https://drive.google.com/open?id=1yUoIjCWldkG4uGJIzBmrC0cfuYt2YFw-&amp;usp=drive_copy" TargetMode="External"/><Relationship Id="rId1469" Type="http://schemas.openxmlformats.org/officeDocument/2006/relationships/hyperlink" Target="https://drive.google.com/open?id=1Y4vevybSoe21RtjqS64r7xhUNwPxllj_&amp;usp=drive_copy" TargetMode="External"/><Relationship Id="rId635" Type="http://schemas.openxmlformats.org/officeDocument/2006/relationships/hyperlink" Target="https://drive.google.com/open?id=19AlXyWd-tgklwS34Sibyg3svHPpuiu8X&amp;usp=drive_copy" TargetMode="External"/><Relationship Id="rId634" Type="http://schemas.openxmlformats.org/officeDocument/2006/relationships/hyperlink" Target="https://drive.google.com/open?id=1j0Qb_ABDiEBWrSn8wVaLIMJw0L5rP7NU&amp;usp=drive_copy" TargetMode="External"/><Relationship Id="rId633" Type="http://schemas.openxmlformats.org/officeDocument/2006/relationships/hyperlink" Target="https://drive.google.com/open?id=1x_oezQ7B9BgL7oF-NnJHW2uQvsCqDreq&amp;usp=drive_copy" TargetMode="External"/><Relationship Id="rId632" Type="http://schemas.openxmlformats.org/officeDocument/2006/relationships/hyperlink" Target="https://drive.google.com/open?id=1LkzQAD1FXIzuLiTxByLbI-zY7NBpn5R0&amp;usp=drive_copy" TargetMode="External"/><Relationship Id="rId639" Type="http://schemas.openxmlformats.org/officeDocument/2006/relationships/hyperlink" Target="https://drive.google.com/open?id=16FsxOeIrYOLJxMZjnO3p0_A-l3RMfM9o&amp;usp=drive_copy" TargetMode="External"/><Relationship Id="rId638" Type="http://schemas.openxmlformats.org/officeDocument/2006/relationships/hyperlink" Target="https://drive.google.com/open?id=1ijzc_zhIw6qP5shSWxK1xwbv88TxSAl9&amp;usp=drive_copy" TargetMode="External"/><Relationship Id="rId637" Type="http://schemas.openxmlformats.org/officeDocument/2006/relationships/hyperlink" Target="https://drive.google.com/open?id=1fxVyU63UePlUXtzgjEkJFIeoZuUJozZP&amp;usp=drive_copy" TargetMode="External"/><Relationship Id="rId636" Type="http://schemas.openxmlformats.org/officeDocument/2006/relationships/hyperlink" Target="https://drive.google.com/open?id=1D3NUWI8hVVkhvVYPQ7VPiezNmUo3QpD1&amp;usp=drive_copy" TargetMode="External"/><Relationship Id="rId1460" Type="http://schemas.openxmlformats.org/officeDocument/2006/relationships/hyperlink" Target="https://drive.google.com/open?id=1MWYKPwE94X4-JsmwdmnsalIrKrHiTL4-&amp;usp=drive_copy" TargetMode="External"/><Relationship Id="rId1461" Type="http://schemas.openxmlformats.org/officeDocument/2006/relationships/hyperlink" Target="https://drive.google.com/open?id=1reIQmmixhb6acSw0ZcrwuG9TqVCPKyD3&amp;usp=drive_copy" TargetMode="External"/><Relationship Id="rId631" Type="http://schemas.openxmlformats.org/officeDocument/2006/relationships/hyperlink" Target="https://drive.google.com/open?id=1zFkH2kTN14tU55xIVeeZlgX7uFIy7h05&amp;usp=drive_copy" TargetMode="External"/><Relationship Id="rId1462" Type="http://schemas.openxmlformats.org/officeDocument/2006/relationships/hyperlink" Target="https://drive.google.com/open?id=1b20ewSx61Zzjk6R4niFI4c0Rb2CGNrmQ&amp;usp=drive_copy" TargetMode="External"/><Relationship Id="rId630" Type="http://schemas.openxmlformats.org/officeDocument/2006/relationships/hyperlink" Target="https://drive.google.com/open?id=1At1TIQHFdMPdhdjBGZX0ol8i-KpVsggG&amp;usp=drive_copy" TargetMode="External"/><Relationship Id="rId1463" Type="http://schemas.openxmlformats.org/officeDocument/2006/relationships/hyperlink" Target="https://drive.google.com/open?id=1hHZTZjw_YSJ4QM_h0wcpO3b-Dv6fwBL6&amp;usp=drive_copy" TargetMode="External"/><Relationship Id="rId1464" Type="http://schemas.openxmlformats.org/officeDocument/2006/relationships/hyperlink" Target="https://drive.google.com/open?id=1IFZS1wrskNRTYvKRdIB5RsjKcrBoSPk1&amp;usp=drive_copy" TargetMode="External"/><Relationship Id="rId1465" Type="http://schemas.openxmlformats.org/officeDocument/2006/relationships/hyperlink" Target="https://drive.google.com/open?id=1uXIsC7w9znBIfLoTwQxcTiV5RYF5mXQy&amp;usp=drive_copy" TargetMode="External"/><Relationship Id="rId1411" Type="http://schemas.openxmlformats.org/officeDocument/2006/relationships/hyperlink" Target="https://drive.google.com/open?id=1LZIxQrsL4QKJTb44UbOpkPsMtfkTpbgC&amp;usp=drive_copy" TargetMode="External"/><Relationship Id="rId1895" Type="http://schemas.openxmlformats.org/officeDocument/2006/relationships/hyperlink" Target="https://drive.google.com/open?id=1rIQ2noZm20Um_nwL5oQoerMmg5ilkw0x&amp;usp=drive_copy" TargetMode="External"/><Relationship Id="rId1412" Type="http://schemas.openxmlformats.org/officeDocument/2006/relationships/hyperlink" Target="https://drive.google.com/open?id=1z51gzkcKys80HzDXdFFfPi2qHFdhxOg9&amp;usp=drive_copy" TargetMode="External"/><Relationship Id="rId1896" Type="http://schemas.openxmlformats.org/officeDocument/2006/relationships/hyperlink" Target="https://drive.google.com/open?id=1UzFhZofArPbOI_gPVehqqcMto0RbhLPP&amp;usp=drive_copy" TargetMode="External"/><Relationship Id="rId1413" Type="http://schemas.openxmlformats.org/officeDocument/2006/relationships/hyperlink" Target="https://drive.google.com/open?id=1WKNkXjsAPv8Bjkj7kvmSWuxa0_Kuas1d&amp;usp=drive_copy" TargetMode="External"/><Relationship Id="rId1897" Type="http://schemas.openxmlformats.org/officeDocument/2006/relationships/hyperlink" Target="https://drive.google.com/open?id=1PS3M0w4PMKV4YB3-D32hwVwZYazuCepT&amp;usp=drive_copy" TargetMode="External"/><Relationship Id="rId1414" Type="http://schemas.openxmlformats.org/officeDocument/2006/relationships/hyperlink" Target="https://drive.google.com/open?id=1Cm-_trw5roJCvCeLyy2IX1ptDw5TiasV&amp;usp=drive_copy" TargetMode="External"/><Relationship Id="rId1898" Type="http://schemas.openxmlformats.org/officeDocument/2006/relationships/hyperlink" Target="https://drive.google.com/open?id=11a3J-7Wv2H-zbkyQsQv7jpZg5T-B7-Po&amp;usp=drive_copy" TargetMode="External"/><Relationship Id="rId1415" Type="http://schemas.openxmlformats.org/officeDocument/2006/relationships/hyperlink" Target="https://drive.google.com/open?id=1IJT3FCuLO_9LB94qy30sKRtD2TGIFO-Q&amp;usp=drive_copy" TargetMode="External"/><Relationship Id="rId1899" Type="http://schemas.openxmlformats.org/officeDocument/2006/relationships/hyperlink" Target="https://drive.google.com/open?id=1yyc9X9Df8u3ADA_T2xLkg1PavyKM7zN8&amp;usp=drive_copy" TargetMode="External"/><Relationship Id="rId1416" Type="http://schemas.openxmlformats.org/officeDocument/2006/relationships/hyperlink" Target="https://drive.google.com/open?id=1MA7LHgu_xeWOw6hIbjgYuy4zvANyaKbU&amp;usp=drive_copy" TargetMode="External"/><Relationship Id="rId1417" Type="http://schemas.openxmlformats.org/officeDocument/2006/relationships/hyperlink" Target="https://drive.google.com/open?id=13WtRigdiDVH1MsixXCQrKU3TOSuMg9Sw&amp;usp=drive_copy" TargetMode="External"/><Relationship Id="rId1418" Type="http://schemas.openxmlformats.org/officeDocument/2006/relationships/hyperlink" Target="https://drive.google.com/open?id=1I7Wso_H-vF21nOiCxtvMcRCHmEj_yi_N&amp;usp=drive_copy" TargetMode="External"/><Relationship Id="rId1419" Type="http://schemas.openxmlformats.org/officeDocument/2006/relationships/hyperlink" Target="https://drive.google.com/open?id=1Qfn2QTeUhs8ICfZsqt49RJYG3AqG04qy&amp;usp=drive_copy" TargetMode="External"/><Relationship Id="rId1890" Type="http://schemas.openxmlformats.org/officeDocument/2006/relationships/hyperlink" Target="https://drive.google.com/open?id=1h52EIpX03PGh1FcCGMCxbHwqKSHtIvem&amp;usp=drive_copy" TargetMode="External"/><Relationship Id="rId1891" Type="http://schemas.openxmlformats.org/officeDocument/2006/relationships/hyperlink" Target="https://drive.google.com/open?id=1eY0Rnh3voQ3pEy0yKhGXxV_iaOHNGVaB&amp;usp=drive_copy" TargetMode="External"/><Relationship Id="rId1892" Type="http://schemas.openxmlformats.org/officeDocument/2006/relationships/hyperlink" Target="https://drive.google.com/open?id=1Af1JOZZKftd3JRi5WCcUyHjL5OH1j5TV&amp;usp=drive_copy" TargetMode="External"/><Relationship Id="rId1893" Type="http://schemas.openxmlformats.org/officeDocument/2006/relationships/hyperlink" Target="https://drive.google.com/open?id=1bIDpGTz70td1wpi-nAEJot3W_dTIO-bH&amp;usp=drive_copy" TargetMode="External"/><Relationship Id="rId1410" Type="http://schemas.openxmlformats.org/officeDocument/2006/relationships/hyperlink" Target="https://drive.google.com/open?id=1ldSjM-0p4K2O3Ogky5SxbF1tPedsBjs3&amp;usp=drive_copy" TargetMode="External"/><Relationship Id="rId1894" Type="http://schemas.openxmlformats.org/officeDocument/2006/relationships/hyperlink" Target="https://drive.google.com/open?id=1Pqk8-dY7mjigALs-jV52_RZp5xAkEpEl&amp;usp=drive_copy" TargetMode="External"/><Relationship Id="rId1400" Type="http://schemas.openxmlformats.org/officeDocument/2006/relationships/hyperlink" Target="https://drive.google.com/open?id=1F5Z_9UWAtVSQTr-FXK7qHKxETq-xKEJ_&amp;usp=drive_copy" TargetMode="External"/><Relationship Id="rId1884" Type="http://schemas.openxmlformats.org/officeDocument/2006/relationships/hyperlink" Target="https://drive.google.com/open?id=1ylfDjMJe7JGwYOEzDozFoAvbhFGC_RR2&amp;usp=drive_copy" TargetMode="External"/><Relationship Id="rId1401" Type="http://schemas.openxmlformats.org/officeDocument/2006/relationships/hyperlink" Target="https://drive.google.com/open?id=12alTtgGMWQczeI0gZzAhvC1762WsYplJ&amp;usp=drive_copy" TargetMode="External"/><Relationship Id="rId1885" Type="http://schemas.openxmlformats.org/officeDocument/2006/relationships/hyperlink" Target="https://drive.google.com/open?id=14V2UPIK34UaoxfJ6V8PgNBzCq-Fi8PIh&amp;usp=drive_copy" TargetMode="External"/><Relationship Id="rId1402" Type="http://schemas.openxmlformats.org/officeDocument/2006/relationships/hyperlink" Target="https://drive.google.com/open?id=19aQpbNg2_9P9fEc62ZEpXicdf_kYqbf4&amp;usp=drive_copy" TargetMode="External"/><Relationship Id="rId1886" Type="http://schemas.openxmlformats.org/officeDocument/2006/relationships/hyperlink" Target="https://drive.google.com/open?id=1qYZGA_fdZsjbwbohhTb2eWQTdOi6rW1a&amp;usp=drive_copy" TargetMode="External"/><Relationship Id="rId1403" Type="http://schemas.openxmlformats.org/officeDocument/2006/relationships/hyperlink" Target="https://drive.google.com/open?id=1KAJtA38CIHB7JM5sDu8HOqgAA2KCDQNO&amp;usp=drive_copy" TargetMode="External"/><Relationship Id="rId1887" Type="http://schemas.openxmlformats.org/officeDocument/2006/relationships/hyperlink" Target="https://drive.google.com/open?id=1whpvprqBlGDPL-QE7goVpREA0mqJIQR6&amp;usp=drive_copy" TargetMode="External"/><Relationship Id="rId1404" Type="http://schemas.openxmlformats.org/officeDocument/2006/relationships/hyperlink" Target="https://drive.google.com/open?id=1VjOX7R-Be9O0Cv07ufIlCbR7AE55KBae&amp;usp=drive_copy" TargetMode="External"/><Relationship Id="rId1888" Type="http://schemas.openxmlformats.org/officeDocument/2006/relationships/hyperlink" Target="https://drive.google.com/open?id=11so8vfL4nSg2USgeypi3p5Ao3gIB_LEF&amp;usp=drive_copy" TargetMode="External"/><Relationship Id="rId1405" Type="http://schemas.openxmlformats.org/officeDocument/2006/relationships/hyperlink" Target="https://drive.google.com/open?id=16kLFCIOdQIlZWHLA6v9ZSqQSWouWYyKg&amp;usp=drive_copy" TargetMode="External"/><Relationship Id="rId1889" Type="http://schemas.openxmlformats.org/officeDocument/2006/relationships/hyperlink" Target="https://drive.google.com/open?id=1DmVybndrqnGOzLY5rKJz6u9ETwyenUz6&amp;usp=drive_copy" TargetMode="External"/><Relationship Id="rId1406" Type="http://schemas.openxmlformats.org/officeDocument/2006/relationships/hyperlink" Target="https://drive.google.com/open?id=1Rq27dHWgXTKuKeBtVSFmig4ytGNJYcNH&amp;usp=drive_copy" TargetMode="External"/><Relationship Id="rId1407" Type="http://schemas.openxmlformats.org/officeDocument/2006/relationships/hyperlink" Target="https://drive.google.com/open?id=1zwJ8rpGTyJeDsJtxarvCHcJULQE_iA31&amp;usp=drive_copy" TargetMode="External"/><Relationship Id="rId1408" Type="http://schemas.openxmlformats.org/officeDocument/2006/relationships/hyperlink" Target="https://drive.google.com/open?id=1-zds9Xlo-Cy-vFF7wyyIltxofOCyB-WT&amp;usp=drive_copy" TargetMode="External"/><Relationship Id="rId1409" Type="http://schemas.openxmlformats.org/officeDocument/2006/relationships/hyperlink" Target="https://drive.google.com/open?id=1pEUcseE7R_W23tA_qtQXmKnunLIhHPR9&amp;usp=drive_copy" TargetMode="External"/><Relationship Id="rId1880" Type="http://schemas.openxmlformats.org/officeDocument/2006/relationships/hyperlink" Target="https://drive.google.com/open?id=1xa1DX_ntLkafZFUi42XkrRZvF5q15TNC&amp;usp=drive_copy" TargetMode="External"/><Relationship Id="rId1881" Type="http://schemas.openxmlformats.org/officeDocument/2006/relationships/hyperlink" Target="https://drive.google.com/open?id=1_F6usNRJTd9oaSxLLDUJ30FjqfC3S5KR&amp;usp=drive_copy" TargetMode="External"/><Relationship Id="rId1882" Type="http://schemas.openxmlformats.org/officeDocument/2006/relationships/hyperlink" Target="https://drive.google.com/open?id=1ukBWJjvZR73WYBXpf3tZCBcq53RKTZDr&amp;usp=drive_copy" TargetMode="External"/><Relationship Id="rId1883" Type="http://schemas.openxmlformats.org/officeDocument/2006/relationships/hyperlink" Target="https://drive.google.com/open?id=1dP9sx1piGd-wQauhK3jRq46EHphryX_8&amp;usp=drive_copy" TargetMode="External"/><Relationship Id="rId1433" Type="http://schemas.openxmlformats.org/officeDocument/2006/relationships/hyperlink" Target="https://drive.google.com/open?id=1OZNiw05tKrX5F3KbOcLH_W9_8cPVj5fd&amp;usp=drive_copy" TargetMode="External"/><Relationship Id="rId1434" Type="http://schemas.openxmlformats.org/officeDocument/2006/relationships/hyperlink" Target="https://drive.google.com/open?id=1e1n0KDUkA2exsxBWLFOz5DXig4Elq7Pd&amp;usp=drive_copy" TargetMode="External"/><Relationship Id="rId1435" Type="http://schemas.openxmlformats.org/officeDocument/2006/relationships/hyperlink" Target="https://drive.google.com/open?id=1fUjp3kCoX2SSA7n5bbJWJ620rH4Jv2nD&amp;usp=drive_copy" TargetMode="External"/><Relationship Id="rId1436" Type="http://schemas.openxmlformats.org/officeDocument/2006/relationships/hyperlink" Target="https://drive.google.com/open?id=1_YntbuN3BCU_-1i4XoSPKNex4WXkNkkF&amp;usp=drive_copy" TargetMode="External"/><Relationship Id="rId1437" Type="http://schemas.openxmlformats.org/officeDocument/2006/relationships/hyperlink" Target="https://drive.google.com/open?id=136Jn-EGKZ6lJN1dWGTKSzatui0gM4yZS&amp;usp=drive_copy" TargetMode="External"/><Relationship Id="rId1438" Type="http://schemas.openxmlformats.org/officeDocument/2006/relationships/hyperlink" Target="https://drive.google.com/open?id=1ZfTo5O6rubiH9R3i8H8BgB9GwZw_jXfX&amp;usp=drive_copy" TargetMode="External"/><Relationship Id="rId1439" Type="http://schemas.openxmlformats.org/officeDocument/2006/relationships/hyperlink" Target="https://drive.google.com/open?id=1TdOuH7boT86ewHdHAN5s0KtQOzBWtKhC&amp;usp=drive_copy" TargetMode="External"/><Relationship Id="rId609" Type="http://schemas.openxmlformats.org/officeDocument/2006/relationships/hyperlink" Target="https://drive.google.com/open?id=1m9eqsUtT4MzOqejDKxJoYJkFAzar_FLa&amp;usp=drive_copy" TargetMode="External"/><Relationship Id="rId608" Type="http://schemas.openxmlformats.org/officeDocument/2006/relationships/hyperlink" Target="https://drive.google.com/open?id=1ndFU3ydT2VrCIFQ9j4Ne70V3nZsa0ILt&amp;usp=drive_copy" TargetMode="External"/><Relationship Id="rId607" Type="http://schemas.openxmlformats.org/officeDocument/2006/relationships/hyperlink" Target="https://drive.google.com/open?id=1MqvDsFbReSJdYOQGOQdtkmuxY_dupms4&amp;usp=drive_copy" TargetMode="External"/><Relationship Id="rId602" Type="http://schemas.openxmlformats.org/officeDocument/2006/relationships/hyperlink" Target="https://drive.google.com/open?id=1p21e-XlVKiNMmcH_hJXnAMDkQhf3nvnh&amp;usp=drive_copy" TargetMode="External"/><Relationship Id="rId601" Type="http://schemas.openxmlformats.org/officeDocument/2006/relationships/hyperlink" Target="https://drive.google.com/open?id=1IeUFwhW0GA5x7JdmzVDrLGww7TqEkTxi&amp;usp=drive_copy" TargetMode="External"/><Relationship Id="rId600" Type="http://schemas.openxmlformats.org/officeDocument/2006/relationships/hyperlink" Target="https://drive.google.com/open?id=1NKT4RkZVhgmofilJpu9F_T7JWdu35J4y&amp;usp=drive_copy" TargetMode="External"/><Relationship Id="rId606" Type="http://schemas.openxmlformats.org/officeDocument/2006/relationships/hyperlink" Target="https://drive.google.com/open?id=1UYrLt91XH4iyZraIE42Osf7kM9dSz9gI&amp;usp=drive_copy" TargetMode="External"/><Relationship Id="rId605" Type="http://schemas.openxmlformats.org/officeDocument/2006/relationships/hyperlink" Target="https://drive.google.com/open?id=1HD8NhbrnpAZ_UnlNfdTNTJSG5I-PXQyC&amp;usp=drive_copy" TargetMode="External"/><Relationship Id="rId604" Type="http://schemas.openxmlformats.org/officeDocument/2006/relationships/hyperlink" Target="https://drive.google.com/open?id=1p8F5xm7DFfN8gPsAryPhmDuJmNGnK71U&amp;usp=drive_copy" TargetMode="External"/><Relationship Id="rId603" Type="http://schemas.openxmlformats.org/officeDocument/2006/relationships/hyperlink" Target="https://drive.google.com/open?id=1AE3nzQB8V-3raWYldt0vf0oCEGALRS3e&amp;usp=drive_copy" TargetMode="External"/><Relationship Id="rId1430" Type="http://schemas.openxmlformats.org/officeDocument/2006/relationships/hyperlink" Target="https://drive.google.com/open?id=12RTAHZcgS4Xi6L-IUsxYqZJvRJFLcAaf&amp;usp=drive_copy" TargetMode="External"/><Relationship Id="rId1431" Type="http://schemas.openxmlformats.org/officeDocument/2006/relationships/hyperlink" Target="https://drive.google.com/open?id=1j8GWAD4bN5Nyvd7mGzTgV9pKDEvkO14K&amp;usp=drive_copy" TargetMode="External"/><Relationship Id="rId1432" Type="http://schemas.openxmlformats.org/officeDocument/2006/relationships/hyperlink" Target="https://drive.google.com/open?id=1S2nsR4jqDXaeowwU3e0uhEHjzX2NU7I6&amp;usp=drive_copy" TargetMode="External"/><Relationship Id="rId1422" Type="http://schemas.openxmlformats.org/officeDocument/2006/relationships/hyperlink" Target="https://drive.google.com/open?id=1YoJk0RxsvA8eZ6DlcuIX0FbUuOQUvMUY&amp;usp=drive_copy" TargetMode="External"/><Relationship Id="rId1423" Type="http://schemas.openxmlformats.org/officeDocument/2006/relationships/hyperlink" Target="https://drive.google.com/open?id=1bvDlovYcqleqRpISZTLc-oKiX8SpPW3B&amp;usp=drive_copy" TargetMode="External"/><Relationship Id="rId1424" Type="http://schemas.openxmlformats.org/officeDocument/2006/relationships/hyperlink" Target="https://drive.google.com/open?id=1K6YY6X-T8l62QAU20d7LtwKWukIhVW_e&amp;usp=drive_copy" TargetMode="External"/><Relationship Id="rId1425" Type="http://schemas.openxmlformats.org/officeDocument/2006/relationships/hyperlink" Target="https://drive.google.com/open?id=1RVvhG3nykDeD4EW82T02XrrZeX085Ze4&amp;usp=drive_copy" TargetMode="External"/><Relationship Id="rId1426" Type="http://schemas.openxmlformats.org/officeDocument/2006/relationships/hyperlink" Target="https://drive.google.com/open?id=1ieyAvt-Px7da15IYeNk5nulBQCZfL-dG&amp;usp=drive_copy" TargetMode="External"/><Relationship Id="rId1427" Type="http://schemas.openxmlformats.org/officeDocument/2006/relationships/hyperlink" Target="https://drive.google.com/open?id=1w5LalwFex4klc25I8enWThzuRjuqcXqP&amp;usp=drive_copy" TargetMode="External"/><Relationship Id="rId1428" Type="http://schemas.openxmlformats.org/officeDocument/2006/relationships/hyperlink" Target="https://drive.google.com/open?id=1bkNQxkJdKheMVa-8jz8unx0wPCtnayWx&amp;usp=drive_copy" TargetMode="External"/><Relationship Id="rId1429" Type="http://schemas.openxmlformats.org/officeDocument/2006/relationships/hyperlink" Target="https://drive.google.com/open?id=1nT7auUxG39DPgtY3Gy1jUaX12jqHZnj9&amp;usp=drive_copy" TargetMode="External"/><Relationship Id="rId1420" Type="http://schemas.openxmlformats.org/officeDocument/2006/relationships/hyperlink" Target="https://drive.google.com/open?id=19i7x8Xx2XrL_K4Y66gz4LesUj_FOeqi_&amp;usp=drive_copy" TargetMode="External"/><Relationship Id="rId1421" Type="http://schemas.openxmlformats.org/officeDocument/2006/relationships/hyperlink" Target="https://drive.google.com/open?id=1pJy1b07QkHZDEXYpCee51Kv25C-Tjy6Z&amp;usp=drive_copy" TargetMode="External"/><Relationship Id="rId1059" Type="http://schemas.openxmlformats.org/officeDocument/2006/relationships/hyperlink" Target="https://drive.google.com/open?id=1JW90xRmIJliXtK9utMyILml8XceASVpZ&amp;usp=drive_copy" TargetMode="External"/><Relationship Id="rId228" Type="http://schemas.openxmlformats.org/officeDocument/2006/relationships/hyperlink" Target="https://drive.google.com/file/d/1ntRr0B6289bqLMrU9g45SHUKxVP-rS-h/view?usp=drive_link" TargetMode="External"/><Relationship Id="rId227" Type="http://schemas.openxmlformats.org/officeDocument/2006/relationships/hyperlink" Target="https://drive.google.com/file/d/1aBKQtUp3zBcfh1AiX-oUYoMJiH14k-Ar/view?usp=drive_link" TargetMode="External"/><Relationship Id="rId226" Type="http://schemas.openxmlformats.org/officeDocument/2006/relationships/hyperlink" Target="https://drive.google.com/file/d/1QU408e-VdiLknrTlVI0P3T8HRTit1Eyw/view?usp=drive_link" TargetMode="External"/><Relationship Id="rId225" Type="http://schemas.openxmlformats.org/officeDocument/2006/relationships/hyperlink" Target="https://drive.google.com/file/d/1gm8CPLTGte_LZkMnZoU83kEQ6Qsgb79d/view?usp=drive_link" TargetMode="External"/><Relationship Id="rId229" Type="http://schemas.openxmlformats.org/officeDocument/2006/relationships/hyperlink" Target="https://drive.google.com/file/d/1nkRiw65rm1NbkEJkXQDy87HoAlQNSUYf/view?usp=drive_link" TargetMode="External"/><Relationship Id="rId1050" Type="http://schemas.openxmlformats.org/officeDocument/2006/relationships/hyperlink" Target="https://drive.google.com/open?id=1LCDvDgD1ciUwim4IkJLu-NNy2OUt9xom&amp;usp=drive_copy" TargetMode="External"/><Relationship Id="rId220" Type="http://schemas.openxmlformats.org/officeDocument/2006/relationships/hyperlink" Target="https://drive.google.com/open?id=120j6oVa5sxSwlS6EHwdfYs-ByIp9jTze&amp;usp=drive_copy" TargetMode="External"/><Relationship Id="rId1051" Type="http://schemas.openxmlformats.org/officeDocument/2006/relationships/hyperlink" Target="https://drive.google.com/open?id=1PEfn9lmUv_VG1E8XOJxi6Z67_9njSHb2&amp;usp=drive_copy" TargetMode="External"/><Relationship Id="rId1052" Type="http://schemas.openxmlformats.org/officeDocument/2006/relationships/hyperlink" Target="https://drive.google.com/open?id=1RJ9Rodo3ogYYQ5RmMICgRD6Y-aIaDyoH&amp;usp=drive_copy" TargetMode="External"/><Relationship Id="rId1053" Type="http://schemas.openxmlformats.org/officeDocument/2006/relationships/hyperlink" Target="https://drive.google.com/open?id=1ITTi-RjBPHuBappCWfe_ELnMBQk6qoNq&amp;usp=drive_copy" TargetMode="External"/><Relationship Id="rId1054" Type="http://schemas.openxmlformats.org/officeDocument/2006/relationships/hyperlink" Target="https://drive.google.com/open?id=1kiQn27vC4hv5bmPFy8EufcYkxdkIXrP9&amp;usp=drive_copy" TargetMode="External"/><Relationship Id="rId224" Type="http://schemas.openxmlformats.org/officeDocument/2006/relationships/hyperlink" Target="https://drive.google.com/open?id=1T3Nrd06SJFJEmUu-L5HhZe6nuf3RoJR8&amp;usp=drive_copy" TargetMode="External"/><Relationship Id="rId1055" Type="http://schemas.openxmlformats.org/officeDocument/2006/relationships/hyperlink" Target="https://drive.google.com/open?id=15jU8QFnHTwxAlMcgPIxDHWXfqd4JhNDQ&amp;usp=drive_copy" TargetMode="External"/><Relationship Id="rId223" Type="http://schemas.openxmlformats.org/officeDocument/2006/relationships/hyperlink" Target="https://drive.google.com/open?id=1wm6LE2apnkIejhiCDVdh4hDa3JDr0W8d&amp;usp=drive_copy" TargetMode="External"/><Relationship Id="rId1056" Type="http://schemas.openxmlformats.org/officeDocument/2006/relationships/hyperlink" Target="https://drive.google.com/open?id=1kKgssCC_XAYNWKJbNkSuB7fm-qZ4xbNn&amp;usp=drive_copy" TargetMode="External"/><Relationship Id="rId222" Type="http://schemas.openxmlformats.org/officeDocument/2006/relationships/hyperlink" Target="https://drive.google.com/open?id=1saPsXuuVqNhykGQrEQNNNLBnjiQimL9f&amp;usp=drive_copy" TargetMode="External"/><Relationship Id="rId1057" Type="http://schemas.openxmlformats.org/officeDocument/2006/relationships/hyperlink" Target="https://drive.google.com/open?id=1SwCQRl9jzB6mUUCsDIz3r2VGlDbduA2g&amp;usp=drive_copy" TargetMode="External"/><Relationship Id="rId221" Type="http://schemas.openxmlformats.org/officeDocument/2006/relationships/hyperlink" Target="https://drive.google.com/open?id=1OuzuU6vf5sZ79yBFKirriifDYYxe1u8H&amp;usp=drive_copy" TargetMode="External"/><Relationship Id="rId1058" Type="http://schemas.openxmlformats.org/officeDocument/2006/relationships/hyperlink" Target="https://drive.google.com/open?id=13lgVeyxMEPPifa8AtzoYsETkTJ95saYL&amp;usp=drive_copy" TargetMode="External"/><Relationship Id="rId1048" Type="http://schemas.openxmlformats.org/officeDocument/2006/relationships/hyperlink" Target="https://drive.google.com/open?id=14vX_pJeoS0wZFkzNYTD0ZTzdfQNqP2wQ&amp;usp=drive_copy" TargetMode="External"/><Relationship Id="rId1049" Type="http://schemas.openxmlformats.org/officeDocument/2006/relationships/hyperlink" Target="https://drive.google.com/open?id=1Krk9752R_2OoEm1R5i8D5QWNJ0u4TheY&amp;usp=drive_copy" TargetMode="External"/><Relationship Id="rId217" Type="http://schemas.openxmlformats.org/officeDocument/2006/relationships/hyperlink" Target="https://drive.google.com/file/d/1P1DXAfGXUcyifsis4_bJl93NaKB5pzVU/view?usp=drive_link" TargetMode="External"/><Relationship Id="rId216" Type="http://schemas.openxmlformats.org/officeDocument/2006/relationships/hyperlink" Target="https://drive.google.com/file/d/19uaToi0w6hoev-BnHQqu6rdf-WYWeIxx/view?usp=drive_link" TargetMode="External"/><Relationship Id="rId215" Type="http://schemas.openxmlformats.org/officeDocument/2006/relationships/hyperlink" Target="https://drive.google.com/open?id=1tcgN9JGgs-VtRXy2V00TnK2Uh9gDwU-_&amp;usp=drive_copy" TargetMode="External"/><Relationship Id="rId699" Type="http://schemas.openxmlformats.org/officeDocument/2006/relationships/hyperlink" Target="https://drive.google.com/open?id=1EDjpy3DMtcbHrzXe4c2TFUjJxCiqJrz8&amp;usp=drive_copy" TargetMode="External"/><Relationship Id="rId214" Type="http://schemas.openxmlformats.org/officeDocument/2006/relationships/hyperlink" Target="https://drive.google.com/open?id=1dOOJyhCE8_sMdNd_Xs7tsV9rWnQW49fS&amp;usp=drive_copy" TargetMode="External"/><Relationship Id="rId698" Type="http://schemas.openxmlformats.org/officeDocument/2006/relationships/hyperlink" Target="https://drive.google.com/open?id=1cKxFQnZoQLWe3eJ_sG8Ykp3OxSnGlE6K&amp;usp=drive_copy" TargetMode="External"/><Relationship Id="rId219" Type="http://schemas.openxmlformats.org/officeDocument/2006/relationships/hyperlink" Target="https://drive.google.com/open?id=1dpAchu0jFNMtq8E11Miw1AIaDL1WYBXD&amp;usp=drive_copy" TargetMode="External"/><Relationship Id="rId218" Type="http://schemas.openxmlformats.org/officeDocument/2006/relationships/hyperlink" Target="https://drive.google.com/file/d/1FM4UjHuSLoIaq7LhVJUNbgEBZJ5YuQEM/view?usp=drive_link" TargetMode="External"/><Relationship Id="rId693" Type="http://schemas.openxmlformats.org/officeDocument/2006/relationships/hyperlink" Target="https://drive.google.com/open?id=12ovWVXuYmfNNTXCX85xtfuxwikCGrUkn&amp;usp=drive_copy" TargetMode="External"/><Relationship Id="rId1040" Type="http://schemas.openxmlformats.org/officeDocument/2006/relationships/hyperlink" Target="https://drive.google.com/open?id=1toC4jIZZjsvfbNxpSRd1lIzoacQxCEdk&amp;usp=drive_copy" TargetMode="External"/><Relationship Id="rId692" Type="http://schemas.openxmlformats.org/officeDocument/2006/relationships/hyperlink" Target="https://drive.google.com/open?id=1RQIT15Zf4xPAJjnpoTWeeiloYbBge2gJ&amp;usp=drive_copy" TargetMode="External"/><Relationship Id="rId1041" Type="http://schemas.openxmlformats.org/officeDocument/2006/relationships/hyperlink" Target="https://drive.google.com/open?id=1WL1PGQaJJDQzfKGa2nJs-6-NLi78Muk1&amp;usp=drive_copy" TargetMode="External"/><Relationship Id="rId691" Type="http://schemas.openxmlformats.org/officeDocument/2006/relationships/hyperlink" Target="https://drive.google.com/open?id=1JRmRMG2Hs6hGv_H8Kbuxc_QEJ-qqybT9&amp;usp=drive_copy" TargetMode="External"/><Relationship Id="rId1042" Type="http://schemas.openxmlformats.org/officeDocument/2006/relationships/hyperlink" Target="https://drive.google.com/open?id=1bBKVAu4sSnB3H3vu4rOpot78dxLtIiD3&amp;usp=drive_copy" TargetMode="External"/><Relationship Id="rId690" Type="http://schemas.openxmlformats.org/officeDocument/2006/relationships/hyperlink" Target="https://drive.google.com/open?id=1IVLTOM5rgOtdjjUKUUxghQ6UI-Xo3htV&amp;usp=drive_copy" TargetMode="External"/><Relationship Id="rId1043" Type="http://schemas.openxmlformats.org/officeDocument/2006/relationships/hyperlink" Target="https://drive.google.com/open?id=1_U474TAXMWKaLzzgtXDCG_8hnF9uuRRu&amp;usp=drive_copy" TargetMode="External"/><Relationship Id="rId213" Type="http://schemas.openxmlformats.org/officeDocument/2006/relationships/hyperlink" Target="https://drive.google.com/open?id=13-QrXDFFDmTjn-JuCQwVvRxA3HozThB1&amp;usp=drive_copy" TargetMode="External"/><Relationship Id="rId697" Type="http://schemas.openxmlformats.org/officeDocument/2006/relationships/hyperlink" Target="https://drive.google.com/open?id=15kRmJsFyoV1lYqWkaV3bn1iMVJe1pV7s&amp;usp=drive_copy" TargetMode="External"/><Relationship Id="rId1044" Type="http://schemas.openxmlformats.org/officeDocument/2006/relationships/hyperlink" Target="https://drive.google.com/open?id=1lEY79TwcQZNAIVNCuHbTyZbYmKXaUKSr&amp;usp=drive_copy" TargetMode="External"/><Relationship Id="rId212" Type="http://schemas.openxmlformats.org/officeDocument/2006/relationships/hyperlink" Target="https://drive.google.com/open?id=15dC8bjTxM5W0EO67zBrmnlw4X6Ju9vRP&amp;usp=drive_copy" TargetMode="External"/><Relationship Id="rId696" Type="http://schemas.openxmlformats.org/officeDocument/2006/relationships/hyperlink" Target="https://drive.google.com/open?id=1RbYuhfB-2u8smzoUSMQWrMJmRyL1Y279&amp;usp=drive_copy" TargetMode="External"/><Relationship Id="rId1045" Type="http://schemas.openxmlformats.org/officeDocument/2006/relationships/hyperlink" Target="https://drive.google.com/open?id=1zQn7LAGxExiRrHK5UzHosx9lMapZ7B72&amp;usp=drive_copy" TargetMode="External"/><Relationship Id="rId211" Type="http://schemas.openxmlformats.org/officeDocument/2006/relationships/hyperlink" Target="https://drive.google.com/open?id=11ftCnk2z-gq7yF74MG7dylhEkn-TcE2C&amp;usp=drive_copy" TargetMode="External"/><Relationship Id="rId695" Type="http://schemas.openxmlformats.org/officeDocument/2006/relationships/hyperlink" Target="https://drive.google.com/open?id=1h6_r04P-DoG1Rhu8XLW8Tz97mzo5kwWf&amp;usp=drive_copy" TargetMode="External"/><Relationship Id="rId1046" Type="http://schemas.openxmlformats.org/officeDocument/2006/relationships/hyperlink" Target="https://drive.google.com/open?id=1YFzAquzmiNpb8GnsLgjVzNcCtp8FQZ2M&amp;usp=drive_copy" TargetMode="External"/><Relationship Id="rId210" Type="http://schemas.openxmlformats.org/officeDocument/2006/relationships/hyperlink" Target="https://drive.google.com/open?id=1RosfkA7HuyfbFYyQ0GTXmkjFMUypIMA_&amp;usp=drive_copy" TargetMode="External"/><Relationship Id="rId694" Type="http://schemas.openxmlformats.org/officeDocument/2006/relationships/hyperlink" Target="https://drive.google.com/open?id=1MVMWa-oJ-XnpHzJoO3wZc700mUOrKHW-&amp;usp=drive_copy" TargetMode="External"/><Relationship Id="rId1047" Type="http://schemas.openxmlformats.org/officeDocument/2006/relationships/hyperlink" Target="https://drive.google.com/open?id=1X0gewPR1v_HLPb4OsuVupWfzKPnZf0Jd&amp;usp=drive_copy" TargetMode="External"/><Relationship Id="rId249" Type="http://schemas.openxmlformats.org/officeDocument/2006/relationships/hyperlink" Target="https://drive.google.com/file/d/15kaFPHAgUQqWqQ7VStJmKWH-RIS2c2hy/view?usp=drive_link" TargetMode="External"/><Relationship Id="rId248" Type="http://schemas.openxmlformats.org/officeDocument/2006/relationships/hyperlink" Target="https://drive.google.com/open?id=1KJ-yTWGFczKx95-weTF5CPjW2o5iqeKj&amp;usp=drive_copy" TargetMode="External"/><Relationship Id="rId247" Type="http://schemas.openxmlformats.org/officeDocument/2006/relationships/hyperlink" Target="https://drive.google.com/open?id=1GQll0EezU7qXGijqfKKCN-VsMoJGnKqW&amp;usp=drive_copy" TargetMode="External"/><Relationship Id="rId1070" Type="http://schemas.openxmlformats.org/officeDocument/2006/relationships/hyperlink" Target="https://drive.google.com/open?id=1O3eBkdeCJRF-Nxrjnm7Wb6owYc_noTfB&amp;usp=drive_copy" TargetMode="External"/><Relationship Id="rId1071" Type="http://schemas.openxmlformats.org/officeDocument/2006/relationships/hyperlink" Target="https://drive.google.com/open?id=1phv9w-45hwKZ74ZovIUeXC3U6txX23iS&amp;usp=drive_copy" TargetMode="External"/><Relationship Id="rId1072" Type="http://schemas.openxmlformats.org/officeDocument/2006/relationships/hyperlink" Target="https://drive.google.com/open?id=1me-DTmaW0Y3jnqj3IzSKUDUjMMqfagQh&amp;usp=drive_copy" TargetMode="External"/><Relationship Id="rId242" Type="http://schemas.openxmlformats.org/officeDocument/2006/relationships/hyperlink" Target="https://drive.google.com/file/d/1EsUECk6lilELgs1xWUEcwhLr0rKPgJiV/view?usp=drive_link" TargetMode="External"/><Relationship Id="rId1073" Type="http://schemas.openxmlformats.org/officeDocument/2006/relationships/hyperlink" Target="https://drive.google.com/open?id=1_VB7jYUiIZ8i5kkHsj1NPJZTGv4ENFVc&amp;usp=drive_copy" TargetMode="External"/><Relationship Id="rId241" Type="http://schemas.openxmlformats.org/officeDocument/2006/relationships/hyperlink" Target="https://drive.google.com/open?id=1eaHNPWPbw5xzxzOIUIZL5JyTvNJWikE1&amp;usp=drive_copy" TargetMode="External"/><Relationship Id="rId1074" Type="http://schemas.openxmlformats.org/officeDocument/2006/relationships/hyperlink" Target="https://drive.google.com/open?id=1T-aK-UT9xomZqCd8AKEVMANYmjxC2b5j&amp;usp=drive_copy" TargetMode="External"/><Relationship Id="rId240" Type="http://schemas.openxmlformats.org/officeDocument/2006/relationships/hyperlink" Target="https://drive.google.com/open?id=14x4SwyfcJhz9qQyiBIZwYRophTaPWdgq&amp;usp=drive_copy" TargetMode="External"/><Relationship Id="rId1075" Type="http://schemas.openxmlformats.org/officeDocument/2006/relationships/hyperlink" Target="https://drive.google.com/open?id=1RLT89FBoEx2WhpcEv1rntVXE0jcc01y9&amp;usp=drive_copy" TargetMode="External"/><Relationship Id="rId1076" Type="http://schemas.openxmlformats.org/officeDocument/2006/relationships/hyperlink" Target="https://drive.google.com/open?id=10VR7rKMdTuFrMB0z6s0QeR1n0QO_ovvH&amp;usp=drive_copy" TargetMode="External"/><Relationship Id="rId246" Type="http://schemas.openxmlformats.org/officeDocument/2006/relationships/hyperlink" Target="https://drive.google.com/open?id=1IMXp3nc8NCJ3ntBRpNG9-jpk8M3bii2Q&amp;usp=drive_copy" TargetMode="External"/><Relationship Id="rId1077" Type="http://schemas.openxmlformats.org/officeDocument/2006/relationships/hyperlink" Target="https://drive.google.com/open?id=12BGjoeIdU3zsrE8uTU53HG1j7BCzudCU&amp;usp=drive_copy" TargetMode="External"/><Relationship Id="rId245" Type="http://schemas.openxmlformats.org/officeDocument/2006/relationships/hyperlink" Target="https://drive.google.com/open?id=1gvFUah0MvUQJjpsXBWbV5e5HvpLiSSF2&amp;usp=drive_copy" TargetMode="External"/><Relationship Id="rId1078" Type="http://schemas.openxmlformats.org/officeDocument/2006/relationships/hyperlink" Target="https://drive.google.com/open?id=1zXbkq54nJHjjonagEgZOb5xI4S2PSXHF&amp;usp=drive_copy" TargetMode="External"/><Relationship Id="rId244" Type="http://schemas.openxmlformats.org/officeDocument/2006/relationships/hyperlink" Target="https://drive.google.com/file/d/1FRfLBG8a-oiEu2VqIc4rcUqPpfYsR8q9/view?usp=drive_link" TargetMode="External"/><Relationship Id="rId1079" Type="http://schemas.openxmlformats.org/officeDocument/2006/relationships/hyperlink" Target="https://drive.google.com/open?id=1E-av16ImUEtYRVUJYMNMxQwhSp6eNBQ6&amp;usp=drive_copy" TargetMode="External"/><Relationship Id="rId243" Type="http://schemas.openxmlformats.org/officeDocument/2006/relationships/hyperlink" Target="https://drive.google.com/file/d/1Nme6uvVZkVnYfl61EW_4lpl-xJTTLAtR/view?usp=drive_link" TargetMode="External"/><Relationship Id="rId239" Type="http://schemas.openxmlformats.org/officeDocument/2006/relationships/hyperlink" Target="https://drive.google.com/open?id=1GgLIU1SAH_vcwvV3lzxi28MzHylTD8Cy&amp;usp=drive_copy" TargetMode="External"/><Relationship Id="rId238" Type="http://schemas.openxmlformats.org/officeDocument/2006/relationships/hyperlink" Target="https://drive.google.com/file/d/1PHPPX7tJh61U32La7bMVMU8pCLmgF9dy/view?usp=drive_link" TargetMode="External"/><Relationship Id="rId237" Type="http://schemas.openxmlformats.org/officeDocument/2006/relationships/hyperlink" Target="https://drive.google.com/file/d/1A6pS3cBzHfYR_1baE_SPNqRhw3H9fzwz/view?usp=drive_link" TargetMode="External"/><Relationship Id="rId236" Type="http://schemas.openxmlformats.org/officeDocument/2006/relationships/hyperlink" Target="https://drive.google.com/open?id=19PI_7c2MhYa_DJFO2b0K6hRJIT6h10N5&amp;usp=drive_copy" TargetMode="External"/><Relationship Id="rId1060" Type="http://schemas.openxmlformats.org/officeDocument/2006/relationships/hyperlink" Target="https://drive.google.com/open?id=1LMhgMxFqqDgec03zXfHDBFUi6M5_gDv0&amp;usp=drive_copy" TargetMode="External"/><Relationship Id="rId1061" Type="http://schemas.openxmlformats.org/officeDocument/2006/relationships/hyperlink" Target="https://drive.google.com/open?id=1W4NYil90VTeHgm4XGblgv2FsHbmjkUYA&amp;usp=drive_copy" TargetMode="External"/><Relationship Id="rId231" Type="http://schemas.openxmlformats.org/officeDocument/2006/relationships/hyperlink" Target="https://drive.google.com/file/d/1WdXq4qVghFHhOOXdzWT3tTwkEj9PLvoF/view?usp=drive_link" TargetMode="External"/><Relationship Id="rId1062" Type="http://schemas.openxmlformats.org/officeDocument/2006/relationships/hyperlink" Target="https://drive.google.com/open?id=1QlC_-KqnybciQS7i_1fG9td3lKPPesJt&amp;usp=drive_copy" TargetMode="External"/><Relationship Id="rId230" Type="http://schemas.openxmlformats.org/officeDocument/2006/relationships/hyperlink" Target="https://drive.google.com/file/d/1tWSwQSl2qwI7Foy7_SlT-va7JgYgeRqw/view?usp=drive_link" TargetMode="External"/><Relationship Id="rId1063" Type="http://schemas.openxmlformats.org/officeDocument/2006/relationships/hyperlink" Target="https://drive.google.com/open?id=1I7C9oXlFzqnYQUQvaBgvNABgVfM06z9i&amp;usp=drive_copy" TargetMode="External"/><Relationship Id="rId1064" Type="http://schemas.openxmlformats.org/officeDocument/2006/relationships/hyperlink" Target="https://drive.google.com/open?id=1ARXaWnnLTw385lWU--yLUJ1mjCsZ1QWf&amp;usp=drive_copy" TargetMode="External"/><Relationship Id="rId1065" Type="http://schemas.openxmlformats.org/officeDocument/2006/relationships/hyperlink" Target="https://drive.google.com/open?id=1DJKj9FVjBNsV765ZIZOvsEGs0Bwv1Odf&amp;usp=drive_copy" TargetMode="External"/><Relationship Id="rId235" Type="http://schemas.openxmlformats.org/officeDocument/2006/relationships/hyperlink" Target="https://drive.google.com/open?id=1xS-tzgLMQYxC3ht3dj881cj3xWBBT35n&amp;usp=drive_copy" TargetMode="External"/><Relationship Id="rId1066" Type="http://schemas.openxmlformats.org/officeDocument/2006/relationships/hyperlink" Target="https://drive.google.com/open?id=1izY2w3MGiEVtrG7NPxU8Oon4aDlE9EuO&amp;usp=drive_copy" TargetMode="External"/><Relationship Id="rId234" Type="http://schemas.openxmlformats.org/officeDocument/2006/relationships/hyperlink" Target="https://drive.google.com/open?id=171_HyzkEmufnux73EPZnnkv2ZsGEkyys&amp;usp=drive_copy" TargetMode="External"/><Relationship Id="rId1067" Type="http://schemas.openxmlformats.org/officeDocument/2006/relationships/hyperlink" Target="https://drive.google.com/open?id=1sVkBOD-btesmS9k6pOXMb4nHF80zqYh3&amp;usp=drive_copy" TargetMode="External"/><Relationship Id="rId233" Type="http://schemas.openxmlformats.org/officeDocument/2006/relationships/hyperlink" Target="https://drive.google.com/file/d/1JcYAk2ozrXJkQkCZx2MJOvN1Jr_O7ArP/view?usp=drive_link" TargetMode="External"/><Relationship Id="rId1068" Type="http://schemas.openxmlformats.org/officeDocument/2006/relationships/hyperlink" Target="https://drive.google.com/open?id=1EG5z8YhGFIbZSqRtr3SsYzY0SBBLDTw0&amp;usp=drive_copy" TargetMode="External"/><Relationship Id="rId232" Type="http://schemas.openxmlformats.org/officeDocument/2006/relationships/hyperlink" Target="https://drive.google.com/open?id=1D_40LsXrN7GvJBO6qezt6Hfhc5Zks9_s&amp;usp=drive_copy" TargetMode="External"/><Relationship Id="rId1069" Type="http://schemas.openxmlformats.org/officeDocument/2006/relationships/hyperlink" Target="https://drive.google.com/open?id=1pQsd_ALjM_NR3bsn6_sVA4h-UBXy3pTN&amp;usp=drive_copy" TargetMode="External"/><Relationship Id="rId1015" Type="http://schemas.openxmlformats.org/officeDocument/2006/relationships/hyperlink" Target="https://drive.google.com/open?id=1hkmDFzszi3GO51Cwg9m_lUiTf4JGYBwl&amp;usp=drive_copy" TargetMode="External"/><Relationship Id="rId1499" Type="http://schemas.openxmlformats.org/officeDocument/2006/relationships/hyperlink" Target="https://drive.google.com/open?id=1KnKaPekhpUTgFHY88v0k2c3J7w20qLq7&amp;usp=drive_copy" TargetMode="External"/><Relationship Id="rId1016" Type="http://schemas.openxmlformats.org/officeDocument/2006/relationships/hyperlink" Target="https://drive.google.com/open?id=1CttUavE0NlHIR7fIeJoJrb1raFbldG69&amp;usp=drive_copy" TargetMode="External"/><Relationship Id="rId1017" Type="http://schemas.openxmlformats.org/officeDocument/2006/relationships/hyperlink" Target="https://drive.google.com/open?id=19jQfiM6WDck7kVnvmUpmIIDVs9Vjdj2B&amp;usp=drive_copy" TargetMode="External"/><Relationship Id="rId1018" Type="http://schemas.openxmlformats.org/officeDocument/2006/relationships/hyperlink" Target="https://drive.google.com/open?id=1QG0d9ogXtM-8kXiS97xDhWadwodbmPYT&amp;usp=drive_copy" TargetMode="External"/><Relationship Id="rId1019" Type="http://schemas.openxmlformats.org/officeDocument/2006/relationships/hyperlink" Target="https://drive.google.com/open?id=14RocEtsqW9M-CD9KAhFca0raDg_CElUj&amp;usp=drive_copy" TargetMode="External"/><Relationship Id="rId668" Type="http://schemas.openxmlformats.org/officeDocument/2006/relationships/hyperlink" Target="https://drive.google.com/open?id=16SNZrrCgSkJDkNHZcx5D7YKSIJ_or7-S&amp;usp=drive_copy" TargetMode="External"/><Relationship Id="rId667" Type="http://schemas.openxmlformats.org/officeDocument/2006/relationships/hyperlink" Target="https://drive.google.com/open?id=1KSOkLVQk9SywZtRGU9pkSvwf2-7-qrzC&amp;usp=drive_copy" TargetMode="External"/><Relationship Id="rId666" Type="http://schemas.openxmlformats.org/officeDocument/2006/relationships/hyperlink" Target="https://drive.google.com/open?id=1xN_VDNVlH-YXbuWuWpVTfvx0z-YBYq19&amp;usp=drive_copy" TargetMode="External"/><Relationship Id="rId665" Type="http://schemas.openxmlformats.org/officeDocument/2006/relationships/hyperlink" Target="https://drive.google.com/open?id=12Z3peZdkLjIABe1OV2dPZhc_YeVQ8P_2&amp;usp=drive_copy" TargetMode="External"/><Relationship Id="rId669" Type="http://schemas.openxmlformats.org/officeDocument/2006/relationships/hyperlink" Target="https://drive.google.com/open?id=1qZ3o8KjZ55T-_iFCn1rAtr_LaxJU62Ta&amp;usp=drive_copy" TargetMode="External"/><Relationship Id="rId1490" Type="http://schemas.openxmlformats.org/officeDocument/2006/relationships/hyperlink" Target="https://drive.google.com/open?id=1o10rqoCr7K7J8_9vTbtymBfRglnI7jG5&amp;usp=drive_copy" TargetMode="External"/><Relationship Id="rId660" Type="http://schemas.openxmlformats.org/officeDocument/2006/relationships/hyperlink" Target="https://drive.google.com/open?id=16ErkThlVR9iIrotvpUnamdLytgM_WvmV&amp;usp=drive_copy" TargetMode="External"/><Relationship Id="rId1491" Type="http://schemas.openxmlformats.org/officeDocument/2006/relationships/hyperlink" Target="https://drive.google.com/open?id=1dKYV8pLPmujgEbg4pn4RffDWiqIVRlJ6&amp;usp=drive_copy" TargetMode="External"/><Relationship Id="rId1492" Type="http://schemas.openxmlformats.org/officeDocument/2006/relationships/hyperlink" Target="https://drive.google.com/open?id=1zrrM8nBef69w-Z0Mu-WKvei3IlliSQIF&amp;usp=drive_copy" TargetMode="External"/><Relationship Id="rId1493" Type="http://schemas.openxmlformats.org/officeDocument/2006/relationships/hyperlink" Target="https://drive.google.com/open?id=1yD8UAstz9xLY40IzDpC9-tYPlKuRwGMC&amp;usp=drive_copy" TargetMode="External"/><Relationship Id="rId1010" Type="http://schemas.openxmlformats.org/officeDocument/2006/relationships/hyperlink" Target="https://drive.google.com/open?id=1qO7eCDICP-kZ-OZbiJeOmYIQKPDvM7hG&amp;usp=drive_copy" TargetMode="External"/><Relationship Id="rId1494" Type="http://schemas.openxmlformats.org/officeDocument/2006/relationships/hyperlink" Target="https://drive.google.com/open?id=1VthfAl1xhNfDiO9HaqRyLWV3lbp1M_lQ&amp;usp=drive_copy" TargetMode="External"/><Relationship Id="rId664" Type="http://schemas.openxmlformats.org/officeDocument/2006/relationships/hyperlink" Target="https://drive.google.com/open?id=17Zdx9t18uZ9S_fZZ_NvbkiWPbLvhUtSo&amp;usp=drive_copy" TargetMode="External"/><Relationship Id="rId1011" Type="http://schemas.openxmlformats.org/officeDocument/2006/relationships/hyperlink" Target="https://drive.google.com/open?id=1xcmgl6YzyZOftKZZgMBLkIZcdjqL45U8&amp;usp=drive_copy" TargetMode="External"/><Relationship Id="rId1495" Type="http://schemas.openxmlformats.org/officeDocument/2006/relationships/hyperlink" Target="https://drive.google.com/open?id=1L56VwlDSGrhEgEfd4U1wIPjYgVUJvykJ&amp;usp=drive_copy" TargetMode="External"/><Relationship Id="rId663" Type="http://schemas.openxmlformats.org/officeDocument/2006/relationships/hyperlink" Target="https://drive.google.com/open?id=16LjcB8NZHRVetLMJc1fkByb0JkMMNsQM&amp;usp=drive_copy" TargetMode="External"/><Relationship Id="rId1012" Type="http://schemas.openxmlformats.org/officeDocument/2006/relationships/hyperlink" Target="https://drive.google.com/open?id=16MieqSc2fFgfIdBGk1hpoa1Cw8E3wzcQ&amp;usp=drive_copy" TargetMode="External"/><Relationship Id="rId1496" Type="http://schemas.openxmlformats.org/officeDocument/2006/relationships/hyperlink" Target="https://drive.google.com/open?id=1geB8SutdflRuKT98LdwupwXG9Px_NIJF&amp;usp=drive_copy" TargetMode="External"/><Relationship Id="rId662" Type="http://schemas.openxmlformats.org/officeDocument/2006/relationships/hyperlink" Target="https://drive.google.com/open?id=1SqWZJWFkStEn0-HngAbz7Jdw2m2xixl2&amp;usp=drive_copy" TargetMode="External"/><Relationship Id="rId1013" Type="http://schemas.openxmlformats.org/officeDocument/2006/relationships/hyperlink" Target="https://drive.google.com/open?id=1-2PKbAsjo5z8tHWU-GqaqbFP_c9yPh4y&amp;usp=drive_copy" TargetMode="External"/><Relationship Id="rId1497" Type="http://schemas.openxmlformats.org/officeDocument/2006/relationships/hyperlink" Target="https://drive.google.com/open?id=1rZn8Hab_cshOISziVZHbQ1Fzn5FFou3V&amp;usp=drive_copy" TargetMode="External"/><Relationship Id="rId661" Type="http://schemas.openxmlformats.org/officeDocument/2006/relationships/hyperlink" Target="https://drive.google.com/open?id=1brNpZAHPwpWJidya8CBaONghDZ-J2LCN&amp;usp=drive_copy" TargetMode="External"/><Relationship Id="rId1014" Type="http://schemas.openxmlformats.org/officeDocument/2006/relationships/hyperlink" Target="https://drive.google.com/open?id=1KNqlVDqAf3Ekj3eThN0GglTYOi-enBbZ&amp;usp=drive_copy" TargetMode="External"/><Relationship Id="rId1498" Type="http://schemas.openxmlformats.org/officeDocument/2006/relationships/hyperlink" Target="https://drive.google.com/open?id=14JpdfTVU4YuG-qejp3lHNWlsqlIef1Rs&amp;usp=drive_copy" TargetMode="External"/><Relationship Id="rId1004" Type="http://schemas.openxmlformats.org/officeDocument/2006/relationships/hyperlink" Target="https://drive.google.com/open?id=1q74qerYT_tlWGA_GXT1QSGLPJrDFGyXZ&amp;usp=drive_copy" TargetMode="External"/><Relationship Id="rId1488" Type="http://schemas.openxmlformats.org/officeDocument/2006/relationships/hyperlink" Target="https://drive.google.com/open?id=1qwpPVt15wcAi7gUP4_S72B7whXXaEcu7&amp;usp=drive_copy" TargetMode="External"/><Relationship Id="rId1005" Type="http://schemas.openxmlformats.org/officeDocument/2006/relationships/hyperlink" Target="https://drive.google.com/open?id=1Zw5RxfOubdAGJjTxAkjoDD9zs_w3KsSc&amp;usp=drive_copy" TargetMode="External"/><Relationship Id="rId1489" Type="http://schemas.openxmlformats.org/officeDocument/2006/relationships/hyperlink" Target="https://drive.google.com/open?id=1B2xE_7cdMVLKyzYzq5553G4FWo7wAjdG&amp;usp=drive_copy" TargetMode="External"/><Relationship Id="rId1006" Type="http://schemas.openxmlformats.org/officeDocument/2006/relationships/hyperlink" Target="https://drive.google.com/open?id=193q7_9Y6zgauWiyx_w0mjQW39Yx_qZZc&amp;usp=drive_copy" TargetMode="External"/><Relationship Id="rId1007" Type="http://schemas.openxmlformats.org/officeDocument/2006/relationships/hyperlink" Target="https://drive.google.com/open?id=1YSgHutDTk0hQlqUxdSkltnGWG0ZEYtze&amp;usp=drive_copy" TargetMode="External"/><Relationship Id="rId1008" Type="http://schemas.openxmlformats.org/officeDocument/2006/relationships/hyperlink" Target="https://drive.google.com/open?id=1F6flCD4UX0-jFBKfRsZS35ziA1J-0sBA&amp;usp=drive_copy" TargetMode="External"/><Relationship Id="rId1009" Type="http://schemas.openxmlformats.org/officeDocument/2006/relationships/hyperlink" Target="https://drive.google.com/open?id=1LSrF9AufYOQRPe-9wsj3XuhBtDRv5hG4&amp;usp=drive_copy" TargetMode="External"/><Relationship Id="rId657" Type="http://schemas.openxmlformats.org/officeDocument/2006/relationships/hyperlink" Target="https://drive.google.com/open?id=1WC4cF6IluBbKeGayRCe9Xs5IXXb35GZ3&amp;usp=drive_copy" TargetMode="External"/><Relationship Id="rId656" Type="http://schemas.openxmlformats.org/officeDocument/2006/relationships/hyperlink" Target="https://drive.google.com/open?id=1I5S8WIV140ssx5SwmRvZRdm83OC6pSvV&amp;usp=drive_copy" TargetMode="External"/><Relationship Id="rId655" Type="http://schemas.openxmlformats.org/officeDocument/2006/relationships/hyperlink" Target="https://drive.google.com/open?id=1d-aiY7JJFLXLFv1VhvHKkAIUHvffrUsx&amp;usp=drive_copy" TargetMode="External"/><Relationship Id="rId654" Type="http://schemas.openxmlformats.org/officeDocument/2006/relationships/hyperlink" Target="https://drive.google.com/open?id=1HBpc6htrBTRaX9DI2GUlCJItA2vUcrWi&amp;usp=drive_copy" TargetMode="External"/><Relationship Id="rId659" Type="http://schemas.openxmlformats.org/officeDocument/2006/relationships/hyperlink" Target="https://drive.google.com/open?id=1xm0TL-__afWwggKw5Q-iDFKq10y_z-zB&amp;usp=drive_copy" TargetMode="External"/><Relationship Id="rId658" Type="http://schemas.openxmlformats.org/officeDocument/2006/relationships/hyperlink" Target="https://drive.google.com/open?id=1rw0lsQZnjuxRfEq_62MwRsArE_I7gai6&amp;usp=drive_copy" TargetMode="External"/><Relationship Id="rId1480" Type="http://schemas.openxmlformats.org/officeDocument/2006/relationships/hyperlink" Target="https://drive.google.com/open?id=1hzg3ae9-Hh6lapCEHeiRpptMXMR3UY0c&amp;usp=drive_copy" TargetMode="External"/><Relationship Id="rId1481" Type="http://schemas.openxmlformats.org/officeDocument/2006/relationships/hyperlink" Target="https://drive.google.com/open?id=1njx9k4ItbvIft-uQooQ1TB--TAzQp-Q1&amp;usp=drive_copy" TargetMode="External"/><Relationship Id="rId1482" Type="http://schemas.openxmlformats.org/officeDocument/2006/relationships/hyperlink" Target="https://drive.google.com/open?id=1orxV7lvMRLje-fUTmroeYLlEesSnNiEq&amp;usp=drive_copy" TargetMode="External"/><Relationship Id="rId1483" Type="http://schemas.openxmlformats.org/officeDocument/2006/relationships/hyperlink" Target="https://drive.google.com/open?id=1TElXpnhmwfnAmuTdprl85eh6PEH5B6jk&amp;usp=drive_copy" TargetMode="External"/><Relationship Id="rId653" Type="http://schemas.openxmlformats.org/officeDocument/2006/relationships/hyperlink" Target="https://drive.google.com/open?id=1UhFjWn8DigWSqebrraLRkbVBUuXTXqTy&amp;usp=drive_copy" TargetMode="External"/><Relationship Id="rId1000" Type="http://schemas.openxmlformats.org/officeDocument/2006/relationships/hyperlink" Target="https://drive.google.com/open?id=1cwzPghwz9BJCj39IC46KJvTQVpzGY81w&amp;usp=drive_copy" TargetMode="External"/><Relationship Id="rId1484" Type="http://schemas.openxmlformats.org/officeDocument/2006/relationships/hyperlink" Target="https://drive.google.com/open?id=1t6LXnnxee6ROfJvh4p7H4hzGC6Tm48pV&amp;usp=drive_copy" TargetMode="External"/><Relationship Id="rId652" Type="http://schemas.openxmlformats.org/officeDocument/2006/relationships/hyperlink" Target="https://drive.google.com/open?id=1cqx6zo6tjj8S9sPkSxItZl3mzrkM2z7x&amp;usp=drive_copy" TargetMode="External"/><Relationship Id="rId1001" Type="http://schemas.openxmlformats.org/officeDocument/2006/relationships/hyperlink" Target="https://drive.google.com/open?id=19yUaiPeHdDC-gGvAZlSrUxoU2fR70Rbl&amp;usp=drive_copy" TargetMode="External"/><Relationship Id="rId1485" Type="http://schemas.openxmlformats.org/officeDocument/2006/relationships/hyperlink" Target="https://drive.google.com/open?id=14uh28VCOj656GKWz6drBIi_8fKHkmPI5&amp;usp=drive_copy" TargetMode="External"/><Relationship Id="rId651" Type="http://schemas.openxmlformats.org/officeDocument/2006/relationships/hyperlink" Target="https://drive.google.com/open?id=1hg8_8ZRuC3cY2L4Bf87S4ah4dy-fzy3Y&amp;usp=drive_copy" TargetMode="External"/><Relationship Id="rId1002" Type="http://schemas.openxmlformats.org/officeDocument/2006/relationships/hyperlink" Target="https://drive.google.com/open?id=1qTa_8yGEEjeKft5WRnR98XbiuPLVDf1P&amp;usp=drive_copy" TargetMode="External"/><Relationship Id="rId1486" Type="http://schemas.openxmlformats.org/officeDocument/2006/relationships/hyperlink" Target="https://drive.google.com/open?id=1HEOfnkar51aASwLtM3omTk6McWoTK5zG&amp;usp=drive_copy" TargetMode="External"/><Relationship Id="rId650" Type="http://schemas.openxmlformats.org/officeDocument/2006/relationships/hyperlink" Target="https://drive.google.com/open?id=1IfbOq-2eG2rVCroFtFMg7rAE_FlYXOIa&amp;usp=drive_copy" TargetMode="External"/><Relationship Id="rId1003" Type="http://schemas.openxmlformats.org/officeDocument/2006/relationships/hyperlink" Target="https://drive.google.com/open?id=1NcjSTJWxFu_x0zhgMaXNVvicvq-OSjcN&amp;usp=drive_copy" TargetMode="External"/><Relationship Id="rId1487" Type="http://schemas.openxmlformats.org/officeDocument/2006/relationships/hyperlink" Target="https://drive.google.com/open?id=1T-uRRERhpUUbEv507GqaPMzWB4JLpoGv&amp;usp=drive_copy" TargetMode="External"/><Relationship Id="rId1037" Type="http://schemas.openxmlformats.org/officeDocument/2006/relationships/hyperlink" Target="https://drive.google.com/open?id=186FKvPs6ssn7aFWUdkhT6k70tgfZiAQg&amp;usp=drive_copy" TargetMode="External"/><Relationship Id="rId1038" Type="http://schemas.openxmlformats.org/officeDocument/2006/relationships/hyperlink" Target="https://drive.google.com/open?id=1XAn2uzzfyfbmAIzEbzIPYsyq6szxZBO5&amp;usp=drive_copy" TargetMode="External"/><Relationship Id="rId1039" Type="http://schemas.openxmlformats.org/officeDocument/2006/relationships/hyperlink" Target="https://drive.google.com/open?id=1FtqCoIdI9DulcXxfNp4HzL233j0nJw7O&amp;usp=drive_copy" TargetMode="External"/><Relationship Id="rId206" Type="http://schemas.openxmlformats.org/officeDocument/2006/relationships/hyperlink" Target="https://drive.google.com/open?id=1IRkZQGjmQta5zJM28K-2Y20bi15J2x_Q&amp;usp=drive_copy" TargetMode="External"/><Relationship Id="rId205" Type="http://schemas.openxmlformats.org/officeDocument/2006/relationships/hyperlink" Target="https://drive.google.com/open?id=1pShkihvmG1XYskB2YRSiZGovp1s5uSYN&amp;usp=drive_copy" TargetMode="External"/><Relationship Id="rId689" Type="http://schemas.openxmlformats.org/officeDocument/2006/relationships/hyperlink" Target="https://drive.google.com/open?id=1syQSdLKTSvP3pMnAUBL0YmBH0gIyYQlC&amp;usp=drive_copy" TargetMode="External"/><Relationship Id="rId204" Type="http://schemas.openxmlformats.org/officeDocument/2006/relationships/hyperlink" Target="https://drive.google.com/open?id=1PB6kaWtWucWT_mnwBzJL1T8z6kuidsiF&amp;usp=drive_copy" TargetMode="External"/><Relationship Id="rId688" Type="http://schemas.openxmlformats.org/officeDocument/2006/relationships/hyperlink" Target="https://drive.google.com/open?id=1i3tpBeJ6SraocNN6lLvGGlVFIKK6Jzcy&amp;usp=drive_copy" TargetMode="External"/><Relationship Id="rId203" Type="http://schemas.openxmlformats.org/officeDocument/2006/relationships/hyperlink" Target="https://drive.google.com/open?id=1uenleBuit5jrRNcD1hMRPW06DN37VMyg&amp;usp=drive_copy" TargetMode="External"/><Relationship Id="rId687" Type="http://schemas.openxmlformats.org/officeDocument/2006/relationships/hyperlink" Target="https://drive.google.com/open?id=1kKRjSA2ZqKJT5aeWKYMitjTmBqRkJnM_&amp;usp=drive_copy" TargetMode="External"/><Relationship Id="rId209" Type="http://schemas.openxmlformats.org/officeDocument/2006/relationships/hyperlink" Target="https://drive.google.com/open?id=1Y1TbNnfLPAPJjhy6lM_IjjfCBcUjOM8Q&amp;usp=drive_copy" TargetMode="External"/><Relationship Id="rId208" Type="http://schemas.openxmlformats.org/officeDocument/2006/relationships/hyperlink" Target="https://drive.google.com/open?id=1UzmbATndKWnDK9W3lGvit1GfeUh-B6Ui&amp;usp=drive_copy" TargetMode="External"/><Relationship Id="rId207" Type="http://schemas.openxmlformats.org/officeDocument/2006/relationships/hyperlink" Target="https://drive.google.com/open?id=1Q09cfVfADQ9W6hAVd9O-dwuCdpB0Y4LX&amp;usp=drive_copy" TargetMode="External"/><Relationship Id="rId682" Type="http://schemas.openxmlformats.org/officeDocument/2006/relationships/hyperlink" Target="https://drive.google.com/open?id=1lN0pcH3i8d2JeM0nlmsVQhhu_dKLtK6l&amp;usp=drive_copy" TargetMode="External"/><Relationship Id="rId681" Type="http://schemas.openxmlformats.org/officeDocument/2006/relationships/hyperlink" Target="https://drive.google.com/open?id=1pPQqLVf2gON9dQ-Rs_DaRojJ50SN5K9R&amp;usp=drive_copy" TargetMode="External"/><Relationship Id="rId1030" Type="http://schemas.openxmlformats.org/officeDocument/2006/relationships/hyperlink" Target="https://drive.google.com/open?id=1w8WTc58j5oNVSXnK0w4eTldY1oXfzCAS&amp;usp=drive_copy" TargetMode="External"/><Relationship Id="rId680" Type="http://schemas.openxmlformats.org/officeDocument/2006/relationships/hyperlink" Target="https://drive.google.com/open?id=1Ku8xtaxtHkQxdWGUnXRS0DcyD6PzqfJj&amp;usp=drive_copy" TargetMode="External"/><Relationship Id="rId1031" Type="http://schemas.openxmlformats.org/officeDocument/2006/relationships/hyperlink" Target="https://drive.google.com/open?id=1JsLaeWooc968nHu0oFjLKZZ8EVpvefDH&amp;usp=drive_copy" TargetMode="External"/><Relationship Id="rId1032" Type="http://schemas.openxmlformats.org/officeDocument/2006/relationships/hyperlink" Target="https://drive.google.com/open?id=1eZnQZyZ7ESx2ugZu9SU78gWu2fcAfUQr&amp;usp=drive_copy" TargetMode="External"/><Relationship Id="rId202" Type="http://schemas.openxmlformats.org/officeDocument/2006/relationships/hyperlink" Target="https://drive.google.com/file/d/1bq_udMdW_DYff2zXau2b9HTRN8wKmTEh/view?usp=drive_link" TargetMode="External"/><Relationship Id="rId686" Type="http://schemas.openxmlformats.org/officeDocument/2006/relationships/hyperlink" Target="https://drive.google.com/open?id=1SeJjFAKglsHpwIUM5XFmHg8OsqJMxrXK&amp;usp=drive_copy" TargetMode="External"/><Relationship Id="rId1033" Type="http://schemas.openxmlformats.org/officeDocument/2006/relationships/hyperlink" Target="https://drive.google.com/open?id=1dHoxzlNhmsTr6ta195Gk1DFLme3c77sg&amp;usp=drive_copy" TargetMode="External"/><Relationship Id="rId201" Type="http://schemas.openxmlformats.org/officeDocument/2006/relationships/hyperlink" Target="https://drive.google.com/open?id=1u3dtZJcogXWmVxb774YradjXHK2jOUbr&amp;usp=drive_copy" TargetMode="External"/><Relationship Id="rId685" Type="http://schemas.openxmlformats.org/officeDocument/2006/relationships/hyperlink" Target="https://drive.google.com/open?id=1qarOd543pKyOg08aCzwIinc9c24I-bqZ&amp;usp=drive_copy" TargetMode="External"/><Relationship Id="rId1034" Type="http://schemas.openxmlformats.org/officeDocument/2006/relationships/hyperlink" Target="https://drive.google.com/open?id=1vvdManpTRsAKLCvIXWDU0pfpt9C0ssIV&amp;usp=drive_copy" TargetMode="External"/><Relationship Id="rId200" Type="http://schemas.openxmlformats.org/officeDocument/2006/relationships/hyperlink" Target="https://drive.google.com/open?id=1xp9yQqQJDW205ANor7d_1ZPAfOyGWLRv&amp;usp=drive_copy" TargetMode="External"/><Relationship Id="rId684" Type="http://schemas.openxmlformats.org/officeDocument/2006/relationships/hyperlink" Target="https://drive.google.com/open?id=13HWCADf2iBlE2QlbI0he-m54eCLYyg0F&amp;usp=drive_copy" TargetMode="External"/><Relationship Id="rId1035" Type="http://schemas.openxmlformats.org/officeDocument/2006/relationships/hyperlink" Target="https://drive.google.com/open?id=1rBe2F4LUGEtZuGR45HYZEiDWQS9Sz3Q8&amp;usp=drive_copy" TargetMode="External"/><Relationship Id="rId683" Type="http://schemas.openxmlformats.org/officeDocument/2006/relationships/hyperlink" Target="https://drive.google.com/open?id=1G6mrmbI6OcR2F6l7JHxhwp5MHDB6nc5F&amp;usp=drive_copy" TargetMode="External"/><Relationship Id="rId1036" Type="http://schemas.openxmlformats.org/officeDocument/2006/relationships/hyperlink" Target="https://drive.google.com/open?id=1eUSIkt2BRFnFSYbQo_hCwfDWXhxuKDM7&amp;usp=drive_copy" TargetMode="External"/><Relationship Id="rId1026" Type="http://schemas.openxmlformats.org/officeDocument/2006/relationships/hyperlink" Target="https://drive.google.com/open?id=1wRnrw1PKWgbu1CV_JUC2xPA69tDe0QsY&amp;usp=drive_copy" TargetMode="External"/><Relationship Id="rId1027" Type="http://schemas.openxmlformats.org/officeDocument/2006/relationships/hyperlink" Target="https://drive.google.com/open?id=1-PKG0718J-XyftogbQVa3Cf893gZeT5K&amp;usp=drive_copy" TargetMode="External"/><Relationship Id="rId1028" Type="http://schemas.openxmlformats.org/officeDocument/2006/relationships/hyperlink" Target="https://drive.google.com/open?id=118l9jo_QvmaE70PXPdxF7u7TXZfH1zuc&amp;usp=drive_copy" TargetMode="External"/><Relationship Id="rId1029" Type="http://schemas.openxmlformats.org/officeDocument/2006/relationships/hyperlink" Target="https://drive.google.com/open?id=1N80LsE8vCqrWupmVk83RcrkAagM2FoYE&amp;usp=drive_copy" TargetMode="External"/><Relationship Id="rId679" Type="http://schemas.openxmlformats.org/officeDocument/2006/relationships/hyperlink" Target="https://drive.google.com/open?id=1h5UiquNKGUpuYip9qFYou_NR-udjGwe-&amp;usp=drive_copy" TargetMode="External"/><Relationship Id="rId678" Type="http://schemas.openxmlformats.org/officeDocument/2006/relationships/hyperlink" Target="https://drive.google.com/open?id=1c7Nj56PawPAWRTZViP97xBBZMeMmzlbE&amp;usp=drive_copy" TargetMode="External"/><Relationship Id="rId677" Type="http://schemas.openxmlformats.org/officeDocument/2006/relationships/hyperlink" Target="https://drive.google.com/open?id=1qdaCiF9HJh7cf065rb3BxzTbYvuQBOiM&amp;usp=drive_copy" TargetMode="External"/><Relationship Id="rId676" Type="http://schemas.openxmlformats.org/officeDocument/2006/relationships/hyperlink" Target="https://drive.google.com/open?id=1I-Jlt4IpHSliUDVV1QDDFyiN0kFoTbYz&amp;usp=drive_copy" TargetMode="External"/><Relationship Id="rId671" Type="http://schemas.openxmlformats.org/officeDocument/2006/relationships/hyperlink" Target="https://drive.google.com/open?id=1Uu_QQ6oGmMlJwBpJCK5CNKMVl2fpgFJh&amp;usp=drive_copy" TargetMode="External"/><Relationship Id="rId670" Type="http://schemas.openxmlformats.org/officeDocument/2006/relationships/hyperlink" Target="https://drive.google.com/open?id=1Qg8CxZ5SoPBnhS8E-FwuDnATc4JHWjvV&amp;usp=drive_copy" TargetMode="External"/><Relationship Id="rId1020" Type="http://schemas.openxmlformats.org/officeDocument/2006/relationships/hyperlink" Target="https://drive.google.com/open?id=1M_8s6Z0Hq6ylBOxEqq3o18CcP4H7LOmF&amp;usp=drive_copy" TargetMode="External"/><Relationship Id="rId1021" Type="http://schemas.openxmlformats.org/officeDocument/2006/relationships/hyperlink" Target="https://drive.google.com/open?id=1bgADxlIXoNwwqV8mJWey4JX4RpkBR6X9&amp;usp=drive_copy" TargetMode="External"/><Relationship Id="rId675" Type="http://schemas.openxmlformats.org/officeDocument/2006/relationships/hyperlink" Target="https://drive.google.com/open?id=1jDW8AyqHv3CpjvVSEasC26GvQwe-D9xL&amp;usp=drive_copy" TargetMode="External"/><Relationship Id="rId1022" Type="http://schemas.openxmlformats.org/officeDocument/2006/relationships/hyperlink" Target="https://drive.google.com/open?id=1DuJ49MJsGFnOoErA4ltnm_Y4iflwtqOa&amp;usp=drive_copy" TargetMode="External"/><Relationship Id="rId674" Type="http://schemas.openxmlformats.org/officeDocument/2006/relationships/hyperlink" Target="https://drive.google.com/open?id=1Kn1KAIhxdmp1_MgPntDld4KELlX-js3t&amp;usp=drive_copy" TargetMode="External"/><Relationship Id="rId1023" Type="http://schemas.openxmlformats.org/officeDocument/2006/relationships/hyperlink" Target="https://drive.google.com/open?id=1C1nqg2oamOpMIsBN2L7fGm0Q5_FCAByy&amp;usp=drive_copy" TargetMode="External"/><Relationship Id="rId673" Type="http://schemas.openxmlformats.org/officeDocument/2006/relationships/hyperlink" Target="https://drive.google.com/open?id=1s0Ra44eSIFmb171C1Gxj-NpOJifHkRJH&amp;usp=drive_copy" TargetMode="External"/><Relationship Id="rId1024" Type="http://schemas.openxmlformats.org/officeDocument/2006/relationships/hyperlink" Target="https://drive.google.com/open?id=1MYd3uKfTzqdl3NmFFya9XAl16S8W7dMU&amp;usp=drive_copy" TargetMode="External"/><Relationship Id="rId672" Type="http://schemas.openxmlformats.org/officeDocument/2006/relationships/hyperlink" Target="https://drive.google.com/open?id=1GNz7BJlWwhoBOybU4LsgJWWfvR-H2SDK&amp;usp=drive_copy" TargetMode="External"/><Relationship Id="rId1025" Type="http://schemas.openxmlformats.org/officeDocument/2006/relationships/hyperlink" Target="https://drive.google.com/open?id=1w9y-E3UTjyU4qQiIx48jclbdgkLlXDIc&amp;usp=drive_copy" TargetMode="External"/><Relationship Id="rId190" Type="http://schemas.openxmlformats.org/officeDocument/2006/relationships/hyperlink" Target="https://drive.google.com/open?id=1xmGP8sm7bwmISKvmffCpW6ZW8WYR1kkg&amp;usp=drive_copy" TargetMode="External"/><Relationship Id="rId194" Type="http://schemas.openxmlformats.org/officeDocument/2006/relationships/hyperlink" Target="https://drive.google.com/file/d/123FSAOtmTdhZMRGrA_0qYNKduWGWfwwB/view?usp=drive_link" TargetMode="External"/><Relationship Id="rId193" Type="http://schemas.openxmlformats.org/officeDocument/2006/relationships/hyperlink" Target="https://drive.google.com/file/d/1LOP2lUcQfhRJQWcUHxk8CbvRasf_qkPj/view?usp=drive_link" TargetMode="External"/><Relationship Id="rId192" Type="http://schemas.openxmlformats.org/officeDocument/2006/relationships/hyperlink" Target="https://drive.google.com/open?id=1iduMibVNnvPh22KcmaTvN3phz51-xRs1&amp;usp=drive_copy" TargetMode="External"/><Relationship Id="rId191" Type="http://schemas.openxmlformats.org/officeDocument/2006/relationships/hyperlink" Target="https://drive.google.com/open?id=1-iE7-zm6yKW6zhEucgBa7_3LdUPfxOJb&amp;usp=drive_copy" TargetMode="External"/><Relationship Id="rId187" Type="http://schemas.openxmlformats.org/officeDocument/2006/relationships/hyperlink" Target="https://drive.google.com/open?id=1_qcbfhCXReMqSPGx9TUzwnkII0XgTyJf&amp;usp=drive_copy" TargetMode="External"/><Relationship Id="rId186" Type="http://schemas.openxmlformats.org/officeDocument/2006/relationships/hyperlink" Target="https://drive.google.com/open?id=1FFz384u_vlUUM_HxPsHOLDPdfSvRNw7b&amp;usp=drive_copy" TargetMode="External"/><Relationship Id="rId185" Type="http://schemas.openxmlformats.org/officeDocument/2006/relationships/hyperlink" Target="https://drive.google.com/open?id=1OGc5wkuDdNJunvm-Z_eC0ZMiYlT_NRWG&amp;usp=drive_copy" TargetMode="External"/><Relationship Id="rId184" Type="http://schemas.openxmlformats.org/officeDocument/2006/relationships/hyperlink" Target="https://drive.google.com/file/d/1ysV_Z4-OIHOVaGRO7VP3vKEDitzEkGhb/view?usp=drive_link" TargetMode="External"/><Relationship Id="rId189" Type="http://schemas.openxmlformats.org/officeDocument/2006/relationships/hyperlink" Target="https://drive.google.com/open?id=1tiluRMU09d0knqwIOej-gf-d6PWP0Km0&amp;usp=drive_copy" TargetMode="External"/><Relationship Id="rId188" Type="http://schemas.openxmlformats.org/officeDocument/2006/relationships/hyperlink" Target="https://drive.google.com/open?id=1Y6KyH3dQiOd8SbiWdHFY7Hhb-b5v7lAY&amp;usp=drive_copy" TargetMode="External"/><Relationship Id="rId183" Type="http://schemas.openxmlformats.org/officeDocument/2006/relationships/hyperlink" Target="https://drive.google.com/open?id=12cUxo2iHSTmyclz3f5xhWXBOUIMAbMOj&amp;usp=drive_copy" TargetMode="External"/><Relationship Id="rId182" Type="http://schemas.openxmlformats.org/officeDocument/2006/relationships/hyperlink" Target="https://drive.google.com/open?id=1ZhnzVBwjtZQq37dazM1N7MiZ5hiecGJm&amp;usp=drive_copy" TargetMode="External"/><Relationship Id="rId181" Type="http://schemas.openxmlformats.org/officeDocument/2006/relationships/hyperlink" Target="https://drive.google.com/open?id=19LIbT7L5C2A3AGUSifnZLVeHI9U7Hkpl&amp;usp=drive_copy" TargetMode="External"/><Relationship Id="rId180" Type="http://schemas.openxmlformats.org/officeDocument/2006/relationships/hyperlink" Target="https://drive.google.com/open?id=1k4p5uuBdKdzaXzs22COWSz2-M5QaX1qu&amp;usp=drive_copy" TargetMode="External"/><Relationship Id="rId176" Type="http://schemas.openxmlformats.org/officeDocument/2006/relationships/hyperlink" Target="https://drive.google.com/file/d/1aV6bfO_DE6vSiLHWiIO0AJzQsMoDdFoW/view?usp=drive_link" TargetMode="External"/><Relationship Id="rId175" Type="http://schemas.openxmlformats.org/officeDocument/2006/relationships/hyperlink" Target="https://drive.google.com/open?id=1Ut6RW1JmDphMbbuywXOT4qLG7b-q2h0M&amp;usp=drive_copy" TargetMode="External"/><Relationship Id="rId174" Type="http://schemas.openxmlformats.org/officeDocument/2006/relationships/hyperlink" Target="https://drive.google.com/open?id=1196TmMLyU6BSVR-idIczOZhS37kQuoB4&amp;usp=drive_copy" TargetMode="External"/><Relationship Id="rId173" Type="http://schemas.openxmlformats.org/officeDocument/2006/relationships/hyperlink" Target="https://drive.google.com/open?id=1GdikS_dQR983Kr9VE8uAMu4E4qEoMJ1h&amp;usp=drive_copy" TargetMode="External"/><Relationship Id="rId179" Type="http://schemas.openxmlformats.org/officeDocument/2006/relationships/hyperlink" Target="https://drive.google.com/open?id=1biDazHkdIKrLSrjVM6ROlZir5LOJxoaT&amp;usp=drive_copy" TargetMode="External"/><Relationship Id="rId178" Type="http://schemas.openxmlformats.org/officeDocument/2006/relationships/hyperlink" Target="https://drive.google.com/open?id=1Lmz2KUUBgItcIkApJp5-_jp_dnvenGZu&amp;usp=drive_copy" TargetMode="External"/><Relationship Id="rId177" Type="http://schemas.openxmlformats.org/officeDocument/2006/relationships/hyperlink" Target="https://drive.google.com/open?id=1wipXDbeVI9j9f-PgZv0SNJPd2x1yKGG5&amp;usp=drive_copy" TargetMode="External"/><Relationship Id="rId1910" Type="http://schemas.openxmlformats.org/officeDocument/2006/relationships/hyperlink" Target="https://drive.google.com/open?id=1_IfbYRWUIibek58u6JSXb69Hv9ysSkog&amp;usp=drive_copy" TargetMode="External"/><Relationship Id="rId1911" Type="http://schemas.openxmlformats.org/officeDocument/2006/relationships/hyperlink" Target="https://drive.google.com/open?id=1PLz0ekSK9PlM8aUu9IayaEntuwKQ0KPx&amp;usp=drive_copy" TargetMode="External"/><Relationship Id="rId1912" Type="http://schemas.openxmlformats.org/officeDocument/2006/relationships/hyperlink" Target="https://drive.google.com/open?id=1OyuB5on1HERqQDQzqZPiW9Wwv7jlj0MN&amp;usp=drive_copy" TargetMode="External"/><Relationship Id="rId1913" Type="http://schemas.openxmlformats.org/officeDocument/2006/relationships/hyperlink" Target="https://drive.google.com/open?id=1WqTbCpI2M__sDGyQba_Ut1T89bMYrKjH&amp;usp=drive_copy" TargetMode="External"/><Relationship Id="rId1914" Type="http://schemas.openxmlformats.org/officeDocument/2006/relationships/hyperlink" Target="https://drive.google.com/open?id=1EXnJFHWQV_b459I3PTcGltsYmMe8moMo&amp;usp=drive_copy" TargetMode="External"/><Relationship Id="rId1915" Type="http://schemas.openxmlformats.org/officeDocument/2006/relationships/hyperlink" Target="https://drive.google.com/open?id=1FipevpMCt7h0UnReviTMDHMB-fNapiXx&amp;usp=drive_copy" TargetMode="External"/><Relationship Id="rId1916" Type="http://schemas.openxmlformats.org/officeDocument/2006/relationships/hyperlink" Target="https://drive.google.com/open?id=1NBVAvP0jYemJU2z3DaxSOM_IjHZIwNG-&amp;usp=drive_copy" TargetMode="External"/><Relationship Id="rId1917" Type="http://schemas.openxmlformats.org/officeDocument/2006/relationships/hyperlink" Target="https://drive.google.com/open?id=1K9RCbxvA9XlnR1m5TpH-eiErKEaSj0at&amp;usp=drive_copy" TargetMode="External"/><Relationship Id="rId1918" Type="http://schemas.openxmlformats.org/officeDocument/2006/relationships/hyperlink" Target="https://drive.google.com/open?id=1p9-K89fXpnnYiBJwX9FXmyjxEJnPdGOR&amp;usp=drive_copy" TargetMode="External"/><Relationship Id="rId1919" Type="http://schemas.openxmlformats.org/officeDocument/2006/relationships/hyperlink" Target="https://drive.google.com/open?id=1rb7JPb7pg2ETD0cQ1oSlEgVd3oj8Kvt8&amp;usp=drive_copy" TargetMode="External"/><Relationship Id="rId1900" Type="http://schemas.openxmlformats.org/officeDocument/2006/relationships/hyperlink" Target="https://drive.google.com/open?id=1incb9xXVcux9Vec7wgPHeJ2cIWq7hocd&amp;usp=drive_copy" TargetMode="External"/><Relationship Id="rId1901" Type="http://schemas.openxmlformats.org/officeDocument/2006/relationships/hyperlink" Target="https://drive.google.com/open?id=1Q2VG2H8993sSoRFWmn-izQV_ROa61xae&amp;usp=drive_copy" TargetMode="External"/><Relationship Id="rId1902" Type="http://schemas.openxmlformats.org/officeDocument/2006/relationships/hyperlink" Target="https://drive.google.com/open?id=1tt-18I8RWcfmxE1tR2-iHRmldQYFyEZL&amp;usp=drive_copy" TargetMode="External"/><Relationship Id="rId1903" Type="http://schemas.openxmlformats.org/officeDocument/2006/relationships/hyperlink" Target="https://drive.google.com/open?id=1oDMeK2rUDN1XbokwWqNH4AwNtGqD9gml&amp;usp=drive_copy" TargetMode="External"/><Relationship Id="rId1904" Type="http://schemas.openxmlformats.org/officeDocument/2006/relationships/hyperlink" Target="https://drive.google.com/open?id=14juCykVwsuDoPUPkMlHcRZKhnDewIV6Z&amp;usp=drive_copy" TargetMode="External"/><Relationship Id="rId1905" Type="http://schemas.openxmlformats.org/officeDocument/2006/relationships/hyperlink" Target="https://drive.google.com/open?id=1XauE0OinkgZdTqU9HA8RoxhCNf5gUw78&amp;usp=drive_copy" TargetMode="External"/><Relationship Id="rId1906" Type="http://schemas.openxmlformats.org/officeDocument/2006/relationships/hyperlink" Target="https://drive.google.com/open?id=1UbFsaejz3asjwnUX1R3mO0-IN1tinQFI&amp;usp=drive_copy" TargetMode="External"/><Relationship Id="rId1907" Type="http://schemas.openxmlformats.org/officeDocument/2006/relationships/hyperlink" Target="https://drive.google.com/open?id=1CtuAeILB8EmLBtPoX-3FbdH3gqg5uT5f&amp;usp=drive_copy" TargetMode="External"/><Relationship Id="rId1908" Type="http://schemas.openxmlformats.org/officeDocument/2006/relationships/hyperlink" Target="https://drive.google.com/open?id=1YOS4_n9nWL_oYkhaakWmIMUWc-Uta1HE&amp;usp=drive_copy" TargetMode="External"/><Relationship Id="rId1909" Type="http://schemas.openxmlformats.org/officeDocument/2006/relationships/hyperlink" Target="https://drive.google.com/open?id=1TFdPW-eX35Ep3Li5LfGQWnFwiTQymYhM&amp;usp=drive_copy" TargetMode="External"/><Relationship Id="rId198" Type="http://schemas.openxmlformats.org/officeDocument/2006/relationships/hyperlink" Target="https://drive.google.com/open?id=1tZ_8TXZeMubIZNUHV0QZaF25dZJvb1uq&amp;usp=drive_copy" TargetMode="External"/><Relationship Id="rId197" Type="http://schemas.openxmlformats.org/officeDocument/2006/relationships/hyperlink" Target="https://drive.google.com/open?id=1PHdkcCT-sZD08TjrgVi2AWCh1c0t-Ar4&amp;usp=drive_copy" TargetMode="External"/><Relationship Id="rId196" Type="http://schemas.openxmlformats.org/officeDocument/2006/relationships/hyperlink" Target="https://drive.google.com/open?id=1YtMzgXy69LUAn1gmz84KiTPA5xcxTMGN&amp;usp=drive_copy" TargetMode="External"/><Relationship Id="rId195" Type="http://schemas.openxmlformats.org/officeDocument/2006/relationships/hyperlink" Target="https://drive.google.com/file/d/1kb75l5DjLGUwKt47m_qZEaRAYF673Scq/view?usp=drive_link" TargetMode="External"/><Relationship Id="rId199" Type="http://schemas.openxmlformats.org/officeDocument/2006/relationships/hyperlink" Target="https://drive.google.com/open?id=12y1FDQIoVnVspn4lHbQd4N3x69AtBMAN&amp;usp=drive_copy" TargetMode="External"/><Relationship Id="rId150" Type="http://schemas.openxmlformats.org/officeDocument/2006/relationships/hyperlink" Target="https://drive.google.com/open?id=1ESWBW9IfsN-dfaOuGN8i8ivo8e_yvNgb&amp;usp=drive_copy" TargetMode="External"/><Relationship Id="rId149" Type="http://schemas.openxmlformats.org/officeDocument/2006/relationships/hyperlink" Target="https://drive.google.com/open?id=1PajBJzh2-PQtUB4JT7Q1M2VLTn4rW67j&amp;usp=drive_copy" TargetMode="External"/><Relationship Id="rId148" Type="http://schemas.openxmlformats.org/officeDocument/2006/relationships/hyperlink" Target="https://drive.google.com/open?id=143hwE5bYOukuTMCmdTCO0Fe69OPyXKyy&amp;usp=drive_copy" TargetMode="External"/><Relationship Id="rId1090" Type="http://schemas.openxmlformats.org/officeDocument/2006/relationships/hyperlink" Target="https://drive.google.com/open?id=1EfjqN13UWuuvriUZ7-lZiuzQ3bqAl-qR&amp;usp=drive_copy" TargetMode="External"/><Relationship Id="rId1091" Type="http://schemas.openxmlformats.org/officeDocument/2006/relationships/hyperlink" Target="https://drive.google.com/open?id=1zuz-Oybe77DEtggphxQIxtE-ue0iHOS2&amp;usp=drive_copy" TargetMode="External"/><Relationship Id="rId1092" Type="http://schemas.openxmlformats.org/officeDocument/2006/relationships/hyperlink" Target="https://drive.google.com/open?id=1jSVeBUPhUFqwRPPGoKOz0RygMsaD-Uxo&amp;usp=drive_copy" TargetMode="External"/><Relationship Id="rId1093" Type="http://schemas.openxmlformats.org/officeDocument/2006/relationships/hyperlink" Target="https://drive.google.com/open?id=1pqz_FgbygKOGnyACuMZUNfszeECAcj80&amp;usp=drive_copy" TargetMode="External"/><Relationship Id="rId1094" Type="http://schemas.openxmlformats.org/officeDocument/2006/relationships/hyperlink" Target="https://drive.google.com/open?id=1aoiBjGdfhf6Lj0ugulzz8laBgy7qBPXd&amp;usp=drive_copy" TargetMode="External"/><Relationship Id="rId143" Type="http://schemas.openxmlformats.org/officeDocument/2006/relationships/hyperlink" Target="https://drive.google.com/open?id=1LkEP0rAHV99TO8MLj1w-ImMb6r16q_hG&amp;usp=drive_copy" TargetMode="External"/><Relationship Id="rId1095" Type="http://schemas.openxmlformats.org/officeDocument/2006/relationships/hyperlink" Target="https://drive.google.com/open?id=1JdyzaztPUtNd0p8Y-3t8Jb1E2A78Hetw&amp;usp=drive_copy" TargetMode="External"/><Relationship Id="rId142" Type="http://schemas.openxmlformats.org/officeDocument/2006/relationships/hyperlink" Target="https://drive.google.com/open?id=1rn_7Awwu9n0hr9W3GJWExN1zdNkILvs7&amp;usp=drive_copy" TargetMode="External"/><Relationship Id="rId1096" Type="http://schemas.openxmlformats.org/officeDocument/2006/relationships/hyperlink" Target="https://drive.google.com/open?id=1VXWVpHy4Cddndv67YHA9ZoExEtm-B54l&amp;usp=drive_copy" TargetMode="External"/><Relationship Id="rId141" Type="http://schemas.openxmlformats.org/officeDocument/2006/relationships/hyperlink" Target="https://drive.google.com/open?id=1BsJx_Hut9qgEsZstPD4d1M4yjaQiIdlL&amp;usp=drive_copy" TargetMode="External"/><Relationship Id="rId1097" Type="http://schemas.openxmlformats.org/officeDocument/2006/relationships/hyperlink" Target="https://drive.google.com/open?id=1VkDtOMGRXpFPzF2mT6Gf0FAni6KtfZOW&amp;usp=drive_copy" TargetMode="External"/><Relationship Id="rId140" Type="http://schemas.openxmlformats.org/officeDocument/2006/relationships/hyperlink" Target="https://drive.google.com/open?id=1JBql8MFdLRHOqljnxCd4AblgohLojXsX&amp;usp=drive_copy" TargetMode="External"/><Relationship Id="rId1098" Type="http://schemas.openxmlformats.org/officeDocument/2006/relationships/hyperlink" Target="https://drive.google.com/open?id=1gsuZ9qkMsjOxnbqFLD-jbSqvzHR20BEB&amp;usp=drive_copy" TargetMode="External"/><Relationship Id="rId147" Type="http://schemas.openxmlformats.org/officeDocument/2006/relationships/hyperlink" Target="https://drive.google.com/open?id=1dhLkjmGLU9mKnGyKlQm5_HbxxFvw4dM-&amp;usp=drive_copy" TargetMode="External"/><Relationship Id="rId1099" Type="http://schemas.openxmlformats.org/officeDocument/2006/relationships/hyperlink" Target="https://drive.google.com/open?id=1ChsK692KogFoNCpW6KZ44c8ohVAK-mwv&amp;usp=drive_copy" TargetMode="External"/><Relationship Id="rId146" Type="http://schemas.openxmlformats.org/officeDocument/2006/relationships/hyperlink" Target="https://drive.google.com/file/d/1gETP_txf51Oe6b8Oifc4jVpHHOItu0Bz/view?usp=drive_link" TargetMode="External"/><Relationship Id="rId145" Type="http://schemas.openxmlformats.org/officeDocument/2006/relationships/hyperlink" Target="https://drive.google.com/file/d/1SjoRTp56V075negaVoPkQ-LVyWaoyuWk/view?usp=drive_link" TargetMode="External"/><Relationship Id="rId144" Type="http://schemas.openxmlformats.org/officeDocument/2006/relationships/hyperlink" Target="https://drive.google.com/open?id=1fsW84zR5ItzN0LdXW-Jj3ar0jIZKk5bZ&amp;usp=drive_copy" TargetMode="External"/><Relationship Id="rId139" Type="http://schemas.openxmlformats.org/officeDocument/2006/relationships/hyperlink" Target="https://drive.google.com/open?id=1GLGpmBkFYkQwY3jPTOEITDbyT6Z1clnQ&amp;usp=drive_copy" TargetMode="External"/><Relationship Id="rId138" Type="http://schemas.openxmlformats.org/officeDocument/2006/relationships/hyperlink" Target="https://drive.google.com/open?id=195ZMyTc-YbuezkeW7K6AvRBs8owM6EsU&amp;usp=drive_copy" TargetMode="External"/><Relationship Id="rId137" Type="http://schemas.openxmlformats.org/officeDocument/2006/relationships/hyperlink" Target="https://drive.google.com/open?id=1iQK068WvsVm9hxDe4xEoukfxj5u0poO5&amp;usp=drive_copy" TargetMode="External"/><Relationship Id="rId1080" Type="http://schemas.openxmlformats.org/officeDocument/2006/relationships/hyperlink" Target="https://drive.google.com/open?id=1tN9RLuVqoaLKv9cjbY3GLrlMTJggX1mf&amp;usp=drive_copy" TargetMode="External"/><Relationship Id="rId1081" Type="http://schemas.openxmlformats.org/officeDocument/2006/relationships/hyperlink" Target="https://drive.google.com/open?id=1bmylstkxSWHcC9zVuZ9CtcVqa1UWQ69l&amp;usp=drive_copy" TargetMode="External"/><Relationship Id="rId1082" Type="http://schemas.openxmlformats.org/officeDocument/2006/relationships/hyperlink" Target="https://drive.google.com/open?id=1KTtj-5KZpGoq9g74keCoesPs_5Z4B1n4&amp;usp=drive_copy" TargetMode="External"/><Relationship Id="rId1083" Type="http://schemas.openxmlformats.org/officeDocument/2006/relationships/hyperlink" Target="https://drive.google.com/open?id=1GGvRlOlKK3yO9qdaGxPZllY1kNNTLBnT&amp;usp=drive_copy" TargetMode="External"/><Relationship Id="rId132" Type="http://schemas.openxmlformats.org/officeDocument/2006/relationships/hyperlink" Target="https://drive.google.com/open?id=1U7rP4q92-Cm_HRQ0SBUxrIUlt53I4mPY&amp;usp=drive_copy" TargetMode="External"/><Relationship Id="rId1084" Type="http://schemas.openxmlformats.org/officeDocument/2006/relationships/hyperlink" Target="https://drive.google.com/open?id=1jltI1kZcUFagTkGOdIMy0q9mPkcccdmU&amp;usp=drive_copy" TargetMode="External"/><Relationship Id="rId131" Type="http://schemas.openxmlformats.org/officeDocument/2006/relationships/hyperlink" Target="https://drive.google.com/open?id=1Cwsnz2hsa4UEt59QXFvtY0kGBU16DF8_&amp;usp=drive_copy" TargetMode="External"/><Relationship Id="rId1085" Type="http://schemas.openxmlformats.org/officeDocument/2006/relationships/hyperlink" Target="https://drive.google.com/open?id=1zsyw_PxqiIfOMrQBN0fEdEr_zEbHOXOE&amp;usp=drive_copy" TargetMode="External"/><Relationship Id="rId130" Type="http://schemas.openxmlformats.org/officeDocument/2006/relationships/hyperlink" Target="https://drive.google.com/open?id=10VYJ9PA3kYw5a6uPh9kvLai6jrLhwfuv&amp;usp=drive_copy" TargetMode="External"/><Relationship Id="rId1086" Type="http://schemas.openxmlformats.org/officeDocument/2006/relationships/hyperlink" Target="https://drive.google.com/open?id=1eMj5dKQDYns4ic_3UgiTYqldBHyu-SxV&amp;usp=drive_copy" TargetMode="External"/><Relationship Id="rId1087" Type="http://schemas.openxmlformats.org/officeDocument/2006/relationships/hyperlink" Target="https://drive.google.com/open?id=1aUrUPrFTaiB09kCK4WXivvw3NXe3KbI1&amp;usp=drive_copy" TargetMode="External"/><Relationship Id="rId136" Type="http://schemas.openxmlformats.org/officeDocument/2006/relationships/hyperlink" Target="https://drive.google.com/open?id=18r3Tuo--jV46Ct9aLR-hhXeOdImfV-Be&amp;usp=drive_copy" TargetMode="External"/><Relationship Id="rId1088" Type="http://schemas.openxmlformats.org/officeDocument/2006/relationships/hyperlink" Target="https://drive.google.com/open?id=1ZoSyVDtSUEZRn731sjhre595f-pPAFTU&amp;usp=drive_copy" TargetMode="External"/><Relationship Id="rId135" Type="http://schemas.openxmlformats.org/officeDocument/2006/relationships/hyperlink" Target="https://drive.google.com/open?id=1JfC-QdL6gEKWvkvmyWWx--9PwKqKYhbF&amp;usp=drive_copy" TargetMode="External"/><Relationship Id="rId1089" Type="http://schemas.openxmlformats.org/officeDocument/2006/relationships/hyperlink" Target="https://drive.google.com/open?id=1xjc-MO1ZcZwHT1tg2PrJ9dEgBuwBf-xt&amp;usp=drive_copy" TargetMode="External"/><Relationship Id="rId134" Type="http://schemas.openxmlformats.org/officeDocument/2006/relationships/hyperlink" Target="https://drive.google.com/open?id=10a-wAMXb6sGnZn-yUedJNb2IcxZPtsV-&amp;usp=drive_copy" TargetMode="External"/><Relationship Id="rId133" Type="http://schemas.openxmlformats.org/officeDocument/2006/relationships/hyperlink" Target="https://drive.google.com/open?id=1Ok7E7AY6npJeY-P7coeOeV1Bzke33hEX&amp;usp=drive_copy" TargetMode="External"/><Relationship Id="rId172" Type="http://schemas.openxmlformats.org/officeDocument/2006/relationships/hyperlink" Target="https://drive.google.com/open?id=16IfgC_a1QY6bRF7QG7zjrkvts4o9oJ9W&amp;usp=drive_copy" TargetMode="External"/><Relationship Id="rId171" Type="http://schemas.openxmlformats.org/officeDocument/2006/relationships/hyperlink" Target="https://drive.google.com/file/d/1mpJjxBhpfqgSla4-vwqqyVRnbGxDNDWt/view?usp=drive_link" TargetMode="External"/><Relationship Id="rId170" Type="http://schemas.openxmlformats.org/officeDocument/2006/relationships/hyperlink" Target="https://drive.google.com/file/d/1ebBfg1h3T1cyqYYa10cHYMAkQ5ZsR-6q/view?usp=drive_link" TargetMode="External"/><Relationship Id="rId165" Type="http://schemas.openxmlformats.org/officeDocument/2006/relationships/hyperlink" Target="https://drive.google.com/open?id=16vErOZUuzo7bsGID7QSU-6N7CaAPh4w2&amp;usp=drive_copy" TargetMode="External"/><Relationship Id="rId164" Type="http://schemas.openxmlformats.org/officeDocument/2006/relationships/hyperlink" Target="https://drive.google.com/open?id=1AwFIocoj9tm-q-rzBCUwGRW7rDDIFQwR&amp;usp=drive_copy" TargetMode="External"/><Relationship Id="rId163" Type="http://schemas.openxmlformats.org/officeDocument/2006/relationships/hyperlink" Target="https://drive.google.com/open?id=1UAuMV_vUD-OVzHxJJKogVKF0hY_g3Zax&amp;usp=drive_copy" TargetMode="External"/><Relationship Id="rId162" Type="http://schemas.openxmlformats.org/officeDocument/2006/relationships/hyperlink" Target="https://drive.google.com/open?id=1a8G6aWAaCnsCqp8trcx7fh4xGozEpkNh&amp;usp=drive_copy" TargetMode="External"/><Relationship Id="rId169" Type="http://schemas.openxmlformats.org/officeDocument/2006/relationships/hyperlink" Target="https://drive.google.com/file/d/1JTTBqlGC9NNny2WM8AJl2z3JlEJVRHd5/view?usp=drive_link" TargetMode="External"/><Relationship Id="rId168" Type="http://schemas.openxmlformats.org/officeDocument/2006/relationships/hyperlink" Target="https://drive.google.com/file/d/1XsmKp11axHs7oQ0NAB2wTKlEDBmdX-8X/view?usp=drive_link" TargetMode="External"/><Relationship Id="rId167" Type="http://schemas.openxmlformats.org/officeDocument/2006/relationships/hyperlink" Target="https://drive.google.com/file/d/1Lm_hscp9Rp7RxJENdo-FB_Gt7n8_6rXe/view?usp=drive_link" TargetMode="External"/><Relationship Id="rId166" Type="http://schemas.openxmlformats.org/officeDocument/2006/relationships/hyperlink" Target="https://drive.google.com/open?id=1zWVgxirfhVe_ursDiAFqdomgRqahHzFO&amp;usp=drive_copy" TargetMode="External"/><Relationship Id="rId161" Type="http://schemas.openxmlformats.org/officeDocument/2006/relationships/hyperlink" Target="https://drive.google.com/open?id=1ufFaF8FQwYTKTj7XnwGO2uWA4Ft1bT7_&amp;usp=drive_copy" TargetMode="External"/><Relationship Id="rId160" Type="http://schemas.openxmlformats.org/officeDocument/2006/relationships/hyperlink" Target="https://drive.google.com/open?id=1_TSD5iD4WxHSdCzG4KKw6Y8uPaYZWVw1&amp;usp=drive_copy" TargetMode="External"/><Relationship Id="rId159" Type="http://schemas.openxmlformats.org/officeDocument/2006/relationships/hyperlink" Target="https://drive.google.com/open?id=1ivwsWMUBvhv448n12nm8ctjyMDyP9hX2&amp;usp=drive_copy" TargetMode="External"/><Relationship Id="rId154" Type="http://schemas.openxmlformats.org/officeDocument/2006/relationships/hyperlink" Target="https://drive.google.com/open?id=1ljkxAu4qYgzF5KVSPk30LxkKgbesdxUS&amp;usp=drive_copy" TargetMode="External"/><Relationship Id="rId153" Type="http://schemas.openxmlformats.org/officeDocument/2006/relationships/hyperlink" Target="https://drive.google.com/open?id=1sihuAsXYqcnXhGdGstmG5kV0iDDg_DR2&amp;usp=drive_copy" TargetMode="External"/><Relationship Id="rId152" Type="http://schemas.openxmlformats.org/officeDocument/2006/relationships/hyperlink" Target="https://drive.google.com/open?id=1bU4jE8qa4gjFgFntVQSMILV-3y9fRc3s&amp;usp=drive_copy" TargetMode="External"/><Relationship Id="rId151" Type="http://schemas.openxmlformats.org/officeDocument/2006/relationships/hyperlink" Target="https://drive.google.com/open?id=1tL21BMn474NDqcYnjp1-c0sSbi4rICoV&amp;usp=drive_copy" TargetMode="External"/><Relationship Id="rId158" Type="http://schemas.openxmlformats.org/officeDocument/2006/relationships/hyperlink" Target="https://drive.google.com/open?id=1YctArY3jXb1BJAVzyi-N2QEf8IwJEvph&amp;usp=drive_copy" TargetMode="External"/><Relationship Id="rId157" Type="http://schemas.openxmlformats.org/officeDocument/2006/relationships/hyperlink" Target="https://drive.google.com/open?id=1tp_qUiQr-fRKd0Q8v0vpNDfxbUWMdppL&amp;usp=drive_copy" TargetMode="External"/><Relationship Id="rId156" Type="http://schemas.openxmlformats.org/officeDocument/2006/relationships/hyperlink" Target="https://drive.google.com/open?id=1A0tsaOXdAXk6Ock3C1GVePxMhi9MPoMb&amp;usp=drive_copy" TargetMode="External"/><Relationship Id="rId155" Type="http://schemas.openxmlformats.org/officeDocument/2006/relationships/hyperlink" Target="https://drive.google.com/open?id=1Oa_FT8HqoyWZjBpqKk9DG-DnZAnGBM-m&amp;usp=drive_copy" TargetMode="External"/><Relationship Id="rId1972" Type="http://schemas.openxmlformats.org/officeDocument/2006/relationships/hyperlink" Target="https://drive.google.com/open?id=1miAr4LBMbIOZpD-t_rwb-hUZOWFu7pEk&amp;usp=drive_copy" TargetMode="External"/><Relationship Id="rId1973" Type="http://schemas.openxmlformats.org/officeDocument/2006/relationships/hyperlink" Target="https://drive.google.com/open?id=17ScLAylPYENQzVHrCtgkuddckykL1_iE&amp;usp=drive_copy" TargetMode="External"/><Relationship Id="rId1974" Type="http://schemas.openxmlformats.org/officeDocument/2006/relationships/hyperlink" Target="https://drive.google.com/open?id=15D_PGpe7m7jBf49Ls_K36jaQkryKT_Gq&amp;usp=drive_copy" TargetMode="External"/><Relationship Id="rId1975" Type="http://schemas.openxmlformats.org/officeDocument/2006/relationships/hyperlink" Target="https://drive.google.com/open?id=1QoolsOroxe_oITI5GcERY_aDgk6eFI8j&amp;usp=drive_copy" TargetMode="External"/><Relationship Id="rId1976" Type="http://schemas.openxmlformats.org/officeDocument/2006/relationships/hyperlink" Target="https://drive.google.com/open?id=16lsiwcSkcwefHEwtgj1qJK2dUdSMod22&amp;usp=drive_copy" TargetMode="External"/><Relationship Id="rId1977" Type="http://schemas.openxmlformats.org/officeDocument/2006/relationships/hyperlink" Target="https://drive.google.com/open?id=1g2r3zkLQ1YmIcHDciC2sySio5qNLBL2G&amp;usp=drive_copy" TargetMode="External"/><Relationship Id="rId1978" Type="http://schemas.openxmlformats.org/officeDocument/2006/relationships/hyperlink" Target="https://drive.google.com/open?id=193BLIzfd_G_dh2bt-_9UYhOBudmG7HRp&amp;usp=drive_copy" TargetMode="External"/><Relationship Id="rId1979" Type="http://schemas.openxmlformats.org/officeDocument/2006/relationships/hyperlink" Target="https://drive.google.com/open?id=1xHRp38BJa5Wni1K-fm7BbKXAnqyuEVcT&amp;usp=drive_copy" TargetMode="External"/><Relationship Id="rId1970" Type="http://schemas.openxmlformats.org/officeDocument/2006/relationships/hyperlink" Target="https://drive.google.com/open?id=1CZdmUSKTdoVd6yFEedhSP64R1pjGMLSy&amp;usp=drive_copy" TargetMode="External"/><Relationship Id="rId1971" Type="http://schemas.openxmlformats.org/officeDocument/2006/relationships/hyperlink" Target="https://drive.google.com/open?id=1XhUWbbEGXXTwehUVsSxx8mq_zzgqlmkO&amp;usp=drive_copy" TargetMode="External"/><Relationship Id="rId1961" Type="http://schemas.openxmlformats.org/officeDocument/2006/relationships/hyperlink" Target="https://drive.google.com/open?id=11EtJB_pmTrZy4icIU2ne3VJKmDvWyXa3&amp;usp=drive_copy" TargetMode="External"/><Relationship Id="rId1962" Type="http://schemas.openxmlformats.org/officeDocument/2006/relationships/hyperlink" Target="https://drive.google.com/open?id=1VHbpPJ3zfnPaTVEMRQf_Zl8QFfsrxGkP&amp;usp=drive_copy" TargetMode="External"/><Relationship Id="rId1963" Type="http://schemas.openxmlformats.org/officeDocument/2006/relationships/hyperlink" Target="https://drive.google.com/open?id=1TaThiM8Jwwg0zn3JJyO6g7OGQQo0Vfi8&amp;usp=drive_copy" TargetMode="External"/><Relationship Id="rId1964" Type="http://schemas.openxmlformats.org/officeDocument/2006/relationships/hyperlink" Target="https://drive.google.com/open?id=1JJKmfUcvws5K8Jqucv3yRCGxqCqEehzJ&amp;usp=drive_copy" TargetMode="External"/><Relationship Id="rId1965" Type="http://schemas.openxmlformats.org/officeDocument/2006/relationships/hyperlink" Target="https://drive.google.com/open?id=1uM_VZO_77uEMdLlTtDc1IVgWx_MKY9oN&amp;usp=drive_copy" TargetMode="External"/><Relationship Id="rId1966" Type="http://schemas.openxmlformats.org/officeDocument/2006/relationships/hyperlink" Target="https://drive.google.com/open?id=1zsFKjfEMGEk7iH-A3sSBL6UXKakVeFCj&amp;usp=drive_copy" TargetMode="External"/><Relationship Id="rId1967" Type="http://schemas.openxmlformats.org/officeDocument/2006/relationships/hyperlink" Target="https://drive.google.com/open?id=1txNhgr-9sZNLzXuGrb-bV9sIMZ7E4-DV&amp;usp=drive_copy" TargetMode="External"/><Relationship Id="rId1968" Type="http://schemas.openxmlformats.org/officeDocument/2006/relationships/hyperlink" Target="https://drive.google.com/open?id=12_O3og7GpVoIrWAxL61eJ1Vgu8tFjKqD&amp;usp=drive_copy" TargetMode="External"/><Relationship Id="rId1969" Type="http://schemas.openxmlformats.org/officeDocument/2006/relationships/hyperlink" Target="https://drive.google.com/open?id=1teSZg6KFUP4jaXRyTsXrnP9jYmGNPL22&amp;usp=drive_copy" TargetMode="External"/><Relationship Id="rId1960" Type="http://schemas.openxmlformats.org/officeDocument/2006/relationships/hyperlink" Target="https://drive.google.com/open?id=1M_PgqD6Chr9piaHPNYqzP8SCuonu-zun&amp;usp=drive_copy" TargetMode="External"/><Relationship Id="rId1510" Type="http://schemas.openxmlformats.org/officeDocument/2006/relationships/hyperlink" Target="https://drive.google.com/open?id=1Pn0oze9aFmHTZFsFw_Csu1tr-BjfKLP-&amp;usp=drive_copy" TargetMode="External"/><Relationship Id="rId1994" Type="http://schemas.openxmlformats.org/officeDocument/2006/relationships/hyperlink" Target="https://drive.google.com/open?id=1eeRLy7J7hmC6052yMvgc8JL7BP1TSWMu&amp;usp=drive_copy" TargetMode="External"/><Relationship Id="rId1511" Type="http://schemas.openxmlformats.org/officeDocument/2006/relationships/hyperlink" Target="https://drive.google.com/open?id=1O6G7leghrg_Xwg7AGdZmBBxPxakh8hAI&amp;usp=drive_copy" TargetMode="External"/><Relationship Id="rId1995" Type="http://schemas.openxmlformats.org/officeDocument/2006/relationships/hyperlink" Target="https://drive.google.com/open?id=1BqzW7JL8l785ZoJHeIjcuQxEHOr5Pk9A&amp;usp=drive_copy" TargetMode="External"/><Relationship Id="rId1512" Type="http://schemas.openxmlformats.org/officeDocument/2006/relationships/hyperlink" Target="https://drive.google.com/open?id=1rIvOUGJ7gGlP36726UaPyBimepDWIuCa&amp;usp=drive_copy" TargetMode="External"/><Relationship Id="rId1996" Type="http://schemas.openxmlformats.org/officeDocument/2006/relationships/hyperlink" Target="https://drive.google.com/open?id=1H4qLqe0JlQjJM6G8Kp_K0DbhY773R_Q3&amp;usp=drive_copy" TargetMode="External"/><Relationship Id="rId1513" Type="http://schemas.openxmlformats.org/officeDocument/2006/relationships/hyperlink" Target="https://drive.google.com/open?id=11zAQ-Ywutgv47GnvwbgBqitxvB5tSLs-&amp;usp=drive_copy" TargetMode="External"/><Relationship Id="rId1997" Type="http://schemas.openxmlformats.org/officeDocument/2006/relationships/hyperlink" Target="https://drive.google.com/open?id=1HUVHz3KW_h8bbYBXtKyQubiqPhxe1P1O&amp;usp=drive_copy" TargetMode="External"/><Relationship Id="rId1514" Type="http://schemas.openxmlformats.org/officeDocument/2006/relationships/hyperlink" Target="https://drive.google.com/open?id=19xQTPMIFqT0bPd76gHPR4aO6OzChZYcD&amp;usp=drive_copy" TargetMode="External"/><Relationship Id="rId1998" Type="http://schemas.openxmlformats.org/officeDocument/2006/relationships/hyperlink" Target="https://drive.google.com/open?id=1IrYYl0IOi-HcontWTQS5sSSky072E172&amp;usp=drive_copy" TargetMode="External"/><Relationship Id="rId1515" Type="http://schemas.openxmlformats.org/officeDocument/2006/relationships/hyperlink" Target="https://drive.google.com/open?id=1kWe_nnM_vhtOy6Wj3sxxBLfMPhdVvxU1&amp;usp=drive_copy" TargetMode="External"/><Relationship Id="rId1999" Type="http://schemas.openxmlformats.org/officeDocument/2006/relationships/hyperlink" Target="https://drive.google.com/open?id=1pREpQMMVuxwqv7rep-aWw1cVG55b2GGb&amp;usp=drive_copy" TargetMode="External"/><Relationship Id="rId1516" Type="http://schemas.openxmlformats.org/officeDocument/2006/relationships/hyperlink" Target="https://drive.google.com/open?id=1ThX1I5XkrizfDDfXrCdrh264-ZMi9vHh&amp;usp=drive_copy" TargetMode="External"/><Relationship Id="rId1517" Type="http://schemas.openxmlformats.org/officeDocument/2006/relationships/hyperlink" Target="https://drive.google.com/open?id=1GPfWIuwzUnRBagTWblzI1H3YBmF0ndUI&amp;usp=drive_copy" TargetMode="External"/><Relationship Id="rId1518" Type="http://schemas.openxmlformats.org/officeDocument/2006/relationships/hyperlink" Target="https://drive.google.com/open?id=1y_SJDX1etGIg4MHqaNZnKVk5fFWvGXnz&amp;usp=drive_copy" TargetMode="External"/><Relationship Id="rId1519" Type="http://schemas.openxmlformats.org/officeDocument/2006/relationships/hyperlink" Target="https://drive.google.com/open?id=1dxewrlxOhHBclj1V0uoG-NRUvuN08Ukv&amp;usp=drive_copy" TargetMode="External"/><Relationship Id="rId1990" Type="http://schemas.openxmlformats.org/officeDocument/2006/relationships/hyperlink" Target="https://drive.google.com/open?id=1HXCp6ew6dbeJG6YBgSA2EIZYc6HfcUEr&amp;usp=drive_copy" TargetMode="External"/><Relationship Id="rId1991" Type="http://schemas.openxmlformats.org/officeDocument/2006/relationships/hyperlink" Target="https://drive.google.com/open?id=1qK1bosajkl32nf_KSFNO1IYX_lh-Q5pY&amp;usp=drive_copy" TargetMode="External"/><Relationship Id="rId1992" Type="http://schemas.openxmlformats.org/officeDocument/2006/relationships/hyperlink" Target="https://drive.google.com/open?id=11lS0diCCvXrUSVjzlx6Ff8MTNYiKoIdm&amp;usp=drive_copy" TargetMode="External"/><Relationship Id="rId1993" Type="http://schemas.openxmlformats.org/officeDocument/2006/relationships/hyperlink" Target="https://drive.google.com/open?id=1cW-aBQ4_HWuH61HWqi3OKppPTec-I70M&amp;usp=drive_copy" TargetMode="External"/><Relationship Id="rId1983" Type="http://schemas.openxmlformats.org/officeDocument/2006/relationships/hyperlink" Target="https://drive.google.com/open?id=1tgcujlxHojzxbIbybKQBCx706DdipxUh&amp;usp=drive_copy" TargetMode="External"/><Relationship Id="rId1500" Type="http://schemas.openxmlformats.org/officeDocument/2006/relationships/hyperlink" Target="https://drive.google.com/open?id=12h8BWulyWrXNMnoeXiZnUiezmNDzgL-p&amp;usp=drive_copy" TargetMode="External"/><Relationship Id="rId1984" Type="http://schemas.openxmlformats.org/officeDocument/2006/relationships/hyperlink" Target="https://drive.google.com/open?id=1TfTTF7mbIczFMoX_oT89oe3L3q8p7VA-&amp;usp=drive_copy" TargetMode="External"/><Relationship Id="rId1501" Type="http://schemas.openxmlformats.org/officeDocument/2006/relationships/hyperlink" Target="https://drive.google.com/open?id=1_AvI6qJftykvQL8296k7AuLX9KQbZdbD&amp;usp=drive_copy" TargetMode="External"/><Relationship Id="rId1985" Type="http://schemas.openxmlformats.org/officeDocument/2006/relationships/hyperlink" Target="https://drive.google.com/open?id=13iy-enS-YAYgh6jFhnaKZcsPKg_ZVLLX&amp;usp=drive_copy" TargetMode="External"/><Relationship Id="rId1502" Type="http://schemas.openxmlformats.org/officeDocument/2006/relationships/hyperlink" Target="https://drive.google.com/open?id=1zOcyi9dQ5GAc8YXnN7RLrhvhTroazzQ-&amp;usp=drive_copy" TargetMode="External"/><Relationship Id="rId1986" Type="http://schemas.openxmlformats.org/officeDocument/2006/relationships/hyperlink" Target="https://drive.google.com/open?id=1Y1cjEntLY9jB9cU71TGfHjeLWHe5dReg&amp;usp=drive_copy" TargetMode="External"/><Relationship Id="rId1503" Type="http://schemas.openxmlformats.org/officeDocument/2006/relationships/hyperlink" Target="https://drive.google.com/open?id=1p-VsD-u03FwHLf-7_Ngp6tvTrjBhPitg&amp;usp=drive_copy" TargetMode="External"/><Relationship Id="rId1987" Type="http://schemas.openxmlformats.org/officeDocument/2006/relationships/hyperlink" Target="https://drive.google.com/open?id=1oqu7DUqRGRBrYc8YXTsuxNWcMOmuu2Cv&amp;usp=drive_copy" TargetMode="External"/><Relationship Id="rId1504" Type="http://schemas.openxmlformats.org/officeDocument/2006/relationships/hyperlink" Target="https://drive.google.com/open?id=1V9bCwUgK_c9xtFaESbqHEXvO5Mc-SPys&amp;usp=drive_copy" TargetMode="External"/><Relationship Id="rId1988" Type="http://schemas.openxmlformats.org/officeDocument/2006/relationships/hyperlink" Target="https://drive.google.com/open?id=10EFe4zBAPQJeW2wrJVqamsS14v13dUmv&amp;usp=drive_copy" TargetMode="External"/><Relationship Id="rId1505" Type="http://schemas.openxmlformats.org/officeDocument/2006/relationships/hyperlink" Target="https://drive.google.com/open?id=1-ktnUFsT3xejOWdrWnhe4OqMDrUxvlMX&amp;usp=drive_copy" TargetMode="External"/><Relationship Id="rId1989" Type="http://schemas.openxmlformats.org/officeDocument/2006/relationships/hyperlink" Target="https://drive.google.com/open?id=1FSUv7WOYyivmzRyTvt4hlE6KbEhdN70T&amp;usp=drive_copy" TargetMode="External"/><Relationship Id="rId1506" Type="http://schemas.openxmlformats.org/officeDocument/2006/relationships/hyperlink" Target="https://drive.google.com/open?id=1IJuOI8nsrv-xeDhHJeMjZKejNir650H5&amp;usp=drive_copy" TargetMode="External"/><Relationship Id="rId1507" Type="http://schemas.openxmlformats.org/officeDocument/2006/relationships/hyperlink" Target="https://drive.google.com/open?id=1tUWx1ot0FDJ3fwjmHhIee2RGswNHnBwF&amp;usp=drive_copy" TargetMode="External"/><Relationship Id="rId1508" Type="http://schemas.openxmlformats.org/officeDocument/2006/relationships/hyperlink" Target="https://drive.google.com/open?id=1XmCmWJCpmWD8Ikye5-wGHa1SeEsb3qOU&amp;usp=drive_copy" TargetMode="External"/><Relationship Id="rId1509" Type="http://schemas.openxmlformats.org/officeDocument/2006/relationships/hyperlink" Target="https://drive.google.com/open?id=1nS6JU0IO9l6zUqsibfEHXCQXFAt1rrUA&amp;usp=drive_copy" TargetMode="External"/><Relationship Id="rId1980" Type="http://schemas.openxmlformats.org/officeDocument/2006/relationships/hyperlink" Target="https://drive.google.com/open?id=1FCvjNUttBiwVxSRL2fTjql43Lwfbd_t1&amp;usp=drive_copy" TargetMode="External"/><Relationship Id="rId1981" Type="http://schemas.openxmlformats.org/officeDocument/2006/relationships/hyperlink" Target="https://drive.google.com/open?id=1kzUcds06fVT47-muf6Nq2asx_sPZxyZQ&amp;usp=drive_copy" TargetMode="External"/><Relationship Id="rId1982" Type="http://schemas.openxmlformats.org/officeDocument/2006/relationships/hyperlink" Target="https://drive.google.com/open?id=124eeo6moZybo2-PhRlkWu3I5hf_N7Ngg&amp;usp=drive_copy" TargetMode="External"/><Relationship Id="rId1930" Type="http://schemas.openxmlformats.org/officeDocument/2006/relationships/hyperlink" Target="https://drive.google.com/open?id=1Dm_b3y8KrbTecARINetGLJhRrzuxQD4w&amp;usp=drive_copy" TargetMode="External"/><Relationship Id="rId1931" Type="http://schemas.openxmlformats.org/officeDocument/2006/relationships/hyperlink" Target="https://drive.google.com/open?id=1wtuissbBvL2HP0yfXWNs2JDO_wrxGrfC&amp;usp=drive_copy" TargetMode="External"/><Relationship Id="rId1932" Type="http://schemas.openxmlformats.org/officeDocument/2006/relationships/hyperlink" Target="https://drive.google.com/open?id=1y_EgXWnL-2GgRYEXZV_QNe46CNQFwLgm&amp;usp=drive_copy" TargetMode="External"/><Relationship Id="rId1933" Type="http://schemas.openxmlformats.org/officeDocument/2006/relationships/hyperlink" Target="https://drive.google.com/open?id=1H4_IN9hXjOVN14FCFSv5D3kPlcwyN-gq&amp;usp=drive_copy" TargetMode="External"/><Relationship Id="rId1934" Type="http://schemas.openxmlformats.org/officeDocument/2006/relationships/hyperlink" Target="https://drive.google.com/open?id=1Bq1OmX3tSroGD9xid1W2P90m1voQvTSW&amp;usp=drive_copy" TargetMode="External"/><Relationship Id="rId1935" Type="http://schemas.openxmlformats.org/officeDocument/2006/relationships/hyperlink" Target="https://drive.google.com/open?id=1LEEmqygLZH7_0AbhDOIjv7aUxTq9eNrM&amp;usp=drive_copy" TargetMode="External"/><Relationship Id="rId1936" Type="http://schemas.openxmlformats.org/officeDocument/2006/relationships/hyperlink" Target="https://drive.google.com/open?id=1iIA5K3BVWR3iLnYZ5IbozWq4UZuYLGPe&amp;usp=drive_copy" TargetMode="External"/><Relationship Id="rId1937" Type="http://schemas.openxmlformats.org/officeDocument/2006/relationships/hyperlink" Target="https://drive.google.com/open?id=1OChiq1rmMAyMxRNV7CQFurR1agcnN2cN&amp;usp=drive_copy" TargetMode="External"/><Relationship Id="rId1938" Type="http://schemas.openxmlformats.org/officeDocument/2006/relationships/hyperlink" Target="https://drive.google.com/open?id=1W-8mb-yHr2IQgfK_uIxUopSTM3gFmDsq&amp;usp=drive_copy" TargetMode="External"/><Relationship Id="rId1939" Type="http://schemas.openxmlformats.org/officeDocument/2006/relationships/hyperlink" Target="https://drive.google.com/open?id=1yV5p97kCEO7BrBEC7eNP6fSShcsFDZCC&amp;usp=drive_copy" TargetMode="External"/><Relationship Id="rId1920" Type="http://schemas.openxmlformats.org/officeDocument/2006/relationships/hyperlink" Target="https://drive.google.com/open?id=1hFi4kbLFheyOBNhrfKs0l3k-qoFFGLj6&amp;usp=drive_copy" TargetMode="External"/><Relationship Id="rId1921" Type="http://schemas.openxmlformats.org/officeDocument/2006/relationships/hyperlink" Target="https://drive.google.com/open?id=16jLuln41HriMkfB-5eZcmnxjYfy_eEa8&amp;usp=drive_copy" TargetMode="External"/><Relationship Id="rId1922" Type="http://schemas.openxmlformats.org/officeDocument/2006/relationships/hyperlink" Target="https://drive.google.com/open?id=1xVWY3pkfCthgmlGpWg_gcfTf22sqw0zf&amp;usp=drive_copy" TargetMode="External"/><Relationship Id="rId1923" Type="http://schemas.openxmlformats.org/officeDocument/2006/relationships/hyperlink" Target="https://drive.google.com/open?id=1otkDxRqGHvRwUc5YCVGic3CLlEnScTIF&amp;usp=drive_copy" TargetMode="External"/><Relationship Id="rId1924" Type="http://schemas.openxmlformats.org/officeDocument/2006/relationships/hyperlink" Target="https://drive.google.com/open?id=1IO_AQvkzjEL8wsBB7nbSZlqoiuijfKhD&amp;usp=drive_copy" TargetMode="External"/><Relationship Id="rId1925" Type="http://schemas.openxmlformats.org/officeDocument/2006/relationships/hyperlink" Target="https://drive.google.com/open?id=10YBWWxXPflkYMZ080hzE1CRX5eAp2MRw&amp;usp=drive_copy" TargetMode="External"/><Relationship Id="rId1926" Type="http://schemas.openxmlformats.org/officeDocument/2006/relationships/hyperlink" Target="https://drive.google.com/open?id=1B4z_-DUEs1_LFAk1aLtKf7eDA-q3PJrw&amp;usp=drive_copy" TargetMode="External"/><Relationship Id="rId1927" Type="http://schemas.openxmlformats.org/officeDocument/2006/relationships/hyperlink" Target="https://drive.google.com/open?id=1PHCOW14rvjGUfrX3YKAcmHhkMabXpcPz&amp;usp=drive_copy" TargetMode="External"/><Relationship Id="rId1928" Type="http://schemas.openxmlformats.org/officeDocument/2006/relationships/hyperlink" Target="https://drive.google.com/open?id=1N4B_FfaDLn45djkw2qWBl47zA8sE_Z1U&amp;usp=drive_copy" TargetMode="External"/><Relationship Id="rId1929" Type="http://schemas.openxmlformats.org/officeDocument/2006/relationships/hyperlink" Target="https://drive.google.com/open?id=1rlfS4rcYXAlOhKBaEUMYjoZ31w5iKivK&amp;usp=drive_copy" TargetMode="External"/><Relationship Id="rId1950" Type="http://schemas.openxmlformats.org/officeDocument/2006/relationships/hyperlink" Target="https://drive.google.com/open?id=1HngfGXuEprqMjRtVNDVu5lXhGTpijy-2&amp;usp=drive_copy" TargetMode="External"/><Relationship Id="rId1951" Type="http://schemas.openxmlformats.org/officeDocument/2006/relationships/hyperlink" Target="https://drive.google.com/open?id=1qJmXySNW2ypd74k0yeozpaiqDq71zwpJ&amp;usp=drive_copy" TargetMode="External"/><Relationship Id="rId1952" Type="http://schemas.openxmlformats.org/officeDocument/2006/relationships/hyperlink" Target="https://drive.google.com/open?id=1WPALPjkun0RlSlqN-Q_-bfV1rW8RfpVP&amp;usp=drive_copy" TargetMode="External"/><Relationship Id="rId1953" Type="http://schemas.openxmlformats.org/officeDocument/2006/relationships/hyperlink" Target="https://drive.google.com/open?id=1tbmIubTDBzwHmVd6cy8mZUJH0rMnUWtN&amp;usp=drive_copy" TargetMode="External"/><Relationship Id="rId1954" Type="http://schemas.openxmlformats.org/officeDocument/2006/relationships/hyperlink" Target="https://drive.google.com/open?id=1xcp9JfU6_Y-aDWf4Wqfll957RUUhp557&amp;usp=drive_copy" TargetMode="External"/><Relationship Id="rId1955" Type="http://schemas.openxmlformats.org/officeDocument/2006/relationships/hyperlink" Target="https://drive.google.com/open?id=17V_dSTKUltKvBUOYwtVluaD4QrpD2BiB&amp;usp=drive_copy" TargetMode="External"/><Relationship Id="rId1956" Type="http://schemas.openxmlformats.org/officeDocument/2006/relationships/hyperlink" Target="https://drive.google.com/open?id=1SDlcolPugcy3I01bg0cCPGqyA9BzrJHd&amp;usp=drive_copy" TargetMode="External"/><Relationship Id="rId1957" Type="http://schemas.openxmlformats.org/officeDocument/2006/relationships/hyperlink" Target="https://drive.google.com/open?id=1ReEMAr3g_N_zYt83YuAHtT9nQvAL10b7&amp;usp=drive_copy" TargetMode="External"/><Relationship Id="rId1958" Type="http://schemas.openxmlformats.org/officeDocument/2006/relationships/hyperlink" Target="https://drive.google.com/open?id=1L5-XwdvXzHGeTOvkBId68SYQBooRHGLu&amp;usp=drive_copy" TargetMode="External"/><Relationship Id="rId1959" Type="http://schemas.openxmlformats.org/officeDocument/2006/relationships/hyperlink" Target="https://drive.google.com/open?id=1Wi8LSoYzWMJ4ILTX5Cu30olRzFm3alI3&amp;usp=drive_copy" TargetMode="External"/><Relationship Id="rId1940" Type="http://schemas.openxmlformats.org/officeDocument/2006/relationships/hyperlink" Target="https://drive.google.com/open?id=1PtPvKjTo1VbiVfLpPsjFCDapqbq2FUG4&amp;usp=drive_copy" TargetMode="External"/><Relationship Id="rId1941" Type="http://schemas.openxmlformats.org/officeDocument/2006/relationships/hyperlink" Target="https://drive.google.com/open?id=1pmvCQjSiGPKfAGTIzbmepmmh2OfPDK-W&amp;usp=drive_copy" TargetMode="External"/><Relationship Id="rId1942" Type="http://schemas.openxmlformats.org/officeDocument/2006/relationships/hyperlink" Target="https://drive.google.com/open?id=1n08cOOrnr9oVcHHKRoCCJPNzf2dY4bmD&amp;usp=drive_copy" TargetMode="External"/><Relationship Id="rId1943" Type="http://schemas.openxmlformats.org/officeDocument/2006/relationships/hyperlink" Target="https://drive.google.com/open?id=1whbMBPRXuesIJoxZmSe5VDoTDKAWdp7P&amp;usp=drive_copy" TargetMode="External"/><Relationship Id="rId1944" Type="http://schemas.openxmlformats.org/officeDocument/2006/relationships/hyperlink" Target="https://drive.google.com/open?id=1sxfhzNUU3ak_JrcXjY8EWoNKknOCPtPt&amp;usp=drive_copy" TargetMode="External"/><Relationship Id="rId1945" Type="http://schemas.openxmlformats.org/officeDocument/2006/relationships/hyperlink" Target="https://drive.google.com/open?id=1nmDeUWpfVAj_MmkBsIuWmWzo2Kl6pUlk&amp;usp=drive_copy" TargetMode="External"/><Relationship Id="rId1946" Type="http://schemas.openxmlformats.org/officeDocument/2006/relationships/hyperlink" Target="https://drive.google.com/open?id=1WVgXbJOq9Z6rnmaTDrseo9ay7AjXG3V3&amp;usp=drive_copy" TargetMode="External"/><Relationship Id="rId1947" Type="http://schemas.openxmlformats.org/officeDocument/2006/relationships/hyperlink" Target="https://drive.google.com/open?id=1INB9eNJaA8a10gssSANT9n34hE0yN9X4&amp;usp=drive_copy" TargetMode="External"/><Relationship Id="rId1948" Type="http://schemas.openxmlformats.org/officeDocument/2006/relationships/hyperlink" Target="https://drive.google.com/open?id=1P77_NeUWEezjiCAljPEIUpFrh6VFIl9G&amp;usp=drive_copy" TargetMode="External"/><Relationship Id="rId1949" Type="http://schemas.openxmlformats.org/officeDocument/2006/relationships/hyperlink" Target="https://drive.google.com/open?id=1Bejw1-5qd_P85a4EroM9UyVonW2oeLQI&amp;usp=drive_copy" TargetMode="External"/><Relationship Id="rId1576" Type="http://schemas.openxmlformats.org/officeDocument/2006/relationships/hyperlink" Target="https://drive.google.com/open?id=1UxPptH7EXzJmmP-CzF8sXnG60N8uIoP2&amp;usp=drive_copy" TargetMode="External"/><Relationship Id="rId1577" Type="http://schemas.openxmlformats.org/officeDocument/2006/relationships/hyperlink" Target="https://drive.google.com/open?id=1SAw0Jn_eoHEhi32dJtObB4v-UCeOVt_0&amp;usp=drive_copy" TargetMode="External"/><Relationship Id="rId1578" Type="http://schemas.openxmlformats.org/officeDocument/2006/relationships/hyperlink" Target="https://drive.google.com/open?id=10HK_bNjzMbKmIQ1sIn8GkNsAu1sTVOfe&amp;usp=drive_copy" TargetMode="External"/><Relationship Id="rId1579" Type="http://schemas.openxmlformats.org/officeDocument/2006/relationships/hyperlink" Target="https://drive.google.com/open?id=1O0mUob1lwt4d-t2dkuqtVNxR3ug5wjTf&amp;usp=drive_copy" TargetMode="External"/><Relationship Id="rId509" Type="http://schemas.openxmlformats.org/officeDocument/2006/relationships/hyperlink" Target="https://drive.google.com/open?id=1I-4WKsfb8U3NE12zYDuYGci_OkKdsygS&amp;usp=drive_copy" TargetMode="External"/><Relationship Id="rId508" Type="http://schemas.openxmlformats.org/officeDocument/2006/relationships/hyperlink" Target="https://drive.google.com/open?id=1eT1F_NB-6YNveQmB4y5p6a86It3yW4Y3&amp;usp=drive_copy" TargetMode="External"/><Relationship Id="rId503" Type="http://schemas.openxmlformats.org/officeDocument/2006/relationships/hyperlink" Target="https://drive.google.com/open?id=15OhfnIwGNFT9U5SLFciAD-h4ISNL0MOk&amp;usp=drive_copy" TargetMode="External"/><Relationship Id="rId987" Type="http://schemas.openxmlformats.org/officeDocument/2006/relationships/hyperlink" Target="https://drive.google.com/open?id=1l7Zq0yDBJOM1rZkCKfp06wXot_T4oQIG&amp;usp=drive_copy" TargetMode="External"/><Relationship Id="rId502" Type="http://schemas.openxmlformats.org/officeDocument/2006/relationships/hyperlink" Target="https://drive.google.com/open?id=1ljEdN6J_XLxegC6mlMMb9pDIYmkzHStP&amp;usp=drive_copy" TargetMode="External"/><Relationship Id="rId986" Type="http://schemas.openxmlformats.org/officeDocument/2006/relationships/hyperlink" Target="https://drive.google.com/open?id=1yXHJRfyONDf3f-OqB4QNPBRX6E9dY04Y&amp;usp=drive_copy" TargetMode="External"/><Relationship Id="rId501" Type="http://schemas.openxmlformats.org/officeDocument/2006/relationships/hyperlink" Target="https://drive.google.com/open?id=1JxOkPw2Fu5VTfxCEUDFYc2GiW5ZsqmAK&amp;usp=drive_copy" TargetMode="External"/><Relationship Id="rId985" Type="http://schemas.openxmlformats.org/officeDocument/2006/relationships/hyperlink" Target="https://drive.google.com/open?id=1KGG6-Y7sNKjDr9XwEKDc6lMnXOVtlH_H&amp;usp=drive_copy" TargetMode="External"/><Relationship Id="rId500" Type="http://schemas.openxmlformats.org/officeDocument/2006/relationships/hyperlink" Target="https://drive.google.com/open?id=1gmTaJq1sfIRbavEzp5qKvtQ76TbDL9Q4&amp;usp=drive_copy" TargetMode="External"/><Relationship Id="rId984" Type="http://schemas.openxmlformats.org/officeDocument/2006/relationships/hyperlink" Target="https://drive.google.com/open?id=1u_BKE1b5AYL_y_Q50ts-0rby9Hx6cdQT&amp;usp=drive_copy" TargetMode="External"/><Relationship Id="rId507" Type="http://schemas.openxmlformats.org/officeDocument/2006/relationships/hyperlink" Target="https://drive.google.com/open?id=1N56qemWURiiLndztXHxKejrSjla5udiV&amp;usp=drive_copy" TargetMode="External"/><Relationship Id="rId506" Type="http://schemas.openxmlformats.org/officeDocument/2006/relationships/hyperlink" Target="https://drive.google.com/open?id=1CeU8loGtIYhhrj3OPXxdfZJRKis93O5q&amp;usp=drive_copy" TargetMode="External"/><Relationship Id="rId505" Type="http://schemas.openxmlformats.org/officeDocument/2006/relationships/hyperlink" Target="https://drive.google.com/open?id=1kXc1m7K8pQsU3zlwBUCqa0FvbY4FDXk5&amp;usp=drive_copy" TargetMode="External"/><Relationship Id="rId989" Type="http://schemas.openxmlformats.org/officeDocument/2006/relationships/hyperlink" Target="https://drive.google.com/open?id=1CtR-9Ewp5NLxkZK95MsuHJQmJhZgy4Br&amp;usp=drive_copy" TargetMode="External"/><Relationship Id="rId504" Type="http://schemas.openxmlformats.org/officeDocument/2006/relationships/hyperlink" Target="https://drive.google.com/open?id=1AGmK6j3gKcFHv9WxZDMnu29e8-f97uwC&amp;usp=drive_copy" TargetMode="External"/><Relationship Id="rId988" Type="http://schemas.openxmlformats.org/officeDocument/2006/relationships/hyperlink" Target="https://drive.google.com/open?id=1PziMzuMRadyd3pFAdH3yCmdPTY6diEhL&amp;usp=drive_copy" TargetMode="External"/><Relationship Id="rId1570" Type="http://schemas.openxmlformats.org/officeDocument/2006/relationships/hyperlink" Target="https://drive.google.com/open?id=1LPOgGshlH_ctgth_TlbAkYwbqz7_zyGB&amp;usp=drive_copy" TargetMode="External"/><Relationship Id="rId1571" Type="http://schemas.openxmlformats.org/officeDocument/2006/relationships/hyperlink" Target="https://drive.google.com/open?id=1W7WBf-KSLLJ-AVq0TftmymvheVZeTYOv&amp;usp=drive_copy" TargetMode="External"/><Relationship Id="rId983" Type="http://schemas.openxmlformats.org/officeDocument/2006/relationships/hyperlink" Target="https://drive.google.com/open?id=1c38R7DXoCyiYc5E3LTEZfhxSuZmThCqP&amp;usp=drive_copy" TargetMode="External"/><Relationship Id="rId1572" Type="http://schemas.openxmlformats.org/officeDocument/2006/relationships/hyperlink" Target="https://drive.google.com/open?id=1TH9KFQ5RufD06blRqWbXID16TfdONlFN&amp;usp=drive_copy" TargetMode="External"/><Relationship Id="rId982" Type="http://schemas.openxmlformats.org/officeDocument/2006/relationships/hyperlink" Target="https://drive.google.com/open?id=1NH7fi9NuBfpq08XuYqDJg0eJO3hpVBZA&amp;usp=drive_copy" TargetMode="External"/><Relationship Id="rId1573" Type="http://schemas.openxmlformats.org/officeDocument/2006/relationships/hyperlink" Target="https://drive.google.com/open?id=1cK2zuPzwZ9wiwxthlkUZo1z0HKFI7lHC&amp;usp=drive_copy" TargetMode="External"/><Relationship Id="rId981" Type="http://schemas.openxmlformats.org/officeDocument/2006/relationships/hyperlink" Target="https://drive.google.com/open?id=1NsppPXFOAy0jysHoVNvP2PV81BrHtck4&amp;usp=drive_copy" TargetMode="External"/><Relationship Id="rId1574" Type="http://schemas.openxmlformats.org/officeDocument/2006/relationships/hyperlink" Target="https://drive.google.com/open?id=1K0x3R0nuiD6TxRoN2IY9phuoFbGS4N-C&amp;usp=drive_copy" TargetMode="External"/><Relationship Id="rId980" Type="http://schemas.openxmlformats.org/officeDocument/2006/relationships/hyperlink" Target="https://drive.google.com/open?id=1H5P13iBbyvUxAE1Frt3fIiYOpgSx1zOv&amp;usp=drive_copy" TargetMode="External"/><Relationship Id="rId1575" Type="http://schemas.openxmlformats.org/officeDocument/2006/relationships/hyperlink" Target="https://drive.google.com/open?id=1yFcUJUmS-P7X-qPF2Hi-0mXAagqGazG3&amp;usp=drive_copy" TargetMode="External"/><Relationship Id="rId1565" Type="http://schemas.openxmlformats.org/officeDocument/2006/relationships/hyperlink" Target="https://drive.google.com/open?id=1KYB7Z1xrAgw1n_XqIHnZ-FY-OknEzU8z&amp;usp=drive_copy" TargetMode="External"/><Relationship Id="rId1566" Type="http://schemas.openxmlformats.org/officeDocument/2006/relationships/hyperlink" Target="https://drive.google.com/open?id=1r40KpyXtF5owq5SWc51fX0IEXsNbYfXy&amp;usp=drive_copy" TargetMode="External"/><Relationship Id="rId1567" Type="http://schemas.openxmlformats.org/officeDocument/2006/relationships/hyperlink" Target="https://drive.google.com/open?id=17OuYvKEvDDP4prRbQJCYrBLx20yk0--2&amp;usp=drive_copy" TargetMode="External"/><Relationship Id="rId1568" Type="http://schemas.openxmlformats.org/officeDocument/2006/relationships/hyperlink" Target="https://drive.google.com/open?id=1tPCKTOCfkHDLR3PeZNeMbE_cDIOFaoNJ&amp;usp=drive_copy" TargetMode="External"/><Relationship Id="rId1569" Type="http://schemas.openxmlformats.org/officeDocument/2006/relationships/hyperlink" Target="https://drive.google.com/open?id=1jqrLKQEaHfaKpApTzkmal9fDdxKC1Wj7&amp;usp=drive_copy" TargetMode="External"/><Relationship Id="rId976" Type="http://schemas.openxmlformats.org/officeDocument/2006/relationships/hyperlink" Target="https://drive.google.com/open?id=1CO67zEVhXQL4Bplp2dXGZn3IiNiLrHik&amp;usp=drive_copy" TargetMode="External"/><Relationship Id="rId975" Type="http://schemas.openxmlformats.org/officeDocument/2006/relationships/hyperlink" Target="https://drive.google.com/open?id=1XnISGAXHeLaxwgTmk2SeUxqrKhyg8ALt&amp;usp=drive_copy" TargetMode="External"/><Relationship Id="rId974" Type="http://schemas.openxmlformats.org/officeDocument/2006/relationships/hyperlink" Target="https://drive.google.com/open?id=1OC3r_Z2sVmhejPLnyo9qyhQkqS8yHGWm&amp;usp=drive_copy" TargetMode="External"/><Relationship Id="rId973" Type="http://schemas.openxmlformats.org/officeDocument/2006/relationships/hyperlink" Target="https://drive.google.com/open?id=10Z_uoi_9q3KQOrVZuT-P4KYqyDi-1mVt&amp;usp=drive_copy" TargetMode="External"/><Relationship Id="rId979" Type="http://schemas.openxmlformats.org/officeDocument/2006/relationships/hyperlink" Target="https://drive.google.com/open?id=1Pnxr3JiBfWUbEFZv_pR6-V6u5XPoAWLe&amp;usp=drive_copy" TargetMode="External"/><Relationship Id="rId978" Type="http://schemas.openxmlformats.org/officeDocument/2006/relationships/hyperlink" Target="https://drive.google.com/open?id=1aQIwhCJLLeRRMTJeCiPv_OxXUYX_-2SN&amp;usp=drive_copy" TargetMode="External"/><Relationship Id="rId977" Type="http://schemas.openxmlformats.org/officeDocument/2006/relationships/hyperlink" Target="https://drive.google.com/open?id=1lwNYonMgZ0j1L6YdDzBEGyZWgjpTLGCP&amp;usp=drive_copy" TargetMode="External"/><Relationship Id="rId1560" Type="http://schemas.openxmlformats.org/officeDocument/2006/relationships/hyperlink" Target="https://drive.google.com/open?id=1UBhhQmFTNJmKXT2CnPSiM74Sfqajy4B8&amp;usp=drive_copy" TargetMode="External"/><Relationship Id="rId972" Type="http://schemas.openxmlformats.org/officeDocument/2006/relationships/hyperlink" Target="https://drive.google.com/open?id=1br84_l22x9QHmqBB3JYGQVoLlHTeYLzk&amp;usp=drive_copy" TargetMode="External"/><Relationship Id="rId1561" Type="http://schemas.openxmlformats.org/officeDocument/2006/relationships/hyperlink" Target="https://drive.google.com/open?id=1gD9pmt5D0H5z3SMNvRNq1eaSgSYm-Igz&amp;usp=drive_copy" TargetMode="External"/><Relationship Id="rId971" Type="http://schemas.openxmlformats.org/officeDocument/2006/relationships/hyperlink" Target="https://drive.google.com/open?id=1LarLJJYRZOxQE_7tbgHH7_UGvT_vfVZg&amp;usp=drive_copy" TargetMode="External"/><Relationship Id="rId1562" Type="http://schemas.openxmlformats.org/officeDocument/2006/relationships/hyperlink" Target="https://drive.google.com/open?id=1thJzWh5LLQGDNzZHWf1KzjcQ6Bfew3S7&amp;usp=drive_copy" TargetMode="External"/><Relationship Id="rId970" Type="http://schemas.openxmlformats.org/officeDocument/2006/relationships/hyperlink" Target="https://drive.google.com/open?id=1jo9ksCJgbxgNPcYV5al3iMaofskBv0Wf&amp;usp=drive_copy" TargetMode="External"/><Relationship Id="rId1563" Type="http://schemas.openxmlformats.org/officeDocument/2006/relationships/hyperlink" Target="https://drive.google.com/open?id=1Q2wDPhbKNLqqMLhRzvaOyFxQvXQ4QpCf&amp;usp=drive_copy" TargetMode="External"/><Relationship Id="rId1564" Type="http://schemas.openxmlformats.org/officeDocument/2006/relationships/hyperlink" Target="https://drive.google.com/open?id=119hIMw4FF6WAy5hfmWuHc6J1fm06nWV-&amp;usp=drive_copy" TargetMode="External"/><Relationship Id="rId1114" Type="http://schemas.openxmlformats.org/officeDocument/2006/relationships/hyperlink" Target="https://drive.google.com/open?id=1p_LCKc4UwzhPrlXSjrP7nTbxbI67MDAq&amp;usp=drive_copy" TargetMode="External"/><Relationship Id="rId1598" Type="http://schemas.openxmlformats.org/officeDocument/2006/relationships/hyperlink" Target="https://drive.google.com/open?id=1OHUgKYpMfBI2fEVDTjbdsG_IDeMF3M3v&amp;usp=drive_copy" TargetMode="External"/><Relationship Id="rId1115" Type="http://schemas.openxmlformats.org/officeDocument/2006/relationships/hyperlink" Target="https://drive.google.com/open?id=1e6rqUWf54J2s2iuR0Q0lefgs7CPGLKfQ&amp;usp=drive_copy" TargetMode="External"/><Relationship Id="rId1599" Type="http://schemas.openxmlformats.org/officeDocument/2006/relationships/hyperlink" Target="https://drive.google.com/open?id=1zuy0MSClUEzHeY-FbchqKfzbqOL9c0lf&amp;usp=drive_copy" TargetMode="External"/><Relationship Id="rId1116" Type="http://schemas.openxmlformats.org/officeDocument/2006/relationships/hyperlink" Target="https://drive.google.com/open?id=1zDCMoLnuXywur0i05SWn1pXbfEscl106&amp;usp=drive_copy" TargetMode="External"/><Relationship Id="rId1117" Type="http://schemas.openxmlformats.org/officeDocument/2006/relationships/hyperlink" Target="https://drive.google.com/open?id=1HnzLFOpNw1taRzYI4ldl60_TXa1zbJVl&amp;usp=drive_copy" TargetMode="External"/><Relationship Id="rId1118" Type="http://schemas.openxmlformats.org/officeDocument/2006/relationships/hyperlink" Target="https://drive.google.com/open?id=1G7oHgekjm7HHGH7F6s2Pb3nkAK3PAzRO&amp;usp=drive_copy" TargetMode="External"/><Relationship Id="rId1119" Type="http://schemas.openxmlformats.org/officeDocument/2006/relationships/hyperlink" Target="https://drive.google.com/open?id=15Oq2M7k-R0bi1CA5BOlf9jwqBEmWl-UB&amp;usp=drive_copy" TargetMode="External"/><Relationship Id="rId525" Type="http://schemas.openxmlformats.org/officeDocument/2006/relationships/hyperlink" Target="https://drive.google.com/open?id=1mY65qsAZE-vSaEoqEFfDiRBEWQsfkgTw&amp;usp=drive_copy" TargetMode="External"/><Relationship Id="rId524" Type="http://schemas.openxmlformats.org/officeDocument/2006/relationships/hyperlink" Target="https://drive.google.com/open?id=1ocbHgXUsACq5nQcgPZvbIPhpZuqr9ud2&amp;usp=drive_copy" TargetMode="External"/><Relationship Id="rId523" Type="http://schemas.openxmlformats.org/officeDocument/2006/relationships/hyperlink" Target="https://drive.google.com/open?id=1iR1axUKW6FskK1XZGYZOHa8VYeZa6tXt&amp;usp=drive_copy" TargetMode="External"/><Relationship Id="rId522" Type="http://schemas.openxmlformats.org/officeDocument/2006/relationships/hyperlink" Target="https://drive.google.com/open?id=12UQvVxFLvxCFpZDeVQmM33mKoETQmFJa&amp;usp=drive_copy" TargetMode="External"/><Relationship Id="rId529" Type="http://schemas.openxmlformats.org/officeDocument/2006/relationships/hyperlink" Target="https://drive.google.com/open?id=1ZnPZxiXdywu_22tObnOTO_z3TQbo6Dhf&amp;usp=drive_copy" TargetMode="External"/><Relationship Id="rId528" Type="http://schemas.openxmlformats.org/officeDocument/2006/relationships/hyperlink" Target="https://drive.google.com/open?id=1JWTYwuaJYIprfFeHTR41k3ZskGx-agqO&amp;usp=drive_copy" TargetMode="External"/><Relationship Id="rId527" Type="http://schemas.openxmlformats.org/officeDocument/2006/relationships/hyperlink" Target="https://drive.google.com/open?id=1yoJ_xgZZ9sUlvT9Hp9peqiK9yuPcnPCs&amp;usp=drive_copy" TargetMode="External"/><Relationship Id="rId526" Type="http://schemas.openxmlformats.org/officeDocument/2006/relationships/hyperlink" Target="https://drive.google.com/open?id=1E_sNUPPIs3ME4b9s2a0V2AAtkgfTaEeW&amp;usp=drive_copy" TargetMode="External"/><Relationship Id="rId1590" Type="http://schemas.openxmlformats.org/officeDocument/2006/relationships/hyperlink" Target="https://drive.google.com/open?id=1VHOhHn7lkDvra---nWJjc0lovett-O1p&amp;usp=drive_copy" TargetMode="External"/><Relationship Id="rId1591" Type="http://schemas.openxmlformats.org/officeDocument/2006/relationships/hyperlink" Target="https://drive.google.com/open?id=1Fv8nAxY37Pj0nNx--XkBdbzkzIOzEF-i&amp;usp=drive_copy" TargetMode="External"/><Relationship Id="rId1592" Type="http://schemas.openxmlformats.org/officeDocument/2006/relationships/hyperlink" Target="https://drive.google.com/open?id=1AK-qk7EZ3meS0ESiQrXI34qeJkfA70lT&amp;usp=drive_copy" TargetMode="External"/><Relationship Id="rId1593" Type="http://schemas.openxmlformats.org/officeDocument/2006/relationships/hyperlink" Target="https://drive.google.com/open?id=1dEtAVH8jTY1px3QmtDcjlysyoaVjQPfz&amp;usp=drive_copy" TargetMode="External"/><Relationship Id="rId521" Type="http://schemas.openxmlformats.org/officeDocument/2006/relationships/hyperlink" Target="https://drive.google.com/open?id=1LuKeOKegJEEBlhzq_t9al46D6n2Azxns&amp;usp=drive_copy" TargetMode="External"/><Relationship Id="rId1110" Type="http://schemas.openxmlformats.org/officeDocument/2006/relationships/hyperlink" Target="https://drive.google.com/open?id=1Gz9ceYv9xsPjnMTr_kINudgxlqKm6gWd&amp;usp=drive_copy" TargetMode="External"/><Relationship Id="rId1594" Type="http://schemas.openxmlformats.org/officeDocument/2006/relationships/hyperlink" Target="https://drive.google.com/open?id=1qp68lz-DzttNalKYIbO7btVyq0M_Gha9&amp;usp=drive_copy" TargetMode="External"/><Relationship Id="rId520" Type="http://schemas.openxmlformats.org/officeDocument/2006/relationships/hyperlink" Target="https://drive.google.com/open?id=1UFuK4R2_gmrbpE0AlkuKsv7ooWHB7mi9&amp;usp=drive_copy" TargetMode="External"/><Relationship Id="rId1111" Type="http://schemas.openxmlformats.org/officeDocument/2006/relationships/hyperlink" Target="https://drive.google.com/open?id=1KjOtSdk3Ho7ktJYjzSGxmjOjlCACSy8P&amp;usp=drive_copy" TargetMode="External"/><Relationship Id="rId1595" Type="http://schemas.openxmlformats.org/officeDocument/2006/relationships/hyperlink" Target="https://drive.google.com/open?id=1sgcfpP8qhw4-yIp5PSed5UgvUJX_UBps&amp;usp=drive_copy" TargetMode="External"/><Relationship Id="rId1112" Type="http://schemas.openxmlformats.org/officeDocument/2006/relationships/hyperlink" Target="https://drive.google.com/open?id=1etcv3lDO6j6ZSZy_hX-XKkyqZhY-LzMr&amp;usp=drive_copy" TargetMode="External"/><Relationship Id="rId1596" Type="http://schemas.openxmlformats.org/officeDocument/2006/relationships/hyperlink" Target="https://drive.google.com/open?id=11D99IhhU80kRWPazxxmCT7RJD46Z6-bb&amp;usp=drive_copy" TargetMode="External"/><Relationship Id="rId1113" Type="http://schemas.openxmlformats.org/officeDocument/2006/relationships/hyperlink" Target="https://drive.google.com/open?id=1_U2lP-qpy-T-6GFPJQsSNp1Y_-9X49Re&amp;usp=drive_copy" TargetMode="External"/><Relationship Id="rId1597" Type="http://schemas.openxmlformats.org/officeDocument/2006/relationships/hyperlink" Target="https://drive.google.com/open?id=1VG-vqQw7Fc5RU9jzivJcoYlRiyRJYLC0&amp;usp=drive_copy" TargetMode="External"/><Relationship Id="rId1103" Type="http://schemas.openxmlformats.org/officeDocument/2006/relationships/hyperlink" Target="https://drive.google.com/open?id=1TH3qowF8IouQVI6ZlOkDJHIgaLKX3ydj&amp;usp=drive_copy" TargetMode="External"/><Relationship Id="rId1587" Type="http://schemas.openxmlformats.org/officeDocument/2006/relationships/hyperlink" Target="https://drive.google.com/open?id=1_-WhtCruzm5eGKR1ZwZkxbqfJ782XC6a&amp;usp=drive_copy" TargetMode="External"/><Relationship Id="rId1104" Type="http://schemas.openxmlformats.org/officeDocument/2006/relationships/hyperlink" Target="https://drive.google.com/open?id=1IecVw6fSD_5EKpr-6q7h5tJXP2Bw1cQo&amp;usp=drive_copy" TargetMode="External"/><Relationship Id="rId1588" Type="http://schemas.openxmlformats.org/officeDocument/2006/relationships/hyperlink" Target="https://drive.google.com/open?id=15oeUMJ_vvIOzKXRILbFKetJgK3I5jPLY&amp;usp=drive_copy" TargetMode="External"/><Relationship Id="rId1105" Type="http://schemas.openxmlformats.org/officeDocument/2006/relationships/hyperlink" Target="https://drive.google.com/open?id=14LkN_OeQIKO8SmdlC0CnArA6Jvg0t48J&amp;usp=drive_copy" TargetMode="External"/><Relationship Id="rId1589" Type="http://schemas.openxmlformats.org/officeDocument/2006/relationships/hyperlink" Target="https://drive.google.com/open?id=19ZE0l3snQ_6Dg7M2j8W3_I2aD670kdqM&amp;usp=drive_copy" TargetMode="External"/><Relationship Id="rId1106" Type="http://schemas.openxmlformats.org/officeDocument/2006/relationships/hyperlink" Target="https://drive.google.com/open?id=1nZGYEs5AGp87wRmAjRinGBicEpATRXG4&amp;usp=drive_copy" TargetMode="External"/><Relationship Id="rId1107" Type="http://schemas.openxmlformats.org/officeDocument/2006/relationships/hyperlink" Target="https://drive.google.com/open?id=1_CnskK49MWqLb6pT2tFX3TL2DsQE9l-b&amp;usp=drive_copy" TargetMode="External"/><Relationship Id="rId1108" Type="http://schemas.openxmlformats.org/officeDocument/2006/relationships/hyperlink" Target="https://drive.google.com/open?id=1y8RsNew0-r1nsUOIyeTqcdXWPPpbYpzh&amp;usp=drive_copy" TargetMode="External"/><Relationship Id="rId1109" Type="http://schemas.openxmlformats.org/officeDocument/2006/relationships/hyperlink" Target="https://drive.google.com/open?id=1YLmwe5llMPWZuClmr7WncqkaHUODo_I8&amp;usp=drive_copy" TargetMode="External"/><Relationship Id="rId519" Type="http://schemas.openxmlformats.org/officeDocument/2006/relationships/hyperlink" Target="https://drive.google.com/open?id=1QW031mRMcNGzlnE9FcbINTayazo5iAau&amp;usp=drive_copy" TargetMode="External"/><Relationship Id="rId514" Type="http://schemas.openxmlformats.org/officeDocument/2006/relationships/hyperlink" Target="https://drive.google.com/open?id=1YQ9Gs2xpr5XD-tV7hEsGfBN1mCRZ_nEM&amp;usp=drive_copy" TargetMode="External"/><Relationship Id="rId998" Type="http://schemas.openxmlformats.org/officeDocument/2006/relationships/hyperlink" Target="https://drive.google.com/open?id=1Z9NHMvFuF_Xt7UVFzz0ILF4IazvWYHSG&amp;usp=drive_copy" TargetMode="External"/><Relationship Id="rId513" Type="http://schemas.openxmlformats.org/officeDocument/2006/relationships/hyperlink" Target="https://drive.google.com/open?id=1wN-zpo8hyTROFIsu9pQGp1RZNw6zipwl&amp;usp=drive_copy" TargetMode="External"/><Relationship Id="rId997" Type="http://schemas.openxmlformats.org/officeDocument/2006/relationships/hyperlink" Target="https://drive.google.com/open?id=1C9CdgGSNqQDIJ0Obxwd6vjRvbp7YbSY1&amp;usp=drive_copy" TargetMode="External"/><Relationship Id="rId512" Type="http://schemas.openxmlformats.org/officeDocument/2006/relationships/hyperlink" Target="https://drive.google.com/open?id=1Iliok3FBqgT6y5DPyqpfo8mBC1TqdL76&amp;usp=drive_copy" TargetMode="External"/><Relationship Id="rId996" Type="http://schemas.openxmlformats.org/officeDocument/2006/relationships/hyperlink" Target="https://drive.google.com/open?id=1sk7y7xoYV5wubRCy6HrgGuVpPnYEdiIo&amp;usp=drive_copy" TargetMode="External"/><Relationship Id="rId511" Type="http://schemas.openxmlformats.org/officeDocument/2006/relationships/hyperlink" Target="https://drive.google.com/open?id=1lXPPK7a54SPVbN3ZVVmA3enho8OnZAM2&amp;usp=drive_copy" TargetMode="External"/><Relationship Id="rId995" Type="http://schemas.openxmlformats.org/officeDocument/2006/relationships/hyperlink" Target="https://drive.google.com/open?id=12k85Uqwi6qt34OH32O8upGdgSVewmc0l&amp;usp=drive_copy" TargetMode="External"/><Relationship Id="rId518" Type="http://schemas.openxmlformats.org/officeDocument/2006/relationships/hyperlink" Target="https://drive.google.com/open?id=15hfPci8tHVuJwoJC1RR6uoukw3spy0Ew&amp;usp=drive_copy" TargetMode="External"/><Relationship Id="rId517" Type="http://schemas.openxmlformats.org/officeDocument/2006/relationships/hyperlink" Target="https://drive.google.com/open?id=1Cv-Uk6vqnFApbM92WDshzlfbNv3PT5ql&amp;usp=drive_copy" TargetMode="External"/><Relationship Id="rId516" Type="http://schemas.openxmlformats.org/officeDocument/2006/relationships/hyperlink" Target="https://drive.google.com/open?id=1z1otYHColI0vkf1dwFqYJgKIP8vvslc3&amp;usp=drive_copy" TargetMode="External"/><Relationship Id="rId515" Type="http://schemas.openxmlformats.org/officeDocument/2006/relationships/hyperlink" Target="https://drive.google.com/open?id=1B000yxEzuz1R6gwaMzG9y_iEfx7UaWxI&amp;usp=drive_copy" TargetMode="External"/><Relationship Id="rId999" Type="http://schemas.openxmlformats.org/officeDocument/2006/relationships/hyperlink" Target="https://drive.google.com/open?id=1QwbAkwuds4sgLhAry5dPW_OoRO3TSXNg&amp;usp=drive_copy" TargetMode="External"/><Relationship Id="rId990" Type="http://schemas.openxmlformats.org/officeDocument/2006/relationships/hyperlink" Target="https://drive.google.com/open?id=15wZQ3oDZAMHwhVir4XDEonQgv7iG8fmB&amp;usp=drive_copy" TargetMode="External"/><Relationship Id="rId1580" Type="http://schemas.openxmlformats.org/officeDocument/2006/relationships/hyperlink" Target="https://drive.google.com/open?id=1smWSbkX5nv_Ko9CmWLwTbY1PpWsSmzdD&amp;usp=drive_copy" TargetMode="External"/><Relationship Id="rId1581" Type="http://schemas.openxmlformats.org/officeDocument/2006/relationships/hyperlink" Target="https://drive.google.com/open?id=1q738ml41Z6GTcgfBe4lj0KDUN9aJn5gX&amp;usp=drive_copy" TargetMode="External"/><Relationship Id="rId1582" Type="http://schemas.openxmlformats.org/officeDocument/2006/relationships/hyperlink" Target="https://drive.google.com/open?id=1O9VnUtwRZ2F4gnf95rrv0ldoYHXi4kF3&amp;usp=drive_copy" TargetMode="External"/><Relationship Id="rId510" Type="http://schemas.openxmlformats.org/officeDocument/2006/relationships/hyperlink" Target="https://drive.google.com/open?id=1Qq8U_ucVEm6nF0J-OHWWPI7AO-1Xh-Ls&amp;usp=drive_copy" TargetMode="External"/><Relationship Id="rId994" Type="http://schemas.openxmlformats.org/officeDocument/2006/relationships/hyperlink" Target="https://drive.google.com/open?id=1II7_UGCJDK8Ip1z5kLnuT4KCmLiDShlY&amp;usp=drive_copy" TargetMode="External"/><Relationship Id="rId1583" Type="http://schemas.openxmlformats.org/officeDocument/2006/relationships/hyperlink" Target="https://drive.google.com/open?id=1KwKPJFnqigGea3gzdUQtYdD5iWwx_X_o&amp;usp=drive_copy" TargetMode="External"/><Relationship Id="rId993" Type="http://schemas.openxmlformats.org/officeDocument/2006/relationships/hyperlink" Target="https://drive.google.com/open?id=1u-x1NgzVMfocl22VHPOuR8fI9FTACXs5&amp;usp=drive_copy" TargetMode="External"/><Relationship Id="rId1100" Type="http://schemas.openxmlformats.org/officeDocument/2006/relationships/hyperlink" Target="https://drive.google.com/open?id=1PjjLLHVHqQDx9O8mUdaHt04K6BJQ_Zyu&amp;usp=drive_copy" TargetMode="External"/><Relationship Id="rId1584" Type="http://schemas.openxmlformats.org/officeDocument/2006/relationships/hyperlink" Target="https://drive.google.com/open?id=1digk-sRdBzUe1WchGYHAKWjhT5V56m3h&amp;usp=drive_copy" TargetMode="External"/><Relationship Id="rId992" Type="http://schemas.openxmlformats.org/officeDocument/2006/relationships/hyperlink" Target="https://drive.google.com/open?id=1U90DmW-4_wY3bj1UcADnjq4vp4CNBEng&amp;usp=drive_copy" TargetMode="External"/><Relationship Id="rId1101" Type="http://schemas.openxmlformats.org/officeDocument/2006/relationships/hyperlink" Target="https://drive.google.com/open?id=1PLIIMfw20-k-jKLhEvbkxyJtQlbgrx_7&amp;usp=drive_copy" TargetMode="External"/><Relationship Id="rId1585" Type="http://schemas.openxmlformats.org/officeDocument/2006/relationships/hyperlink" Target="https://drive.google.com/open?id=1OvQD2_s3wuFo_wU_XF9DJZ2uTZLuLJkZ&amp;usp=drive_copy" TargetMode="External"/><Relationship Id="rId991" Type="http://schemas.openxmlformats.org/officeDocument/2006/relationships/hyperlink" Target="https://drive.google.com/open?id=16tBa50ySeI1oU_qdXh0jP0b5dmShz4v-&amp;usp=drive_copy" TargetMode="External"/><Relationship Id="rId1102" Type="http://schemas.openxmlformats.org/officeDocument/2006/relationships/hyperlink" Target="https://drive.google.com/open?id=1XCQnGPB0PKE_-3fOy-rbIgAhAcSsO5IA&amp;usp=drive_copy" TargetMode="External"/><Relationship Id="rId1586" Type="http://schemas.openxmlformats.org/officeDocument/2006/relationships/hyperlink" Target="https://drive.google.com/open?id=1e8tXDR9_ovfqLSsZELR6uO6Ti8d00XNF&amp;usp=drive_copy" TargetMode="External"/><Relationship Id="rId1532" Type="http://schemas.openxmlformats.org/officeDocument/2006/relationships/hyperlink" Target="https://drive.google.com/open?id=1hM-ka7OLbmYBK9gLxxLL0B0sseXY-sGV&amp;usp=drive_copy" TargetMode="External"/><Relationship Id="rId1533" Type="http://schemas.openxmlformats.org/officeDocument/2006/relationships/hyperlink" Target="https://drive.google.com/open?id=1sT2nOQ6IKBCRQd0AE5cddq12Gb6Dfcpu&amp;usp=drive_copy" TargetMode="External"/><Relationship Id="rId1534" Type="http://schemas.openxmlformats.org/officeDocument/2006/relationships/hyperlink" Target="https://drive.google.com/open?id=1Y7IoP2dEmcBXO5qdc1xVpFhZBgx6i6N6&amp;usp=drive_copy" TargetMode="External"/><Relationship Id="rId1535" Type="http://schemas.openxmlformats.org/officeDocument/2006/relationships/hyperlink" Target="https://drive.google.com/open?id=1pj_k7HldwwHm10kP7CKIjidYHpVqNnJs&amp;usp=drive_copy" TargetMode="External"/><Relationship Id="rId1536" Type="http://schemas.openxmlformats.org/officeDocument/2006/relationships/hyperlink" Target="https://drive.google.com/open?id=1YZ3-IMgwlyLmqvlUk6T3txsoIwmGXhTz&amp;usp=drive_copy" TargetMode="External"/><Relationship Id="rId1537" Type="http://schemas.openxmlformats.org/officeDocument/2006/relationships/hyperlink" Target="https://drive.google.com/open?id=1vJcb62uAyt5bNXp-JBjynOqC8hQbF-bx&amp;usp=drive_copy" TargetMode="External"/><Relationship Id="rId1538" Type="http://schemas.openxmlformats.org/officeDocument/2006/relationships/hyperlink" Target="https://drive.google.com/open?id=1z5boWWAlYxNlj6ti4hb4w9mecDLXLLXt&amp;usp=drive_copy" TargetMode="External"/><Relationship Id="rId1539" Type="http://schemas.openxmlformats.org/officeDocument/2006/relationships/hyperlink" Target="https://drive.google.com/open?id=1IHzyZkoj7QkS-4KEm0DY_DuYlgtWRg6i&amp;usp=drive_copy" TargetMode="External"/><Relationship Id="rId949" Type="http://schemas.openxmlformats.org/officeDocument/2006/relationships/hyperlink" Target="https://drive.google.com/open?id=1w5zvvIfuoc5Uw8B64Ns7RYj_xRGgVDDd&amp;usp=drive_copy" TargetMode="External"/><Relationship Id="rId948" Type="http://schemas.openxmlformats.org/officeDocument/2006/relationships/hyperlink" Target="https://drive.google.com/open?id=1wdDtDhw3bESLEeSU6pC7FEoml0sQCP11&amp;usp=drive_copy" TargetMode="External"/><Relationship Id="rId943" Type="http://schemas.openxmlformats.org/officeDocument/2006/relationships/hyperlink" Target="https://drive.google.com/open?id=1T387UlS0Zy6SS6thC3uiD-WDJfCqxuru&amp;usp=drive_copy" TargetMode="External"/><Relationship Id="rId942" Type="http://schemas.openxmlformats.org/officeDocument/2006/relationships/hyperlink" Target="https://drive.google.com/open?id=1dAnNWpdEgH69RlcqfVHiz2Q-CP19gxOd&amp;usp=drive_copy" TargetMode="External"/><Relationship Id="rId941" Type="http://schemas.openxmlformats.org/officeDocument/2006/relationships/hyperlink" Target="https://drive.google.com/open?id=109s0BCBFJGdvQjgYYIFqij2vkPZlM8-s&amp;usp=drive_copy" TargetMode="External"/><Relationship Id="rId940" Type="http://schemas.openxmlformats.org/officeDocument/2006/relationships/hyperlink" Target="https://drive.google.com/open?id=1q13EhY-oWDq8BiyIDOEpQG4CF3hi7tZq&amp;usp=drive_copy" TargetMode="External"/><Relationship Id="rId947" Type="http://schemas.openxmlformats.org/officeDocument/2006/relationships/hyperlink" Target="https://drive.google.com/open?id=1z6aFpD56A_vPFfjC7uobn1Ocfz1gtpYO&amp;usp=drive_copy" TargetMode="External"/><Relationship Id="rId946" Type="http://schemas.openxmlformats.org/officeDocument/2006/relationships/hyperlink" Target="https://drive.google.com/open?id=1RNlA367YB2stoGwQDJMVhUpYZDEggnj3&amp;usp=drive_copy" TargetMode="External"/><Relationship Id="rId945" Type="http://schemas.openxmlformats.org/officeDocument/2006/relationships/hyperlink" Target="https://drive.google.com/open?id=1uQN420otatk8Bvx-F8NdGZin1qnIX6w0&amp;usp=drive_copy" TargetMode="External"/><Relationship Id="rId944" Type="http://schemas.openxmlformats.org/officeDocument/2006/relationships/hyperlink" Target="https://drive.google.com/open?id=1GveSouEQMR5YCR0KcYylWkx39IuHXMjQ&amp;usp=drive_copy" TargetMode="External"/><Relationship Id="rId1530" Type="http://schemas.openxmlformats.org/officeDocument/2006/relationships/hyperlink" Target="https://drive.google.com/open?id=1X39EZjNqN1Y1qLV43f2WAm9UfqCm3Uvy&amp;usp=drive_copy" TargetMode="External"/><Relationship Id="rId1531" Type="http://schemas.openxmlformats.org/officeDocument/2006/relationships/hyperlink" Target="https://drive.google.com/open?id=140sv-GQ245ojx255WC4LLh3QRawX9kgx&amp;usp=drive_copy" TargetMode="External"/><Relationship Id="rId1521" Type="http://schemas.openxmlformats.org/officeDocument/2006/relationships/hyperlink" Target="https://drive.google.com/open?id=1u6gi1OrRt732nrPJpTAy6kkGKQjZjIEQ&amp;usp=drive_copy" TargetMode="External"/><Relationship Id="rId1522" Type="http://schemas.openxmlformats.org/officeDocument/2006/relationships/hyperlink" Target="https://drive.google.com/open?id=1Wrv6QDgBpPxDy6BmQUTw-rEu5XuY6qSD&amp;usp=drive_copy" TargetMode="External"/><Relationship Id="rId1523" Type="http://schemas.openxmlformats.org/officeDocument/2006/relationships/hyperlink" Target="https://drive.google.com/open?id=1g_8wzePd7dVf3kQpO--JH7Jwzw1huZfB&amp;usp=drive_copy" TargetMode="External"/><Relationship Id="rId1524" Type="http://schemas.openxmlformats.org/officeDocument/2006/relationships/hyperlink" Target="https://drive.google.com/open?id=1X0DVgOzVaGFxAWL_iyKn1LX5EaRuCK7y&amp;usp=drive_copy" TargetMode="External"/><Relationship Id="rId1525" Type="http://schemas.openxmlformats.org/officeDocument/2006/relationships/hyperlink" Target="https://drive.google.com/open?id=1UwuKsIngaKi_2reVyEY_sgWGKUAEVx4A&amp;usp=drive_copy" TargetMode="External"/><Relationship Id="rId1526" Type="http://schemas.openxmlformats.org/officeDocument/2006/relationships/hyperlink" Target="https://drive.google.com/open?id=1JVHubXxILGCcx_Du_g62tUwaDHLTGIrd&amp;usp=drive_copy" TargetMode="External"/><Relationship Id="rId1527" Type="http://schemas.openxmlformats.org/officeDocument/2006/relationships/hyperlink" Target="https://drive.google.com/open?id=1RGzET-zjOd5FXA7TD_Xfo0fz4ikfoxmZ&amp;usp=drive_copy" TargetMode="External"/><Relationship Id="rId1528" Type="http://schemas.openxmlformats.org/officeDocument/2006/relationships/hyperlink" Target="https://drive.google.com/open?id=1AxDspkh-h7A6iiMr542c2TRXco8nYXdp&amp;usp=drive_copy" TargetMode="External"/><Relationship Id="rId1529" Type="http://schemas.openxmlformats.org/officeDocument/2006/relationships/hyperlink" Target="https://drive.google.com/open?id=1imvKZdfSiyYs4-DZkhCSwYCAyJZ6l6Z5&amp;usp=drive_copy" TargetMode="External"/><Relationship Id="rId939" Type="http://schemas.openxmlformats.org/officeDocument/2006/relationships/hyperlink" Target="https://drive.google.com/open?id=1yP-TwpRciR-pBQuIUg49qVWy4sopUZek&amp;usp=drive_copy" TargetMode="External"/><Relationship Id="rId938" Type="http://schemas.openxmlformats.org/officeDocument/2006/relationships/hyperlink" Target="https://drive.google.com/open?id=1vDpwW_7kFaDTVvsJOrA-GVUHaYJPp_Gx&amp;usp=drive_copy" TargetMode="External"/><Relationship Id="rId937" Type="http://schemas.openxmlformats.org/officeDocument/2006/relationships/hyperlink" Target="https://drive.google.com/open?id=1SZ-L2pCGdL7QSZW_EcWgkKMTtgD8VeiS&amp;usp=drive_copy" TargetMode="External"/><Relationship Id="rId932" Type="http://schemas.openxmlformats.org/officeDocument/2006/relationships/hyperlink" Target="https://drive.google.com/open?id=17BVCC5dwbE2KpXFb5Cm6bVkzh64XmbIf&amp;usp=drive_copy" TargetMode="External"/><Relationship Id="rId931" Type="http://schemas.openxmlformats.org/officeDocument/2006/relationships/hyperlink" Target="https://drive.google.com/open?id=1FpplvaNHAnj35vR8KG1VQTAKfYqvaxIZ&amp;usp=drive_copy" TargetMode="External"/><Relationship Id="rId930" Type="http://schemas.openxmlformats.org/officeDocument/2006/relationships/hyperlink" Target="https://drive.google.com/open?id=1E6Zb4PKq9yuuZJLadvLj2SIdWhLofXn3&amp;usp=drive_copy" TargetMode="External"/><Relationship Id="rId936" Type="http://schemas.openxmlformats.org/officeDocument/2006/relationships/hyperlink" Target="https://drive.google.com/open?id=1MSYQYYEUmBB0-TmHKuuzonbcO_Z_WBPI&amp;usp=drive_copy" TargetMode="External"/><Relationship Id="rId935" Type="http://schemas.openxmlformats.org/officeDocument/2006/relationships/hyperlink" Target="https://drive.google.com/open?id=1YwAjcVoJPmVt7hkI2Fy12sr_hH2rjaWb&amp;usp=drive_copy" TargetMode="External"/><Relationship Id="rId934" Type="http://schemas.openxmlformats.org/officeDocument/2006/relationships/hyperlink" Target="https://drive.google.com/open?id=15atizzgp_1q4YULx_nWXbbV5F9IVOh7J&amp;usp=drive_copy" TargetMode="External"/><Relationship Id="rId933" Type="http://schemas.openxmlformats.org/officeDocument/2006/relationships/hyperlink" Target="https://drive.google.com/open?id=1nzX2zYoMwJH7h8w1mCa4T7KRIS0gWDlV&amp;usp=drive_copy" TargetMode="External"/><Relationship Id="rId1520" Type="http://schemas.openxmlformats.org/officeDocument/2006/relationships/hyperlink" Target="https://drive.google.com/open?id=1KWLgDjHknIG8xyYVkSqGvg9Z8XD_goBl&amp;usp=drive_copy" TargetMode="External"/><Relationship Id="rId1554" Type="http://schemas.openxmlformats.org/officeDocument/2006/relationships/hyperlink" Target="https://drive.google.com/open?id=1yJVLn0qw_TmoA7GpYwRZBcaozKM5FyVs&amp;usp=drive_copy" TargetMode="External"/><Relationship Id="rId1555" Type="http://schemas.openxmlformats.org/officeDocument/2006/relationships/hyperlink" Target="https://drive.google.com/open?id=1ohuvxg_xMzTMNCtey1vKrPSK8A5Gp9IS&amp;usp=drive_copy" TargetMode="External"/><Relationship Id="rId1556" Type="http://schemas.openxmlformats.org/officeDocument/2006/relationships/hyperlink" Target="https://drive.google.com/open?id=1ORKPMhRxVyftVh3tGJZLkKjZXOzEc-UR&amp;usp=drive_copy" TargetMode="External"/><Relationship Id="rId1557" Type="http://schemas.openxmlformats.org/officeDocument/2006/relationships/hyperlink" Target="https://drive.google.com/open?id=1vt_S7nQjC_2mYwpxnUEg4RqKOeGMEe8R&amp;usp=drive_copy" TargetMode="External"/><Relationship Id="rId1558" Type="http://schemas.openxmlformats.org/officeDocument/2006/relationships/hyperlink" Target="https://drive.google.com/open?id=16TMopDhjsM8maG7YglCTsmR_0LPzQdtt&amp;usp=drive_copy" TargetMode="External"/><Relationship Id="rId1559" Type="http://schemas.openxmlformats.org/officeDocument/2006/relationships/hyperlink" Target="https://drive.google.com/open?id=1VUZ1NIYS45D3MBkb_8EMwlv2UVjMIima&amp;usp=drive_copy" TargetMode="External"/><Relationship Id="rId965" Type="http://schemas.openxmlformats.org/officeDocument/2006/relationships/hyperlink" Target="https://drive.google.com/open?id=1XsnJg1uaGoUqdgYyWx0K4baStHfh34C9&amp;usp=drive_copy" TargetMode="External"/><Relationship Id="rId964" Type="http://schemas.openxmlformats.org/officeDocument/2006/relationships/hyperlink" Target="https://drive.google.com/open?id=1KX-jPZPLoJ7sFs-CGESu_lj40ycK06YV&amp;usp=drive_copy" TargetMode="External"/><Relationship Id="rId963" Type="http://schemas.openxmlformats.org/officeDocument/2006/relationships/hyperlink" Target="https://drive.google.com/open?id=1K6BXIifk-fKvfgzVNBGs1O_M6WZReHfz&amp;usp=drive_copy" TargetMode="External"/><Relationship Id="rId962" Type="http://schemas.openxmlformats.org/officeDocument/2006/relationships/hyperlink" Target="https://drive.google.com/open?id=1HKgZJYcW4OFhIRuIFxPwCx_O_GIYgmUO&amp;usp=drive_copy" TargetMode="External"/><Relationship Id="rId969" Type="http://schemas.openxmlformats.org/officeDocument/2006/relationships/hyperlink" Target="https://drive.google.com/open?id=1MEmoKCUELo4plKvVvztnhrTtutZQFKVM&amp;usp=drive_copy" TargetMode="External"/><Relationship Id="rId968" Type="http://schemas.openxmlformats.org/officeDocument/2006/relationships/hyperlink" Target="https://drive.google.com/open?id=1fIK2h-TGYIzOFq2Tmk8posmepyX1yz01&amp;usp=drive_copy" TargetMode="External"/><Relationship Id="rId967" Type="http://schemas.openxmlformats.org/officeDocument/2006/relationships/hyperlink" Target="https://drive.google.com/open?id=13wfvZMKXT0X9QpI7YsxrlH_IsrHmY1pd&amp;usp=drive_copy" TargetMode="External"/><Relationship Id="rId966" Type="http://schemas.openxmlformats.org/officeDocument/2006/relationships/hyperlink" Target="https://drive.google.com/open?id=13tfgA5aUG7IQiVqnn7HdMN71ljbAmzCd&amp;usp=drive_copy" TargetMode="External"/><Relationship Id="rId961" Type="http://schemas.openxmlformats.org/officeDocument/2006/relationships/hyperlink" Target="https://drive.google.com/open?id=1RWfEqVeJh6pZbgtJOdMKpyLUbxKpk9RX&amp;usp=drive_copy" TargetMode="External"/><Relationship Id="rId1550" Type="http://schemas.openxmlformats.org/officeDocument/2006/relationships/hyperlink" Target="https://drive.google.com/open?id=1hACQVPia-LlF2J4gR4G-KwIGr0w49NLo&amp;usp=drive_copy" TargetMode="External"/><Relationship Id="rId960" Type="http://schemas.openxmlformats.org/officeDocument/2006/relationships/hyperlink" Target="https://drive.google.com/open?id=1waiDFdHxdYkj8JOiIzw4lk4q4sG_0EcS&amp;usp=drive_copy" TargetMode="External"/><Relationship Id="rId1551" Type="http://schemas.openxmlformats.org/officeDocument/2006/relationships/hyperlink" Target="https://drive.google.com/open?id=13l1TFR8UVh31YFfl1U32r8WDrM4IgEM-&amp;usp=drive_copy" TargetMode="External"/><Relationship Id="rId1552" Type="http://schemas.openxmlformats.org/officeDocument/2006/relationships/hyperlink" Target="https://drive.google.com/open?id=1Mxwbnue-cEXok4zqQCvjuLMfvpkWYNIL&amp;usp=drive_copy" TargetMode="External"/><Relationship Id="rId1553" Type="http://schemas.openxmlformats.org/officeDocument/2006/relationships/hyperlink" Target="https://drive.google.com/open?id=1wtfjY90233UMwCCOllErTC6VNnjTaXnf&amp;usp=drive_copy" TargetMode="External"/><Relationship Id="rId1543" Type="http://schemas.openxmlformats.org/officeDocument/2006/relationships/hyperlink" Target="https://drive.google.com/open?id=1Jr4j6Setwoc2R2Zf4FTI8lYOmsqRPgFL&amp;usp=drive_copy" TargetMode="External"/><Relationship Id="rId1544" Type="http://schemas.openxmlformats.org/officeDocument/2006/relationships/hyperlink" Target="https://drive.google.com/open?id=1a7sRJmJWOl6QVeosGxzdQzkpNkM70Ezi&amp;usp=drive_copy" TargetMode="External"/><Relationship Id="rId1545" Type="http://schemas.openxmlformats.org/officeDocument/2006/relationships/hyperlink" Target="https://drive.google.com/open?id=1jCfnHXJlt8TSJ-Jsrmbo_710BjicEp0K&amp;usp=drive_copy" TargetMode="External"/><Relationship Id="rId1546" Type="http://schemas.openxmlformats.org/officeDocument/2006/relationships/hyperlink" Target="https://drive.google.com/open?id=1iwbAcAFyOQfu7Ai6TLKTBxsS16Lgzju4&amp;usp=drive_copy" TargetMode="External"/><Relationship Id="rId1547" Type="http://schemas.openxmlformats.org/officeDocument/2006/relationships/hyperlink" Target="https://drive.google.com/open?id=1B4VaKaIXSDhlkSi4slS5q8QgpfY9hvnr&amp;usp=drive_copy" TargetMode="External"/><Relationship Id="rId1548" Type="http://schemas.openxmlformats.org/officeDocument/2006/relationships/hyperlink" Target="https://drive.google.com/open?id=13rKZx7rYhwjyUAP-sU4NyHHsL5rX4kIY&amp;usp=drive_copy" TargetMode="External"/><Relationship Id="rId1549" Type="http://schemas.openxmlformats.org/officeDocument/2006/relationships/hyperlink" Target="https://drive.google.com/open?id=1mGxCePu8AMygPX3kBPLmreQ0z7WjP5xv&amp;usp=drive_copy" TargetMode="External"/><Relationship Id="rId959" Type="http://schemas.openxmlformats.org/officeDocument/2006/relationships/hyperlink" Target="https://drive.google.com/open?id=1L-YVYuY_epuQ2pl6IG6qozqOz8f2GrrI&amp;usp=drive_copy" TargetMode="External"/><Relationship Id="rId954" Type="http://schemas.openxmlformats.org/officeDocument/2006/relationships/hyperlink" Target="https://drive.google.com/open?id=1bU9hsb1V7sS1yueY18emSROOXcg-8nP-&amp;usp=drive_copy" TargetMode="External"/><Relationship Id="rId953" Type="http://schemas.openxmlformats.org/officeDocument/2006/relationships/hyperlink" Target="https://drive.google.com/open?id=11bB2n3cMf8uTVF9zm90E6h7ux67k4m72&amp;usp=drive_copy" TargetMode="External"/><Relationship Id="rId952" Type="http://schemas.openxmlformats.org/officeDocument/2006/relationships/hyperlink" Target="https://drive.google.com/open?id=1JanFYyzrf6lsXl0meMFIukkZCM92AHIS&amp;usp=drive_copy" TargetMode="External"/><Relationship Id="rId951" Type="http://schemas.openxmlformats.org/officeDocument/2006/relationships/hyperlink" Target="https://drive.google.com/open?id=1zs8DuKf4Xg1e-9rRmwFOsLiQ61Giomw7&amp;usp=drive_copy" TargetMode="External"/><Relationship Id="rId958" Type="http://schemas.openxmlformats.org/officeDocument/2006/relationships/hyperlink" Target="https://drive.google.com/open?id=1l6P0lv9P7Ahth9esHPP6fKP1xeBFm1RZ&amp;usp=drive_copy" TargetMode="External"/><Relationship Id="rId957" Type="http://schemas.openxmlformats.org/officeDocument/2006/relationships/hyperlink" Target="https://drive.google.com/open?id=1lZi73jevmRl8W-NwalhhEL9LWDaziHsG&amp;usp=drive_copy" TargetMode="External"/><Relationship Id="rId956" Type="http://schemas.openxmlformats.org/officeDocument/2006/relationships/hyperlink" Target="https://drive.google.com/open?id=14OGmpjWMc6qv9gpKrwVA6tPa8f4UBXVD&amp;usp=drive_copy" TargetMode="External"/><Relationship Id="rId955" Type="http://schemas.openxmlformats.org/officeDocument/2006/relationships/hyperlink" Target="https://drive.google.com/open?id=1xTXR48g0QiCvItVr-tWM3unT-cjQI7lO&amp;usp=drive_copy" TargetMode="External"/><Relationship Id="rId950" Type="http://schemas.openxmlformats.org/officeDocument/2006/relationships/hyperlink" Target="https://drive.google.com/open?id=1LyWm9M30CkWPFvvgRmwVj1ZVmdIb5Qiy&amp;usp=drive_copy" TargetMode="External"/><Relationship Id="rId1540" Type="http://schemas.openxmlformats.org/officeDocument/2006/relationships/hyperlink" Target="https://drive.google.com/open?id=1xMIg6hPCMNiVuClXYCmELEAKUCKeyVnp&amp;usp=drive_copy" TargetMode="External"/><Relationship Id="rId1541" Type="http://schemas.openxmlformats.org/officeDocument/2006/relationships/hyperlink" Target="https://drive.google.com/open?id=1nPsXKolXMGw1lUV4R-TPhDPx_I8zEAUc&amp;usp=drive_copy" TargetMode="External"/><Relationship Id="rId1542" Type="http://schemas.openxmlformats.org/officeDocument/2006/relationships/hyperlink" Target="https://drive.google.com/open?id=1pkGIP0EdWafLBnsHKwqxw7TAe_JpHIun&amp;usp=drive_copy" TargetMode="External"/><Relationship Id="rId2027" Type="http://schemas.openxmlformats.org/officeDocument/2006/relationships/hyperlink" Target="https://drive.google.com/open?id=1NXa3Tz7chpBtC3NbsZy-kh0bnu-5oaCR&amp;usp=drive_copy" TargetMode="External"/><Relationship Id="rId2028" Type="http://schemas.openxmlformats.org/officeDocument/2006/relationships/hyperlink" Target="https://drive.google.com/open?id=10cYEw_zfWcNc7jDaDpiXASrOk7GD47Pw&amp;usp=drive_copy" TargetMode="External"/><Relationship Id="rId2029" Type="http://schemas.openxmlformats.org/officeDocument/2006/relationships/hyperlink" Target="https://drive.google.com/open?id=1Gh_26GE3bbhDzwHmUqADKr2HNBDdbORN&amp;usp=drive_copy" TargetMode="External"/><Relationship Id="rId590" Type="http://schemas.openxmlformats.org/officeDocument/2006/relationships/hyperlink" Target="https://drive.google.com/open?id=1v2dALHpAnzCTEjjZbIEAZ_Fq1yF9iC_n&amp;usp=drive_copy" TargetMode="External"/><Relationship Id="rId107" Type="http://schemas.openxmlformats.org/officeDocument/2006/relationships/hyperlink" Target="https://drive.google.com/open?id=19FmYMteJr_xPp0IdL1IJs17V4ic4pVNT&amp;usp=drive_copy" TargetMode="External"/><Relationship Id="rId106" Type="http://schemas.openxmlformats.org/officeDocument/2006/relationships/hyperlink" Target="https://drive.google.com/open?id=1jVryPb9rIx0V-cwKGkj2u_mMqJZMLkAN&amp;usp=drive_copy" TargetMode="External"/><Relationship Id="rId105" Type="http://schemas.openxmlformats.org/officeDocument/2006/relationships/hyperlink" Target="https://drive.google.com/open?id=1R_qxHRkLMzujza5YDRnDjgQlvjeH2acm&amp;usp=drive_copy" TargetMode="External"/><Relationship Id="rId589" Type="http://schemas.openxmlformats.org/officeDocument/2006/relationships/hyperlink" Target="https://drive.google.com/open?id=1m4Pg9PsS00WJ4StSYbx4AgHj2onci2hM&amp;usp=drive_copy" TargetMode="External"/><Relationship Id="rId104" Type="http://schemas.openxmlformats.org/officeDocument/2006/relationships/hyperlink" Target="https://drive.google.com/open?id=1fC9l6gG3-4G9HwJT_w94mI8cAqGPwFPR&amp;usp=drive_copy" TargetMode="External"/><Relationship Id="rId588" Type="http://schemas.openxmlformats.org/officeDocument/2006/relationships/hyperlink" Target="https://drive.google.com/open?id=1WhUL-yDVr1A5Z16_kC5ER65nYTqWauP5&amp;usp=drive_copy" TargetMode="External"/><Relationship Id="rId109" Type="http://schemas.openxmlformats.org/officeDocument/2006/relationships/hyperlink" Target="https://drive.google.com/file/d/1Sw5z6BP1YeHPeFs5L5etMNLnGdqSaygv/view?usp=drive_link" TargetMode="External"/><Relationship Id="rId1170" Type="http://schemas.openxmlformats.org/officeDocument/2006/relationships/hyperlink" Target="https://drive.google.com/open?id=1wFpPIBAP8znovSxFoFtl60QWom6GcTks&amp;usp=drive_copy" TargetMode="External"/><Relationship Id="rId108" Type="http://schemas.openxmlformats.org/officeDocument/2006/relationships/hyperlink" Target="https://drive.google.com/open?id=1QUD_PYbOQcx5rzgS44TWgG5JQC3H9TMA&amp;usp=drive_copy" TargetMode="External"/><Relationship Id="rId1171" Type="http://schemas.openxmlformats.org/officeDocument/2006/relationships/hyperlink" Target="https://drive.google.com/open?id=1f-U9bj3-UqPzzG8t7_HptJpnn-SClrg6&amp;usp=drive_copy" TargetMode="External"/><Relationship Id="rId583" Type="http://schemas.openxmlformats.org/officeDocument/2006/relationships/hyperlink" Target="https://drive.google.com/open?id=1jv7QHj_fCWQ-khW8GnGgNYpSpObnmBs8&amp;usp=drive_copy" TargetMode="External"/><Relationship Id="rId1172" Type="http://schemas.openxmlformats.org/officeDocument/2006/relationships/hyperlink" Target="https://drive.google.com/open?id=1pOrFEP9q2zf1VkWOu02SJwmnQrTHNo2M&amp;usp=drive_copy" TargetMode="External"/><Relationship Id="rId582" Type="http://schemas.openxmlformats.org/officeDocument/2006/relationships/hyperlink" Target="https://drive.google.com/open?id=1G74bWp46ujysZLaaZ3HguyYZQeQmVDsG&amp;usp=drive_copy" TargetMode="External"/><Relationship Id="rId1173" Type="http://schemas.openxmlformats.org/officeDocument/2006/relationships/hyperlink" Target="https://drive.google.com/open?id=1t95IO8fbx6v9E7A495CNaB8etEYnEyS7&amp;usp=drive_copy" TargetMode="External"/><Relationship Id="rId2020" Type="http://schemas.openxmlformats.org/officeDocument/2006/relationships/hyperlink" Target="https://drive.google.com/open?id=1EuhFfCis05BR3wNLzhKFHLRYjaxQQHtW&amp;usp=drive_copy" TargetMode="External"/><Relationship Id="rId581" Type="http://schemas.openxmlformats.org/officeDocument/2006/relationships/hyperlink" Target="https://drive.google.com/open?id=1nPZt-iYhgicCuZhZrK8Smh4uC7rGd6vT&amp;usp=drive_copy" TargetMode="External"/><Relationship Id="rId1174" Type="http://schemas.openxmlformats.org/officeDocument/2006/relationships/hyperlink" Target="https://drive.google.com/open?id=1U9jLvGBDkj9brbP1bJYz4wt0zCbnsZp7&amp;usp=drive_copy" TargetMode="External"/><Relationship Id="rId2021" Type="http://schemas.openxmlformats.org/officeDocument/2006/relationships/hyperlink" Target="https://drive.google.com/open?id=1tPecWQDnG3tKYxW4xUb70kjMJpQDzeSk&amp;usp=drive_copy" TargetMode="External"/><Relationship Id="rId580" Type="http://schemas.openxmlformats.org/officeDocument/2006/relationships/hyperlink" Target="https://drive.google.com/open?id=1z5tydVULqvKXT8M0mUiAFFa7QuvTHg9W&amp;usp=drive_copy" TargetMode="External"/><Relationship Id="rId1175" Type="http://schemas.openxmlformats.org/officeDocument/2006/relationships/hyperlink" Target="https://drive.google.com/open?id=1s_l8LkrRacAa3Kr7qrKbnttG4PPkumsv&amp;usp=drive_copy" TargetMode="External"/><Relationship Id="rId2022" Type="http://schemas.openxmlformats.org/officeDocument/2006/relationships/hyperlink" Target="https://drive.google.com/open?id=1ZXq1JRe26xULQKm3If0JKIwPqw90ggdR&amp;usp=drive_copy" TargetMode="External"/><Relationship Id="rId103" Type="http://schemas.openxmlformats.org/officeDocument/2006/relationships/hyperlink" Target="https://drive.google.com/open?id=1weLHggsadeTq8ul68tOXWCat4wPzbE3R&amp;usp=drive_copy" TargetMode="External"/><Relationship Id="rId587" Type="http://schemas.openxmlformats.org/officeDocument/2006/relationships/hyperlink" Target="https://drive.google.com/open?id=1l8G2RmH06RsCbH8oC1q_cLD5N5bnYgVc&amp;usp=drive_copy" TargetMode="External"/><Relationship Id="rId1176" Type="http://schemas.openxmlformats.org/officeDocument/2006/relationships/hyperlink" Target="https://drive.google.com/open?id=1Un0ZZ082_Su0dftm4xGSkEggfGWZIXd9&amp;usp=drive_copy" TargetMode="External"/><Relationship Id="rId2023" Type="http://schemas.openxmlformats.org/officeDocument/2006/relationships/hyperlink" Target="https://drive.google.com/open?id=1X4G3JXtOUg1EEqe-LBcICbvhAfPL1pCq&amp;usp=drive_copy" TargetMode="External"/><Relationship Id="rId102" Type="http://schemas.openxmlformats.org/officeDocument/2006/relationships/hyperlink" Target="https://drive.google.com/open?id=1Bbg6MRLBRjfTcEFiY999Uhtt0ir4VoRt&amp;usp=drive_copy" TargetMode="External"/><Relationship Id="rId586" Type="http://schemas.openxmlformats.org/officeDocument/2006/relationships/hyperlink" Target="https://drive.google.com/open?id=1eJ7zMVKVDmuE6XTp7Wi0VMvfyg-duGp-&amp;usp=drive_copy" TargetMode="External"/><Relationship Id="rId1177" Type="http://schemas.openxmlformats.org/officeDocument/2006/relationships/hyperlink" Target="https://drive.google.com/open?id=1Z6Fa-taORFBFcuet-gpyjLnnE8i_qkva&amp;usp=drive_copy" TargetMode="External"/><Relationship Id="rId2024" Type="http://schemas.openxmlformats.org/officeDocument/2006/relationships/hyperlink" Target="https://drive.google.com/open?id=1uPtgs-u88M83EJfojGqYeEFXAG_5sqtu&amp;usp=drive_copy" TargetMode="External"/><Relationship Id="rId101" Type="http://schemas.openxmlformats.org/officeDocument/2006/relationships/hyperlink" Target="https://drive.google.com/open?id=1w4zwuplfUhsd_ZCxD_5kVpT9lhpzRU0B&amp;usp=drive_copy" TargetMode="External"/><Relationship Id="rId585" Type="http://schemas.openxmlformats.org/officeDocument/2006/relationships/hyperlink" Target="https://drive.google.com/open?id=1Fh4V4AaVtZuaAFNvauisTazFj4az7gmb&amp;usp=drive_copy" TargetMode="External"/><Relationship Id="rId1178" Type="http://schemas.openxmlformats.org/officeDocument/2006/relationships/hyperlink" Target="https://drive.google.com/open?id=1hggBS5TqLWHWs1_bwkQsU-uhhpLc2Nj-&amp;usp=drive_copy" TargetMode="External"/><Relationship Id="rId2025" Type="http://schemas.openxmlformats.org/officeDocument/2006/relationships/hyperlink" Target="https://drive.google.com/open?id=1Mo5baQRMh5qnKQp7FuL43CNS0WpLxE2V&amp;usp=drive_copy" TargetMode="External"/><Relationship Id="rId100" Type="http://schemas.openxmlformats.org/officeDocument/2006/relationships/hyperlink" Target="https://drive.google.com/open?id=1B0-DiQ_cdVu46utGrUrHC1OIk6t8q_yw&amp;usp=drive_copy" TargetMode="External"/><Relationship Id="rId584" Type="http://schemas.openxmlformats.org/officeDocument/2006/relationships/hyperlink" Target="https://drive.google.com/open?id=1xWFbiXWz9by2mxyoLEVUOpHpLSrTGVCd&amp;usp=drive_copy" TargetMode="External"/><Relationship Id="rId1179" Type="http://schemas.openxmlformats.org/officeDocument/2006/relationships/hyperlink" Target="https://drive.google.com/open?id=11tUHIVH0wSLNVa04gMxyyoeFaDYIJ-w3&amp;usp=drive_copy" TargetMode="External"/><Relationship Id="rId2026" Type="http://schemas.openxmlformats.org/officeDocument/2006/relationships/hyperlink" Target="https://drive.google.com/open?id=1JjzMJ67dldM2wDg_NTQbEErO-dbJWgY_&amp;usp=drive_copy" TargetMode="External"/><Relationship Id="rId1169" Type="http://schemas.openxmlformats.org/officeDocument/2006/relationships/hyperlink" Target="https://drive.google.com/open?id=1OJKokyoivUNPlAU2QXZpXw0JbbeBrzrs&amp;usp=drive_copy" TargetMode="External"/><Relationship Id="rId2016" Type="http://schemas.openxmlformats.org/officeDocument/2006/relationships/hyperlink" Target="https://drive.google.com/open?id=1IctoDW60zI_xFoznCSEia9YJs0gx1rmp&amp;usp=drive_copy" TargetMode="External"/><Relationship Id="rId2017" Type="http://schemas.openxmlformats.org/officeDocument/2006/relationships/hyperlink" Target="https://drive.google.com/open?id=15xAy2pUskgHsd0Pyf-DXj8a4wygfwips&amp;usp=drive_copy" TargetMode="External"/><Relationship Id="rId2018" Type="http://schemas.openxmlformats.org/officeDocument/2006/relationships/hyperlink" Target="https://drive.google.com/open?id=1koGRB-_sl3-L_yGicg1oEQzYc510LBHu&amp;usp=drive_copy" TargetMode="External"/><Relationship Id="rId2019" Type="http://schemas.openxmlformats.org/officeDocument/2006/relationships/hyperlink" Target="https://drive.google.com/open?id=1Hd-Tt7k1aC-sKNPxCLd0HD-oDnAZj-vG&amp;usp=drive_copy" TargetMode="External"/><Relationship Id="rId579" Type="http://schemas.openxmlformats.org/officeDocument/2006/relationships/hyperlink" Target="https://drive.google.com/open?id=1IiwqelqfH9c95tG5WxcP0RJ_6aSs9eOC&amp;usp=drive_copy" TargetMode="External"/><Relationship Id="rId578" Type="http://schemas.openxmlformats.org/officeDocument/2006/relationships/hyperlink" Target="https://drive.google.com/open?id=1J1JrHUE2LFtUzexngYFObHXdJQ7QcmGX&amp;usp=drive_copy" TargetMode="External"/><Relationship Id="rId577" Type="http://schemas.openxmlformats.org/officeDocument/2006/relationships/hyperlink" Target="https://drive.google.com/open?id=1XjZ3p6EFXWWVcZ7zsvuHbY6KlPp0YPUo&amp;usp=drive_copy" TargetMode="External"/><Relationship Id="rId1160" Type="http://schemas.openxmlformats.org/officeDocument/2006/relationships/hyperlink" Target="https://drive.google.com/open?id=1BLwMTIwtGkNW1cfivEogArvuLATcCCph&amp;usp=drive_copy" TargetMode="External"/><Relationship Id="rId572" Type="http://schemas.openxmlformats.org/officeDocument/2006/relationships/hyperlink" Target="https://drive.google.com/open?id=1f8AdxX8KVZ7CQBMdLD73BinrA8nBM1FG&amp;usp=drive_copy" TargetMode="External"/><Relationship Id="rId1161" Type="http://schemas.openxmlformats.org/officeDocument/2006/relationships/hyperlink" Target="https://drive.google.com/open?id=19gm0Ym1wdHdQg4IMa6nx4gjlYiydW4AX&amp;usp=drive_copy" TargetMode="External"/><Relationship Id="rId571" Type="http://schemas.openxmlformats.org/officeDocument/2006/relationships/hyperlink" Target="https://drive.google.com/open?id=1TJAy1lrDcJ-Vlis7KImp29hOqTZQ2cGC&amp;usp=drive_copy" TargetMode="External"/><Relationship Id="rId1162" Type="http://schemas.openxmlformats.org/officeDocument/2006/relationships/hyperlink" Target="https://drive.google.com/open?id=1IJ_nVkZ6I018IU24Hii-sE2_jtUZH3zi&amp;usp=drive_copy" TargetMode="External"/><Relationship Id="rId570" Type="http://schemas.openxmlformats.org/officeDocument/2006/relationships/hyperlink" Target="https://drive.google.com/open?id=10LyN0JjSjlTc96WU55Ft_hWsh0JhdLSV&amp;usp=drive_copy" TargetMode="External"/><Relationship Id="rId1163" Type="http://schemas.openxmlformats.org/officeDocument/2006/relationships/hyperlink" Target="https://drive.google.com/open?id=1NgKDT8wLyhhSz8txofQLxJVvEzVnfh4P&amp;usp=drive_copy" TargetMode="External"/><Relationship Id="rId2010" Type="http://schemas.openxmlformats.org/officeDocument/2006/relationships/hyperlink" Target="https://drive.google.com/open?id=1ZIdgNcsteHg9DNOLWbZ5bA4EQkJC7DcP&amp;usp=drive_copy" TargetMode="External"/><Relationship Id="rId1164" Type="http://schemas.openxmlformats.org/officeDocument/2006/relationships/hyperlink" Target="https://drive.google.com/open?id=1qj8khEpzHNRZf_7Ci4ptfTKnW4siRyX1&amp;usp=drive_copy" TargetMode="External"/><Relationship Id="rId2011" Type="http://schemas.openxmlformats.org/officeDocument/2006/relationships/hyperlink" Target="https://drive.google.com/open?id=1bpMUaAuMtoBmgHzWrly_LiEWBDXCvg4a&amp;usp=drive_copy" TargetMode="External"/><Relationship Id="rId576" Type="http://schemas.openxmlformats.org/officeDocument/2006/relationships/hyperlink" Target="https://drive.google.com/open?id=1l-EQGICS8wJAiFKc1D2AoPeciuchzKcO&amp;usp=drive_copy" TargetMode="External"/><Relationship Id="rId1165" Type="http://schemas.openxmlformats.org/officeDocument/2006/relationships/hyperlink" Target="https://drive.google.com/open?id=12RjHznP94m-LG9ykB1L8MJHw26oG9x8s&amp;usp=drive_copy" TargetMode="External"/><Relationship Id="rId2012" Type="http://schemas.openxmlformats.org/officeDocument/2006/relationships/hyperlink" Target="https://drive.google.com/open?id=1RzoahwqYlzQYsqDBwjyhqcp82w29rFUB&amp;usp=drive_copy" TargetMode="External"/><Relationship Id="rId575" Type="http://schemas.openxmlformats.org/officeDocument/2006/relationships/hyperlink" Target="https://drive.google.com/open?id=1IE7TFpTdhbS2AQoxIzAqzt0PC_RK-nLH&amp;usp=drive_copy" TargetMode="External"/><Relationship Id="rId1166" Type="http://schemas.openxmlformats.org/officeDocument/2006/relationships/hyperlink" Target="https://drive.google.com/open?id=1VyOtTFPRKFJnvso7fHqWRZ85FPQjSSrd&amp;usp=drive_copy" TargetMode="External"/><Relationship Id="rId2013" Type="http://schemas.openxmlformats.org/officeDocument/2006/relationships/hyperlink" Target="https://drive.google.com/open?id=1WqbFbLUYR4H1jYet6duow6u_85X27Wnz&amp;usp=drive_copy" TargetMode="External"/><Relationship Id="rId574" Type="http://schemas.openxmlformats.org/officeDocument/2006/relationships/hyperlink" Target="https://drive.google.com/open?id=1jNwwjsWEEH0VdxsLOSju1TgEe_9u486w&amp;usp=drive_copy" TargetMode="External"/><Relationship Id="rId1167" Type="http://schemas.openxmlformats.org/officeDocument/2006/relationships/hyperlink" Target="https://drive.google.com/open?id=1EgR0ZkIwRQ3oTCJYbAqmt_u68qPnd5AL&amp;usp=drive_copy" TargetMode="External"/><Relationship Id="rId2014" Type="http://schemas.openxmlformats.org/officeDocument/2006/relationships/hyperlink" Target="https://drive.google.com/open?id=1dIwp_O91vpx-Iky6j68bJid5G-rK1bIS&amp;usp=drive_copy" TargetMode="External"/><Relationship Id="rId573" Type="http://schemas.openxmlformats.org/officeDocument/2006/relationships/hyperlink" Target="https://drive.google.com/open?id=14geidCYj8fZDgghx-gNgbvZb1IHpsDD2&amp;usp=drive_copy" TargetMode="External"/><Relationship Id="rId1168" Type="http://schemas.openxmlformats.org/officeDocument/2006/relationships/hyperlink" Target="https://drive.google.com/open?id=1AdAGtr_biKlDngYMW98ozbnLwhipL29H&amp;usp=drive_copy" TargetMode="External"/><Relationship Id="rId2015" Type="http://schemas.openxmlformats.org/officeDocument/2006/relationships/hyperlink" Target="https://drive.google.com/open?id=1GhZ47GQMwoqLyHfW2mu90h1u18zXsjsi&amp;usp=drive_copy" TargetMode="External"/><Relationship Id="rId2049" Type="http://schemas.openxmlformats.org/officeDocument/2006/relationships/hyperlink" Target="https://drive.google.com/open?id=1ascZqLbmWfYNUNMwgDuZtr865qSzXijP&amp;usp=drive_copy" TargetMode="External"/><Relationship Id="rId129" Type="http://schemas.openxmlformats.org/officeDocument/2006/relationships/hyperlink" Target="https://drive.google.com/open?id=149OK745lMsWMISCoyq9ur_O5VEnHg5-3&amp;usp=drive_copy" TargetMode="External"/><Relationship Id="rId128" Type="http://schemas.openxmlformats.org/officeDocument/2006/relationships/hyperlink" Target="https://drive.google.com/open?id=1g07uf9VLs1mlJ7GlmxHeGL8Ojg_-bEoo&amp;usp=drive_copy" TargetMode="External"/><Relationship Id="rId127" Type="http://schemas.openxmlformats.org/officeDocument/2006/relationships/hyperlink" Target="https://drive.google.com/open?id=1lODyWiw-LoRpG5h266m1sjiC2baGIN6L&amp;usp=drive_copy" TargetMode="External"/><Relationship Id="rId126" Type="http://schemas.openxmlformats.org/officeDocument/2006/relationships/hyperlink" Target="https://drive.google.com/open?id=1V8RRNSgkJaAS7qbBo9_zBGhQy_cbOOeM&amp;usp=drive_copy" TargetMode="External"/><Relationship Id="rId1190" Type="http://schemas.openxmlformats.org/officeDocument/2006/relationships/hyperlink" Target="https://drive.google.com/open?id=1-lywmUGH9bhx9_lvPZ-tjmLOn0eW92hk&amp;usp=drive_copy" TargetMode="External"/><Relationship Id="rId1191" Type="http://schemas.openxmlformats.org/officeDocument/2006/relationships/hyperlink" Target="https://drive.google.com/open?id=1QZg54dylM-5Vk-LoJkdupWYSNY__Z9E7&amp;usp=drive_copy" TargetMode="External"/><Relationship Id="rId1192" Type="http://schemas.openxmlformats.org/officeDocument/2006/relationships/hyperlink" Target="https://drive.google.com/open?id=1ZQc2_rak5Mc_A-E6mO6ppO2GLj3bL-ZB&amp;usp=drive_copy" TargetMode="External"/><Relationship Id="rId1193" Type="http://schemas.openxmlformats.org/officeDocument/2006/relationships/hyperlink" Target="https://drive.google.com/open?id=1Eum-t_TlJAT4oXHZDyv7Up94ExBR3StZ&amp;usp=drive_copy" TargetMode="External"/><Relationship Id="rId2040" Type="http://schemas.openxmlformats.org/officeDocument/2006/relationships/hyperlink" Target="https://drive.google.com/open?id=1MDiKgEFvPUUnX92aJANflvzFJfN8yosW&amp;usp=drive_copy" TargetMode="External"/><Relationship Id="rId121" Type="http://schemas.openxmlformats.org/officeDocument/2006/relationships/hyperlink" Target="https://drive.google.com/open?id=1ytynRTElMTxBmVUpop8_iBF31nbH5fkn&amp;usp=drive_copy" TargetMode="External"/><Relationship Id="rId1194" Type="http://schemas.openxmlformats.org/officeDocument/2006/relationships/hyperlink" Target="https://drive.google.com/open?id=1XpV4_Y-YhgRpJcidJTNkPa6XAuVYQZiX&amp;usp=drive_copy" TargetMode="External"/><Relationship Id="rId2041" Type="http://schemas.openxmlformats.org/officeDocument/2006/relationships/hyperlink" Target="https://drive.google.com/open?id=1I4nCArRg3VfgYeaem0Kbp08s42M7a8pq&amp;usp=drive_copy" TargetMode="External"/><Relationship Id="rId120" Type="http://schemas.openxmlformats.org/officeDocument/2006/relationships/hyperlink" Target="https://drive.google.com/open?id=1wzKtmYexBHQqgnr0HFVtq9hEE0Z9gszg&amp;usp=drive_copy" TargetMode="External"/><Relationship Id="rId1195" Type="http://schemas.openxmlformats.org/officeDocument/2006/relationships/hyperlink" Target="https://drive.google.com/open?id=1E0CJR3vsUqTOxuDGLCY6rjb_3n2p_Pfm&amp;usp=drive_copy" TargetMode="External"/><Relationship Id="rId2042" Type="http://schemas.openxmlformats.org/officeDocument/2006/relationships/hyperlink" Target="https://drive.google.com/open?id=1qwI-HhqsSWYvio9z1mVgG1OVvzzpmT6V&amp;usp=drive_copy" TargetMode="External"/><Relationship Id="rId1196" Type="http://schemas.openxmlformats.org/officeDocument/2006/relationships/hyperlink" Target="https://drive.google.com/open?id=1lGDXkRjtY6a_eiYo2g5Qq7Epi7uY7uHy&amp;usp=drive_copy" TargetMode="External"/><Relationship Id="rId2043" Type="http://schemas.openxmlformats.org/officeDocument/2006/relationships/hyperlink" Target="https://drive.google.com/open?id=1hOYuC_Fss8tkqwjuid2pI-Ho0C39nOGq&amp;usp=drive_copy" TargetMode="External"/><Relationship Id="rId1197" Type="http://schemas.openxmlformats.org/officeDocument/2006/relationships/hyperlink" Target="https://drive.google.com/open?id=137N0YMwmHaFH2-60K8M5KREyK6eHP1Hf&amp;usp=drive_copy" TargetMode="External"/><Relationship Id="rId2044" Type="http://schemas.openxmlformats.org/officeDocument/2006/relationships/hyperlink" Target="https://drive.google.com/open?id=107TtYAMbx5dM7McWtr0uQ5a9QeGkPu8y&amp;usp=drive_copy" TargetMode="External"/><Relationship Id="rId125" Type="http://schemas.openxmlformats.org/officeDocument/2006/relationships/hyperlink" Target="https://drive.google.com/file/d/1yd9ImuBYLkPj26J0exI1KC4mIvV6clhB/view?usp=drive_link" TargetMode="External"/><Relationship Id="rId1198" Type="http://schemas.openxmlformats.org/officeDocument/2006/relationships/hyperlink" Target="https://drive.google.com/open?id=15ohf6icglZFXysnhRdR_FlQLQ-mulsYz&amp;usp=drive_copy" TargetMode="External"/><Relationship Id="rId2045" Type="http://schemas.openxmlformats.org/officeDocument/2006/relationships/hyperlink" Target="https://drive.google.com/open?id=1unDwWEwYWiWTKvqb5w3QkIHhW1TJSG3p&amp;usp=drive_copy" TargetMode="External"/><Relationship Id="rId124" Type="http://schemas.openxmlformats.org/officeDocument/2006/relationships/hyperlink" Target="https://drive.google.com/open?id=16SVhpj0hdbqb16i7xlnK7PX9ab-kl9h3&amp;usp=drive_copy" TargetMode="External"/><Relationship Id="rId1199" Type="http://schemas.openxmlformats.org/officeDocument/2006/relationships/hyperlink" Target="https://drive.google.com/open?id=1TFQ2qpwUZ8G3jROccwag7EqUcOboOvnQ&amp;usp=drive_copy" TargetMode="External"/><Relationship Id="rId2046" Type="http://schemas.openxmlformats.org/officeDocument/2006/relationships/hyperlink" Target="https://drive.google.com/open?id=1DHhes5cdAeh9H8kdwj7In_bIuuq7v3UD&amp;usp=drive_copy" TargetMode="External"/><Relationship Id="rId123" Type="http://schemas.openxmlformats.org/officeDocument/2006/relationships/hyperlink" Target="https://drive.google.com/open?id=1lDMPUqQHzOBZpE9QdavWdw5GGgh-uPyr&amp;usp=drive_copy" TargetMode="External"/><Relationship Id="rId2047" Type="http://schemas.openxmlformats.org/officeDocument/2006/relationships/hyperlink" Target="https://drive.google.com/open?id=1WZl9kauLYk3ELUfowmcE60vOCB0smHVg&amp;usp=drive_copy" TargetMode="External"/><Relationship Id="rId122" Type="http://schemas.openxmlformats.org/officeDocument/2006/relationships/hyperlink" Target="https://drive.google.com/open?id=1Mpe0ebjHPeEG5hSPmOO9uNbjBDNDsJRT&amp;usp=drive_copy" TargetMode="External"/><Relationship Id="rId2048" Type="http://schemas.openxmlformats.org/officeDocument/2006/relationships/hyperlink" Target="https://drive.google.com/open?id=1l8J7T0PqkLwuWqxp3CAIlDi4EX_jTra-&amp;usp=drive_copy" TargetMode="External"/><Relationship Id="rId2038" Type="http://schemas.openxmlformats.org/officeDocument/2006/relationships/hyperlink" Target="https://drive.google.com/open?id=1UzL5hHZhOhJbIJinchqOr84OvwS1nBJ7&amp;usp=drive_copy" TargetMode="External"/><Relationship Id="rId2039" Type="http://schemas.openxmlformats.org/officeDocument/2006/relationships/hyperlink" Target="https://drive.google.com/open?id=16ES-0XsWyvc_iGnedmE4TY3PQ9bhiLUY&amp;usp=drive_copy" TargetMode="External"/><Relationship Id="rId118" Type="http://schemas.openxmlformats.org/officeDocument/2006/relationships/hyperlink" Target="https://drive.google.com/open?id=1MnaL49DY6nb5wj-r2jTIA-xLRhb89dEv&amp;usp=drive_copy" TargetMode="External"/><Relationship Id="rId117" Type="http://schemas.openxmlformats.org/officeDocument/2006/relationships/hyperlink" Target="https://drive.google.com/open?id=13hKuJzBL3DuvHIOEGJ_zpf3xdugle2ki&amp;usp=drive_copy" TargetMode="External"/><Relationship Id="rId116" Type="http://schemas.openxmlformats.org/officeDocument/2006/relationships/hyperlink" Target="https://drive.google.com/open?id=1pJVc3Os3jhrIHrhCw-G9BZOrtrJ6H97G&amp;usp=drive_copy" TargetMode="External"/><Relationship Id="rId115" Type="http://schemas.openxmlformats.org/officeDocument/2006/relationships/hyperlink" Target="https://drive.google.com/open?id=1K18k-RNhQcGffLxBIVWLdZLyMv7b_LxQ&amp;usp=drive_copy" TargetMode="External"/><Relationship Id="rId599" Type="http://schemas.openxmlformats.org/officeDocument/2006/relationships/hyperlink" Target="https://drive.google.com/open?id=1a98YdwYhnsxyJ8RcSRGDFBE8N-XLtOIl&amp;usp=drive_copy" TargetMode="External"/><Relationship Id="rId1180" Type="http://schemas.openxmlformats.org/officeDocument/2006/relationships/hyperlink" Target="https://drive.google.com/open?id=1cQMoSySVxokcTaNG06ZlXu65qvaaCUox&amp;usp=drive_copy" TargetMode="External"/><Relationship Id="rId1181" Type="http://schemas.openxmlformats.org/officeDocument/2006/relationships/hyperlink" Target="https://drive.google.com/open?id=1CD9d1rwrPU9K9PA46DzpgU4ULFd_poJp&amp;usp=drive_copy" TargetMode="External"/><Relationship Id="rId119" Type="http://schemas.openxmlformats.org/officeDocument/2006/relationships/hyperlink" Target="https://drive.google.com/open?id=15ZLKchPjjGexGJ8dGx6sacB5rVgoBV9n&amp;usp=drive_copy" TargetMode="External"/><Relationship Id="rId1182" Type="http://schemas.openxmlformats.org/officeDocument/2006/relationships/hyperlink" Target="https://drive.google.com/open?id=1ZL-kCcBgkPmtLsoapNQjciWZMhTLASIj&amp;usp=drive_copy" TargetMode="External"/><Relationship Id="rId110" Type="http://schemas.openxmlformats.org/officeDocument/2006/relationships/hyperlink" Target="https://drive.google.com/file/d/1aADBiFbhW_Z3TJyiIz0BlrTrztBHC6Ni/view?usp=drive_link" TargetMode="External"/><Relationship Id="rId594" Type="http://schemas.openxmlformats.org/officeDocument/2006/relationships/hyperlink" Target="https://drive.google.com/open?id=1TXWVsJxSk8pYCysLDiRDXHnqELXMNzIn&amp;usp=drive_copy" TargetMode="External"/><Relationship Id="rId1183" Type="http://schemas.openxmlformats.org/officeDocument/2006/relationships/hyperlink" Target="https://drive.google.com/open?id=1NXiKHJimcMZTG5S99n_cIjKgGLNuNi8q&amp;usp=drive_copy" TargetMode="External"/><Relationship Id="rId2030" Type="http://schemas.openxmlformats.org/officeDocument/2006/relationships/hyperlink" Target="https://drive.google.com/open?id=1_Hby-IlDpDtnpSlvaIeIwbGGN7MsGvjy&amp;usp=drive_copy" TargetMode="External"/><Relationship Id="rId593" Type="http://schemas.openxmlformats.org/officeDocument/2006/relationships/hyperlink" Target="https://drive.google.com/open?id=1ZhYkEYo5bowlwZj3q_K-guaJoL8O_IPA&amp;usp=drive_copy" TargetMode="External"/><Relationship Id="rId1184" Type="http://schemas.openxmlformats.org/officeDocument/2006/relationships/hyperlink" Target="https://drive.google.com/open?id=1XE4BZpiEZk_K-ijotTT6vYvaLInDJJDI&amp;usp=drive_copy" TargetMode="External"/><Relationship Id="rId2031" Type="http://schemas.openxmlformats.org/officeDocument/2006/relationships/hyperlink" Target="https://drive.google.com/open?id=1HSc_Lqyy7kuZoIqZ35-h2XUvJkRkop7R&amp;usp=drive_copy" TargetMode="External"/><Relationship Id="rId592" Type="http://schemas.openxmlformats.org/officeDocument/2006/relationships/hyperlink" Target="https://drive.google.com/open?id=1xt5L0IFp92n_eXJdo8EHQSsbH4LFvdQQ&amp;usp=drive_copy" TargetMode="External"/><Relationship Id="rId1185" Type="http://schemas.openxmlformats.org/officeDocument/2006/relationships/hyperlink" Target="https://drive.google.com/open?id=1eu_UBsicdF25uZyQGC4WxWJXgiTmDtXW&amp;usp=drive_copy" TargetMode="External"/><Relationship Id="rId2032" Type="http://schemas.openxmlformats.org/officeDocument/2006/relationships/hyperlink" Target="https://drive.google.com/open?id=1xtrOvu77Nhgvjoy9fggVaNJLSOtCUWEm&amp;usp=drive_copy" TargetMode="External"/><Relationship Id="rId591" Type="http://schemas.openxmlformats.org/officeDocument/2006/relationships/hyperlink" Target="https://drive.google.com/open?id=193a8qWOTAC993b1zGkuNxqoMG6AfWH7Q&amp;usp=drive_copy" TargetMode="External"/><Relationship Id="rId1186" Type="http://schemas.openxmlformats.org/officeDocument/2006/relationships/hyperlink" Target="https://drive.google.com/open?id=1pr4CnQT0H4vIPZ4qhlFlUwU-JaibteYv&amp;usp=drive_copy" TargetMode="External"/><Relationship Id="rId2033" Type="http://schemas.openxmlformats.org/officeDocument/2006/relationships/hyperlink" Target="https://drive.google.com/open?id=1dycVBSOJvvOZnD4ZvFQ6d7ZC_BQ-ynLX&amp;usp=drive_copy" TargetMode="External"/><Relationship Id="rId114" Type="http://schemas.openxmlformats.org/officeDocument/2006/relationships/hyperlink" Target="https://drive.google.com/open?id=1KTl0DtLexG7mAfCq5jRJpk2hJ_3yVw1j&amp;usp=drive_copy" TargetMode="External"/><Relationship Id="rId598" Type="http://schemas.openxmlformats.org/officeDocument/2006/relationships/hyperlink" Target="https://drive.google.com/open?id=1bdxKp7D4EEjpKc5NYg9A3rx10ZZAW1U3&amp;usp=drive_copy" TargetMode="External"/><Relationship Id="rId1187" Type="http://schemas.openxmlformats.org/officeDocument/2006/relationships/hyperlink" Target="https://drive.google.com/open?id=1w04Yhz163gptFXS6BpNXmWsv1V33m0KY&amp;usp=drive_copy" TargetMode="External"/><Relationship Id="rId2034" Type="http://schemas.openxmlformats.org/officeDocument/2006/relationships/hyperlink" Target="https://drive.google.com/open?id=1Qjob7wM7Ihs74kSy8C6zyk-6MUWqgcKf&amp;usp=drive_copy" TargetMode="External"/><Relationship Id="rId113" Type="http://schemas.openxmlformats.org/officeDocument/2006/relationships/hyperlink" Target="https://drive.google.com/open?id=1XWQf7wm2wBirhTJjq3qNZoDOnJd-ex2d&amp;usp=drive_copy" TargetMode="External"/><Relationship Id="rId597" Type="http://schemas.openxmlformats.org/officeDocument/2006/relationships/hyperlink" Target="https://drive.google.com/open?id=1nDv99kivR62Yh0ZlkytfeKxYL7E4367i&amp;usp=drive_copy" TargetMode="External"/><Relationship Id="rId1188" Type="http://schemas.openxmlformats.org/officeDocument/2006/relationships/hyperlink" Target="https://drive.google.com/open?id=1ep8-iQErV2bKk0A5XPW4CaTeV5Hnoat6&amp;usp=drive_copy" TargetMode="External"/><Relationship Id="rId2035" Type="http://schemas.openxmlformats.org/officeDocument/2006/relationships/hyperlink" Target="https://drive.google.com/open?id=1iCEnyu4BBiQK_Y0UCBJoRB8i2BOclKtV&amp;usp=drive_copy" TargetMode="External"/><Relationship Id="rId112" Type="http://schemas.openxmlformats.org/officeDocument/2006/relationships/hyperlink" Target="https://drive.google.com/open?id=1RAilrpg0TdZQAbfVnfOfsgfcqdHtFDsB&amp;usp=drive_copy" TargetMode="External"/><Relationship Id="rId596" Type="http://schemas.openxmlformats.org/officeDocument/2006/relationships/hyperlink" Target="https://drive.google.com/open?id=1DlqgATyulouPr2FWk3FemPaIFbX6yRdU&amp;usp=drive_copy" TargetMode="External"/><Relationship Id="rId1189" Type="http://schemas.openxmlformats.org/officeDocument/2006/relationships/hyperlink" Target="https://drive.google.com/open?id=1sNJpT1S2m_1RxR2VccuJXNR8tqPWG0Id&amp;usp=drive_copy" TargetMode="External"/><Relationship Id="rId2036" Type="http://schemas.openxmlformats.org/officeDocument/2006/relationships/hyperlink" Target="https://drive.google.com/open?id=1uC-JvQg132PMfbiIusdxMSynmhFSl_b2&amp;usp=drive_copy" TargetMode="External"/><Relationship Id="rId111" Type="http://schemas.openxmlformats.org/officeDocument/2006/relationships/hyperlink" Target="https://drive.google.com/open?id=1FAWC2SENtLkcwHKhnMrXSSU-WRYlO4iR&amp;usp=drive_copy" TargetMode="External"/><Relationship Id="rId595" Type="http://schemas.openxmlformats.org/officeDocument/2006/relationships/hyperlink" Target="https://drive.google.com/open?id=13lMw8qU86AAbfzIGSOOnJRCwHwYhbe8-&amp;usp=drive_copy" TargetMode="External"/><Relationship Id="rId2037" Type="http://schemas.openxmlformats.org/officeDocument/2006/relationships/hyperlink" Target="https://drive.google.com/open?id=1pehpUe4eXvwFfF3S93SeAAiQR7nA0PtB&amp;usp=drive_copy" TargetMode="External"/><Relationship Id="rId1136" Type="http://schemas.openxmlformats.org/officeDocument/2006/relationships/hyperlink" Target="https://drive.google.com/open?id=1hRUe-W7x-YEsobhBZMwoo8v6xaCpMVHn&amp;usp=drive_copy" TargetMode="External"/><Relationship Id="rId1137" Type="http://schemas.openxmlformats.org/officeDocument/2006/relationships/hyperlink" Target="https://drive.google.com/open?id=1PGHhHvkwwlhmvtGcE6P71HeGSFNZ-9-Y&amp;usp=drive_copy" TargetMode="External"/><Relationship Id="rId1138" Type="http://schemas.openxmlformats.org/officeDocument/2006/relationships/hyperlink" Target="https://drive.google.com/open?id=1K70WPzOWCdvxcd5K_tCCKaGkdOzrnL26&amp;usp=drive_copy" TargetMode="External"/><Relationship Id="rId1139" Type="http://schemas.openxmlformats.org/officeDocument/2006/relationships/hyperlink" Target="https://drive.google.com/open?id=1lj3fbXum_iLKGIOn_p3ZdVImiXvyIo6X&amp;usp=drive_copy" TargetMode="External"/><Relationship Id="rId547" Type="http://schemas.openxmlformats.org/officeDocument/2006/relationships/hyperlink" Target="https://drive.google.com/open?id=1_wh-0wv5nRRh0iLUtTk2gEndxQdwWxaI&amp;usp=drive_copy" TargetMode="External"/><Relationship Id="rId546" Type="http://schemas.openxmlformats.org/officeDocument/2006/relationships/hyperlink" Target="https://drive.google.com/open?id=1hNkF6PFsNNllFGohD5z3XEjkCtH4kDL6&amp;usp=drive_copy" TargetMode="External"/><Relationship Id="rId545" Type="http://schemas.openxmlformats.org/officeDocument/2006/relationships/hyperlink" Target="https://drive.google.com/open?id=1fmf8h8UuhMiou-EQ7OMVaSthVkPLzKG4&amp;usp=drive_copy" TargetMode="External"/><Relationship Id="rId544" Type="http://schemas.openxmlformats.org/officeDocument/2006/relationships/hyperlink" Target="https://drive.google.com/open?id=19R5LQgUSC1CnytvCKIIA7Nw6vqy-uoiN&amp;usp=drive_copy" TargetMode="External"/><Relationship Id="rId549" Type="http://schemas.openxmlformats.org/officeDocument/2006/relationships/hyperlink" Target="https://drive.google.com/open?id=14sKDundz6OusoVZokxyrN_Uq2PEq37_m&amp;usp=drive_copy" TargetMode="External"/><Relationship Id="rId548" Type="http://schemas.openxmlformats.org/officeDocument/2006/relationships/hyperlink" Target="https://drive.google.com/open?id=1fWjko6SYDdSnfWtv3KrQK67hMF8YfE0F&amp;usp=drive_copy" TargetMode="External"/><Relationship Id="rId1130" Type="http://schemas.openxmlformats.org/officeDocument/2006/relationships/hyperlink" Target="https://drive.google.com/open?id=1XRKa4637mcRdigriYZo5hsGvSy9dCip5&amp;usp=drive_copy" TargetMode="External"/><Relationship Id="rId1131" Type="http://schemas.openxmlformats.org/officeDocument/2006/relationships/hyperlink" Target="https://drive.google.com/open?id=1aRES4AcLsQKFw7G2SyeO6UtnVFE9NdTB&amp;usp=drive_copy" TargetMode="External"/><Relationship Id="rId543" Type="http://schemas.openxmlformats.org/officeDocument/2006/relationships/hyperlink" Target="https://drive.google.com/open?id=1jsReovibhnQW2gM7zcv4ftyZNMvS6ycI&amp;usp=drive_copy" TargetMode="External"/><Relationship Id="rId1132" Type="http://schemas.openxmlformats.org/officeDocument/2006/relationships/hyperlink" Target="https://drive.google.com/open?id=1qvyyoK99-yulYKw6NrEl0-TmBp99zG1D&amp;usp=drive_copy" TargetMode="External"/><Relationship Id="rId542" Type="http://schemas.openxmlformats.org/officeDocument/2006/relationships/hyperlink" Target="https://drive.google.com/open?id=1sb67Cw1RTSNR-rGdb2zkvhCfdfu4keq6&amp;usp=drive_copy" TargetMode="External"/><Relationship Id="rId1133" Type="http://schemas.openxmlformats.org/officeDocument/2006/relationships/hyperlink" Target="https://drive.google.com/open?id=17JxEQZB7OSx6OMKeNjO4slbM2iSrjdDz&amp;usp=drive_copy" TargetMode="External"/><Relationship Id="rId541" Type="http://schemas.openxmlformats.org/officeDocument/2006/relationships/hyperlink" Target="https://drive.google.com/open?id=1URPutc4bsvpe7-KOKW_XGi1tGZVffdGy&amp;usp=drive_copy" TargetMode="External"/><Relationship Id="rId1134" Type="http://schemas.openxmlformats.org/officeDocument/2006/relationships/hyperlink" Target="https://drive.google.com/open?id=11_R2Nk_mF9j-7NtC6JmY4I1pKmfMQBDE&amp;usp=drive_copy" TargetMode="External"/><Relationship Id="rId540" Type="http://schemas.openxmlformats.org/officeDocument/2006/relationships/hyperlink" Target="https://drive.google.com/open?id=11Ld6PzVSgpXMpS1FtI_XOcuR2rtdIMob&amp;usp=drive_copy" TargetMode="External"/><Relationship Id="rId1135" Type="http://schemas.openxmlformats.org/officeDocument/2006/relationships/hyperlink" Target="https://drive.google.com/open?id=1kGV2ifoeJUn47bw0xt2KdntSxecbbhok&amp;usp=drive_copy" TargetMode="External"/><Relationship Id="rId1125" Type="http://schemas.openxmlformats.org/officeDocument/2006/relationships/hyperlink" Target="https://drive.google.com/open?id=1SjsowuFSyoKj-GXO7gHIcS5asiQXhRQy&amp;usp=drive_copy" TargetMode="External"/><Relationship Id="rId1126" Type="http://schemas.openxmlformats.org/officeDocument/2006/relationships/hyperlink" Target="https://drive.google.com/open?id=17eZsFt5Ysgzttzr0bCHeHta0Z2Bl-7Y1&amp;usp=drive_copy" TargetMode="External"/><Relationship Id="rId1127" Type="http://schemas.openxmlformats.org/officeDocument/2006/relationships/hyperlink" Target="https://drive.google.com/open?id=1AfTt7153TaoRAO-olpzfOEWX88vn-fi5&amp;usp=drive_copy" TargetMode="External"/><Relationship Id="rId1128" Type="http://schemas.openxmlformats.org/officeDocument/2006/relationships/hyperlink" Target="https://drive.google.com/open?id=1B6tqsXpz7VyKhZNJVqWFSca1KrzH9Iqa&amp;usp=drive_copy" TargetMode="External"/><Relationship Id="rId1129" Type="http://schemas.openxmlformats.org/officeDocument/2006/relationships/hyperlink" Target="https://drive.google.com/open?id=19Q1xc9AWIX7id-JAkoeeRSTllwV85o1A&amp;usp=drive_copy" TargetMode="External"/><Relationship Id="rId536" Type="http://schemas.openxmlformats.org/officeDocument/2006/relationships/hyperlink" Target="https://drive.google.com/open?id=1vN_aigqRq311EdxAf9wDyX3x-ywB_g3U&amp;usp=drive_copy" TargetMode="External"/><Relationship Id="rId535" Type="http://schemas.openxmlformats.org/officeDocument/2006/relationships/hyperlink" Target="https://drive.google.com/open?id=1yW6N7UwfJmY1b-clSufjddrz2ZRefSMt&amp;usp=drive_copy" TargetMode="External"/><Relationship Id="rId534" Type="http://schemas.openxmlformats.org/officeDocument/2006/relationships/hyperlink" Target="https://drive.google.com/open?id=1ljV-k1dB_wqMyRz2DU71EFuSOqlTdPzQ&amp;usp=drive_copy" TargetMode="External"/><Relationship Id="rId533" Type="http://schemas.openxmlformats.org/officeDocument/2006/relationships/hyperlink" Target="https://drive.google.com/open?id=1EjmvMjCuv8ZIkQ0rY7pY4T9dstHvUmRY&amp;usp=drive_copy" TargetMode="External"/><Relationship Id="rId539" Type="http://schemas.openxmlformats.org/officeDocument/2006/relationships/hyperlink" Target="https://drive.google.com/open?id=1dgs7zoU0C64x0rHZnY2MVhLvFPUfkfgU&amp;usp=drive_copy" TargetMode="External"/><Relationship Id="rId538" Type="http://schemas.openxmlformats.org/officeDocument/2006/relationships/hyperlink" Target="https://drive.google.com/open?id=17SS9CUyWcVkxB5ej_7fh6e84IsdeHd3d&amp;usp=drive_copy" TargetMode="External"/><Relationship Id="rId537" Type="http://schemas.openxmlformats.org/officeDocument/2006/relationships/hyperlink" Target="https://drive.google.com/open?id=18ZzSRoZhseYZ2fnDP4oh4RyH3KaaBHB_&amp;usp=drive_copy" TargetMode="External"/><Relationship Id="rId1120" Type="http://schemas.openxmlformats.org/officeDocument/2006/relationships/hyperlink" Target="https://drive.google.com/open?id=1K8LvyPN_vj6DYV7MuYI5vL5kUlK2FIrq&amp;usp=drive_copy" TargetMode="External"/><Relationship Id="rId532" Type="http://schemas.openxmlformats.org/officeDocument/2006/relationships/hyperlink" Target="https://drive.google.com/open?id=1iTvGy-6waK5W8pgk8p-TCySd38f9tSz3&amp;usp=drive_copy" TargetMode="External"/><Relationship Id="rId1121" Type="http://schemas.openxmlformats.org/officeDocument/2006/relationships/hyperlink" Target="https://drive.google.com/open?id=1903K6jXEb2HZAsVfCH4h0Bm6IIbsm3e3&amp;usp=drive_copy" TargetMode="External"/><Relationship Id="rId531" Type="http://schemas.openxmlformats.org/officeDocument/2006/relationships/hyperlink" Target="https://drive.google.com/open?id=1inBgQ4BWtoV1O23QFSJGt2B28bE3hrEG&amp;usp=drive_copy" TargetMode="External"/><Relationship Id="rId1122" Type="http://schemas.openxmlformats.org/officeDocument/2006/relationships/hyperlink" Target="https://drive.google.com/open?id=14AMxpxurwhycFIW4Cwae6TiG3aYt4YGB&amp;usp=drive_copy" TargetMode="External"/><Relationship Id="rId530" Type="http://schemas.openxmlformats.org/officeDocument/2006/relationships/hyperlink" Target="https://drive.google.com/open?id=1dMZrg1nDXSC1KcqtL-z4Sw9uybWmdPJU&amp;usp=drive_copy" TargetMode="External"/><Relationship Id="rId1123" Type="http://schemas.openxmlformats.org/officeDocument/2006/relationships/hyperlink" Target="https://drive.google.com/open?id=1rvsbmb2PLlSVhqbbgJG6wom4pjNpUzqH&amp;usp=drive_copy" TargetMode="External"/><Relationship Id="rId1124" Type="http://schemas.openxmlformats.org/officeDocument/2006/relationships/hyperlink" Target="https://drive.google.com/open?id=1Dw72JWszZNp0UMRN_HSfisn05fynFKgG&amp;usp=drive_copy" TargetMode="External"/><Relationship Id="rId1158" Type="http://schemas.openxmlformats.org/officeDocument/2006/relationships/hyperlink" Target="https://drive.google.com/open?id=1ORWURkR_-49CnPXbi0yQyVjheMFagnZC&amp;usp=drive_copy" TargetMode="External"/><Relationship Id="rId2005" Type="http://schemas.openxmlformats.org/officeDocument/2006/relationships/hyperlink" Target="https://drive.google.com/open?id=1l3NTRwZU7rZ3cD4hJE3UIcB_vNfPMhLE&amp;usp=drive_copy" TargetMode="External"/><Relationship Id="rId1159" Type="http://schemas.openxmlformats.org/officeDocument/2006/relationships/hyperlink" Target="https://drive.google.com/open?id=1okvcJBtV2RRtWIiQzTRClENef9SS0-2f&amp;usp=drive_copy" TargetMode="External"/><Relationship Id="rId2006" Type="http://schemas.openxmlformats.org/officeDocument/2006/relationships/hyperlink" Target="https://drive.google.com/open?id=1Ou8VNSs7M1NsmVTwp6myzzsipYfXuGEq&amp;usp=drive_copy" TargetMode="External"/><Relationship Id="rId2007" Type="http://schemas.openxmlformats.org/officeDocument/2006/relationships/hyperlink" Target="https://drive.google.com/open?id=1Uyr27GHu-iZsDKsTXlRglHEWLhZ4Hl5e&amp;usp=drive_copy" TargetMode="External"/><Relationship Id="rId2008" Type="http://schemas.openxmlformats.org/officeDocument/2006/relationships/hyperlink" Target="https://drive.google.com/open?id=1J5f1D5xjcEaiAEOdAruW6ysDW799AJJ4&amp;usp=drive_copy" TargetMode="External"/><Relationship Id="rId2009" Type="http://schemas.openxmlformats.org/officeDocument/2006/relationships/hyperlink" Target="https://drive.google.com/open?id=1VuLt5xZJR3M78WuBn4kFetdDXWTx4wqI&amp;usp=drive_copy" TargetMode="External"/><Relationship Id="rId569" Type="http://schemas.openxmlformats.org/officeDocument/2006/relationships/hyperlink" Target="https://drive.google.com/open?id=1qsgpVYTYF6CSLgMvmKo_ghvKKBEOYnoR&amp;usp=drive_copy" TargetMode="External"/><Relationship Id="rId568" Type="http://schemas.openxmlformats.org/officeDocument/2006/relationships/hyperlink" Target="https://drive.google.com/open?id=1vPaq0RfUqu5tmsAXVtVeqYa0rjCjPTSV&amp;usp=drive_copy" TargetMode="External"/><Relationship Id="rId567" Type="http://schemas.openxmlformats.org/officeDocument/2006/relationships/hyperlink" Target="https://drive.google.com/open?id=16niDgvXlZb6mh4MTQhFEXhBRxaOlOo1d&amp;usp=drive_copy" TargetMode="External"/><Relationship Id="rId566" Type="http://schemas.openxmlformats.org/officeDocument/2006/relationships/hyperlink" Target="https://drive.google.com/open?id=1sbU5xKSuZfaa6Ud1aAWr5DFv9WYtVYn4&amp;usp=drive_copy" TargetMode="External"/><Relationship Id="rId561" Type="http://schemas.openxmlformats.org/officeDocument/2006/relationships/hyperlink" Target="https://drive.google.com/open?id=1Nc4UAMRrmhBooy5tVxQMkQCax0Feeg0Z&amp;usp=drive_copy" TargetMode="External"/><Relationship Id="rId1150" Type="http://schemas.openxmlformats.org/officeDocument/2006/relationships/hyperlink" Target="https://drive.google.com/open?id=1W-EWBMJqxenpggrDF3WMvTnhD3v_W7Zw&amp;usp=drive_copy" TargetMode="External"/><Relationship Id="rId560" Type="http://schemas.openxmlformats.org/officeDocument/2006/relationships/hyperlink" Target="https://drive.google.com/open?id=1DmScOWAwWg_zhyrU0CUrkbJHigph-Fmf&amp;usp=drive_copy" TargetMode="External"/><Relationship Id="rId1151" Type="http://schemas.openxmlformats.org/officeDocument/2006/relationships/hyperlink" Target="https://drive.google.com/open?id=1NHbzB9m5YP31sZXPIG7xXvheMuommoDl&amp;usp=drive_copy" TargetMode="External"/><Relationship Id="rId1152" Type="http://schemas.openxmlformats.org/officeDocument/2006/relationships/hyperlink" Target="https://drive.google.com/open?id=1DwINJDCW88KPofYn0ZPTpipFW__Ka93-&amp;usp=drive_copy" TargetMode="External"/><Relationship Id="rId1153" Type="http://schemas.openxmlformats.org/officeDocument/2006/relationships/hyperlink" Target="https://drive.google.com/open?id=1tG0dtczGY-xICv4WQjjxN73BZx1CWdEC&amp;usp=drive_copy" TargetMode="External"/><Relationship Id="rId2000" Type="http://schemas.openxmlformats.org/officeDocument/2006/relationships/hyperlink" Target="https://drive.google.com/open?id=17fHl2TNDAfVtfrzpw6A1o2_vNNXfOP0_&amp;usp=drive_copy" TargetMode="External"/><Relationship Id="rId565" Type="http://schemas.openxmlformats.org/officeDocument/2006/relationships/hyperlink" Target="https://drive.google.com/open?id=1yeU2UE5HKxNCkG5OXnYUK7zWmJxWbUQG&amp;usp=drive_copy" TargetMode="External"/><Relationship Id="rId1154" Type="http://schemas.openxmlformats.org/officeDocument/2006/relationships/hyperlink" Target="https://drive.google.com/open?id=1mdoFktTOUWY66scwG23ywVumpEvlYUks&amp;usp=drive_copy" TargetMode="External"/><Relationship Id="rId2001" Type="http://schemas.openxmlformats.org/officeDocument/2006/relationships/hyperlink" Target="https://drive.google.com/open?id=1iv8vaB_yIi3gwzTvTwn2QZQRRGT2KSTG&amp;usp=drive_copy" TargetMode="External"/><Relationship Id="rId564" Type="http://schemas.openxmlformats.org/officeDocument/2006/relationships/hyperlink" Target="https://drive.google.com/open?id=14BZwl3a9QvYHfrXa_j-2Uak9bNiojrNJ&amp;usp=drive_copy" TargetMode="External"/><Relationship Id="rId1155" Type="http://schemas.openxmlformats.org/officeDocument/2006/relationships/hyperlink" Target="https://drive.google.com/open?id=17w4ffvIdSmenI1bstI4VWA-i7gwCMadO&amp;usp=drive_copy" TargetMode="External"/><Relationship Id="rId2002" Type="http://schemas.openxmlformats.org/officeDocument/2006/relationships/hyperlink" Target="https://drive.google.com/open?id=1iihvNa0fWmwoUdcTpvMBr5cuMHo_UFHA&amp;usp=drive_copy" TargetMode="External"/><Relationship Id="rId563" Type="http://schemas.openxmlformats.org/officeDocument/2006/relationships/hyperlink" Target="https://drive.google.com/open?id=1dFYhVvwfj0zaSjenfA_uyPi9AI3QU7f5&amp;usp=drive_copy" TargetMode="External"/><Relationship Id="rId1156" Type="http://schemas.openxmlformats.org/officeDocument/2006/relationships/hyperlink" Target="https://drive.google.com/open?id=1VhZjM5BTWMapZAYYaEmQK6hcip49qS-s&amp;usp=drive_copy" TargetMode="External"/><Relationship Id="rId2003" Type="http://schemas.openxmlformats.org/officeDocument/2006/relationships/hyperlink" Target="https://drive.google.com/open?id=1VZV3tL4rFUz8tgRCZDRyCGIxABaaVEum&amp;usp=drive_copy" TargetMode="External"/><Relationship Id="rId562" Type="http://schemas.openxmlformats.org/officeDocument/2006/relationships/hyperlink" Target="https://drive.google.com/open?id=1IpI45TB4RMo014azkIexQpP6MBw1XdyK&amp;usp=drive_copy" TargetMode="External"/><Relationship Id="rId1157" Type="http://schemas.openxmlformats.org/officeDocument/2006/relationships/hyperlink" Target="https://drive.google.com/open?id=1n5YgiJSlRf7hbDmwozwDcql0BQzTnksQ&amp;usp=drive_copy" TargetMode="External"/><Relationship Id="rId2004" Type="http://schemas.openxmlformats.org/officeDocument/2006/relationships/hyperlink" Target="https://drive.google.com/open?id=1oJr7tvoyzb4zvySgCAbA_nIkDBFH4R6c&amp;usp=drive_copy" TargetMode="External"/><Relationship Id="rId1147" Type="http://schemas.openxmlformats.org/officeDocument/2006/relationships/hyperlink" Target="https://drive.google.com/open?id=1HEyTJGJpJYI7qiKLwai-egt2PV21qi6V&amp;usp=drive_copy" TargetMode="External"/><Relationship Id="rId1148" Type="http://schemas.openxmlformats.org/officeDocument/2006/relationships/hyperlink" Target="https://drive.google.com/open?id=1G3rnhZfsyBytmsBgFaJvICgaEW6Tgura&amp;usp=drive_copy" TargetMode="External"/><Relationship Id="rId1149" Type="http://schemas.openxmlformats.org/officeDocument/2006/relationships/hyperlink" Target="https://drive.google.com/open?id=1B8JkjJVnF3I3s1ii2YrheXUg2mPGxEOE&amp;usp=drive_copy" TargetMode="External"/><Relationship Id="rId558" Type="http://schemas.openxmlformats.org/officeDocument/2006/relationships/hyperlink" Target="https://drive.google.com/open?id=1LV2-DJCLOZRKUK6a1w22aAMxT2RwCfFi&amp;usp=drive_copy" TargetMode="External"/><Relationship Id="rId557" Type="http://schemas.openxmlformats.org/officeDocument/2006/relationships/hyperlink" Target="https://drive.google.com/open?id=1D92s6cYngFovoZHjJ1YXva_oW8BCsPtC&amp;usp=drive_copy" TargetMode="External"/><Relationship Id="rId556" Type="http://schemas.openxmlformats.org/officeDocument/2006/relationships/hyperlink" Target="https://drive.google.com/open?id=1LBiQQ6ByGN6IREG1KzN-Mli-J1soIb3F&amp;usp=drive_copy" TargetMode="External"/><Relationship Id="rId555" Type="http://schemas.openxmlformats.org/officeDocument/2006/relationships/hyperlink" Target="https://drive.google.com/open?id=1BkqInlOZ6aCo0MT2AmaDEUKQwvoa9q_X&amp;usp=drive_copy" TargetMode="External"/><Relationship Id="rId559" Type="http://schemas.openxmlformats.org/officeDocument/2006/relationships/hyperlink" Target="https://drive.google.com/open?id=1FcXKzgmC4rXWrpkiiQCN-8RkRC7eVEcM&amp;usp=drive_copy" TargetMode="External"/><Relationship Id="rId550" Type="http://schemas.openxmlformats.org/officeDocument/2006/relationships/hyperlink" Target="https://drive.google.com/open?id=1j7wkUKqKxwKGIzj7SJq-bStJPQTEokqA&amp;usp=drive_copy" TargetMode="External"/><Relationship Id="rId1140" Type="http://schemas.openxmlformats.org/officeDocument/2006/relationships/hyperlink" Target="https://drive.google.com/open?id=1TZIG8bksNpidg-O-mJVfAdHgz9pcXNng&amp;usp=drive_copy" TargetMode="External"/><Relationship Id="rId1141" Type="http://schemas.openxmlformats.org/officeDocument/2006/relationships/hyperlink" Target="https://drive.google.com/open?id=1H1njAYHLcxY0-2XKTFIG7W69680Ej40G&amp;usp=drive_copy" TargetMode="External"/><Relationship Id="rId1142" Type="http://schemas.openxmlformats.org/officeDocument/2006/relationships/hyperlink" Target="https://drive.google.com/open?id=1dIjm79PPOL9O6fNYQNxIT23I0u5mBjvv&amp;usp=drive_copy" TargetMode="External"/><Relationship Id="rId554" Type="http://schemas.openxmlformats.org/officeDocument/2006/relationships/hyperlink" Target="https://drive.google.com/open?id=1cPBlNND7KK4Como41O6LruuS1NAD-xGR&amp;usp=drive_copy" TargetMode="External"/><Relationship Id="rId1143" Type="http://schemas.openxmlformats.org/officeDocument/2006/relationships/hyperlink" Target="https://drive.google.com/open?id=1x4iFXGlXL6hmTbCal_MAksjzkVNIvSmF&amp;usp=drive_copy" TargetMode="External"/><Relationship Id="rId553" Type="http://schemas.openxmlformats.org/officeDocument/2006/relationships/hyperlink" Target="https://drive.google.com/open?id=1U5G9IvJZwqTB2d-cjDL6Wv-xrpo2bztZ&amp;usp=drive_copy" TargetMode="External"/><Relationship Id="rId1144" Type="http://schemas.openxmlformats.org/officeDocument/2006/relationships/hyperlink" Target="https://drive.google.com/open?id=1UrDCaGKqAWF1XZfVyqOFoyhP6QftbdJ3&amp;usp=drive_copy" TargetMode="External"/><Relationship Id="rId552" Type="http://schemas.openxmlformats.org/officeDocument/2006/relationships/hyperlink" Target="https://drive.google.com/open?id=1uH86fcTMhSqlbnBv41arp2JZBWe1gm0b&amp;usp=drive_copy" TargetMode="External"/><Relationship Id="rId1145" Type="http://schemas.openxmlformats.org/officeDocument/2006/relationships/hyperlink" Target="https://drive.google.com/open?id=1XQ1wimhVU-f43QguQze-PmT08JJd2Rai&amp;usp=drive_copy" TargetMode="External"/><Relationship Id="rId551" Type="http://schemas.openxmlformats.org/officeDocument/2006/relationships/hyperlink" Target="https://drive.google.com/open?id=13tXtEekXVs6mm1NKQRQH0a3EIMxdKbse&amp;usp=drive_copy" TargetMode="External"/><Relationship Id="rId1146" Type="http://schemas.openxmlformats.org/officeDocument/2006/relationships/hyperlink" Target="https://drive.google.com/open?id=1yLqhyJtnAAb0S9vy47KrKQEElBbSxLPl&amp;usp=drive_copy" TargetMode="External"/><Relationship Id="rId2090" Type="http://schemas.openxmlformats.org/officeDocument/2006/relationships/hyperlink" Target="https://drive.google.com/open?id=1PHeor0Mb_ycWvZM2eDWqyauLCl6SGZK1&amp;usp=drive_copy" TargetMode="External"/><Relationship Id="rId2091" Type="http://schemas.openxmlformats.org/officeDocument/2006/relationships/hyperlink" Target="https://drive.google.com/open?id=1dzY85DXpg97CPsBDAvJULkG_ssHves0-&amp;usp=drive_copy" TargetMode="External"/><Relationship Id="rId2092" Type="http://schemas.openxmlformats.org/officeDocument/2006/relationships/hyperlink" Target="https://drive.google.com/open?id=1jhx4_DL-VQaOoz_cohip081P7dzFzZBX&amp;usp=drive_copy" TargetMode="External"/><Relationship Id="rId2093" Type="http://schemas.openxmlformats.org/officeDocument/2006/relationships/hyperlink" Target="https://drive.google.com/open?id=1DUtQ1unuODgDkSJ1Kw66VBiUp6mNwJ2P&amp;usp=drive_copy" TargetMode="External"/><Relationship Id="rId2094" Type="http://schemas.openxmlformats.org/officeDocument/2006/relationships/hyperlink" Target="https://drive.google.com/open?id=1e48bXr2m_dLwQQCxLLX6F_ulQhDrSbYp&amp;usp=drive_copy" TargetMode="External"/><Relationship Id="rId2095" Type="http://schemas.openxmlformats.org/officeDocument/2006/relationships/hyperlink" Target="https://drive.google.com/open?id=1h8Za83x2u_i0pnUOTa5ERvIKr9GBCP4Y&amp;usp=drive_copy" TargetMode="External"/><Relationship Id="rId2096" Type="http://schemas.openxmlformats.org/officeDocument/2006/relationships/hyperlink" Target="https://drive.google.com/open?id=17Yi41NXFAb5U_iNBW-uOuahf_EQmjgrs&amp;usp=drive_copy" TargetMode="External"/><Relationship Id="rId2097" Type="http://schemas.openxmlformats.org/officeDocument/2006/relationships/hyperlink" Target="https://drive.google.com/open?id=1XkGXr3jf1JpASAhX0fM9bhl85I6l6sbX&amp;usp=drive_copy" TargetMode="External"/><Relationship Id="rId2098" Type="http://schemas.openxmlformats.org/officeDocument/2006/relationships/hyperlink" Target="https://drive.google.com/open?id=1G_c4444KFA62ZnCuwvwZQrxrwrQIIvW-&amp;usp=drive_copy" TargetMode="External"/><Relationship Id="rId2099" Type="http://schemas.openxmlformats.org/officeDocument/2006/relationships/hyperlink" Target="https://drive.google.com/open?id=14W2M7Qpdgm2oA_3gWF457OcR2Vcwo9N6&amp;usp=drive_copy" TargetMode="External"/><Relationship Id="rId2060" Type="http://schemas.openxmlformats.org/officeDocument/2006/relationships/hyperlink" Target="https://drive.google.com/open?id=1yC1W0UiMSf3f33qJOgTMfA_XTuPP5ruO&amp;usp=drive_copy" TargetMode="External"/><Relationship Id="rId2061" Type="http://schemas.openxmlformats.org/officeDocument/2006/relationships/hyperlink" Target="https://drive.google.com/open?id=1HwJ_RS57PRAampKYOUcac7vjdDEaWC6U&amp;usp=drive_copy" TargetMode="External"/><Relationship Id="rId2062" Type="http://schemas.openxmlformats.org/officeDocument/2006/relationships/hyperlink" Target="https://drive.google.com/open?id=1Uauju8nyFQVCV_NYukjj1UKayuPbjSYy&amp;usp=drive_copy" TargetMode="External"/><Relationship Id="rId2063" Type="http://schemas.openxmlformats.org/officeDocument/2006/relationships/hyperlink" Target="https://drive.google.com/open?id=1bzqkt2DWSVu88pGVZM7LvFjFI3Xi2Kn9&amp;usp=drive_copy" TargetMode="External"/><Relationship Id="rId2064" Type="http://schemas.openxmlformats.org/officeDocument/2006/relationships/hyperlink" Target="https://drive.google.com/open?id=1OPEvpjiG675JnQJdVTxd_87mfhm2tgOV&amp;usp=drive_copy" TargetMode="External"/><Relationship Id="rId2065" Type="http://schemas.openxmlformats.org/officeDocument/2006/relationships/hyperlink" Target="https://drive.google.com/open?id=1leNlLqKSC7YJ6vmElvlvbG21m6BhvaVp&amp;usp=drive_copy" TargetMode="External"/><Relationship Id="rId2066" Type="http://schemas.openxmlformats.org/officeDocument/2006/relationships/hyperlink" Target="https://drive.google.com/open?id=1Z81kkxY9-nSGmCluXrTtv5p_huqF60Bj&amp;usp=drive_copy" TargetMode="External"/><Relationship Id="rId2067" Type="http://schemas.openxmlformats.org/officeDocument/2006/relationships/hyperlink" Target="https://drive.google.com/open?id=1s-ZvP_hqgdPES4IQjRQj354rf6p8iwMC&amp;usp=drive_copy" TargetMode="External"/><Relationship Id="rId2068" Type="http://schemas.openxmlformats.org/officeDocument/2006/relationships/hyperlink" Target="https://drive.google.com/open?id=1ycMe2QiuEsLEW-bX1dO0JgzYdM6QI-Kv&amp;usp=drive_copy" TargetMode="External"/><Relationship Id="rId2069" Type="http://schemas.openxmlformats.org/officeDocument/2006/relationships/hyperlink" Target="https://drive.google.com/open?id=1-wTIqer8MhzIZoZwvMPdJOFwMPNz7jmG&amp;usp=drive_copy" TargetMode="External"/><Relationship Id="rId2050" Type="http://schemas.openxmlformats.org/officeDocument/2006/relationships/hyperlink" Target="https://drive.google.com/open?id=1FviZkUmJbgdWNR_5RbvXFFkLJRYXqIw_&amp;usp=drive_copy" TargetMode="External"/><Relationship Id="rId2051" Type="http://schemas.openxmlformats.org/officeDocument/2006/relationships/hyperlink" Target="https://drive.google.com/open?id=1736SEg0TNPtOeqtdyeHO6fjWflVEBfJc&amp;usp=drive_copy" TargetMode="External"/><Relationship Id="rId495" Type="http://schemas.openxmlformats.org/officeDocument/2006/relationships/hyperlink" Target="https://drive.google.com/open?id=12VUvNRk4qSPT9iGLd4XaXPDUVYF1uVtH&amp;usp=drive_copy" TargetMode="External"/><Relationship Id="rId2052" Type="http://schemas.openxmlformats.org/officeDocument/2006/relationships/hyperlink" Target="https://drive.google.com/open?id=1EdsinmlosGs1EcUZbTNb6dwhD70CfSjX&amp;usp=drive_copy" TargetMode="External"/><Relationship Id="rId494" Type="http://schemas.openxmlformats.org/officeDocument/2006/relationships/hyperlink" Target="https://drive.google.com/open?id=1ao3R1unjB_56VuJEMls6t2gFdqxSbeWw&amp;usp=drive_copy" TargetMode="External"/><Relationship Id="rId2053" Type="http://schemas.openxmlformats.org/officeDocument/2006/relationships/hyperlink" Target="https://drive.google.com/open?id=1FAmVw1-id-KFFux6jeinEIAoNpndFnbB&amp;usp=drive_copy" TargetMode="External"/><Relationship Id="rId493" Type="http://schemas.openxmlformats.org/officeDocument/2006/relationships/hyperlink" Target="https://drive.google.com/open?id=16QxG8q0ktOZAM1O5dBi-sBxWJVJhMpP3&amp;usp=drive_copy" TargetMode="External"/><Relationship Id="rId2054" Type="http://schemas.openxmlformats.org/officeDocument/2006/relationships/hyperlink" Target="https://drive.google.com/open?id=116_gYLsheFViKoGaGkBimqISBB-xvlQa&amp;usp=drive_copy" TargetMode="External"/><Relationship Id="rId492" Type="http://schemas.openxmlformats.org/officeDocument/2006/relationships/hyperlink" Target="https://drive.google.com/open?id=1nF2Wn_DTtlhFyMwWlb8jeVH9O1MA_4hB&amp;usp=drive_copy" TargetMode="External"/><Relationship Id="rId2055" Type="http://schemas.openxmlformats.org/officeDocument/2006/relationships/hyperlink" Target="https://drive.google.com/open?id=1lMh7XOuKDasi12V5Sp7gbrJKlqovIthr&amp;usp=drive_copy" TargetMode="External"/><Relationship Id="rId499" Type="http://schemas.openxmlformats.org/officeDocument/2006/relationships/hyperlink" Target="https://drive.google.com/open?id=1cIWvxrmqyZBervGT3S7XytdiUHCbc9MN&amp;usp=drive_copy" TargetMode="External"/><Relationship Id="rId2056" Type="http://schemas.openxmlformats.org/officeDocument/2006/relationships/hyperlink" Target="https://drive.google.com/open?id=1mIzM2jiAbwGIBi1lJXFC2wT4SHnG1mw-&amp;usp=drive_copy" TargetMode="External"/><Relationship Id="rId498" Type="http://schemas.openxmlformats.org/officeDocument/2006/relationships/hyperlink" Target="https://drive.google.com/open?id=1t45EsRKabotRZLDySDMuQ1tHmh90n6lD&amp;usp=drive_copy" TargetMode="External"/><Relationship Id="rId2057" Type="http://schemas.openxmlformats.org/officeDocument/2006/relationships/hyperlink" Target="https://drive.google.com/open?id=1jKX8yjwQBnQy-uU2IImruoheN26LrjKR&amp;usp=drive_copy" TargetMode="External"/><Relationship Id="rId497" Type="http://schemas.openxmlformats.org/officeDocument/2006/relationships/hyperlink" Target="https://drive.google.com/open?id=1QpyZUgcku0l433pigsjZ3llxBBiVLpFI&amp;usp=drive_copy" TargetMode="External"/><Relationship Id="rId2058" Type="http://schemas.openxmlformats.org/officeDocument/2006/relationships/hyperlink" Target="https://drive.google.com/open?id=1y5B4AUvAyGcD7Fm9ouR-dfyotGNzlWqC&amp;usp=drive_copy" TargetMode="External"/><Relationship Id="rId496" Type="http://schemas.openxmlformats.org/officeDocument/2006/relationships/hyperlink" Target="https://drive.google.com/open?id=1L7lJYabczn9cy2qnmK2cJ5ZBQmAR4faQ&amp;usp=drive_copy" TargetMode="External"/><Relationship Id="rId2059" Type="http://schemas.openxmlformats.org/officeDocument/2006/relationships/hyperlink" Target="https://drive.google.com/open?id=13-j1aXyqwD9jsHSQBB4TX0IgwcVEb7s2&amp;usp=drive_copy" TargetMode="External"/><Relationship Id="rId2080" Type="http://schemas.openxmlformats.org/officeDocument/2006/relationships/hyperlink" Target="https://drive.google.com/open?id=1pyhI9DM3YfGPhHm9QmvsuLzM8LKhSFWq&amp;usp=drive_copy" TargetMode="External"/><Relationship Id="rId2081" Type="http://schemas.openxmlformats.org/officeDocument/2006/relationships/hyperlink" Target="https://drive.google.com/open?id=14ihlHc8NLfD0Aa59Lz_GrALwJ9ahq3M0&amp;usp=drive_copy" TargetMode="External"/><Relationship Id="rId2082" Type="http://schemas.openxmlformats.org/officeDocument/2006/relationships/hyperlink" Target="https://drive.google.com/open?id=1AviwciMQJmIdTw6GQOVkw86Cpaw_8pgs&amp;usp=drive_copy" TargetMode="External"/><Relationship Id="rId2083" Type="http://schemas.openxmlformats.org/officeDocument/2006/relationships/hyperlink" Target="https://drive.google.com/open?id=1IwxBavhuML_WFq0zwBtfezn20P6471kJ&amp;usp=drive_copy" TargetMode="External"/><Relationship Id="rId2084" Type="http://schemas.openxmlformats.org/officeDocument/2006/relationships/hyperlink" Target="https://drive.google.com/open?id=1Yhz0J55HMRmcK1rN7SbbcnKN-Dlb3_0R&amp;usp=drive_copy" TargetMode="External"/><Relationship Id="rId2085" Type="http://schemas.openxmlformats.org/officeDocument/2006/relationships/hyperlink" Target="https://drive.google.com/open?id=1RqCj8bo-uosHt_dnTORuR82yLd6tsOY4&amp;usp=drive_copy" TargetMode="External"/><Relationship Id="rId2086" Type="http://schemas.openxmlformats.org/officeDocument/2006/relationships/hyperlink" Target="https://drive.google.com/open?id=11d2M1FdUSNkzA20-4mwTd_EePPvbLsU9&amp;usp=drive_copy" TargetMode="External"/><Relationship Id="rId2087" Type="http://schemas.openxmlformats.org/officeDocument/2006/relationships/hyperlink" Target="https://drive.google.com/open?id=1RHigJjBP-cdcD9MpqsQo7jeFvkCBbCWZ&amp;usp=drive_copy" TargetMode="External"/><Relationship Id="rId2088" Type="http://schemas.openxmlformats.org/officeDocument/2006/relationships/hyperlink" Target="https://drive.google.com/open?id=12g_SPafdOhqbnRHH9J7zuO2v5y1w1jLC&amp;usp=drive_copy" TargetMode="External"/><Relationship Id="rId2089" Type="http://schemas.openxmlformats.org/officeDocument/2006/relationships/hyperlink" Target="https://drive.google.com/open?id=1MsrhyTx0hsAWQ9Tw97I2CDM3Nln6LS7_&amp;usp=drive_copy" TargetMode="External"/><Relationship Id="rId2070" Type="http://schemas.openxmlformats.org/officeDocument/2006/relationships/hyperlink" Target="https://drive.google.com/open?id=1BEk1lQDB3HwnELLxKlzbDtQdk1wTDyfo&amp;usp=drive_copy" TargetMode="External"/><Relationship Id="rId2071" Type="http://schemas.openxmlformats.org/officeDocument/2006/relationships/hyperlink" Target="https://drive.google.com/open?id=1ouGoreLoVIVKUoNWtQNyxu5p5I4ibEN7&amp;usp=drive_copy" TargetMode="External"/><Relationship Id="rId2072" Type="http://schemas.openxmlformats.org/officeDocument/2006/relationships/hyperlink" Target="https://drive.google.com/open?id=1bUybQuH_D6WhJrvdMzEhbTNfRs0zLj9s&amp;usp=drive_copy" TargetMode="External"/><Relationship Id="rId2073" Type="http://schemas.openxmlformats.org/officeDocument/2006/relationships/hyperlink" Target="https://drive.google.com/open?id=13SG-efg6ijdHGK_BOirLefirqf-UEo8c&amp;usp=drive_copy" TargetMode="External"/><Relationship Id="rId2074" Type="http://schemas.openxmlformats.org/officeDocument/2006/relationships/hyperlink" Target="https://drive.google.com/open?id=1FaNHBaFiO-6CmnqT9DUmWjwu87pJqZ02&amp;usp=drive_copy" TargetMode="External"/><Relationship Id="rId2075" Type="http://schemas.openxmlformats.org/officeDocument/2006/relationships/hyperlink" Target="https://drive.google.com/open?id=1B3mo2Gqgg3BQFt_b3Vls6wCmPRz5v7iB&amp;usp=drive_copy" TargetMode="External"/><Relationship Id="rId2076" Type="http://schemas.openxmlformats.org/officeDocument/2006/relationships/hyperlink" Target="https://drive.google.com/open?id=1xginChgk7sB5N2GAjVxb9UEBOk0kxLJX&amp;usp=drive_copy" TargetMode="External"/><Relationship Id="rId2077" Type="http://schemas.openxmlformats.org/officeDocument/2006/relationships/hyperlink" Target="https://drive.google.com/open?id=1Y_dooSaRmJMmXj3iyXegP_8WEjEIOAU8&amp;usp=drive_copy" TargetMode="External"/><Relationship Id="rId2078" Type="http://schemas.openxmlformats.org/officeDocument/2006/relationships/hyperlink" Target="https://drive.google.com/open?id=1SXcEe01YbF51-GRfg8G8rLlETr_lSl3a&amp;usp=drive_copy" TargetMode="External"/><Relationship Id="rId2079" Type="http://schemas.openxmlformats.org/officeDocument/2006/relationships/hyperlink" Target="https://drive.google.com/open?id=1QHEpVuUPrsH40Hu2H6-NOBhbTjKcBsw9&amp;usp=drive_copy" TargetMode="External"/><Relationship Id="rId1610" Type="http://schemas.openxmlformats.org/officeDocument/2006/relationships/hyperlink" Target="https://drive.google.com/open?id=1sM51PUteWWWQVkaAf0rjdnlx7Mljdp0D&amp;usp=drive_copy" TargetMode="External"/><Relationship Id="rId1611" Type="http://schemas.openxmlformats.org/officeDocument/2006/relationships/hyperlink" Target="https://drive.google.com/open?id=1Rzz7XQwdQx9kAvl9xrXTHuedCOxcMjMt&amp;usp=drive_copy" TargetMode="External"/><Relationship Id="rId1612" Type="http://schemas.openxmlformats.org/officeDocument/2006/relationships/hyperlink" Target="https://drive.google.com/open?id=1yY5H5zZn_zQDqcpxTo0IQ9_Ujyn9KsRn&amp;usp=drive_copy" TargetMode="External"/><Relationship Id="rId1613" Type="http://schemas.openxmlformats.org/officeDocument/2006/relationships/hyperlink" Target="https://drive.google.com/open?id=1uvBZscZ_kDyDW1up10fwbWZUoM80DnBX&amp;usp=drive_copy" TargetMode="External"/><Relationship Id="rId1614" Type="http://schemas.openxmlformats.org/officeDocument/2006/relationships/hyperlink" Target="https://drive.google.com/open?id=1Z80BlZi3aBjZBaLTJzB7XYIZHD8CBm2T&amp;usp=drive_copy" TargetMode="External"/><Relationship Id="rId1615" Type="http://schemas.openxmlformats.org/officeDocument/2006/relationships/hyperlink" Target="https://drive.google.com/open?id=1ZUyTjnoe5kflpY2Nc3yQ8xOHi5XsLZjy&amp;usp=drive_copy" TargetMode="External"/><Relationship Id="rId1616" Type="http://schemas.openxmlformats.org/officeDocument/2006/relationships/hyperlink" Target="https://drive.google.com/open?id=1qI3ex0X9JvfdS6fuOswKm-fviHeGJm2G&amp;usp=drive_copy" TargetMode="External"/><Relationship Id="rId907" Type="http://schemas.openxmlformats.org/officeDocument/2006/relationships/hyperlink" Target="https://drive.google.com/open?id=1zXFKOSIP0fAt--9vkWGc6CwCHjCvRpqb&amp;usp=drive_copy" TargetMode="External"/><Relationship Id="rId1617" Type="http://schemas.openxmlformats.org/officeDocument/2006/relationships/hyperlink" Target="https://drive.google.com/open?id=1t4jV1nDseLaTYaGGV3Wn5FHlnACzEjbK&amp;usp=drive_copy" TargetMode="External"/><Relationship Id="rId906" Type="http://schemas.openxmlformats.org/officeDocument/2006/relationships/hyperlink" Target="https://drive.google.com/open?id=1yYFXW2QPP0Sz8qwfeOIGfi1uygiY6rzb&amp;usp=drive_copy" TargetMode="External"/><Relationship Id="rId1618" Type="http://schemas.openxmlformats.org/officeDocument/2006/relationships/hyperlink" Target="https://drive.google.com/open?id=1_1rh9VeBei7ycW0HNZ61UwmHFs2FOCFE&amp;usp=drive_copy" TargetMode="External"/><Relationship Id="rId905" Type="http://schemas.openxmlformats.org/officeDocument/2006/relationships/hyperlink" Target="https://drive.google.com/open?id=1b-u4ytmiyT0JFQ_yxrXTsEwOFSxejzZ9&amp;usp=drive_copy" TargetMode="External"/><Relationship Id="rId1619" Type="http://schemas.openxmlformats.org/officeDocument/2006/relationships/hyperlink" Target="https://drive.google.com/open?id=1tOabj-a8o3gtbWQ6TT3v9BcNK7MWRm2C&amp;usp=drive_copy" TargetMode="External"/><Relationship Id="rId904" Type="http://schemas.openxmlformats.org/officeDocument/2006/relationships/hyperlink" Target="https://drive.google.com/open?id=1-Ww7s2EymtVa_LEUxZsr6WdMfZgzPDVU&amp;usp=drive_copy" TargetMode="External"/><Relationship Id="rId909" Type="http://schemas.openxmlformats.org/officeDocument/2006/relationships/hyperlink" Target="https://drive.google.com/open?id=1ez88L8aKSn19V6z6nizMXV-IjEoKMKxb&amp;usp=drive_copy" TargetMode="External"/><Relationship Id="rId908" Type="http://schemas.openxmlformats.org/officeDocument/2006/relationships/hyperlink" Target="https://drive.google.com/open?id=12sEllkEy7MxF8TjKpGg0RqkP2rLW9zVh&amp;usp=drive_copy" TargetMode="External"/><Relationship Id="rId903" Type="http://schemas.openxmlformats.org/officeDocument/2006/relationships/hyperlink" Target="https://drive.google.com/open?id=1DZyHSKEO5Urr5FvixEAPSXfeAsNm6sJt&amp;usp=drive_copy" TargetMode="External"/><Relationship Id="rId902" Type="http://schemas.openxmlformats.org/officeDocument/2006/relationships/hyperlink" Target="https://drive.google.com/open?id=1IMkEvKTC6t7sMmq-SXslD8nwKqxD70C8&amp;usp=drive_copy" TargetMode="External"/><Relationship Id="rId901" Type="http://schemas.openxmlformats.org/officeDocument/2006/relationships/hyperlink" Target="https://drive.google.com/open?id=15ahAdMZKvsLURqVV4VqPH3XpZ8xSlUAv&amp;usp=drive_copy" TargetMode="External"/><Relationship Id="rId900" Type="http://schemas.openxmlformats.org/officeDocument/2006/relationships/hyperlink" Target="https://drive.google.com/open?id=16OJZvUDCM18itgjGHVj1hr9NtNsq3Llb&amp;usp=drive_copy" TargetMode="External"/><Relationship Id="rId1600" Type="http://schemas.openxmlformats.org/officeDocument/2006/relationships/hyperlink" Target="https://drive.google.com/open?id=1YYrXg2aOjJmN-gxkGyfAZdVbHODPq4BT&amp;usp=drive_copy" TargetMode="External"/><Relationship Id="rId1601" Type="http://schemas.openxmlformats.org/officeDocument/2006/relationships/hyperlink" Target="https://drive.google.com/open?id=1sCYU3ZSJQRVw62llvIZUwryRKyZ_h_f6&amp;usp=drive_copy" TargetMode="External"/><Relationship Id="rId1602" Type="http://schemas.openxmlformats.org/officeDocument/2006/relationships/hyperlink" Target="https://drive.google.com/open?id=1lCR2cM4o5Mbdp3x3AKKugIm3f-sbH9Of&amp;usp=drive_copy" TargetMode="External"/><Relationship Id="rId1603" Type="http://schemas.openxmlformats.org/officeDocument/2006/relationships/hyperlink" Target="https://drive.google.com/open?id=1tppW4IYOO0W7bf50TvX-_8gWDSrh9iE8&amp;usp=drive_copy" TargetMode="External"/><Relationship Id="rId1604" Type="http://schemas.openxmlformats.org/officeDocument/2006/relationships/hyperlink" Target="https://drive.google.com/open?id=1OeXNrzN8ySU2yi_3UBPYrTXxukUjS5qW&amp;usp=drive_copy" TargetMode="External"/><Relationship Id="rId1605" Type="http://schemas.openxmlformats.org/officeDocument/2006/relationships/hyperlink" Target="https://drive.google.com/open?id=1CxH6kuJ7ftCyqiFbxSkCCmpnK0iG6uFx&amp;usp=drive_copy" TargetMode="External"/><Relationship Id="rId1606" Type="http://schemas.openxmlformats.org/officeDocument/2006/relationships/hyperlink" Target="https://drive.google.com/open?id=1v73EtWKeDBLj9yxC4ZdVFXkLMypIRFxx&amp;usp=drive_copy" TargetMode="External"/><Relationship Id="rId1607" Type="http://schemas.openxmlformats.org/officeDocument/2006/relationships/hyperlink" Target="https://drive.google.com/open?id=16iZoV8DofglBx-Q52kggTUx1dgHULeeS&amp;usp=drive_copy" TargetMode="External"/><Relationship Id="rId1608" Type="http://schemas.openxmlformats.org/officeDocument/2006/relationships/hyperlink" Target="https://drive.google.com/open?id=1Aw5wrMnlAzp-oMtGJXZbZo5P-YlQSr5m&amp;usp=drive_copy" TargetMode="External"/><Relationship Id="rId1609" Type="http://schemas.openxmlformats.org/officeDocument/2006/relationships/hyperlink" Target="https://drive.google.com/open?id=1UegjBj7_GeO9RxVno_Ju9tFRBjB6ASxV&amp;usp=drive_copy" TargetMode="External"/><Relationship Id="rId1631" Type="http://schemas.openxmlformats.org/officeDocument/2006/relationships/hyperlink" Target="https://drive.google.com/open?id=1MaJXM9BbiHAFpYPfj1vuel7qjKSoVh_F&amp;usp=drive_copy" TargetMode="External"/><Relationship Id="rId1632" Type="http://schemas.openxmlformats.org/officeDocument/2006/relationships/hyperlink" Target="https://drive.google.com/open?id=1lTJIp12UA68c94I-8iNJv8fbgvHbWN8u&amp;usp=drive_copy" TargetMode="External"/><Relationship Id="rId1633" Type="http://schemas.openxmlformats.org/officeDocument/2006/relationships/hyperlink" Target="https://drive.google.com/open?id=1h2nFeHjIbtcbEySwgdXZJTzC3SD-CoCB&amp;usp=drive_copy" TargetMode="External"/><Relationship Id="rId1634" Type="http://schemas.openxmlformats.org/officeDocument/2006/relationships/hyperlink" Target="https://drive.google.com/open?id=1fQNeFwUPGzb_Ms53SU2aT_zOm4X5UiKh&amp;usp=drive_copy" TargetMode="External"/><Relationship Id="rId1635" Type="http://schemas.openxmlformats.org/officeDocument/2006/relationships/hyperlink" Target="https://drive.google.com/open?id=1mAMpAgADroYXN490OP7bHkO9UngjGtXG&amp;usp=drive_copy" TargetMode="External"/><Relationship Id="rId1636" Type="http://schemas.openxmlformats.org/officeDocument/2006/relationships/hyperlink" Target="https://drive.google.com/open?id=1TIzcVB8cGX8uP4BbrhGDBvrnQ6LWMmcW&amp;usp=drive_copy" TargetMode="External"/><Relationship Id="rId1637" Type="http://schemas.openxmlformats.org/officeDocument/2006/relationships/hyperlink" Target="https://drive.google.com/open?id=1Y1W8AdrDkfbkcnGEKAnQU_nDWWwueEts&amp;usp=drive_copy" TargetMode="External"/><Relationship Id="rId1638" Type="http://schemas.openxmlformats.org/officeDocument/2006/relationships/hyperlink" Target="https://drive.google.com/open?id=1rh3B8D1LSXEthuyJ5XILTRp7as_rpG6j&amp;usp=drive_copy" TargetMode="External"/><Relationship Id="rId929" Type="http://schemas.openxmlformats.org/officeDocument/2006/relationships/hyperlink" Target="https://drive.google.com/open?id=1GBcKHlmF609X4172joRcRMPhTC88VIKZ&amp;usp=drive_copy" TargetMode="External"/><Relationship Id="rId1639" Type="http://schemas.openxmlformats.org/officeDocument/2006/relationships/hyperlink" Target="https://drive.google.com/open?id=189kXWu6QYJ98Ynn8BsDQFTmEOHRku4Up&amp;usp=drive_copy" TargetMode="External"/><Relationship Id="rId928" Type="http://schemas.openxmlformats.org/officeDocument/2006/relationships/hyperlink" Target="https://drive.google.com/open?id=1ki4KkPuAlNwIqPK_NHxE1ZcnWy98GV9J&amp;usp=drive_copy" TargetMode="External"/><Relationship Id="rId927" Type="http://schemas.openxmlformats.org/officeDocument/2006/relationships/hyperlink" Target="https://drive.google.com/open?id=1trcLryetdFbzGfwYTkJv8lQzz7OQa4Ka&amp;usp=drive_copy" TargetMode="External"/><Relationship Id="rId926" Type="http://schemas.openxmlformats.org/officeDocument/2006/relationships/hyperlink" Target="https://drive.google.com/open?id=1W90TqRlOJvp5G7tc4lo1FNs36gmZqbQM&amp;usp=drive_copy" TargetMode="External"/><Relationship Id="rId921" Type="http://schemas.openxmlformats.org/officeDocument/2006/relationships/hyperlink" Target="https://drive.google.com/open?id=1kZ6T5MPl6J_ijx1Z41TXQFM8vu-bALyv&amp;usp=drive_copy" TargetMode="External"/><Relationship Id="rId920" Type="http://schemas.openxmlformats.org/officeDocument/2006/relationships/hyperlink" Target="https://drive.google.com/open?id=1IpZAzzXk8-ELQtWvOaVRDF452mQz78gZ&amp;usp=drive_copy" TargetMode="External"/><Relationship Id="rId925" Type="http://schemas.openxmlformats.org/officeDocument/2006/relationships/hyperlink" Target="https://drive.google.com/open?id=1d8yKIyeKeozLMLzNzAHnME9sPEH7wfji&amp;usp=drive_copy" TargetMode="External"/><Relationship Id="rId924" Type="http://schemas.openxmlformats.org/officeDocument/2006/relationships/hyperlink" Target="https://drive.google.com/open?id=1PxLfI51FE0BF4u2_nygHk9R1trhSCrLq&amp;usp=drive_copy" TargetMode="External"/><Relationship Id="rId923" Type="http://schemas.openxmlformats.org/officeDocument/2006/relationships/hyperlink" Target="https://drive.google.com/open?id=1TopTNA7C3qBePqE9eK-NVLV3SwOFxp83&amp;usp=drive_copy" TargetMode="External"/><Relationship Id="rId922" Type="http://schemas.openxmlformats.org/officeDocument/2006/relationships/hyperlink" Target="https://drive.google.com/open?id=1xXl9eV88-EYQanp3oYXTP5MkwHCeZ3zk&amp;usp=drive_copy" TargetMode="External"/><Relationship Id="rId1630" Type="http://schemas.openxmlformats.org/officeDocument/2006/relationships/hyperlink" Target="https://drive.google.com/open?id=18G_lnBKKhPBflghYDAF_n6Wzm1Mi6whP&amp;usp=drive_copy" TargetMode="External"/><Relationship Id="rId1620" Type="http://schemas.openxmlformats.org/officeDocument/2006/relationships/hyperlink" Target="https://drive.google.com/open?id=1CmUL18pYxlduK-_sjIk7g7HWSpKTmBnA&amp;usp=drive_copy" TargetMode="External"/><Relationship Id="rId1621" Type="http://schemas.openxmlformats.org/officeDocument/2006/relationships/hyperlink" Target="https://drive.google.com/open?id=1t0gljMMZcNh7S7cFniTDJ0Qi3lrMBlU4&amp;usp=drive_copy" TargetMode="External"/><Relationship Id="rId1622" Type="http://schemas.openxmlformats.org/officeDocument/2006/relationships/hyperlink" Target="https://drive.google.com/open?id=1SjYdAgtR-xAf9Wxog8S-sIep7JOMAWg1&amp;usp=drive_copy" TargetMode="External"/><Relationship Id="rId1623" Type="http://schemas.openxmlformats.org/officeDocument/2006/relationships/hyperlink" Target="https://drive.google.com/open?id=1rOjrY0S9Rb0v9Wznz8_d-YoQPCqHPCiO&amp;usp=drive_copy" TargetMode="External"/><Relationship Id="rId1624" Type="http://schemas.openxmlformats.org/officeDocument/2006/relationships/hyperlink" Target="https://drive.google.com/open?id=11cIJeVJqe0th81E0Jw-sl2oK7vLko2DD&amp;usp=drive_copy" TargetMode="External"/><Relationship Id="rId1625" Type="http://schemas.openxmlformats.org/officeDocument/2006/relationships/hyperlink" Target="https://drive.google.com/open?id=1V9FZkGpPUdAkEVaQybutDEqO1FKD_-0v&amp;usp=drive_copy" TargetMode="External"/><Relationship Id="rId1626" Type="http://schemas.openxmlformats.org/officeDocument/2006/relationships/hyperlink" Target="https://drive.google.com/open?id=132-MhUw_EZhEyhiX_r9LkSg--r-v8ckS&amp;usp=drive_copy" TargetMode="External"/><Relationship Id="rId1627" Type="http://schemas.openxmlformats.org/officeDocument/2006/relationships/hyperlink" Target="https://drive.google.com/open?id=1sScsD14Y3jCN9N_dLKtWIh69fR2qGUnY&amp;usp=drive_copy" TargetMode="External"/><Relationship Id="rId918" Type="http://schemas.openxmlformats.org/officeDocument/2006/relationships/hyperlink" Target="https://drive.google.com/open?id=1DoQI5dKLjWxzwn3oTBIBTxRzJrbByHER&amp;usp=drive_copy" TargetMode="External"/><Relationship Id="rId1628" Type="http://schemas.openxmlformats.org/officeDocument/2006/relationships/hyperlink" Target="https://drive.google.com/open?id=12VhvGcycThQE6KnwFTvmIHVHA6aagXJM&amp;usp=drive_copy" TargetMode="External"/><Relationship Id="rId917" Type="http://schemas.openxmlformats.org/officeDocument/2006/relationships/hyperlink" Target="https://drive.google.com/open?id=1ArQ_OinzZXTTMqezgUW_Yk3W1jnK25CB&amp;usp=drive_copy" TargetMode="External"/><Relationship Id="rId1629" Type="http://schemas.openxmlformats.org/officeDocument/2006/relationships/hyperlink" Target="https://drive.google.com/open?id=12dmDIUcyAAPhykx9My28pD8CfsCIejm9&amp;usp=drive_copy" TargetMode="External"/><Relationship Id="rId916" Type="http://schemas.openxmlformats.org/officeDocument/2006/relationships/hyperlink" Target="https://drive.google.com/open?id=1sZ-5YKd2UPak4hAxIqxjpePJhAe66NZh&amp;usp=drive_copy" TargetMode="External"/><Relationship Id="rId915" Type="http://schemas.openxmlformats.org/officeDocument/2006/relationships/hyperlink" Target="https://drive.google.com/open?id=1RKQjzprzMnwBRABP7IqHk2ZNdjemWU4w&amp;usp=drive_copy" TargetMode="External"/><Relationship Id="rId919" Type="http://schemas.openxmlformats.org/officeDocument/2006/relationships/hyperlink" Target="https://drive.google.com/open?id=1TpEL_YK0MuytbxAjophZxjTjio6ja8hk&amp;usp=drive_copy" TargetMode="External"/><Relationship Id="rId910" Type="http://schemas.openxmlformats.org/officeDocument/2006/relationships/hyperlink" Target="https://drive.google.com/open?id=1M12BhvrBwbTAs_wsSUJ6LvyCB8fRvjKP&amp;usp=drive_copy" TargetMode="External"/><Relationship Id="rId914" Type="http://schemas.openxmlformats.org/officeDocument/2006/relationships/hyperlink" Target="https://drive.google.com/open?id=1qtnbv6qHVYOYTWZjiQ4Q22y5FYBfEIYN&amp;usp=drive_copy" TargetMode="External"/><Relationship Id="rId913" Type="http://schemas.openxmlformats.org/officeDocument/2006/relationships/hyperlink" Target="https://drive.google.com/open?id=1CU8_E2WRRmA3UrMDChEbq3_PMG9GhoPw&amp;usp=drive_copy" TargetMode="External"/><Relationship Id="rId912" Type="http://schemas.openxmlformats.org/officeDocument/2006/relationships/hyperlink" Target="https://drive.google.com/open?id=1TscUnMXHcSHckrONPVymnT2I7fUBFfnO&amp;usp=drive_copy" TargetMode="External"/><Relationship Id="rId911" Type="http://schemas.openxmlformats.org/officeDocument/2006/relationships/hyperlink" Target="https://drive.google.com/open?id=1nkgH1MDxJuqXgLiTsbgNt2MG1en12lhs&amp;usp=drive_copy" TargetMode="External"/><Relationship Id="rId1213" Type="http://schemas.openxmlformats.org/officeDocument/2006/relationships/hyperlink" Target="https://drive.google.com/open?id=1aUynLHyjHhIhLVFyX8zRfJ2VjaYYcbYH&amp;usp=drive_copy" TargetMode="External"/><Relationship Id="rId1697" Type="http://schemas.openxmlformats.org/officeDocument/2006/relationships/hyperlink" Target="https://drive.google.com/open?id=1soc6v5_cl7664Kd6Hc7O8EX8pYjz663a&amp;usp=drive_copy" TargetMode="External"/><Relationship Id="rId1214" Type="http://schemas.openxmlformats.org/officeDocument/2006/relationships/hyperlink" Target="https://drive.google.com/open?id=1t2-P1MI0DglkYn3XZxqAHMjrYsEshxYV&amp;usp=drive_copy" TargetMode="External"/><Relationship Id="rId1698" Type="http://schemas.openxmlformats.org/officeDocument/2006/relationships/hyperlink" Target="https://drive.google.com/open?id=1GZpWf8iJkhZK6s7H47hxdfesTyBZZUJe&amp;usp=drive_copy" TargetMode="External"/><Relationship Id="rId1215" Type="http://schemas.openxmlformats.org/officeDocument/2006/relationships/hyperlink" Target="https://drive.google.com/open?id=1znXWn0a2w3uEpmKDQNi7ffGOtoqhCsJE&amp;usp=drive_copy" TargetMode="External"/><Relationship Id="rId1699" Type="http://schemas.openxmlformats.org/officeDocument/2006/relationships/hyperlink" Target="https://drive.google.com/open?id=1uNJY9ob8B7Vyh9dJx2vQVS-gzeyVs-iX&amp;usp=drive_copy" TargetMode="External"/><Relationship Id="rId1216" Type="http://schemas.openxmlformats.org/officeDocument/2006/relationships/hyperlink" Target="https://drive.google.com/open?id=1quVivV0utdZ45l1uVGqtmgjkS2cOvn83&amp;usp=drive_copy" TargetMode="External"/><Relationship Id="rId1217" Type="http://schemas.openxmlformats.org/officeDocument/2006/relationships/hyperlink" Target="https://drive.google.com/open?id=1nB0bb7PnpsYvwOrtggvO6S-x2R1KpFoU&amp;usp=drive_copy" TargetMode="External"/><Relationship Id="rId1218" Type="http://schemas.openxmlformats.org/officeDocument/2006/relationships/hyperlink" Target="https://drive.google.com/open?id=1maeufcYgRJqKPH7qY3nRpgwLeFRmDqsz&amp;usp=drive_copy" TargetMode="External"/><Relationship Id="rId1219" Type="http://schemas.openxmlformats.org/officeDocument/2006/relationships/hyperlink" Target="https://drive.google.com/open?id=1Wr0rehUXbnoTn0_jiOhIHVBU89l_7D35&amp;usp=drive_copy" TargetMode="External"/><Relationship Id="rId866" Type="http://schemas.openxmlformats.org/officeDocument/2006/relationships/hyperlink" Target="https://drive.google.com/open?id=1Jkyd3ZxeYGwAQMD_UO6R8J4X3ylMhSCS&amp;usp=drive_copy" TargetMode="External"/><Relationship Id="rId865" Type="http://schemas.openxmlformats.org/officeDocument/2006/relationships/hyperlink" Target="https://drive.google.com/open?id=1vpFcKcTozpwHdKqyAT521pHro2hi-j8e&amp;usp=drive_copy" TargetMode="External"/><Relationship Id="rId864" Type="http://schemas.openxmlformats.org/officeDocument/2006/relationships/hyperlink" Target="https://drive.google.com/open?id=1ZRvTw9Mk-0WeMEeK1lZbaY9NFrheHaTT&amp;usp=drive_copy" TargetMode="External"/><Relationship Id="rId863" Type="http://schemas.openxmlformats.org/officeDocument/2006/relationships/hyperlink" Target="https://drive.google.com/open?id=1o8_bgog_Zs9n6t55oGO0ls713pkar1WJ&amp;usp=drive_copy" TargetMode="External"/><Relationship Id="rId869" Type="http://schemas.openxmlformats.org/officeDocument/2006/relationships/hyperlink" Target="https://drive.google.com/open?id=1OgB3EE1ilQQZzJk4pMS9BiISBPHhK3U9&amp;usp=drive_copy" TargetMode="External"/><Relationship Id="rId868" Type="http://schemas.openxmlformats.org/officeDocument/2006/relationships/hyperlink" Target="https://drive.google.com/open?id=1jN09qksQlPmCtfIB6ureeF5Yigs9DgQk&amp;usp=drive_copy" TargetMode="External"/><Relationship Id="rId867" Type="http://schemas.openxmlformats.org/officeDocument/2006/relationships/hyperlink" Target="https://drive.google.com/open?id=1mo4IG0sqynp89lEo49WJa9Y8WFucUb0G&amp;usp=drive_copy" TargetMode="External"/><Relationship Id="rId1690" Type="http://schemas.openxmlformats.org/officeDocument/2006/relationships/hyperlink" Target="https://drive.google.com/open?id=10E5rhjQj_cIUvevOdBrMRN_v-Nc2bdDJ&amp;usp=drive_copy" TargetMode="External"/><Relationship Id="rId1691" Type="http://schemas.openxmlformats.org/officeDocument/2006/relationships/hyperlink" Target="https://drive.google.com/open?id=1dFPNpXWf-RiIrWDhGnmhlZsF7hS3FCZZ&amp;usp=drive_copy" TargetMode="External"/><Relationship Id="rId1692" Type="http://schemas.openxmlformats.org/officeDocument/2006/relationships/hyperlink" Target="https://drive.google.com/open?id=1aY19GDbUsd0F3e5hEogFOe6ptyO-YRJU&amp;usp=drive_copy" TargetMode="External"/><Relationship Id="rId862" Type="http://schemas.openxmlformats.org/officeDocument/2006/relationships/hyperlink" Target="https://drive.google.com/open?id=1iY9u3MDtT_aLe4c4gk_z5F-E3TOdWElt&amp;usp=drive_copy" TargetMode="External"/><Relationship Id="rId1693" Type="http://schemas.openxmlformats.org/officeDocument/2006/relationships/hyperlink" Target="https://drive.google.com/open?id=16AIaPonRwHITx9YfMR71XGy8Aa70XB8x&amp;usp=drive_copy" TargetMode="External"/><Relationship Id="rId861" Type="http://schemas.openxmlformats.org/officeDocument/2006/relationships/hyperlink" Target="https://drive.google.com/open?id=1rDZNIeFlR4-pJodxtvb_fOf6w3yImX4c&amp;usp=drive_copy" TargetMode="External"/><Relationship Id="rId1210" Type="http://schemas.openxmlformats.org/officeDocument/2006/relationships/hyperlink" Target="https://drive.google.com/open?id=1hAxRiHUXiBIz39YRhbu5__PXMkrF5wLZ&amp;usp=drive_copy" TargetMode="External"/><Relationship Id="rId1694" Type="http://schemas.openxmlformats.org/officeDocument/2006/relationships/hyperlink" Target="https://drive.google.com/open?id=10OQjUOgCnkqZMrPUonJ48VKBWKJhxY2j&amp;usp=drive_copy" TargetMode="External"/><Relationship Id="rId860" Type="http://schemas.openxmlformats.org/officeDocument/2006/relationships/hyperlink" Target="https://drive.google.com/open?id=1_pxS3lYP9UQU0A0uSBssyI9FKYg1tvgQ&amp;usp=drive_copy" TargetMode="External"/><Relationship Id="rId1211" Type="http://schemas.openxmlformats.org/officeDocument/2006/relationships/hyperlink" Target="https://drive.google.com/open?id=1HMtI57yazCgLifrbHyVQdJS-hVTYHwat&amp;usp=drive_copy" TargetMode="External"/><Relationship Id="rId1695" Type="http://schemas.openxmlformats.org/officeDocument/2006/relationships/hyperlink" Target="https://drive.google.com/open?id=16R3F2aZ98sufBtXIS7speUtkOETLhBl0&amp;usp=drive_copy" TargetMode="External"/><Relationship Id="rId1212" Type="http://schemas.openxmlformats.org/officeDocument/2006/relationships/hyperlink" Target="https://drive.google.com/open?id=1zxxQ527e96vgzjb2p1kOc0NEcQXiCws1&amp;usp=drive_copy" TargetMode="External"/><Relationship Id="rId1696" Type="http://schemas.openxmlformats.org/officeDocument/2006/relationships/hyperlink" Target="https://drive.google.com/open?id=1Qzog1bLwp1b7PY_mAS7Agy2jP9V5NIon&amp;usp=drive_copy" TargetMode="External"/><Relationship Id="rId1202" Type="http://schemas.openxmlformats.org/officeDocument/2006/relationships/hyperlink" Target="https://drive.google.com/open?id=1PSWEuyTPSyc-X8VUxhpr7XLO4kGigNoZ&amp;usp=drive_copy" TargetMode="External"/><Relationship Id="rId1686" Type="http://schemas.openxmlformats.org/officeDocument/2006/relationships/hyperlink" Target="https://drive.google.com/open?id=1XJbBrZjOYsNOfjGJn3NAGHQT-8FSe_9p&amp;usp=drive_copy" TargetMode="External"/><Relationship Id="rId1203" Type="http://schemas.openxmlformats.org/officeDocument/2006/relationships/hyperlink" Target="https://drive.google.com/open?id=1TKZn-ELue9FV1wFzyma9fXnbTwVKnTQP&amp;usp=drive_copy" TargetMode="External"/><Relationship Id="rId1687" Type="http://schemas.openxmlformats.org/officeDocument/2006/relationships/hyperlink" Target="https://drive.google.com/open?id=1nTt1iM0CeoTCcFQiiFzPwFCe9pALGZ5w&amp;usp=drive_copy" TargetMode="External"/><Relationship Id="rId1204" Type="http://schemas.openxmlformats.org/officeDocument/2006/relationships/hyperlink" Target="https://drive.google.com/open?id=1A21ebUtkdTMhVtULU8PEDdhQzwNpaNjz&amp;usp=drive_copy" TargetMode="External"/><Relationship Id="rId1688" Type="http://schemas.openxmlformats.org/officeDocument/2006/relationships/hyperlink" Target="https://drive.google.com/open?id=1En-VUvEXwdY2pqsfblq7j2w6d5DsvhDE&amp;usp=drive_copy" TargetMode="External"/><Relationship Id="rId1205" Type="http://schemas.openxmlformats.org/officeDocument/2006/relationships/hyperlink" Target="https://drive.google.com/open?id=1Dbj7KrefEIDgylldPpHc75yfZAhxJ2JX&amp;usp=drive_copy" TargetMode="External"/><Relationship Id="rId1689" Type="http://schemas.openxmlformats.org/officeDocument/2006/relationships/hyperlink" Target="https://drive.google.com/open?id=1MOlAgpM7G-1VmhBwK4s5U1ImCHKjDUM2&amp;usp=drive_copy" TargetMode="External"/><Relationship Id="rId1206" Type="http://schemas.openxmlformats.org/officeDocument/2006/relationships/hyperlink" Target="https://drive.google.com/open?id=12_Ljm7lvninGyyE8OILtxgS9Iqq-ONMU&amp;usp=drive_copy" TargetMode="External"/><Relationship Id="rId1207" Type="http://schemas.openxmlformats.org/officeDocument/2006/relationships/hyperlink" Target="https://drive.google.com/open?id=1mFproXZKnLAVdId4beT4-vHVDriCY7EC&amp;usp=drive_copy" TargetMode="External"/><Relationship Id="rId1208" Type="http://schemas.openxmlformats.org/officeDocument/2006/relationships/hyperlink" Target="https://drive.google.com/open?id=1OveEISQJjtb1v6_3zQOabJrvtEr24Ybt&amp;usp=drive_copy" TargetMode="External"/><Relationship Id="rId1209" Type="http://schemas.openxmlformats.org/officeDocument/2006/relationships/hyperlink" Target="https://drive.google.com/open?id=1ICCgIgjQ51PknV8C4eHtiGu_9Il2fjkx&amp;usp=drive_copy" TargetMode="External"/><Relationship Id="rId855" Type="http://schemas.openxmlformats.org/officeDocument/2006/relationships/hyperlink" Target="https://drive.google.com/open?id=1-rE0oxnoFJKQ914lbqO-nxQEH5VHs-XS&amp;usp=drive_copy" TargetMode="External"/><Relationship Id="rId854" Type="http://schemas.openxmlformats.org/officeDocument/2006/relationships/hyperlink" Target="https://drive.google.com/open?id=1cqV0RSBUXWh9t3Cm_q7VRtvopLyRxO6N&amp;usp=drive_copy" TargetMode="External"/><Relationship Id="rId853" Type="http://schemas.openxmlformats.org/officeDocument/2006/relationships/hyperlink" Target="https://drive.google.com/open?id=1xPnezPC1xW-LbMl9m3nlXXuUqe5ZfmQ9&amp;usp=drive_copy" TargetMode="External"/><Relationship Id="rId852" Type="http://schemas.openxmlformats.org/officeDocument/2006/relationships/hyperlink" Target="https://drive.google.com/open?id=16o20mSHKjudprpGJZSgB5JSAymflZdAi&amp;usp=drive_copy" TargetMode="External"/><Relationship Id="rId859" Type="http://schemas.openxmlformats.org/officeDocument/2006/relationships/hyperlink" Target="https://drive.google.com/open?id=1y0LC5i9ILRvx-xX_TBatcBxQ5NsJSitK&amp;usp=drive_copy" TargetMode="External"/><Relationship Id="rId858" Type="http://schemas.openxmlformats.org/officeDocument/2006/relationships/hyperlink" Target="https://drive.google.com/open?id=1LZYfaVgaTD-8qDF7alPlKpMdK0A_9V8B&amp;usp=drive_copy" TargetMode="External"/><Relationship Id="rId857" Type="http://schemas.openxmlformats.org/officeDocument/2006/relationships/hyperlink" Target="https://drive.google.com/open?id=1kOCQgrUPD4LOql6FHWb0bqflhDRYJ7yi&amp;usp=drive_copy" TargetMode="External"/><Relationship Id="rId856" Type="http://schemas.openxmlformats.org/officeDocument/2006/relationships/hyperlink" Target="https://drive.google.com/open?id=1ZT7QNUmzJm05IsGE-vhBzkFvu7cMbr_L&amp;usp=drive_copy" TargetMode="External"/><Relationship Id="rId1680" Type="http://schemas.openxmlformats.org/officeDocument/2006/relationships/hyperlink" Target="https://drive.google.com/open?id=1cLa2zwy0dpLhMnD4cvZi_vZmINmdZRa_&amp;usp=drive_copy" TargetMode="External"/><Relationship Id="rId1681" Type="http://schemas.openxmlformats.org/officeDocument/2006/relationships/hyperlink" Target="https://drive.google.com/open?id=1C5wZMWctcyE3W2G9qx0aj8ebkVp3RRO1&amp;usp=drive_copy" TargetMode="External"/><Relationship Id="rId851" Type="http://schemas.openxmlformats.org/officeDocument/2006/relationships/hyperlink" Target="https://drive.google.com/open?id=1dI9xgBuPX6k-q3quOsM934kkoa8cvbTm&amp;usp=drive_copy" TargetMode="External"/><Relationship Id="rId1682" Type="http://schemas.openxmlformats.org/officeDocument/2006/relationships/hyperlink" Target="https://drive.google.com/open?id=1l6X6HMn5_cH0Xxo63c_b6DiGBb3se9sY&amp;usp=drive_copy" TargetMode="External"/><Relationship Id="rId850" Type="http://schemas.openxmlformats.org/officeDocument/2006/relationships/hyperlink" Target="https://drive.google.com/open?id=1JrTcTr1GJIrBmEqATylxqvXTXtvWf_Tc&amp;usp=drive_copy" TargetMode="External"/><Relationship Id="rId1683" Type="http://schemas.openxmlformats.org/officeDocument/2006/relationships/hyperlink" Target="https://drive.google.com/open?id=1IruiHN7ev0DzxOv_UGU2Balfi8rvAz2s&amp;usp=drive_copy" TargetMode="External"/><Relationship Id="rId1200" Type="http://schemas.openxmlformats.org/officeDocument/2006/relationships/hyperlink" Target="https://drive.google.com/open?id=1ORjcb-eRYUD1C18lbibu4pTm3L1L3DNR&amp;usp=drive_copy" TargetMode="External"/><Relationship Id="rId1684" Type="http://schemas.openxmlformats.org/officeDocument/2006/relationships/hyperlink" Target="https://drive.google.com/open?id=1m2cEZvZp0Kzyup631wHNPuOJ2Rxj6np_&amp;usp=drive_copy" TargetMode="External"/><Relationship Id="rId1201" Type="http://schemas.openxmlformats.org/officeDocument/2006/relationships/hyperlink" Target="https://drive.google.com/open?id=1ZpYiHjqL9lCPE2Mn7xuwYapgqDsW-a8T&amp;usp=drive_copy" TargetMode="External"/><Relationship Id="rId1685" Type="http://schemas.openxmlformats.org/officeDocument/2006/relationships/hyperlink" Target="https://drive.google.com/open?id=1iMFpiFdH3qDUH9ki65wZEjl0LK4eGDzk&amp;usp=drive_copy" TargetMode="External"/><Relationship Id="rId1235" Type="http://schemas.openxmlformats.org/officeDocument/2006/relationships/hyperlink" Target="https://drive.google.com/open?id=1afn-KPpTkJBRPbMEjZUCFaajJg_wiiUG&amp;usp=drive_copy" TargetMode="External"/><Relationship Id="rId1236" Type="http://schemas.openxmlformats.org/officeDocument/2006/relationships/hyperlink" Target="https://drive.google.com/open?id=12vB-SqWIV3buneSAmQi-KuSK1ZjDDlov&amp;usp=drive_copy" TargetMode="External"/><Relationship Id="rId1237" Type="http://schemas.openxmlformats.org/officeDocument/2006/relationships/hyperlink" Target="https://drive.google.com/open?id=1BrVtvkiBOVaIrygOQjmWJB9A_Ra-paPZ&amp;usp=drive_copy" TargetMode="External"/><Relationship Id="rId1238" Type="http://schemas.openxmlformats.org/officeDocument/2006/relationships/hyperlink" Target="https://drive.google.com/open?id=1BlQMje1WNmE3NMmm_lRe-9jsfBl23gJW&amp;usp=drive_copy" TargetMode="External"/><Relationship Id="rId1239" Type="http://schemas.openxmlformats.org/officeDocument/2006/relationships/hyperlink" Target="https://drive.google.com/open?id=1jKTJQ7GMiXHTpV_wDp6rUC_LHkyYubZH&amp;usp=drive_copy" TargetMode="External"/><Relationship Id="rId409" Type="http://schemas.openxmlformats.org/officeDocument/2006/relationships/hyperlink" Target="https://drive.google.com/file/d/16NDh1XCo5k0eONEiofAeSAt8VkFy58lT/view?usp=drive_link" TargetMode="External"/><Relationship Id="rId404" Type="http://schemas.openxmlformats.org/officeDocument/2006/relationships/hyperlink" Target="https://drive.google.com/file/d/1qHqIUlVHDfifc60Bx_imUbloxtxC5xzv/view?usp=drive_link" TargetMode="External"/><Relationship Id="rId888" Type="http://schemas.openxmlformats.org/officeDocument/2006/relationships/hyperlink" Target="https://drive.google.com/open?id=1OUpP2cgBYH0ffMRpjcsgusUMkW0QMcrh&amp;usp=drive_copy" TargetMode="External"/><Relationship Id="rId403" Type="http://schemas.openxmlformats.org/officeDocument/2006/relationships/hyperlink" Target="https://drive.google.com/file/d/1nFhDVcEpHPBDcpvIUg-gUK_s9kx9AG4x/view?usp=drive_link" TargetMode="External"/><Relationship Id="rId887" Type="http://schemas.openxmlformats.org/officeDocument/2006/relationships/hyperlink" Target="https://drive.google.com/open?id=1d0UTn8Mgmtag29-3qQ2L5UQ5WmAMTNRX&amp;usp=drive_copy" TargetMode="External"/><Relationship Id="rId402" Type="http://schemas.openxmlformats.org/officeDocument/2006/relationships/hyperlink" Target="https://drive.google.com/file/d/1LEkFoPDWt2GhFgIST67UKIZvIzP9_au_/view?usp=drive_link" TargetMode="External"/><Relationship Id="rId886" Type="http://schemas.openxmlformats.org/officeDocument/2006/relationships/hyperlink" Target="https://drive.google.com/open?id=1FpF1A60RzFwGXx3sUjjvOfq6wL44FDPX&amp;usp=drive_copy" TargetMode="External"/><Relationship Id="rId401" Type="http://schemas.openxmlformats.org/officeDocument/2006/relationships/hyperlink" Target="https://drive.google.com/file/d/1GoNxivpsuxhsYOrjWpq8FVD3sk_bsyDE/view?usp=drive_link" TargetMode="External"/><Relationship Id="rId885" Type="http://schemas.openxmlformats.org/officeDocument/2006/relationships/hyperlink" Target="https://drive.google.com/open?id=1qS00kj2YHWBcKu2qCZUSFQ0OOZ0MqFNp&amp;usp=drive_copy" TargetMode="External"/><Relationship Id="rId408" Type="http://schemas.openxmlformats.org/officeDocument/2006/relationships/hyperlink" Target="https://drive.google.com/file/d/1KNFl_ulDQR12imzdptl9lFoR02hzBfd2/view?usp=drive_link" TargetMode="External"/><Relationship Id="rId407" Type="http://schemas.openxmlformats.org/officeDocument/2006/relationships/hyperlink" Target="https://drive.google.com/file/d/1Z7Vf1JtW0Sl5XJ-pGQbIv6-IeMusFOp9/view?usp=drive_link" TargetMode="External"/><Relationship Id="rId406" Type="http://schemas.openxmlformats.org/officeDocument/2006/relationships/hyperlink" Target="https://drive.google.com/file/d/1fpLuUX4TlCuZYnhb7LijOcfPmRz8SLUZ/view?usp=drive_link" TargetMode="External"/><Relationship Id="rId405" Type="http://schemas.openxmlformats.org/officeDocument/2006/relationships/hyperlink" Target="https://drive.google.com/file/d/1L_2ItPZVKFQ3wzu77kLpbvd8B18QSyVx/view?usp=drive_link" TargetMode="External"/><Relationship Id="rId889" Type="http://schemas.openxmlformats.org/officeDocument/2006/relationships/hyperlink" Target="https://drive.google.com/open?id=1yB9UdQl8G4YyLMw9hQQAZAfghCtLUFoS&amp;usp=drive_copy" TargetMode="External"/><Relationship Id="rId880" Type="http://schemas.openxmlformats.org/officeDocument/2006/relationships/hyperlink" Target="https://drive.google.com/open?id=169OBAr2WPL9gp-yAR9DInQNTut2Ri9g0&amp;usp=drive_copy" TargetMode="External"/><Relationship Id="rId1230" Type="http://schemas.openxmlformats.org/officeDocument/2006/relationships/hyperlink" Target="https://drive.google.com/open?id=1weAAEc31OMyXOY6mWtN8vHrsrDTo1nuo&amp;usp=drive_copy" TargetMode="External"/><Relationship Id="rId400" Type="http://schemas.openxmlformats.org/officeDocument/2006/relationships/hyperlink" Target="https://drive.google.com/file/d/1nSrZSpMaBxg7pQ8ZYdiChyAVKKJdRR1p/view?usp=drive_link" TargetMode="External"/><Relationship Id="rId884" Type="http://schemas.openxmlformats.org/officeDocument/2006/relationships/hyperlink" Target="https://drive.google.com/open?id=1l9uusDUDiC4vNuGd1m5FrYWjXAjOgX9H&amp;usp=drive_copy" TargetMode="External"/><Relationship Id="rId1231" Type="http://schemas.openxmlformats.org/officeDocument/2006/relationships/hyperlink" Target="https://drive.google.com/open?id=14gx6sd5pZIIORiwP97Mxx_qg_lcL-Us8&amp;usp=drive_copy" TargetMode="External"/><Relationship Id="rId883" Type="http://schemas.openxmlformats.org/officeDocument/2006/relationships/hyperlink" Target="https://drive.google.com/open?id=1Q3lsig2nbq1MZQbaWbOnCgcDmq_EJ40q&amp;usp=drive_copy" TargetMode="External"/><Relationship Id="rId1232" Type="http://schemas.openxmlformats.org/officeDocument/2006/relationships/hyperlink" Target="https://drive.google.com/open?id=1480e60YjLwWxZuaIxMAcvXFNSkocXfqy&amp;usp=drive_copy" TargetMode="External"/><Relationship Id="rId882" Type="http://schemas.openxmlformats.org/officeDocument/2006/relationships/hyperlink" Target="https://drive.google.com/open?id=1ZFSYStYfwwPfYc-gPgok_asfMVWHSuwL&amp;usp=drive_copy" TargetMode="External"/><Relationship Id="rId1233" Type="http://schemas.openxmlformats.org/officeDocument/2006/relationships/hyperlink" Target="https://drive.google.com/open?id=1Bcv7Efy4rNT6EzXD41ExHbKy8vmnY52e&amp;usp=drive_copy" TargetMode="External"/><Relationship Id="rId881" Type="http://schemas.openxmlformats.org/officeDocument/2006/relationships/hyperlink" Target="https://drive.google.com/open?id=12BgL1AaMQIOxW8cvVC6DpyaP19RNa_x0&amp;usp=drive_copy" TargetMode="External"/><Relationship Id="rId1234" Type="http://schemas.openxmlformats.org/officeDocument/2006/relationships/hyperlink" Target="https://drive.google.com/open?id=1xQHlijN_gQ3ECaeQmR2JsDCPeSKm0Y9n&amp;usp=drive_copy" TargetMode="External"/><Relationship Id="rId1224" Type="http://schemas.openxmlformats.org/officeDocument/2006/relationships/hyperlink" Target="https://drive.google.com/open?id=1MviYiNJGkfDW0dtwA1VPQ_jkbg35iXBL&amp;usp=drive_copy" TargetMode="External"/><Relationship Id="rId1225" Type="http://schemas.openxmlformats.org/officeDocument/2006/relationships/hyperlink" Target="https://drive.google.com/open?id=1gJK_dMa6pCjzRWhPyzIbLjm1hyIDyvki&amp;usp=drive_copy" TargetMode="External"/><Relationship Id="rId1226" Type="http://schemas.openxmlformats.org/officeDocument/2006/relationships/hyperlink" Target="https://drive.google.com/open?id=16yLnQaQmmBRGT7YG8xF4RBz_gN8TZvTH&amp;usp=drive_copy" TargetMode="External"/><Relationship Id="rId1227" Type="http://schemas.openxmlformats.org/officeDocument/2006/relationships/hyperlink" Target="https://drive.google.com/open?id=1IpyoH3y3T4zXS8U6i1hm7T46-O828qSd&amp;usp=drive_copy" TargetMode="External"/><Relationship Id="rId1228" Type="http://schemas.openxmlformats.org/officeDocument/2006/relationships/hyperlink" Target="https://drive.google.com/open?id=1hSXlw9-PrQOQRrUu5Vfl0NUGOQDEbcKN&amp;usp=drive_copy" TargetMode="External"/><Relationship Id="rId1229" Type="http://schemas.openxmlformats.org/officeDocument/2006/relationships/hyperlink" Target="https://drive.google.com/open?id=17qTJ2Tcla3qKBCAm6agkeM6EIbawosX6&amp;usp=drive_copy" TargetMode="External"/><Relationship Id="rId877" Type="http://schemas.openxmlformats.org/officeDocument/2006/relationships/hyperlink" Target="https://drive.google.com/open?id=1CTGKSbZyXnpIPb2fl6z-zq_JDUxmZ-Pe&amp;usp=drive_copy" TargetMode="External"/><Relationship Id="rId876" Type="http://schemas.openxmlformats.org/officeDocument/2006/relationships/hyperlink" Target="https://drive.google.com/open?id=1yRrljoPqVfHqiYhujDY2vIDpFyh-s6_o&amp;usp=drive_copy" TargetMode="External"/><Relationship Id="rId875" Type="http://schemas.openxmlformats.org/officeDocument/2006/relationships/hyperlink" Target="https://drive.google.com/open?id=1LAtXCeq27pNNQp8gJmILxECqXbncDxX1&amp;usp=drive_copy" TargetMode="External"/><Relationship Id="rId874" Type="http://schemas.openxmlformats.org/officeDocument/2006/relationships/hyperlink" Target="https://drive.google.com/open?id=19c2m5pLmx2ppP7FJj3JtckTQluKzOE0y&amp;usp=drive_copy" TargetMode="External"/><Relationship Id="rId879" Type="http://schemas.openxmlformats.org/officeDocument/2006/relationships/hyperlink" Target="https://drive.google.com/open?id=1Z9hvWCgBN97TsyGLFW2Beml2Pe-hrGDs&amp;usp=drive_copy" TargetMode="External"/><Relationship Id="rId878" Type="http://schemas.openxmlformats.org/officeDocument/2006/relationships/hyperlink" Target="https://drive.google.com/open?id=1fXNYidPptdIWJLLQBWa0YsEOFmY1KPgg&amp;usp=drive_copy" TargetMode="External"/><Relationship Id="rId873" Type="http://schemas.openxmlformats.org/officeDocument/2006/relationships/hyperlink" Target="https://drive.google.com/open?id=1lQDbIVo0qoLaWJv_cBABpyNXGfow1mXn&amp;usp=drive_copy" TargetMode="External"/><Relationship Id="rId1220" Type="http://schemas.openxmlformats.org/officeDocument/2006/relationships/hyperlink" Target="https://drive.google.com/open?id=1CKYPYg2TJ1kC-0kRSbiF87vUDceI47Fa&amp;usp=drive_copy" TargetMode="External"/><Relationship Id="rId872" Type="http://schemas.openxmlformats.org/officeDocument/2006/relationships/hyperlink" Target="https://drive.google.com/open?id=1io67vzA_pzWn3bU6-DdhOvd5sTu-dHQQ&amp;usp=drive_copy" TargetMode="External"/><Relationship Id="rId1221" Type="http://schemas.openxmlformats.org/officeDocument/2006/relationships/hyperlink" Target="https://drive.google.com/open?id=1iryNccKgfNFsly1va7eG3kXbkCny7f6s&amp;usp=drive_copy" TargetMode="External"/><Relationship Id="rId871" Type="http://schemas.openxmlformats.org/officeDocument/2006/relationships/hyperlink" Target="https://drive.google.com/open?id=1YNQutqDMqwAqEMrsUZM_N5Dn386dHS4z&amp;usp=drive_copy" TargetMode="External"/><Relationship Id="rId1222" Type="http://schemas.openxmlformats.org/officeDocument/2006/relationships/hyperlink" Target="https://drive.google.com/open?id=1-nlgkOzHVk--8PvFiWmz75Z4Zosn7bpA&amp;usp=drive_copy" TargetMode="External"/><Relationship Id="rId870" Type="http://schemas.openxmlformats.org/officeDocument/2006/relationships/hyperlink" Target="https://drive.google.com/open?id=1ItVsHztKsA7iM0soyCDvZJbi26dW6_iW&amp;usp=drive_copy" TargetMode="External"/><Relationship Id="rId1223" Type="http://schemas.openxmlformats.org/officeDocument/2006/relationships/hyperlink" Target="https://drive.google.com/open?id=1vhPn2GD_PKXoml5ciK2cXsSbmNZFGA2x&amp;usp=drive_copy" TargetMode="External"/><Relationship Id="rId1653" Type="http://schemas.openxmlformats.org/officeDocument/2006/relationships/hyperlink" Target="https://drive.google.com/open?id=1cMs1ApMBWdih6rxuA0F_VRuuOY2kZsM2&amp;usp=drive_copy" TargetMode="External"/><Relationship Id="rId1654" Type="http://schemas.openxmlformats.org/officeDocument/2006/relationships/hyperlink" Target="https://drive.google.com/open?id=147l_NnN4BZaMe7iDK2AleAA8gKsfZpe1&amp;usp=drive_copy" TargetMode="External"/><Relationship Id="rId1655" Type="http://schemas.openxmlformats.org/officeDocument/2006/relationships/hyperlink" Target="https://drive.google.com/open?id=1kmUGY1FbLa0Zy-YLdFgtGSjjrFF4iywy&amp;usp=drive_copy" TargetMode="External"/><Relationship Id="rId1656" Type="http://schemas.openxmlformats.org/officeDocument/2006/relationships/hyperlink" Target="https://drive.google.com/open?id=14wwbXRkxztnMV5sMNrVRVhWEJs3NmQPv&amp;usp=drive_copy" TargetMode="External"/><Relationship Id="rId1657" Type="http://schemas.openxmlformats.org/officeDocument/2006/relationships/hyperlink" Target="https://drive.google.com/open?id=1g6kjFl6uTHCuqXdRvKeriyboiK9Vleeg&amp;usp=drive_copy" TargetMode="External"/><Relationship Id="rId1658" Type="http://schemas.openxmlformats.org/officeDocument/2006/relationships/hyperlink" Target="https://drive.google.com/open?id=1ST0T5pHlLSVHs7MciKTM5MZV7mCi3peL&amp;usp=drive_copy" TargetMode="External"/><Relationship Id="rId1659" Type="http://schemas.openxmlformats.org/officeDocument/2006/relationships/hyperlink" Target="https://drive.google.com/open?id=1iNfbyjCNIuReYxKKwuhsdg8p8KPMRxKl&amp;usp=drive_copy" TargetMode="External"/><Relationship Id="rId829" Type="http://schemas.openxmlformats.org/officeDocument/2006/relationships/hyperlink" Target="https://drive.google.com/open?id=1UFl2WEjXFRwQNxIocteEQa2qhpV3NuPd&amp;usp=drive_copy" TargetMode="External"/><Relationship Id="rId828" Type="http://schemas.openxmlformats.org/officeDocument/2006/relationships/hyperlink" Target="https://drive.google.com/open?id=1_OGqNN_R_6jWzIOdZtQWJnjzTAKfUAaW&amp;usp=drive_copy" TargetMode="External"/><Relationship Id="rId827" Type="http://schemas.openxmlformats.org/officeDocument/2006/relationships/hyperlink" Target="https://drive.google.com/open?id=1TdeSSwniRdsSeo2jG8QgBjTRV2GJAz1w&amp;usp=drive_copy" TargetMode="External"/><Relationship Id="rId822" Type="http://schemas.openxmlformats.org/officeDocument/2006/relationships/hyperlink" Target="https://drive.google.com/open?id=1B4gIhuA6uSS9Opr9pwm1pwoOWiqOZQD-&amp;usp=drive_copy" TargetMode="External"/><Relationship Id="rId821" Type="http://schemas.openxmlformats.org/officeDocument/2006/relationships/hyperlink" Target="https://drive.google.com/open?id=1djl6EyWI3bsOLTn8a-CI9x_kB1fjHdVZ&amp;usp=drive_copy" TargetMode="External"/><Relationship Id="rId820" Type="http://schemas.openxmlformats.org/officeDocument/2006/relationships/hyperlink" Target="https://drive.google.com/open?id=15B8ZbaLXuLel0OYTGI8fuqz5acffiCnZ&amp;usp=drive_copy" TargetMode="External"/><Relationship Id="rId826" Type="http://schemas.openxmlformats.org/officeDocument/2006/relationships/hyperlink" Target="https://drive.google.com/open?id=13YlPbbDg0nO54qDR0AQkdmw28iFWhhKS&amp;usp=drive_copy" TargetMode="External"/><Relationship Id="rId825" Type="http://schemas.openxmlformats.org/officeDocument/2006/relationships/hyperlink" Target="https://drive.google.com/open?id=1_PPOKicZ9PPmCuUmk_h8bu4rkBcPsbo9&amp;usp=drive_copy" TargetMode="External"/><Relationship Id="rId824" Type="http://schemas.openxmlformats.org/officeDocument/2006/relationships/hyperlink" Target="https://drive.google.com/open?id=1k045grKovaRPJCLFErYUTlQczefFZS9l&amp;usp=drive_copy" TargetMode="External"/><Relationship Id="rId823" Type="http://schemas.openxmlformats.org/officeDocument/2006/relationships/hyperlink" Target="https://drive.google.com/open?id=1k91LrcDn7o64Qbjn3mjVD5_LOXjwX_wA&amp;usp=drive_copy" TargetMode="External"/><Relationship Id="rId1650" Type="http://schemas.openxmlformats.org/officeDocument/2006/relationships/hyperlink" Target="https://drive.google.com/open?id=1XhPrAw2j4fYliTXhnedqJ5k7VC6ELvCm&amp;usp=drive_copy" TargetMode="External"/><Relationship Id="rId1651" Type="http://schemas.openxmlformats.org/officeDocument/2006/relationships/hyperlink" Target="https://drive.google.com/open?id=14OPXJMd_MEHeeHIJ1StpwPAFHvx0S2uM&amp;usp=drive_copy" TargetMode="External"/><Relationship Id="rId1652" Type="http://schemas.openxmlformats.org/officeDocument/2006/relationships/hyperlink" Target="https://drive.google.com/open?id=1tks33p0hqrrfc872IuQFpwXc1S5ZRjKs&amp;usp=drive_copy" TargetMode="External"/><Relationship Id="rId1642" Type="http://schemas.openxmlformats.org/officeDocument/2006/relationships/hyperlink" Target="https://drive.google.com/open?id=1JhhSn0qpLCifRaoqKdpaqc1GtK183ubt&amp;usp=drive_copy" TargetMode="External"/><Relationship Id="rId1643" Type="http://schemas.openxmlformats.org/officeDocument/2006/relationships/hyperlink" Target="https://drive.google.com/open?id=1Z01Ql-enXJn5ZU-Tk8yCk1NkLlphWIxo&amp;usp=drive_copy" TargetMode="External"/><Relationship Id="rId1644" Type="http://schemas.openxmlformats.org/officeDocument/2006/relationships/hyperlink" Target="https://drive.google.com/open?id=1n6kRnj2hz8WCDB9ZD6uVievhnEJGUEaX&amp;usp=drive_copy" TargetMode="External"/><Relationship Id="rId1645" Type="http://schemas.openxmlformats.org/officeDocument/2006/relationships/hyperlink" Target="https://drive.google.com/open?id=1hALtzG3MaxN9oL62l9HLZW6N7FLO7B6T&amp;usp=drive_copy" TargetMode="External"/><Relationship Id="rId1646" Type="http://schemas.openxmlformats.org/officeDocument/2006/relationships/hyperlink" Target="https://drive.google.com/open?id=1tRYUymi1DMF9B7cgtXWJYTH1hGRt2gJh&amp;usp=drive_copy" TargetMode="External"/><Relationship Id="rId1647" Type="http://schemas.openxmlformats.org/officeDocument/2006/relationships/hyperlink" Target="https://drive.google.com/open?id=1DeCdfdRvFcOrwNnGh1nPxpr0IbILkTGV&amp;usp=drive_copy" TargetMode="External"/><Relationship Id="rId1648" Type="http://schemas.openxmlformats.org/officeDocument/2006/relationships/hyperlink" Target="https://drive.google.com/open?id=1UqmddAvTAAZwrQTAlaPZs2cZNJ71t5LO&amp;usp=drive_copy" TargetMode="External"/><Relationship Id="rId1649" Type="http://schemas.openxmlformats.org/officeDocument/2006/relationships/hyperlink" Target="https://drive.google.com/open?id=18fEn3HmvfVEly5NXiOdMbKc5u8dV2EF7&amp;usp=drive_copy" TargetMode="External"/><Relationship Id="rId819" Type="http://schemas.openxmlformats.org/officeDocument/2006/relationships/hyperlink" Target="https://drive.google.com/open?id=155zlpD7NeAZNsQhvBC7Y7vZdadDnc2fg&amp;usp=drive_copy" TargetMode="External"/><Relationship Id="rId818" Type="http://schemas.openxmlformats.org/officeDocument/2006/relationships/hyperlink" Target="https://drive.google.com/open?id=18SXtkiVSlV7VQYQ8v3o6hu7-A2IskPbZ&amp;usp=drive_copy" TargetMode="External"/><Relationship Id="rId817" Type="http://schemas.openxmlformats.org/officeDocument/2006/relationships/hyperlink" Target="https://drive.google.com/open?id=1JuTImQG-ZY6I0bqWBOVAZFhANtetH72_&amp;usp=drive_copy" TargetMode="External"/><Relationship Id="rId816" Type="http://schemas.openxmlformats.org/officeDocument/2006/relationships/hyperlink" Target="https://drive.google.com/open?id=1SjTcRybbmo6883pKY-21k0cL5mjWmJCN&amp;usp=drive_copy" TargetMode="External"/><Relationship Id="rId811" Type="http://schemas.openxmlformats.org/officeDocument/2006/relationships/hyperlink" Target="https://drive.google.com/open?id=1LDBBKy_lwfqH5JlNXrrDFZkXu9FHELVq&amp;usp=drive_copy" TargetMode="External"/><Relationship Id="rId810" Type="http://schemas.openxmlformats.org/officeDocument/2006/relationships/hyperlink" Target="https://drive.google.com/open?id=1p960WKsBI773fDXl44XBXFO6bJ7tjDUT&amp;usp=drive_copy" TargetMode="External"/><Relationship Id="rId815" Type="http://schemas.openxmlformats.org/officeDocument/2006/relationships/hyperlink" Target="https://drive.google.com/open?id=1qtGdhAU-0saW1bpDCPUZ-LldEZPE568y&amp;usp=drive_copy" TargetMode="External"/><Relationship Id="rId814" Type="http://schemas.openxmlformats.org/officeDocument/2006/relationships/hyperlink" Target="https://drive.google.com/open?id=1qkqk8gvX47kKTUxLRevXWTJgy7ChBE4U&amp;usp=drive_copy" TargetMode="External"/><Relationship Id="rId813" Type="http://schemas.openxmlformats.org/officeDocument/2006/relationships/hyperlink" Target="https://drive.google.com/open?id=1zbyq900VFSEL7wMY342Mnhlojf46JgmJ&amp;usp=drive_copy" TargetMode="External"/><Relationship Id="rId812" Type="http://schemas.openxmlformats.org/officeDocument/2006/relationships/hyperlink" Target="https://drive.google.com/open?id=1QU0-or89cb74U31J6364LPT6ZUisrWmf&amp;usp=drive_copy" TargetMode="External"/><Relationship Id="rId1640" Type="http://schemas.openxmlformats.org/officeDocument/2006/relationships/hyperlink" Target="https://drive.google.com/open?id=1WQl8cXRggPUMoF8QdfPrXpbYE6eiWG1m&amp;usp=drive_copy" TargetMode="External"/><Relationship Id="rId1641" Type="http://schemas.openxmlformats.org/officeDocument/2006/relationships/hyperlink" Target="https://drive.google.com/open?id=12349iHNv5ZCG3TeDY33v0f8Q7sPSeUqz&amp;usp=drive_copy" TargetMode="External"/><Relationship Id="rId1675" Type="http://schemas.openxmlformats.org/officeDocument/2006/relationships/hyperlink" Target="https://drive.google.com/open?id=1OTvD_xHTpIWYbzSUD8B0DtxJr4kWWKGq&amp;usp=drive_copy" TargetMode="External"/><Relationship Id="rId1676" Type="http://schemas.openxmlformats.org/officeDocument/2006/relationships/hyperlink" Target="https://drive.google.com/open?id=1cgxek3VNlqWxMiTzU60eLL4w61UMBqtl&amp;usp=drive_copy" TargetMode="External"/><Relationship Id="rId1677" Type="http://schemas.openxmlformats.org/officeDocument/2006/relationships/hyperlink" Target="https://drive.google.com/open?id=1JffLaeKQUM57sb7vhc7rUh1P3nOR2aIm&amp;usp=drive_copy" TargetMode="External"/><Relationship Id="rId1678" Type="http://schemas.openxmlformats.org/officeDocument/2006/relationships/hyperlink" Target="https://drive.google.com/open?id=14MkIHI-oCVlWEnWS2TlcqtBbBHC-qyO3&amp;usp=drive_copy" TargetMode="External"/><Relationship Id="rId1679" Type="http://schemas.openxmlformats.org/officeDocument/2006/relationships/hyperlink" Target="https://drive.google.com/open?id=1DX8b0mLWVQyJUHYLsiAFnECZQTR_-sxZ&amp;usp=drive_copy" TargetMode="External"/><Relationship Id="rId849" Type="http://schemas.openxmlformats.org/officeDocument/2006/relationships/hyperlink" Target="https://drive.google.com/open?id=1gdE_fjJy0D-p-XVXAlW9e9lY8scvlxwl&amp;usp=drive_copy" TargetMode="External"/><Relationship Id="rId844" Type="http://schemas.openxmlformats.org/officeDocument/2006/relationships/hyperlink" Target="https://drive.google.com/open?id=15iwlUNzV6a9OtrCsWNR-N329yT-GFJ73&amp;usp=drive_copy" TargetMode="External"/><Relationship Id="rId843" Type="http://schemas.openxmlformats.org/officeDocument/2006/relationships/hyperlink" Target="https://drive.google.com/open?id=1IUqxrc0so6bgyp0CNj72PTwdWzp-U8Ls&amp;usp=drive_copy" TargetMode="External"/><Relationship Id="rId842" Type="http://schemas.openxmlformats.org/officeDocument/2006/relationships/hyperlink" Target="https://drive.google.com/open?id=11p1qnMO-_R0ZiStXEP3Jxsw0o6B5grK8&amp;usp=drive_copy" TargetMode="External"/><Relationship Id="rId841" Type="http://schemas.openxmlformats.org/officeDocument/2006/relationships/hyperlink" Target="https://drive.google.com/open?id=1UxlRTCeYlni2fIVD4lJcUmuzYvZBakpR&amp;usp=drive_copy" TargetMode="External"/><Relationship Id="rId848" Type="http://schemas.openxmlformats.org/officeDocument/2006/relationships/hyperlink" Target="https://drive.google.com/open?id=1go619bP9L8qwmG6BPmB-VLCq57nFJj5w&amp;usp=drive_copy" TargetMode="External"/><Relationship Id="rId847" Type="http://schemas.openxmlformats.org/officeDocument/2006/relationships/hyperlink" Target="https://drive.google.com/open?id=1CIiSe1nDZkQ5wykIYnwb4E4hPgjZBMxJ&amp;usp=drive_copy" TargetMode="External"/><Relationship Id="rId846" Type="http://schemas.openxmlformats.org/officeDocument/2006/relationships/hyperlink" Target="https://drive.google.com/open?id=1RvQvugXeJxjOkXaMnD0Xuu3ki3VAlx9y&amp;usp=drive_copy" TargetMode="External"/><Relationship Id="rId845" Type="http://schemas.openxmlformats.org/officeDocument/2006/relationships/hyperlink" Target="https://drive.google.com/open?id=1Q8FeUlxICmx6iDSLN2OLDV9eoU2wJn0G&amp;usp=drive_copy" TargetMode="External"/><Relationship Id="rId1670" Type="http://schemas.openxmlformats.org/officeDocument/2006/relationships/hyperlink" Target="https://drive.google.com/open?id=1S8KACK8iZgPnEjPRNzUtcBW_8gK9sZTi&amp;usp=drive_copy" TargetMode="External"/><Relationship Id="rId840" Type="http://schemas.openxmlformats.org/officeDocument/2006/relationships/hyperlink" Target="https://drive.google.com/open?id=1sXDVPwxGfVNgGMP_GenRdROnolJd3Qu-&amp;usp=drive_copy" TargetMode="External"/><Relationship Id="rId1671" Type="http://schemas.openxmlformats.org/officeDocument/2006/relationships/hyperlink" Target="https://drive.google.com/open?id=1QHdd1nVJldEU_h4Zz9iwdfQjxUlDb8v2&amp;usp=drive_copy" TargetMode="External"/><Relationship Id="rId1672" Type="http://schemas.openxmlformats.org/officeDocument/2006/relationships/hyperlink" Target="https://drive.google.com/open?id=1oeMbJEEPXOid5YylnfaQZVXm0aPTU09M&amp;usp=drive_copy" TargetMode="External"/><Relationship Id="rId1673" Type="http://schemas.openxmlformats.org/officeDocument/2006/relationships/hyperlink" Target="https://drive.google.com/open?id=1V79VbKPAzhw-X-LYKbQAVBSVCgkTitNW&amp;usp=drive_copy" TargetMode="External"/><Relationship Id="rId1674" Type="http://schemas.openxmlformats.org/officeDocument/2006/relationships/hyperlink" Target="https://drive.google.com/open?id=1b3yjas0Hq6wAUlNrWvWrjpS5FpQ1pqMB&amp;usp=drive_copy" TargetMode="External"/><Relationship Id="rId1664" Type="http://schemas.openxmlformats.org/officeDocument/2006/relationships/hyperlink" Target="https://drive.google.com/open?id=1rVlqnP-jGrMdpiIxSx-ydy3abInOjm8I&amp;usp=drive_copy" TargetMode="External"/><Relationship Id="rId1665" Type="http://schemas.openxmlformats.org/officeDocument/2006/relationships/hyperlink" Target="https://drive.google.com/open?id=1WSEIHK3fcSfOzNpXScz-PWvtRV3slWsM&amp;usp=drive_copy" TargetMode="External"/><Relationship Id="rId1666" Type="http://schemas.openxmlformats.org/officeDocument/2006/relationships/hyperlink" Target="https://drive.google.com/open?id=1eVBfYu0GPIuDFaLR-tkThjfa11LDX_l-&amp;usp=drive_copy" TargetMode="External"/><Relationship Id="rId1667" Type="http://schemas.openxmlformats.org/officeDocument/2006/relationships/hyperlink" Target="https://drive.google.com/open?id=1ltLTmer70Ic6PZFxEzbg97wttRN_FDfy&amp;usp=drive_copy" TargetMode="External"/><Relationship Id="rId1668" Type="http://schemas.openxmlformats.org/officeDocument/2006/relationships/hyperlink" Target="https://drive.google.com/open?id=1taFaCRMfiFvImGL24s5RpWnQR-aCwYZT&amp;usp=drive_copy" TargetMode="External"/><Relationship Id="rId1669" Type="http://schemas.openxmlformats.org/officeDocument/2006/relationships/hyperlink" Target="https://drive.google.com/open?id=1pOqp5FDENrD04-YnxR9u3NOnvJxngFr7&amp;usp=drive_copy" TargetMode="External"/><Relationship Id="rId839" Type="http://schemas.openxmlformats.org/officeDocument/2006/relationships/hyperlink" Target="https://drive.google.com/open?id=1qZaqAdwyUHM8aJJ2C0-J-B6cCU6JW2qP&amp;usp=drive_copy" TargetMode="External"/><Relationship Id="rId838" Type="http://schemas.openxmlformats.org/officeDocument/2006/relationships/hyperlink" Target="https://drive.google.com/open?id=1qNk_yoVlI3Q0GCsxEXMEdxdPSPMIkteN&amp;usp=drive_copy" TargetMode="External"/><Relationship Id="rId833" Type="http://schemas.openxmlformats.org/officeDocument/2006/relationships/hyperlink" Target="https://docs.google.com/spreadsheets/d/1KJLzJEaO4kbvq4V-GjWfemK9tVQrAOjD/edit?gid=1585189429" TargetMode="External"/><Relationship Id="rId832" Type="http://schemas.openxmlformats.org/officeDocument/2006/relationships/hyperlink" Target="https://drive.google.com/open?id=1zfh4rx0NWR846g0zp7QtTOmyyLKWWI7F&amp;usp=drive_copy" TargetMode="External"/><Relationship Id="rId831" Type="http://schemas.openxmlformats.org/officeDocument/2006/relationships/hyperlink" Target="https://drive.google.com/open?id=1KKVHz96c5lpH3wKm_j3nAUgg-q4_ZRvI&amp;usp=drive_copy" TargetMode="External"/><Relationship Id="rId830" Type="http://schemas.openxmlformats.org/officeDocument/2006/relationships/hyperlink" Target="https://drive.google.com/open?id=1GaqkBSKc2REWXAqDgkUUsPzyWFRffCgy&amp;usp=drive_copy" TargetMode="External"/><Relationship Id="rId837" Type="http://schemas.openxmlformats.org/officeDocument/2006/relationships/hyperlink" Target="https://drive.google.com/open?id=1xG-boxvXByOTaZygtwqhTw0LQrQLqgR6&amp;usp=drive_copy" TargetMode="External"/><Relationship Id="rId836" Type="http://schemas.openxmlformats.org/officeDocument/2006/relationships/hyperlink" Target="https://drive.google.com/open?id=1UakdS58EsFTjXdXZ9waS5W3uUi_yZiBs&amp;usp=drive_copy" TargetMode="External"/><Relationship Id="rId835" Type="http://schemas.openxmlformats.org/officeDocument/2006/relationships/hyperlink" Target="https://docs.google.com/spreadsheets/d/1Atzbm8VN9llUNIvJrwgzug1VDDOerVg0/edit?gid=790291539" TargetMode="External"/><Relationship Id="rId834" Type="http://schemas.openxmlformats.org/officeDocument/2006/relationships/hyperlink" Target="https://drive.google.com/open?id=1DnKBA1cUWvtUJgda8QnIke28BYzVHcsL&amp;usp=drive_copy" TargetMode="External"/><Relationship Id="rId1660" Type="http://schemas.openxmlformats.org/officeDocument/2006/relationships/hyperlink" Target="https://drive.google.com/open?id=12gmfoSIkUHKzXv7Yl9umxE-zLyqU09g1&amp;usp=drive_copy" TargetMode="External"/><Relationship Id="rId1661" Type="http://schemas.openxmlformats.org/officeDocument/2006/relationships/hyperlink" Target="https://drive.google.com/open?id=1Rfxrr5fwsdmHyNFC6gYcGiix1JV9P1cJ&amp;usp=drive_copy" TargetMode="External"/><Relationship Id="rId1662" Type="http://schemas.openxmlformats.org/officeDocument/2006/relationships/hyperlink" Target="https://drive.google.com/open?id=1RE5tB5ZneKKmQuNOuZSv5_0p3XZlvfiD&amp;usp=drive_copy" TargetMode="External"/><Relationship Id="rId1663" Type="http://schemas.openxmlformats.org/officeDocument/2006/relationships/hyperlink" Target="https://drive.google.com/open?id=1ce2Iwnnf13gu_xGfvu0AFYKRdlCCArBQ&amp;usp=drive_copy" TargetMode="External"/><Relationship Id="rId2148" Type="http://schemas.openxmlformats.org/officeDocument/2006/relationships/hyperlink" Target="https://drive.google.com/open?id=1FZitpLnubDTjM2t8X_ojRGonflzT5L9G&amp;usp=drive_copy" TargetMode="External"/><Relationship Id="rId2149" Type="http://schemas.openxmlformats.org/officeDocument/2006/relationships/hyperlink" Target="https://drive.google.com/open?id=1yGPnbW7OG0DpybGmWE4m92M4SvV0pnlf&amp;usp=drive_copy" TargetMode="External"/><Relationship Id="rId469" Type="http://schemas.openxmlformats.org/officeDocument/2006/relationships/hyperlink" Target="https://drive.google.com/open?id=1e2yJZalnZnBhyHwf2XB4BcjajnQejx0Q&amp;usp=drive_copy" TargetMode="External"/><Relationship Id="rId468" Type="http://schemas.openxmlformats.org/officeDocument/2006/relationships/hyperlink" Target="https://drive.google.com/open?id=1JIYYnDWWm2IFR03HaCpTY1SBGHyo2-tO&amp;usp=drive_copy" TargetMode="External"/><Relationship Id="rId467" Type="http://schemas.openxmlformats.org/officeDocument/2006/relationships/hyperlink" Target="https://drive.google.com/open?id=1wP8rvsN7Q9yPVAq0T4AWPad0m1rRsbOt&amp;usp=drive_copy" TargetMode="External"/><Relationship Id="rId1290" Type="http://schemas.openxmlformats.org/officeDocument/2006/relationships/hyperlink" Target="https://drive.google.com/open?id=16XhalfFzucrWENGFLU0Y966XNUXN44h2&amp;usp=drive_copy" TargetMode="External"/><Relationship Id="rId1291" Type="http://schemas.openxmlformats.org/officeDocument/2006/relationships/hyperlink" Target="https://drive.google.com/open?id=14EXQKgkUJ2bdH5UratxI2ThK9Qp369QH&amp;usp=drive_copy" TargetMode="External"/><Relationship Id="rId1292" Type="http://schemas.openxmlformats.org/officeDocument/2006/relationships/hyperlink" Target="https://drive.google.com/open?id=1ucfryqQ8PJqYw7OEEcMXZm417UI0sLj_&amp;usp=drive_copy" TargetMode="External"/><Relationship Id="rId462" Type="http://schemas.openxmlformats.org/officeDocument/2006/relationships/hyperlink" Target="https://drive.google.com/open?id=1Td1pqit4hPv7C6mrSM7F_za8_9JKPymn&amp;usp=drive_copy" TargetMode="External"/><Relationship Id="rId1293" Type="http://schemas.openxmlformats.org/officeDocument/2006/relationships/hyperlink" Target="https://drive.google.com/open?id=1hqPwQRJhA9ofWY-QnWlSGxBPAaI6-MsC&amp;usp=drive_copy" TargetMode="External"/><Relationship Id="rId2140" Type="http://schemas.openxmlformats.org/officeDocument/2006/relationships/hyperlink" Target="https://drive.google.com/open?id=1VabJOfjUhYMGyfzNXEAbw3IPPkDoaub7&amp;usp=drive_copy" TargetMode="External"/><Relationship Id="rId461" Type="http://schemas.openxmlformats.org/officeDocument/2006/relationships/hyperlink" Target="https://drive.google.com/open?id=1C8XuGxDUevDe1agIm-IpbGXWFaPN7Dtq&amp;usp=drive_copy" TargetMode="External"/><Relationship Id="rId1294" Type="http://schemas.openxmlformats.org/officeDocument/2006/relationships/hyperlink" Target="https://drive.google.com/open?id=1kFdqK6UmWDqOzNz5Z1cgfE3ZFI17Q978&amp;usp=drive_copy" TargetMode="External"/><Relationship Id="rId2141" Type="http://schemas.openxmlformats.org/officeDocument/2006/relationships/hyperlink" Target="https://drive.google.com/open?id=1trGwB9f7dskYfs4YzzOJ2UasV6URIk35&amp;usp=drive_copy" TargetMode="External"/><Relationship Id="rId460" Type="http://schemas.openxmlformats.org/officeDocument/2006/relationships/hyperlink" Target="https://drive.google.com/open?id=1m01_GTvKs7QWTuHICvshGzthG3Qw3f8U&amp;usp=drive_copy" TargetMode="External"/><Relationship Id="rId1295" Type="http://schemas.openxmlformats.org/officeDocument/2006/relationships/hyperlink" Target="https://drive.google.com/open?id=1qi_x89UKvgwtI0A2laYhr5C4vR4fKkHZ&amp;usp=drive_copy" TargetMode="External"/><Relationship Id="rId2142" Type="http://schemas.openxmlformats.org/officeDocument/2006/relationships/hyperlink" Target="https://drive.google.com/open?id=1QIjqhFHMmlVC99S3Rb4dN3_AXNwZM94m&amp;usp=drive_copy" TargetMode="External"/><Relationship Id="rId1296" Type="http://schemas.openxmlformats.org/officeDocument/2006/relationships/hyperlink" Target="https://drive.google.com/open?id=1tBaJ5I0_uweGjrnuqpg2889u-IiA7G4Q&amp;usp=drive_copy" TargetMode="External"/><Relationship Id="rId2143" Type="http://schemas.openxmlformats.org/officeDocument/2006/relationships/hyperlink" Target="https://drive.google.com/open?id=1BbpI4L0uFYESkkfN0oz9JeFDotlP88py&amp;usp=drive_copy" TargetMode="External"/><Relationship Id="rId466" Type="http://schemas.openxmlformats.org/officeDocument/2006/relationships/hyperlink" Target="https://drive.google.com/open?id=1JaYhznnZGQiQs-2ekiRTPCJh31UN49Kf&amp;usp=drive_copy" TargetMode="External"/><Relationship Id="rId1297" Type="http://schemas.openxmlformats.org/officeDocument/2006/relationships/hyperlink" Target="https://drive.google.com/open?id=1z0-OGi7957CiXIyrunfkjxwjiEinIj8A&amp;usp=drive_copy" TargetMode="External"/><Relationship Id="rId2144" Type="http://schemas.openxmlformats.org/officeDocument/2006/relationships/hyperlink" Target="https://drive.google.com/open?id=15xUX0YdoosZzWO05y0DUaaoZnuykx2gP&amp;usp=drive_copy" TargetMode="External"/><Relationship Id="rId465" Type="http://schemas.openxmlformats.org/officeDocument/2006/relationships/hyperlink" Target="https://drive.google.com/open?id=1jMgiSkDCwofDQRdPwDjiwKgoKAUtnp-u&amp;usp=drive_copy" TargetMode="External"/><Relationship Id="rId1298" Type="http://schemas.openxmlformats.org/officeDocument/2006/relationships/hyperlink" Target="https://drive.google.com/open?id=1NYzLDWSB7xOdelI0dQP3nNDkCdX4dVw6&amp;usp=drive_copy" TargetMode="External"/><Relationship Id="rId2145" Type="http://schemas.openxmlformats.org/officeDocument/2006/relationships/hyperlink" Target="https://drive.google.com/open?id=1paBLTpeiZ4kDkOQph0lWIIqx-GqhPWHJ&amp;usp=drive_copy" TargetMode="External"/><Relationship Id="rId464" Type="http://schemas.openxmlformats.org/officeDocument/2006/relationships/hyperlink" Target="https://drive.google.com/open?id=1wR9V9LcKnj62sHaJBBqjIRLmwBaaV1mS&amp;usp=drive_copy" TargetMode="External"/><Relationship Id="rId1299" Type="http://schemas.openxmlformats.org/officeDocument/2006/relationships/hyperlink" Target="https://drive.google.com/open?id=1OjGQBCecSktg5tVzerkEZf4xVJ3t5p3Y&amp;usp=drive_copy" TargetMode="External"/><Relationship Id="rId2146" Type="http://schemas.openxmlformats.org/officeDocument/2006/relationships/hyperlink" Target="https://drive.google.com/open?id=1UJh3SN6F0FevE4JsvR2EzjKBnygGifYW&amp;usp=drive_copy" TargetMode="External"/><Relationship Id="rId463" Type="http://schemas.openxmlformats.org/officeDocument/2006/relationships/hyperlink" Target="https://drive.google.com/open?id=1DkqcGnLbMbQeKzq5l7-PpsCxR-RPgJhg&amp;usp=drive_copy" TargetMode="External"/><Relationship Id="rId2147" Type="http://schemas.openxmlformats.org/officeDocument/2006/relationships/hyperlink" Target="https://drive.google.com/open?id=19H1DlN94XFu3RZh8U6a_c58iz1mZYf1l&amp;usp=drive_copy" TargetMode="External"/><Relationship Id="rId2137" Type="http://schemas.openxmlformats.org/officeDocument/2006/relationships/hyperlink" Target="https://drive.google.com/open?id=153W6RY4IRESyqw3ZX5KuMhsWeruJ06cG&amp;usp=drive_copy" TargetMode="External"/><Relationship Id="rId2138" Type="http://schemas.openxmlformats.org/officeDocument/2006/relationships/hyperlink" Target="https://drive.google.com/open?id=1QLZ6hhAN3SJgaKmlvahsRybjGN6xGglw&amp;usp=drive_copy" TargetMode="External"/><Relationship Id="rId2139" Type="http://schemas.openxmlformats.org/officeDocument/2006/relationships/hyperlink" Target="https://drive.google.com/open?id=1hvPmTQF1eTPe-th_eHABBQY_0-frA7tY&amp;usp=drive_copy" TargetMode="External"/><Relationship Id="rId459" Type="http://schemas.openxmlformats.org/officeDocument/2006/relationships/hyperlink" Target="https://drive.google.com/open?id=1OgoZf-LSUgfkwos0GIStRQmVvPWu7UXk&amp;usp=drive_copy" TargetMode="External"/><Relationship Id="rId458" Type="http://schemas.openxmlformats.org/officeDocument/2006/relationships/hyperlink" Target="https://drive.google.com/open?id=1Z3a0S2qxFa59J7nCy4sBtby9GP6tKvWw&amp;usp=drive_copy" TargetMode="External"/><Relationship Id="rId457" Type="http://schemas.openxmlformats.org/officeDocument/2006/relationships/hyperlink" Target="https://drive.google.com/open?id=1L_tRYHlMqD-EGWBaTA0cBU7GmY-oqWq2&amp;usp=drive_copy" TargetMode="External"/><Relationship Id="rId456" Type="http://schemas.openxmlformats.org/officeDocument/2006/relationships/hyperlink" Target="https://drive.google.com/open?id=1K7Wse2_PnBsX4Ge7LYlEHwgscd3JLckq&amp;usp=drive_copy" TargetMode="External"/><Relationship Id="rId1280" Type="http://schemas.openxmlformats.org/officeDocument/2006/relationships/hyperlink" Target="https://drive.google.com/open?id=1FGHwQqXB-CRWtyC4wvW2ehKrhD7WdMXf&amp;usp=drive_copy" TargetMode="External"/><Relationship Id="rId1281" Type="http://schemas.openxmlformats.org/officeDocument/2006/relationships/hyperlink" Target="https://drive.google.com/open?id=1mWsmL7SAvlDoN1Mfi5u3YUYA5xhrnZR8&amp;usp=drive_copy" TargetMode="External"/><Relationship Id="rId451" Type="http://schemas.openxmlformats.org/officeDocument/2006/relationships/hyperlink" Target="https://drive.google.com/open?id=1RnjA31W6y_feHA-TqMBAuTgzcz3sTVLr&amp;usp=drive_copy" TargetMode="External"/><Relationship Id="rId1282" Type="http://schemas.openxmlformats.org/officeDocument/2006/relationships/hyperlink" Target="https://drive.google.com/open?id=1AR5hnedEupwWZxz3X77fzIiUxVKNVCIa&amp;usp=drive_copy" TargetMode="External"/><Relationship Id="rId450" Type="http://schemas.openxmlformats.org/officeDocument/2006/relationships/hyperlink" Target="https://drive.google.com/open?id=1Zm5DVCl6ZKNXVkKoIffM9jmiXQiH00Z-&amp;usp=drive_copy" TargetMode="External"/><Relationship Id="rId1283" Type="http://schemas.openxmlformats.org/officeDocument/2006/relationships/hyperlink" Target="https://drive.google.com/open?id=1xrzlarpcoNNLl8SRYOydWni6t7VZyE0h&amp;usp=drive_copy" TargetMode="External"/><Relationship Id="rId2130" Type="http://schemas.openxmlformats.org/officeDocument/2006/relationships/hyperlink" Target="https://drive.google.com/open?id=1MqUxt6_s0q8hvLg8rlFpVj5mlgV9jxK7&amp;usp=drive_copy" TargetMode="External"/><Relationship Id="rId1284" Type="http://schemas.openxmlformats.org/officeDocument/2006/relationships/hyperlink" Target="https://drive.google.com/open?id=1kWcJlngi_ywRP_cSdMce4FYorYLSlcwZ&amp;usp=drive_copy" TargetMode="External"/><Relationship Id="rId2131" Type="http://schemas.openxmlformats.org/officeDocument/2006/relationships/hyperlink" Target="https://drive.google.com/open?id=1OTs5nXay59P9ANUEtE5i1rjKvJM9USy4&amp;usp=drive_copy" TargetMode="External"/><Relationship Id="rId1285" Type="http://schemas.openxmlformats.org/officeDocument/2006/relationships/hyperlink" Target="https://drive.google.com/open?id=1qawooSv-wgItfMeL10Z-TVycGcTC7KNV&amp;usp=drive_copy" TargetMode="External"/><Relationship Id="rId2132" Type="http://schemas.openxmlformats.org/officeDocument/2006/relationships/hyperlink" Target="https://drive.google.com/open?id=1e_gUtsaxSQokOdSGmKU5z9DOtUNyp1Bd&amp;usp=drive_copy" TargetMode="External"/><Relationship Id="rId455" Type="http://schemas.openxmlformats.org/officeDocument/2006/relationships/hyperlink" Target="https://drive.google.com/open?id=1GnV-vNYptDamUta1WQiimi4AGsgoAZN_&amp;usp=drive_copy" TargetMode="External"/><Relationship Id="rId1286" Type="http://schemas.openxmlformats.org/officeDocument/2006/relationships/hyperlink" Target="https://drive.google.com/open?id=1O1Yj-yp24QcZiNYKAoZA--aJ_Y1Ul-ui&amp;usp=drive_copy" TargetMode="External"/><Relationship Id="rId2133" Type="http://schemas.openxmlformats.org/officeDocument/2006/relationships/hyperlink" Target="https://drive.google.com/open?id=1sOIqhU-6XYJnR6K5Z-ngXKdDbS1vx6bs&amp;usp=drive_copy" TargetMode="External"/><Relationship Id="rId454" Type="http://schemas.openxmlformats.org/officeDocument/2006/relationships/hyperlink" Target="https://drive.google.com/open?id=1tvomdmLjKWZ9Q7XqnygTwNlXR8NYKRTU&amp;usp=drive_copy" TargetMode="External"/><Relationship Id="rId1287" Type="http://schemas.openxmlformats.org/officeDocument/2006/relationships/hyperlink" Target="https://drive.google.com/open?id=1EW9k_dAT6oIr6OpYiD6JLNXxALwVqFYB&amp;usp=drive_copy" TargetMode="External"/><Relationship Id="rId2134" Type="http://schemas.openxmlformats.org/officeDocument/2006/relationships/hyperlink" Target="https://drive.google.com/open?id=1Yhaif9LQOU7pM83JmB6Q-tjsAGSyNgt7&amp;usp=drive_copy" TargetMode="External"/><Relationship Id="rId453" Type="http://schemas.openxmlformats.org/officeDocument/2006/relationships/hyperlink" Target="https://drive.google.com/open?id=1OZOFIl7-ECOZBU_V8ZhJx4MYnPS2LeOr&amp;usp=drive_copy" TargetMode="External"/><Relationship Id="rId1288" Type="http://schemas.openxmlformats.org/officeDocument/2006/relationships/hyperlink" Target="https://drive.google.com/open?id=1sF0qkEvRGvK6zdIzBniXfx85ewakphWl&amp;usp=drive_copy" TargetMode="External"/><Relationship Id="rId2135" Type="http://schemas.openxmlformats.org/officeDocument/2006/relationships/hyperlink" Target="https://drive.google.com/open?id=150FqhDAryXzE3Sr01oBT2znUOrvkRE89&amp;usp=drive_copy" TargetMode="External"/><Relationship Id="rId452" Type="http://schemas.openxmlformats.org/officeDocument/2006/relationships/hyperlink" Target="https://docs.google.com/spreadsheets/d/1HbiipyLRefGqKW8q6kpI7g6KQm_PJWqR/edit?usp=drive_link&amp;ouid=116945699161953299446&amp;rtpof=true&amp;sd=true" TargetMode="External"/><Relationship Id="rId1289" Type="http://schemas.openxmlformats.org/officeDocument/2006/relationships/hyperlink" Target="https://drive.google.com/open?id=1l78dFmw0Niln3JXOEpqpwvmbgP28_7CD&amp;usp=drive_copy" TargetMode="External"/><Relationship Id="rId2136" Type="http://schemas.openxmlformats.org/officeDocument/2006/relationships/hyperlink" Target="https://drive.google.com/open?id=1FYYeWN6q5m4iIF8bKfD4NJ14lzxE5xbp&amp;usp=drive_copy" TargetMode="External"/><Relationship Id="rId491" Type="http://schemas.openxmlformats.org/officeDocument/2006/relationships/hyperlink" Target="https://drive.google.com/open?id=142DiDOfGUSvOQS2A-fsy-fY20L9Qg-jt&amp;usp=drive_copy" TargetMode="External"/><Relationship Id="rId490" Type="http://schemas.openxmlformats.org/officeDocument/2006/relationships/hyperlink" Target="https://drive.google.com/open?id=1vJ1Xjf0PvP6sgKc94blG_etuOJjN3Mdo&amp;usp=drive_copy" TargetMode="External"/><Relationship Id="rId489" Type="http://schemas.openxmlformats.org/officeDocument/2006/relationships/hyperlink" Target="https://drive.google.com/open?id=1BeI_RcEUJssQVcMdMiLFmQFlThB4SmGL&amp;usp=drive_copy" TargetMode="External"/><Relationship Id="rId2160" Type="http://schemas.openxmlformats.org/officeDocument/2006/relationships/hyperlink" Target="https://drive.google.com/open?id=1B_igFoKZoC_Jo4dWe2IzgKtp2GIzvVhC&amp;usp=drive_copy" TargetMode="External"/><Relationship Id="rId2161" Type="http://schemas.openxmlformats.org/officeDocument/2006/relationships/hyperlink" Target="https://drive.google.com/open?id=17cyUJFfvK_UgFmFibN_0Q9CHkD09ylne&amp;usp=drive_copy" TargetMode="External"/><Relationship Id="rId484" Type="http://schemas.openxmlformats.org/officeDocument/2006/relationships/hyperlink" Target="https://drive.google.com/open?id=1zbVMLxDuR-BEOnbBNNErViD6xKvl5YuK&amp;usp=drive_copy" TargetMode="External"/><Relationship Id="rId2162" Type="http://schemas.openxmlformats.org/officeDocument/2006/relationships/hyperlink" Target="https://drive.google.com/open?id=1mSJzpS6pYJVBsy0Cc04DsjmjND0MBgsE&amp;usp=drive_copy" TargetMode="External"/><Relationship Id="rId483" Type="http://schemas.openxmlformats.org/officeDocument/2006/relationships/hyperlink" Target="https://drive.google.com/open?id=1L2YjCFJUTAIkDO2iZK79R67GybffjokT&amp;usp=drive_copy" TargetMode="External"/><Relationship Id="rId2163" Type="http://schemas.openxmlformats.org/officeDocument/2006/relationships/hyperlink" Target="https://drive.google.com/open?id=19v1UQxUirSie0pfOn3bJgE27sGzi4Iml&amp;usp=drive_copy" TargetMode="External"/><Relationship Id="rId482" Type="http://schemas.openxmlformats.org/officeDocument/2006/relationships/hyperlink" Target="https://drive.google.com/file/d/1tzmVRQ21ltGQfq_r6uDm29BlIg7EMXGQ/view?usp=drive_link" TargetMode="External"/><Relationship Id="rId2164" Type="http://schemas.openxmlformats.org/officeDocument/2006/relationships/hyperlink" Target="https://drive.google.com/open?id=1dwotzXMOxM3sDnq1krhTxxvlfvMdV953&amp;usp=drive_copy" TargetMode="External"/><Relationship Id="rId481" Type="http://schemas.openxmlformats.org/officeDocument/2006/relationships/hyperlink" Target="https://drive.google.com/open?id=1BfaoiB7eyjvVN-LX2qRNS-ZwsxQiUc1f&amp;usp=drive_copy" TargetMode="External"/><Relationship Id="rId2165" Type="http://schemas.openxmlformats.org/officeDocument/2006/relationships/hyperlink" Target="https://drive.google.com/open?id=1tccEQqeZN4Zilh1s-C60ovGVUG83XAw6&amp;usp=drive_copy" TargetMode="External"/><Relationship Id="rId488" Type="http://schemas.openxmlformats.org/officeDocument/2006/relationships/hyperlink" Target="https://drive.google.com/open?id=18LyItkx_yUegYMdfXBoCF9iHV8J8P-9g&amp;usp=drive_copy" TargetMode="External"/><Relationship Id="rId2166" Type="http://schemas.openxmlformats.org/officeDocument/2006/relationships/hyperlink" Target="https://drive.google.com/open?id=1PpNdp55XDH-4z5a-VoUAFEIReVb8Fc3N&amp;usp=drive_copy" TargetMode="External"/><Relationship Id="rId487" Type="http://schemas.openxmlformats.org/officeDocument/2006/relationships/hyperlink" Target="https://drive.google.com/open?id=1IXrDR3YPLNj5oP4bEQHAPsNyt-dBFavw&amp;usp=drive_copy" TargetMode="External"/><Relationship Id="rId2167" Type="http://schemas.openxmlformats.org/officeDocument/2006/relationships/hyperlink" Target="https://drive.google.com/open?id=1Au1kkty1xdRNGsVqrlEDaGWkEKwrjB6y&amp;usp=drive_copy" TargetMode="External"/><Relationship Id="rId486" Type="http://schemas.openxmlformats.org/officeDocument/2006/relationships/hyperlink" Target="https://drive.google.com/open?id=1n6lbOuj3oanhEstgH5piUUABPoauPar9&amp;usp=drive_copy" TargetMode="External"/><Relationship Id="rId2168" Type="http://schemas.openxmlformats.org/officeDocument/2006/relationships/hyperlink" Target="https://drive.google.com/open?id=1sD-S4yyOGvf9xBL0FOnuBlekJAjpKLF5&amp;usp=drive_copy" TargetMode="External"/><Relationship Id="rId485" Type="http://schemas.openxmlformats.org/officeDocument/2006/relationships/hyperlink" Target="https://drive.google.com/open?id=1MGo-yBiW9uKA3mQ1VGgQ0Kp9rjNBcDbv&amp;usp=drive_copy" TargetMode="External"/><Relationship Id="rId2169" Type="http://schemas.openxmlformats.org/officeDocument/2006/relationships/hyperlink" Target="https://drive.google.com/open?id=1LqfDM3lU6BxgqZzRuRbv4rYHnG2h4RX9&amp;usp=drive_copy" TargetMode="External"/><Relationship Id="rId2159" Type="http://schemas.openxmlformats.org/officeDocument/2006/relationships/hyperlink" Target="https://drive.google.com/open?id=1j0gMclWicXPe_astUwlBp6sNmcZxUbx7&amp;usp=drive_copy" TargetMode="External"/><Relationship Id="rId480" Type="http://schemas.openxmlformats.org/officeDocument/2006/relationships/hyperlink" Target="https://drive.google.com/open?id=1MQPrMuEuBcLwjpSyJ6GLGs9hl2g_uWiy&amp;usp=drive_copy" TargetMode="External"/><Relationship Id="rId479" Type="http://schemas.openxmlformats.org/officeDocument/2006/relationships/hyperlink" Target="https://drive.google.com/open?id=1cGtMVbq5bpsz9btqaj_ASyLmnqbQoTXu&amp;usp=drive_copy" TargetMode="External"/><Relationship Id="rId478" Type="http://schemas.openxmlformats.org/officeDocument/2006/relationships/hyperlink" Target="https://drive.google.com/open?id=1f8FOPhcxfHDXFuv4h_ZtvWRK8BOrFJ3z&amp;usp=drive_copy" TargetMode="External"/><Relationship Id="rId2150" Type="http://schemas.openxmlformats.org/officeDocument/2006/relationships/hyperlink" Target="https://drive.google.com/open?id=1AFeKnsmdg2M7fVSrvA31HEdCCidPPX8Y&amp;usp=drive_copy" TargetMode="External"/><Relationship Id="rId473" Type="http://schemas.openxmlformats.org/officeDocument/2006/relationships/hyperlink" Target="https://drive.google.com/open?id=1ALlztsZgV5G_Qkj6JjZuYiErQh5I6FPj&amp;usp=drive_copy" TargetMode="External"/><Relationship Id="rId2151" Type="http://schemas.openxmlformats.org/officeDocument/2006/relationships/hyperlink" Target="https://drive.google.com/open?id=1WJ8ZqFVUaHKSQnbw3ZUOOE7qZetyN1wS&amp;usp=drive_copy" TargetMode="External"/><Relationship Id="rId472" Type="http://schemas.openxmlformats.org/officeDocument/2006/relationships/hyperlink" Target="https://drive.google.com/open?id=1VtitsmJLbkWoCPFI1tR0jokVXXvAXNti&amp;usp=drive_copy" TargetMode="External"/><Relationship Id="rId2152" Type="http://schemas.openxmlformats.org/officeDocument/2006/relationships/hyperlink" Target="https://drive.google.com/open?id=1MOpVEFOpiNQSD_rOai3ZR80aoSbrC_21&amp;usp=drive_copy" TargetMode="External"/><Relationship Id="rId471" Type="http://schemas.openxmlformats.org/officeDocument/2006/relationships/hyperlink" Target="https://drive.google.com/open?id=1tq5IJNiab_fUkP5-JTWWJ7CFW7HBP3jS&amp;usp=drive_copy" TargetMode="External"/><Relationship Id="rId2153" Type="http://schemas.openxmlformats.org/officeDocument/2006/relationships/hyperlink" Target="https://drive.google.com/open?id=1opS7YGJ6YwRv4P6fbNo6MeMlj_FixOZH&amp;usp=drive_copy" TargetMode="External"/><Relationship Id="rId470" Type="http://schemas.openxmlformats.org/officeDocument/2006/relationships/hyperlink" Target="https://drive.google.com/open?id=1mV46N_M62XUVm1d02376iC3tg1RaUitL&amp;usp=drive_copy" TargetMode="External"/><Relationship Id="rId2154" Type="http://schemas.openxmlformats.org/officeDocument/2006/relationships/hyperlink" Target="https://drive.google.com/open?id=1I1PHGID_4pYbiEVgqNi4XEr9zmwokB55&amp;usp=drive_copy" TargetMode="External"/><Relationship Id="rId477" Type="http://schemas.openxmlformats.org/officeDocument/2006/relationships/hyperlink" Target="https://drive.google.com/open?id=1gnyLWCyiMhqWctOpf6jcSlaEClFwsAoX&amp;usp=drive_copy" TargetMode="External"/><Relationship Id="rId2155" Type="http://schemas.openxmlformats.org/officeDocument/2006/relationships/hyperlink" Target="https://drive.google.com/open?id=1l50jqS_zwTk4_n5SPDyUI0pq80O47Joe&amp;usp=drive_copy" TargetMode="External"/><Relationship Id="rId476" Type="http://schemas.openxmlformats.org/officeDocument/2006/relationships/hyperlink" Target="https://drive.google.com/open?id=1Z7gWO9yFHRBduYpEt8RkkpBTRpaZVKtN&amp;usp=drive_copy" TargetMode="External"/><Relationship Id="rId2156" Type="http://schemas.openxmlformats.org/officeDocument/2006/relationships/hyperlink" Target="https://drive.google.com/open?id=18Sxg3UXM2yCFVV0m5A4J3fTYG9MNUgUw&amp;usp=drive_copy" TargetMode="External"/><Relationship Id="rId475" Type="http://schemas.openxmlformats.org/officeDocument/2006/relationships/hyperlink" Target="https://drive.google.com/open?id=1hTYmN2m2YIwxw-w1t2-dPWKGzMatWuq3&amp;usp=drive_copy" TargetMode="External"/><Relationship Id="rId2157" Type="http://schemas.openxmlformats.org/officeDocument/2006/relationships/hyperlink" Target="https://drive.google.com/open?id=1jYx_sn4fVwObnncm9bBZG6wYld4QAeEl&amp;usp=drive_copy" TargetMode="External"/><Relationship Id="rId474" Type="http://schemas.openxmlformats.org/officeDocument/2006/relationships/hyperlink" Target="https://drive.google.com/open?id=1E6ymcnsgTbOOtpVTcsnGS938k0cRUS8E&amp;usp=drive_copy" TargetMode="External"/><Relationship Id="rId2158" Type="http://schemas.openxmlformats.org/officeDocument/2006/relationships/hyperlink" Target="https://drive.google.com/open?id=1n0dkYogQ8BvDpSyHUtVuvbQ_9o-umtaF&amp;usp=drive_copy" TargetMode="External"/><Relationship Id="rId1257" Type="http://schemas.openxmlformats.org/officeDocument/2006/relationships/hyperlink" Target="https://drive.google.com/open?id=1Ap1eUeVlQZjc91h-5miplxv7kkP2rran&amp;usp=drive_copy" TargetMode="External"/><Relationship Id="rId2104" Type="http://schemas.openxmlformats.org/officeDocument/2006/relationships/hyperlink" Target="https://drive.google.com/open?id=1NATriDpezPGhSHH-e5-LM8suu-1yQB0t&amp;usp=drive_copy" TargetMode="External"/><Relationship Id="rId1258" Type="http://schemas.openxmlformats.org/officeDocument/2006/relationships/hyperlink" Target="https://drive.google.com/open?id=1IDnNW48eitQsQoS1Xll1-COEJiwcT-ur&amp;usp=drive_copy" TargetMode="External"/><Relationship Id="rId2105" Type="http://schemas.openxmlformats.org/officeDocument/2006/relationships/hyperlink" Target="https://drive.google.com/open?id=1iYSLamlTSiu0pm6z4I0tdFjczFZ08RX3&amp;usp=drive_copy" TargetMode="External"/><Relationship Id="rId1259" Type="http://schemas.openxmlformats.org/officeDocument/2006/relationships/hyperlink" Target="https://drive.google.com/open?id=1m5-G7ny0l2wIpiqDX7NgsvHd6GHpK7al&amp;usp=drive_copy" TargetMode="External"/><Relationship Id="rId2106" Type="http://schemas.openxmlformats.org/officeDocument/2006/relationships/hyperlink" Target="https://drive.google.com/open?id=1lKzIRh039fbxHO0R2qX1S3dyj0p3F0P1&amp;usp=drive_copy" TargetMode="External"/><Relationship Id="rId2107" Type="http://schemas.openxmlformats.org/officeDocument/2006/relationships/hyperlink" Target="https://drive.google.com/open?id=1fT5QBpjW1eoqo0V6rX7fQtgQ9obviWiy&amp;usp=drive_copy" TargetMode="External"/><Relationship Id="rId2108" Type="http://schemas.openxmlformats.org/officeDocument/2006/relationships/hyperlink" Target="https://drive.google.com/open?id=1HgzXOb5hmylL5WPz_Y25rG-ps01UJWN0&amp;usp=drive_copy" TargetMode="External"/><Relationship Id="rId2109" Type="http://schemas.openxmlformats.org/officeDocument/2006/relationships/hyperlink" Target="https://drive.google.com/open?id=1NNhnbPFEu7A6f4MsiBfQHeawJqjyMgH2&amp;usp=drive_copy" TargetMode="External"/><Relationship Id="rId426" Type="http://schemas.openxmlformats.org/officeDocument/2006/relationships/hyperlink" Target="https://drive.google.com/open?id=11UCTqKCJBmoAXVLjqkGqJplWU7tJuLqX&amp;usp=drive_copy" TargetMode="External"/><Relationship Id="rId425" Type="http://schemas.openxmlformats.org/officeDocument/2006/relationships/hyperlink" Target="https://drive.google.com/open?id=1EKgOLuGjCjoSMOUbsowiTaZ_EXzE7OlC&amp;usp=drive_copy" TargetMode="External"/><Relationship Id="rId424" Type="http://schemas.openxmlformats.org/officeDocument/2006/relationships/hyperlink" Target="https://drive.google.com/open?id=17rmaPJfh_RKpymeN6UoMn_GtVGXlzVi0&amp;usp=drive_copy" TargetMode="External"/><Relationship Id="rId423" Type="http://schemas.openxmlformats.org/officeDocument/2006/relationships/hyperlink" Target="https://drive.google.com/file/d/1ANzf6P9R1fYXrrUkF0UqGB9ZOUzmJHZ2/view?usp=drive_link" TargetMode="External"/><Relationship Id="rId429" Type="http://schemas.openxmlformats.org/officeDocument/2006/relationships/hyperlink" Target="https://drive.google.com/open?id=1gYTmDLcMCqyIwuFF_yBhesVtJD-1NfL5&amp;usp=drive_copy" TargetMode="External"/><Relationship Id="rId428" Type="http://schemas.openxmlformats.org/officeDocument/2006/relationships/hyperlink" Target="https://drive.google.com/open?id=1u9ZhN5K-KcYqmrh0X16fD_LJn2SpXGJL&amp;usp=drive_copy" TargetMode="External"/><Relationship Id="rId427" Type="http://schemas.openxmlformats.org/officeDocument/2006/relationships/hyperlink" Target="https://drive.google.com/open?id=1iDxc1jW2b9v4bUeDIOd7qXZaADiF2W24&amp;usp=drive_copy" TargetMode="External"/><Relationship Id="rId1250" Type="http://schemas.openxmlformats.org/officeDocument/2006/relationships/hyperlink" Target="https://drive.google.com/open?id=1Y64vFAeRBiPsZjb-qrSEJr296TFGc55C&amp;usp=drive_copy" TargetMode="External"/><Relationship Id="rId1251" Type="http://schemas.openxmlformats.org/officeDocument/2006/relationships/hyperlink" Target="https://drive.google.com/open?id=18TQJvcxSlpN5W32rdPAsJQhc2hkCEnwl&amp;usp=drive_copy" TargetMode="External"/><Relationship Id="rId1252" Type="http://schemas.openxmlformats.org/officeDocument/2006/relationships/hyperlink" Target="https://drive.google.com/open?id=1BEpe4QkOIKTVoymvzghMN8pvUX2WLzg9&amp;usp=drive_copy" TargetMode="External"/><Relationship Id="rId422" Type="http://schemas.openxmlformats.org/officeDocument/2006/relationships/hyperlink" Target="https://drive.google.com/open?id=123Jm7X13AGxVD_kG8dhZTWrKp0CumvW6&amp;usp=drive_copy" TargetMode="External"/><Relationship Id="rId1253" Type="http://schemas.openxmlformats.org/officeDocument/2006/relationships/hyperlink" Target="https://drive.google.com/open?id=1KRdRFjlnydyGH_kms3hqLPdCEWLOeEm6&amp;usp=drive_copy" TargetMode="External"/><Relationship Id="rId2100" Type="http://schemas.openxmlformats.org/officeDocument/2006/relationships/hyperlink" Target="https://drive.google.com/open?id=1RzGyaaFTeYzP6-37hsG5Gj84qRy_WGsG&amp;usp=drive_copy" TargetMode="External"/><Relationship Id="rId421" Type="http://schemas.openxmlformats.org/officeDocument/2006/relationships/hyperlink" Target="https://drive.google.com/open?id=1o_zNpqbDilyTO9x2qT6YevN4iO710oEd&amp;usp=drive_copy" TargetMode="External"/><Relationship Id="rId1254" Type="http://schemas.openxmlformats.org/officeDocument/2006/relationships/hyperlink" Target="https://drive.google.com/open?id=16AgsO7Hz1G2iZVbbBqTJhKT-J2yiclCJ&amp;usp=drive_copy" TargetMode="External"/><Relationship Id="rId2101" Type="http://schemas.openxmlformats.org/officeDocument/2006/relationships/hyperlink" Target="https://drive.google.com/open?id=1mjM7Y1JHePS22aeIQGqQF_Z6j5QuT-Ku&amp;usp=drive_copy" TargetMode="External"/><Relationship Id="rId420" Type="http://schemas.openxmlformats.org/officeDocument/2006/relationships/hyperlink" Target="https://drive.google.com/open?id=1czGlzTnJgDjrUeRwjJBKt_HYWD7sODV8&amp;usp=drive_copy" TargetMode="External"/><Relationship Id="rId1255" Type="http://schemas.openxmlformats.org/officeDocument/2006/relationships/hyperlink" Target="https://drive.google.com/open?id=13MjcmOkIGy5jfJbbU-kon4X70Zf8qeHu&amp;usp=drive_copy" TargetMode="External"/><Relationship Id="rId2102" Type="http://schemas.openxmlformats.org/officeDocument/2006/relationships/hyperlink" Target="https://drive.google.com/open?id=1Rh0ez4Eo_DG-BIW3ZWlxsoDL5Ll9pKmk&amp;usp=drive_copy" TargetMode="External"/><Relationship Id="rId1256" Type="http://schemas.openxmlformats.org/officeDocument/2006/relationships/hyperlink" Target="https://drive.google.com/open?id=1C6k_pWdXX2kio9O5y9posUvB4mjYqNYA&amp;usp=drive_copy" TargetMode="External"/><Relationship Id="rId2103" Type="http://schemas.openxmlformats.org/officeDocument/2006/relationships/hyperlink" Target="https://drive.google.com/open?id=1AuQV9_hLiktdy3SZAGrSPT7PSs2K3Tzl&amp;usp=drive_copy" TargetMode="External"/><Relationship Id="rId1246" Type="http://schemas.openxmlformats.org/officeDocument/2006/relationships/hyperlink" Target="https://drive.google.com/open?id=1zgP9ZBiTYA2e8agcO2Z-JL3alv3wHscL&amp;usp=drive_copy" TargetMode="External"/><Relationship Id="rId1247" Type="http://schemas.openxmlformats.org/officeDocument/2006/relationships/hyperlink" Target="https://drive.google.com/open?id=1hIqqTy8JTsvm_6X25F2r8nlD_sohnh7O&amp;usp=drive_copy" TargetMode="External"/><Relationship Id="rId1248" Type="http://schemas.openxmlformats.org/officeDocument/2006/relationships/hyperlink" Target="https://drive.google.com/open?id=1lXL9K077G-dDEEa-pn1OphQP7lb14zR4&amp;usp=drive_copy" TargetMode="External"/><Relationship Id="rId1249" Type="http://schemas.openxmlformats.org/officeDocument/2006/relationships/hyperlink" Target="https://drive.google.com/open?id=1fk-GIwRWtw9xrE3cqq5m4Id_oIqcT8tU&amp;usp=drive_copy" TargetMode="External"/><Relationship Id="rId415" Type="http://schemas.openxmlformats.org/officeDocument/2006/relationships/hyperlink" Target="https://drive.google.com/open?id=1nCdFYGJATOxCVFjr-EA4EC9sUaa21dUt&amp;usp=drive_copy" TargetMode="External"/><Relationship Id="rId899" Type="http://schemas.openxmlformats.org/officeDocument/2006/relationships/hyperlink" Target="https://drive.google.com/open?id=1vCaZJwc2CYropcTyATaP1WuuwV9sLUET&amp;usp=drive_copy" TargetMode="External"/><Relationship Id="rId414" Type="http://schemas.openxmlformats.org/officeDocument/2006/relationships/hyperlink" Target="https://drive.google.com/open?id=1LiAQJN6XysKOo2RY0mYR6DQv-R2yPpCr&amp;usp=drive_copy" TargetMode="External"/><Relationship Id="rId898" Type="http://schemas.openxmlformats.org/officeDocument/2006/relationships/hyperlink" Target="https://drive.google.com/open?id=19qYIznKme4PlJK_z3ijpn37mjKAz8ZCW&amp;usp=drive_copy" TargetMode="External"/><Relationship Id="rId413" Type="http://schemas.openxmlformats.org/officeDocument/2006/relationships/hyperlink" Target="https://drive.google.com/open?id=139B4QIpJ9oYPNBgT8iwX99fJChjrvBd1&amp;usp=drive_copy" TargetMode="External"/><Relationship Id="rId897" Type="http://schemas.openxmlformats.org/officeDocument/2006/relationships/hyperlink" Target="https://drive.google.com/open?id=13UFsMaON69FMapV3izXXAagaL2Tv1HWq&amp;usp=drive_copy" TargetMode="External"/><Relationship Id="rId412" Type="http://schemas.openxmlformats.org/officeDocument/2006/relationships/hyperlink" Target="https://drive.google.com/file/d/1yaVCi-N1uuYHzDpMEQE8YU7nlIFRfgt2/view?usp=drive_link" TargetMode="External"/><Relationship Id="rId896" Type="http://schemas.openxmlformats.org/officeDocument/2006/relationships/hyperlink" Target="https://drive.google.com/open?id=1R6VVBQ21LyMN-ggayblaKJtuFbFOhAlt&amp;usp=drive_copy" TargetMode="External"/><Relationship Id="rId419" Type="http://schemas.openxmlformats.org/officeDocument/2006/relationships/hyperlink" Target="https://drive.google.com/open?id=1q78uqLd6GYcunezLY1122yiUQ6_gskMd&amp;usp=drive_copy" TargetMode="External"/><Relationship Id="rId418" Type="http://schemas.openxmlformats.org/officeDocument/2006/relationships/hyperlink" Target="https://drive.google.com/open?id=17xVI1P-v6bJIHCoA7csrMr9tMKJiCVE2&amp;usp=drive_copy" TargetMode="External"/><Relationship Id="rId417" Type="http://schemas.openxmlformats.org/officeDocument/2006/relationships/hyperlink" Target="https://drive.google.com/open?id=18_zd23HO78ekX1iwajQGflJYkzEGITk_&amp;usp=drive_copy" TargetMode="External"/><Relationship Id="rId416" Type="http://schemas.openxmlformats.org/officeDocument/2006/relationships/hyperlink" Target="https://drive.google.com/open?id=1c43Fr4jpBv1gwWDCqtJXu28dWuKPYG6_&amp;usp=drive_copy" TargetMode="External"/><Relationship Id="rId891" Type="http://schemas.openxmlformats.org/officeDocument/2006/relationships/hyperlink" Target="https://drive.google.com/open?id=1Q2lKRUKb-iWtypKAnYxkNQjJLpmbfBLs&amp;usp=drive_copy" TargetMode="External"/><Relationship Id="rId890" Type="http://schemas.openxmlformats.org/officeDocument/2006/relationships/hyperlink" Target="https://drive.google.com/open?id=1SVlwqPZ6pWz5Llny2xnayyYojLnV097r&amp;usp=drive_copy" TargetMode="External"/><Relationship Id="rId1240" Type="http://schemas.openxmlformats.org/officeDocument/2006/relationships/hyperlink" Target="https://drive.google.com/open?id=1aB2uMUhqFCBy1GofrmWqqlhoB6kFWu8b&amp;usp=drive_copy" TargetMode="External"/><Relationship Id="rId1241" Type="http://schemas.openxmlformats.org/officeDocument/2006/relationships/hyperlink" Target="https://drive.google.com/open?id=10mFG4mkdbSJKtzkx-gL8mQOWQNcPWP99&amp;usp=drive_copy" TargetMode="External"/><Relationship Id="rId411" Type="http://schemas.openxmlformats.org/officeDocument/2006/relationships/hyperlink" Target="https://drive.google.com/file/d/1HFSD0Pd3yFAvtI35pEnydNGarHKQ6GA2/view?usp=drive_link" TargetMode="External"/><Relationship Id="rId895" Type="http://schemas.openxmlformats.org/officeDocument/2006/relationships/hyperlink" Target="https://drive.google.com/open?id=1xC85uaevioiz94ZXmeN7Oe014s6E6mAz&amp;usp=drive_copy" TargetMode="External"/><Relationship Id="rId1242" Type="http://schemas.openxmlformats.org/officeDocument/2006/relationships/hyperlink" Target="https://drive.google.com/open?id=1kl2Gh9kQCg8D_kBlI9fdkZD7bnP1WxEV&amp;usp=drive_copy" TargetMode="External"/><Relationship Id="rId410" Type="http://schemas.openxmlformats.org/officeDocument/2006/relationships/hyperlink" Target="https://drive.google.com/open?id=1P4ni3pKdf3Be2RLDXG1Xn3M9oIGlZsgD&amp;usp=drive_copy" TargetMode="External"/><Relationship Id="rId894" Type="http://schemas.openxmlformats.org/officeDocument/2006/relationships/hyperlink" Target="https://drive.google.com/open?id=1BipTWkisnWjhQhONp1lavvDrF4PEbm1v&amp;usp=drive_copy" TargetMode="External"/><Relationship Id="rId1243" Type="http://schemas.openxmlformats.org/officeDocument/2006/relationships/hyperlink" Target="https://drive.google.com/open?id=118C318wx0C_jGLTxQ3OEIVuuKeiq02j2&amp;usp=drive_copy" TargetMode="External"/><Relationship Id="rId893" Type="http://schemas.openxmlformats.org/officeDocument/2006/relationships/hyperlink" Target="https://drive.google.com/open?id=1pggB54RYrSuGvCz-mFZMFS9aVJLgJUz4&amp;usp=drive_copy" TargetMode="External"/><Relationship Id="rId1244" Type="http://schemas.openxmlformats.org/officeDocument/2006/relationships/hyperlink" Target="https://drive.google.com/open?id=1fB5Jlbg6q58POV2MBHMalWrxkEI_JmYh&amp;usp=drive_copy" TargetMode="External"/><Relationship Id="rId892" Type="http://schemas.openxmlformats.org/officeDocument/2006/relationships/hyperlink" Target="https://drive.google.com/open?id=17pEf8ZvguE51s2PSox1ZA91O8QtxTfIV&amp;usp=drive_copy" TargetMode="External"/><Relationship Id="rId1245" Type="http://schemas.openxmlformats.org/officeDocument/2006/relationships/hyperlink" Target="https://drive.google.com/open?id=1Qc7P8tHl74RKH5LEzWHimT07H5JWs2vF&amp;usp=drive_copy" TargetMode="External"/><Relationship Id="rId1279" Type="http://schemas.openxmlformats.org/officeDocument/2006/relationships/hyperlink" Target="https://drive.google.com/open?id=1dC1p6N4MqMZMngX5t7H9KjBYBrABg-E7&amp;usp=drive_copy" TargetMode="External"/><Relationship Id="rId2126" Type="http://schemas.openxmlformats.org/officeDocument/2006/relationships/hyperlink" Target="https://drive.google.com/open?id=1qI9qp1jNxh8JPIDoWifw1rfWjGM0RMWh&amp;usp=drive_copy" TargetMode="External"/><Relationship Id="rId2127" Type="http://schemas.openxmlformats.org/officeDocument/2006/relationships/hyperlink" Target="https://drive.google.com/open?id=17g3fuBmQ56ijcoEYcW_z1q50vUWqvt4K&amp;usp=drive_copy" TargetMode="External"/><Relationship Id="rId2128" Type="http://schemas.openxmlformats.org/officeDocument/2006/relationships/hyperlink" Target="https://drive.google.com/open?id=1C8021lS7_gCyEH503Typrh_KEWZV5Txi&amp;usp=drive_copy" TargetMode="External"/><Relationship Id="rId2129" Type="http://schemas.openxmlformats.org/officeDocument/2006/relationships/hyperlink" Target="https://drive.google.com/open?id=1H5-Fp7k-kptueb18xuASL5PykInKI2mD&amp;usp=drive_copy" TargetMode="External"/><Relationship Id="rId448" Type="http://schemas.openxmlformats.org/officeDocument/2006/relationships/hyperlink" Target="https://drive.google.com/open?id=1zbeXtUH1lojjSOYXXYFZLza-tp-sCLT5&amp;usp=drive_copy" TargetMode="External"/><Relationship Id="rId447" Type="http://schemas.openxmlformats.org/officeDocument/2006/relationships/hyperlink" Target="https://drive.google.com/open?id=16K7u_tmSdQqiLcj8vO9hIYBSQA4inWVr&amp;usp=drive_copy" TargetMode="External"/><Relationship Id="rId446" Type="http://schemas.openxmlformats.org/officeDocument/2006/relationships/hyperlink" Target="https://drive.google.com/open?id=1nsxfIlukDwJeDOzIKHLLcbB-4BcGC-Zl&amp;usp=drive_copy" TargetMode="External"/><Relationship Id="rId445" Type="http://schemas.openxmlformats.org/officeDocument/2006/relationships/hyperlink" Target="https://drive.google.com/open?id=164Hn4KPPoPlPjO6Woo7zoiZXT9A4ftLp&amp;usp=drive_copy" TargetMode="External"/><Relationship Id="rId449" Type="http://schemas.openxmlformats.org/officeDocument/2006/relationships/hyperlink" Target="https://drive.google.com/open?id=1kB3_q8fAXfLtrMdp7Ls12aKnDSeKxhpt&amp;usp=drive_copy" TargetMode="External"/><Relationship Id="rId1270" Type="http://schemas.openxmlformats.org/officeDocument/2006/relationships/hyperlink" Target="https://drive.google.com/open?id=1LtzfYw7oZy_7AiC4MCYeXksSUwf3eFEp&amp;usp=drive_copy" TargetMode="External"/><Relationship Id="rId440" Type="http://schemas.openxmlformats.org/officeDocument/2006/relationships/hyperlink" Target="https://drive.google.com/open?id=1-5PRPqTJmzbCbpjHQYyPKLoFlHLvYBwz&amp;usp=drive_copy" TargetMode="External"/><Relationship Id="rId1271" Type="http://schemas.openxmlformats.org/officeDocument/2006/relationships/hyperlink" Target="https://drive.google.com/open?id=1MAoo4SykDdn765O5Pd8lu6tE-31xLXDK&amp;usp=drive_copy" TargetMode="External"/><Relationship Id="rId1272" Type="http://schemas.openxmlformats.org/officeDocument/2006/relationships/hyperlink" Target="https://drive.google.com/open?id=13SrEN7gH7Sk1uGFPsYry5jGDrG9IiArB&amp;usp=drive_copy" TargetMode="External"/><Relationship Id="rId1273" Type="http://schemas.openxmlformats.org/officeDocument/2006/relationships/hyperlink" Target="https://drive.google.com/open?id=1M6PMB0toKJseOVyQ3LgWJGLpXXeETn_q&amp;usp=drive_copy" TargetMode="External"/><Relationship Id="rId2120" Type="http://schemas.openxmlformats.org/officeDocument/2006/relationships/hyperlink" Target="https://drive.google.com/open?id=1fUtp_lao6BxR466t4xrjpXCVf-7wYXnY&amp;usp=drive_copy" TargetMode="External"/><Relationship Id="rId1274" Type="http://schemas.openxmlformats.org/officeDocument/2006/relationships/hyperlink" Target="https://drive.google.com/open?id=1LeKoaLUvHYK0qeoMoxtXjplwEC2XoBH5&amp;usp=drive_copy" TargetMode="External"/><Relationship Id="rId2121" Type="http://schemas.openxmlformats.org/officeDocument/2006/relationships/hyperlink" Target="https://drive.google.com/open?id=1BmVmsz_K6r2WNXVSKkMr70BtOzMWthq2&amp;usp=drive_copy" TargetMode="External"/><Relationship Id="rId444" Type="http://schemas.openxmlformats.org/officeDocument/2006/relationships/hyperlink" Target="https://drive.google.com/open?id=1GspkMnQ-Ok0xtffdZdQbcfq-AGzuvyPY&amp;usp=drive_copy" TargetMode="External"/><Relationship Id="rId1275" Type="http://schemas.openxmlformats.org/officeDocument/2006/relationships/hyperlink" Target="https://drive.google.com/open?id=1PwbdYUp3r0j4sbPVoy6jVWbcALcZja-0&amp;usp=drive_copy" TargetMode="External"/><Relationship Id="rId2122" Type="http://schemas.openxmlformats.org/officeDocument/2006/relationships/hyperlink" Target="https://drive.google.com/open?id=10jTZeEspwJG-xegXXHVAJDDFpp4xdAWC&amp;usp=drive_copy" TargetMode="External"/><Relationship Id="rId443" Type="http://schemas.openxmlformats.org/officeDocument/2006/relationships/hyperlink" Target="https://drive.google.com/open?id=1YwqvaN7BoD5O3tJcq0uOOCBWhNsmpTOs&amp;usp=drive_copy" TargetMode="External"/><Relationship Id="rId1276" Type="http://schemas.openxmlformats.org/officeDocument/2006/relationships/hyperlink" Target="https://drive.google.com/open?id=1bMLX9nfc2sGEElLpVVSO3QYnzF6fGpKL&amp;usp=drive_copy" TargetMode="External"/><Relationship Id="rId2123" Type="http://schemas.openxmlformats.org/officeDocument/2006/relationships/hyperlink" Target="https://drive.google.com/open?id=1pj1mKR95ya_YwFoEr_bvRFrcDK0dgzoF&amp;usp=drive_copy" TargetMode="External"/><Relationship Id="rId442" Type="http://schemas.openxmlformats.org/officeDocument/2006/relationships/hyperlink" Target="https://drive.google.com/open?id=1eRoe8_ZbVtd0G323tOkNvmRbG1D_1DTk&amp;usp=drive_copy" TargetMode="External"/><Relationship Id="rId1277" Type="http://schemas.openxmlformats.org/officeDocument/2006/relationships/hyperlink" Target="https://drive.google.com/open?id=1PbU2r8psvl4j7fSMgt2-CptuhhgcwgbF&amp;usp=drive_copy" TargetMode="External"/><Relationship Id="rId2124" Type="http://schemas.openxmlformats.org/officeDocument/2006/relationships/hyperlink" Target="https://drive.google.com/open?id=1Pb2mok_yVBRXiq9DGrV-yzuZIXZ35Rv8&amp;usp=drive_copy" TargetMode="External"/><Relationship Id="rId441" Type="http://schemas.openxmlformats.org/officeDocument/2006/relationships/hyperlink" Target="https://drive.google.com/open?id=13x6c0Tm-hBupcqXyJUUD_mreZjsJA_Yx&amp;usp=drive_copy" TargetMode="External"/><Relationship Id="rId1278" Type="http://schemas.openxmlformats.org/officeDocument/2006/relationships/hyperlink" Target="https://drive.google.com/open?id=1cjwrBJ-kFHc7Y2l3ocE3ow2Uyu-GJ5_a&amp;usp=drive_copy" TargetMode="External"/><Relationship Id="rId2125" Type="http://schemas.openxmlformats.org/officeDocument/2006/relationships/hyperlink" Target="https://drive.google.com/open?id=1Xd7gOEeqOvgIlE7YJO4POMTUP_fqbj_g&amp;usp=drive_copy" TargetMode="External"/><Relationship Id="rId1268" Type="http://schemas.openxmlformats.org/officeDocument/2006/relationships/hyperlink" Target="https://drive.google.com/open?id=153-JEWFFpC1cL5SxFK5qqw9ObrF5Oxzu&amp;usp=drive_copy" TargetMode="External"/><Relationship Id="rId2115" Type="http://schemas.openxmlformats.org/officeDocument/2006/relationships/hyperlink" Target="https://drive.google.com/open?id=1DePbzAzEqrqlPDEdaO7D67ja10uZlR5m&amp;usp=drive_copy" TargetMode="External"/><Relationship Id="rId1269" Type="http://schemas.openxmlformats.org/officeDocument/2006/relationships/hyperlink" Target="https://drive.google.com/open?id=1dbDPOAxLStcdXrMNI6wAJMX8SDBe4IKN&amp;usp=drive_copy" TargetMode="External"/><Relationship Id="rId2116" Type="http://schemas.openxmlformats.org/officeDocument/2006/relationships/hyperlink" Target="https://drive.google.com/open?id=1F9ZUNFhshm4WqoIRh917AGwBY_YtXm4G&amp;usp=drive_copy" TargetMode="External"/><Relationship Id="rId2117" Type="http://schemas.openxmlformats.org/officeDocument/2006/relationships/hyperlink" Target="https://drive.google.com/open?id=13cCGxTVW0HI1YBts1mPVj0QddOwaS-S2&amp;usp=drive_copy" TargetMode="External"/><Relationship Id="rId2118" Type="http://schemas.openxmlformats.org/officeDocument/2006/relationships/hyperlink" Target="https://drive.google.com/open?id=1ZZd_W_RgOsz1zmENZrEtm606IAEJHz_J&amp;usp=drive_copy" TargetMode="External"/><Relationship Id="rId2119" Type="http://schemas.openxmlformats.org/officeDocument/2006/relationships/hyperlink" Target="https://drive.google.com/open?id=1YsIAjXzTBHLgOIQmuuPxsSUHdrrqIQ3O&amp;usp=drive_copy" TargetMode="External"/><Relationship Id="rId437" Type="http://schemas.openxmlformats.org/officeDocument/2006/relationships/hyperlink" Target="https://drive.google.com/open?id=1Ql2V_qXQID-40mJkVr4MTgmns9als0-0&amp;usp=drive_copy" TargetMode="External"/><Relationship Id="rId436" Type="http://schemas.openxmlformats.org/officeDocument/2006/relationships/hyperlink" Target="https://drive.google.com/open?id=1L3ZAHTXdYlI9akLbpGTZdl0duQ0KGK7t&amp;usp=drive_copy" TargetMode="External"/><Relationship Id="rId435" Type="http://schemas.openxmlformats.org/officeDocument/2006/relationships/hyperlink" Target="https://drive.google.com/open?id=1sUu6Ye8FMruhNV82lf0LrAgFJQfxnguA&amp;usp=drive_copy" TargetMode="External"/><Relationship Id="rId434" Type="http://schemas.openxmlformats.org/officeDocument/2006/relationships/hyperlink" Target="https://drive.google.com/open?id=1CpdpzliKmZDZFO_dxJ43Xrhi8wVXViR7&amp;usp=drive_copy" TargetMode="External"/><Relationship Id="rId439" Type="http://schemas.openxmlformats.org/officeDocument/2006/relationships/hyperlink" Target="https://drive.google.com/open?id=1N2VxC3FTS_bVrhCIak7Fbm3XopHp37LU&amp;usp=drive_copy" TargetMode="External"/><Relationship Id="rId438" Type="http://schemas.openxmlformats.org/officeDocument/2006/relationships/hyperlink" Target="https://drive.google.com/open?id=1MbGRlRA-u-OEM1ZA4xnlMosyypRtq2xo&amp;usp=drive_copy" TargetMode="External"/><Relationship Id="rId1260" Type="http://schemas.openxmlformats.org/officeDocument/2006/relationships/hyperlink" Target="https://drive.google.com/open?id=1Mg_BFTbts9SxbsJAnYPFYyLU2ousgy-0&amp;usp=drive_copy" TargetMode="External"/><Relationship Id="rId1261" Type="http://schemas.openxmlformats.org/officeDocument/2006/relationships/hyperlink" Target="https://drive.google.com/open?id=1Tho0qgiBS2VSKpFV0K5eNrJdWaCmAEja&amp;usp=drive_copy" TargetMode="External"/><Relationship Id="rId1262" Type="http://schemas.openxmlformats.org/officeDocument/2006/relationships/hyperlink" Target="https://drive.google.com/open?id=15Me8F5zj0kEJGJHtNTtTuZBTJTlFnJf4&amp;usp=drive_copy" TargetMode="External"/><Relationship Id="rId1263" Type="http://schemas.openxmlformats.org/officeDocument/2006/relationships/hyperlink" Target="https://drive.google.com/open?id=1PnFrmTF7B7mwUzpvXyMW-eT0hDPrabaF&amp;usp=drive_copy" TargetMode="External"/><Relationship Id="rId2110" Type="http://schemas.openxmlformats.org/officeDocument/2006/relationships/hyperlink" Target="https://drive.google.com/open?id=1GWiePFdLw5b_0sw_tdpw91dq7YOid1J8&amp;usp=drive_copy" TargetMode="External"/><Relationship Id="rId433" Type="http://schemas.openxmlformats.org/officeDocument/2006/relationships/hyperlink" Target="https://drive.google.com/open?id=1Z-9hgdg9iaJFU9fk5YT_9Mx_Yn8Ez_EF&amp;usp=drive_copy" TargetMode="External"/><Relationship Id="rId1264" Type="http://schemas.openxmlformats.org/officeDocument/2006/relationships/hyperlink" Target="https://drive.google.com/open?id=15OyfZsEqPWCQNIN4vdYAxlViY8QYkuWC&amp;usp=drive_copy" TargetMode="External"/><Relationship Id="rId2111" Type="http://schemas.openxmlformats.org/officeDocument/2006/relationships/hyperlink" Target="https://drive.google.com/open?id=1zQ35cC3N3Ayc7dSqUeJmNze-P5bAJTAZ&amp;usp=drive_copy" TargetMode="External"/><Relationship Id="rId432" Type="http://schemas.openxmlformats.org/officeDocument/2006/relationships/hyperlink" Target="https://drive.google.com/open?id=1Bxb-853Q7HuGl4iXGJUVW8261s0QH7r4&amp;usp=drive_copy" TargetMode="External"/><Relationship Id="rId1265" Type="http://schemas.openxmlformats.org/officeDocument/2006/relationships/hyperlink" Target="https://drive.google.com/open?id=19FKEEHucXQ06W3IvlkCUdAZke0Qr29wL&amp;usp=drive_copy" TargetMode="External"/><Relationship Id="rId2112" Type="http://schemas.openxmlformats.org/officeDocument/2006/relationships/hyperlink" Target="https://drive.google.com/open?id=1CAtbHEJIXx_RojgxESabODiXSofjAKrc&amp;usp=drive_copy" TargetMode="External"/><Relationship Id="rId431" Type="http://schemas.openxmlformats.org/officeDocument/2006/relationships/hyperlink" Target="https://drive.google.com/open?id=12l8Ur3i0nT49snH0-2bfalq77K0t14Dm&amp;usp=drive_copy" TargetMode="External"/><Relationship Id="rId1266" Type="http://schemas.openxmlformats.org/officeDocument/2006/relationships/hyperlink" Target="https://drive.google.com/open?id=1-h2YMGO6J-RH_p-xjbBHqUw3T4T3RFN8&amp;usp=drive_copy" TargetMode="External"/><Relationship Id="rId2113" Type="http://schemas.openxmlformats.org/officeDocument/2006/relationships/hyperlink" Target="https://drive.google.com/open?id=1wjXKb52ag_9JSXCa-ZDXJFWPQGz3WHg_&amp;usp=drive_copy" TargetMode="External"/><Relationship Id="rId430" Type="http://schemas.openxmlformats.org/officeDocument/2006/relationships/hyperlink" Target="https://drive.google.com/open?id=1fH1J0E_NGOe5tcb3RKkHR6nUG4DPzvDf&amp;usp=drive_copy" TargetMode="External"/><Relationship Id="rId1267" Type="http://schemas.openxmlformats.org/officeDocument/2006/relationships/hyperlink" Target="https://drive.google.com/open?id=1TBS9DbnnyeFhHBCoR0bQ9oa17S4Rr2_H&amp;usp=drive_copy" TargetMode="External"/><Relationship Id="rId2114" Type="http://schemas.openxmlformats.org/officeDocument/2006/relationships/hyperlink" Target="https://drive.google.com/open?id=1xQO_mcyr__BFyKWGFkJo2U8j6CgYFxLa&amp;usp=drive_cop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37.88"/>
    <col customWidth="1" min="2" max="2" width="20.25"/>
    <col customWidth="1" min="3" max="3" width="16.5"/>
    <col customWidth="1" min="4" max="4" width="10.5"/>
    <col customWidth="1" min="5" max="5" width="8.5"/>
    <col customWidth="1" min="6" max="6" width="24.88"/>
    <col customWidth="1" min="7" max="7" width="12.63"/>
    <col customWidth="1" min="8" max="8" width="19.38"/>
    <col customWidth="1" min="9" max="9" width="17.5"/>
    <col customWidth="1" min="10" max="10" width="50.75"/>
    <col customWidth="1" min="11" max="11" width="19.0"/>
    <col customWidth="1" min="12" max="12" width="19.88"/>
    <col customWidth="1" hidden="1" min="13" max="13" width="135.25"/>
    <col customWidth="1" min="14" max="14" width="28.0"/>
    <col customWidth="1" min="15" max="15" width="27.25"/>
  </cols>
  <sheetData>
    <row r="1">
      <c r="A1" s="1" t="s">
        <v>0</v>
      </c>
      <c r="B1" s="2"/>
      <c r="C1" s="2"/>
      <c r="D1" s="2"/>
      <c r="E1" s="2"/>
      <c r="F1" s="3"/>
      <c r="G1" s="4">
        <f t="shared" ref="G1:I1" si="1">SUBTOTAL(9,G3:G1001)</f>
        <v>6630</v>
      </c>
      <c r="H1" s="4">
        <f t="shared" si="1"/>
        <v>14655490</v>
      </c>
      <c r="I1" s="4">
        <f t="shared" si="1"/>
        <v>22369532.47</v>
      </c>
      <c r="J1" s="5" t="s">
        <v>1</v>
      </c>
      <c r="K1" s="6">
        <f>SUBTOTAL(3,B3:B1001)</f>
        <v>67</v>
      </c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11" t="s">
        <v>17</v>
      </c>
      <c r="B3" s="12" t="s">
        <v>18</v>
      </c>
      <c r="C3" s="13">
        <v>45875.0</v>
      </c>
      <c r="D3" s="12" t="str">
        <f t="shared" ref="D3:D1001" si="2">IF(C3=0," ",TEXT(C3,"MMMM"))</f>
        <v>August</v>
      </c>
      <c r="E3" s="12" t="str">
        <f t="shared" ref="E3:E1001" si="3">IF(C3=0," ",TEXT(C3,"YYYY"))</f>
        <v>2025</v>
      </c>
      <c r="F3" s="12" t="s">
        <v>19</v>
      </c>
      <c r="G3" s="14">
        <v>136.0</v>
      </c>
      <c r="H3" s="14">
        <v>288717.0</v>
      </c>
      <c r="I3" s="14">
        <v>411664.0</v>
      </c>
      <c r="J3" s="15" t="s">
        <v>20</v>
      </c>
      <c r="K3" s="12" t="s">
        <v>21</v>
      </c>
      <c r="L3" s="12" t="s">
        <v>22</v>
      </c>
      <c r="M3" s="12" t="s">
        <v>23</v>
      </c>
      <c r="N3" s="12" t="s">
        <v>24</v>
      </c>
      <c r="O3" s="12" t="s">
        <v>25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17</v>
      </c>
      <c r="B4" s="12" t="s">
        <v>26</v>
      </c>
      <c r="C4" s="13">
        <v>45880.0</v>
      </c>
      <c r="D4" s="12" t="str">
        <f t="shared" si="2"/>
        <v>August</v>
      </c>
      <c r="E4" s="12" t="str">
        <f t="shared" si="3"/>
        <v>2025</v>
      </c>
      <c r="F4" s="12" t="s">
        <v>19</v>
      </c>
      <c r="G4" s="14">
        <v>277.0</v>
      </c>
      <c r="H4" s="14">
        <v>641394.0</v>
      </c>
      <c r="I4" s="14">
        <v>914523.0</v>
      </c>
      <c r="J4" s="16" t="s">
        <v>27</v>
      </c>
      <c r="K4" s="12" t="s">
        <v>21</v>
      </c>
      <c r="L4" s="12" t="s">
        <v>22</v>
      </c>
      <c r="M4" s="12" t="s">
        <v>28</v>
      </c>
      <c r="N4" s="12" t="s">
        <v>24</v>
      </c>
      <c r="O4" s="12" t="s">
        <v>25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1" t="s">
        <v>17</v>
      </c>
      <c r="B5" s="12" t="s">
        <v>29</v>
      </c>
      <c r="C5" s="13">
        <v>45880.0</v>
      </c>
      <c r="D5" s="12" t="str">
        <f t="shared" si="2"/>
        <v>August</v>
      </c>
      <c r="E5" s="12" t="str">
        <f t="shared" si="3"/>
        <v>2025</v>
      </c>
      <c r="F5" s="12" t="s">
        <v>30</v>
      </c>
      <c r="G5" s="14">
        <v>193.0</v>
      </c>
      <c r="H5" s="14">
        <v>337736.0</v>
      </c>
      <c r="I5" s="14">
        <v>494507.0</v>
      </c>
      <c r="J5" s="15" t="s">
        <v>31</v>
      </c>
      <c r="K5" s="12" t="s">
        <v>21</v>
      </c>
      <c r="L5" s="12" t="s">
        <v>22</v>
      </c>
      <c r="M5" s="12" t="s">
        <v>32</v>
      </c>
      <c r="N5" s="12" t="s">
        <v>24</v>
      </c>
      <c r="O5" s="12" t="s">
        <v>25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1" t="s">
        <v>17</v>
      </c>
      <c r="B6" s="12" t="s">
        <v>33</v>
      </c>
      <c r="C6" s="13">
        <v>45880.0</v>
      </c>
      <c r="D6" s="12" t="str">
        <f t="shared" si="2"/>
        <v>August</v>
      </c>
      <c r="E6" s="12" t="str">
        <f t="shared" si="3"/>
        <v>2025</v>
      </c>
      <c r="F6" s="12" t="s">
        <v>30</v>
      </c>
      <c r="G6" s="14">
        <v>222.0</v>
      </c>
      <c r="H6" s="14">
        <v>384126.0</v>
      </c>
      <c r="I6" s="14">
        <v>563878.0</v>
      </c>
      <c r="J6" s="15" t="s">
        <v>34</v>
      </c>
      <c r="K6" s="12" t="s">
        <v>21</v>
      </c>
      <c r="L6" s="12" t="s">
        <v>22</v>
      </c>
      <c r="M6" s="12" t="s">
        <v>32</v>
      </c>
      <c r="N6" s="12" t="s">
        <v>24</v>
      </c>
      <c r="O6" s="12" t="s">
        <v>25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1" t="s">
        <v>17</v>
      </c>
      <c r="B7" s="12" t="s">
        <v>35</v>
      </c>
      <c r="C7" s="13">
        <v>45881.0</v>
      </c>
      <c r="D7" s="12" t="str">
        <f t="shared" si="2"/>
        <v>August</v>
      </c>
      <c r="E7" s="12" t="str">
        <f t="shared" si="3"/>
        <v>2025</v>
      </c>
      <c r="F7" s="12" t="s">
        <v>36</v>
      </c>
      <c r="G7" s="14">
        <v>270.0</v>
      </c>
      <c r="H7" s="14">
        <v>403814.0</v>
      </c>
      <c r="I7" s="14">
        <v>594830.0</v>
      </c>
      <c r="J7" s="15" t="s">
        <v>37</v>
      </c>
      <c r="K7" s="12" t="s">
        <v>21</v>
      </c>
      <c r="L7" s="12" t="s">
        <v>22</v>
      </c>
      <c r="M7" s="12" t="s">
        <v>38</v>
      </c>
      <c r="N7" s="12" t="s">
        <v>24</v>
      </c>
      <c r="O7" s="12" t="s">
        <v>25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1" t="s">
        <v>17</v>
      </c>
      <c r="B8" s="12" t="s">
        <v>39</v>
      </c>
      <c r="C8" s="13">
        <v>45883.0</v>
      </c>
      <c r="D8" s="12" t="str">
        <f t="shared" si="2"/>
        <v>August</v>
      </c>
      <c r="E8" s="12" t="str">
        <f t="shared" si="3"/>
        <v>2025</v>
      </c>
      <c r="F8" s="12" t="s">
        <v>40</v>
      </c>
      <c r="G8" s="14">
        <v>114.0</v>
      </c>
      <c r="H8" s="14">
        <v>166997.0</v>
      </c>
      <c r="I8" s="14">
        <v>238486.0</v>
      </c>
      <c r="J8" s="15" t="s">
        <v>41</v>
      </c>
      <c r="K8" s="12" t="s">
        <v>21</v>
      </c>
      <c r="L8" s="12" t="s">
        <v>22</v>
      </c>
      <c r="M8" s="12" t="s">
        <v>38</v>
      </c>
      <c r="N8" s="12" t="s">
        <v>24</v>
      </c>
      <c r="O8" s="12" t="s">
        <v>25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1" t="s">
        <v>17</v>
      </c>
      <c r="B9" s="12" t="s">
        <v>42</v>
      </c>
      <c r="C9" s="13">
        <v>45885.0</v>
      </c>
      <c r="D9" s="12" t="str">
        <f t="shared" si="2"/>
        <v>August</v>
      </c>
      <c r="E9" s="12" t="str">
        <f t="shared" si="3"/>
        <v>2025</v>
      </c>
      <c r="F9" s="12" t="s">
        <v>19</v>
      </c>
      <c r="G9" s="14">
        <v>58.0</v>
      </c>
      <c r="H9" s="14">
        <v>127393.0</v>
      </c>
      <c r="I9" s="14">
        <v>181642.0</v>
      </c>
      <c r="J9" s="15" t="s">
        <v>43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1" t="s">
        <v>17</v>
      </c>
      <c r="B10" s="12" t="s">
        <v>44</v>
      </c>
      <c r="C10" s="13">
        <v>45888.0</v>
      </c>
      <c r="D10" s="12" t="str">
        <f t="shared" si="2"/>
        <v>August</v>
      </c>
      <c r="E10" s="12" t="str">
        <f t="shared" si="3"/>
        <v>2025</v>
      </c>
      <c r="F10" s="12" t="s">
        <v>36</v>
      </c>
      <c r="G10" s="14">
        <v>21.0</v>
      </c>
      <c r="H10" s="14">
        <v>25495.0</v>
      </c>
      <c r="I10" s="14">
        <v>37079.0</v>
      </c>
      <c r="J10" s="15" t="s">
        <v>45</v>
      </c>
      <c r="K10" s="12" t="s">
        <v>21</v>
      </c>
      <c r="L10" s="12" t="s">
        <v>22</v>
      </c>
      <c r="M10" s="12" t="s">
        <v>38</v>
      </c>
      <c r="N10" s="12" t="s">
        <v>24</v>
      </c>
      <c r="O10" s="12" t="s">
        <v>25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1" t="s">
        <v>17</v>
      </c>
      <c r="B11" s="12" t="s">
        <v>46</v>
      </c>
      <c r="C11" s="13">
        <v>45888.0</v>
      </c>
      <c r="D11" s="12" t="str">
        <f t="shared" si="2"/>
        <v>August</v>
      </c>
      <c r="E11" s="12" t="str">
        <f t="shared" si="3"/>
        <v>2025</v>
      </c>
      <c r="F11" s="12" t="s">
        <v>30</v>
      </c>
      <c r="G11" s="14">
        <v>68.0</v>
      </c>
      <c r="H11" s="14">
        <v>99668.0</v>
      </c>
      <c r="I11" s="14">
        <v>145932.0</v>
      </c>
      <c r="J11" s="15" t="s">
        <v>47</v>
      </c>
      <c r="K11" s="12" t="s">
        <v>21</v>
      </c>
      <c r="L11" s="12" t="s">
        <v>22</v>
      </c>
      <c r="M11" s="12" t="s">
        <v>32</v>
      </c>
      <c r="N11" s="12" t="s">
        <v>24</v>
      </c>
      <c r="O11" s="12" t="s">
        <v>25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1" t="s">
        <v>17</v>
      </c>
      <c r="B12" s="12" t="s">
        <v>48</v>
      </c>
      <c r="C12" s="13">
        <v>45888.0</v>
      </c>
      <c r="D12" s="12" t="str">
        <f t="shared" si="2"/>
        <v>August</v>
      </c>
      <c r="E12" s="12" t="str">
        <f t="shared" si="3"/>
        <v>2025</v>
      </c>
      <c r="F12" s="12" t="s">
        <v>19</v>
      </c>
      <c r="G12" s="14">
        <v>127.0</v>
      </c>
      <c r="H12" s="14">
        <v>299595.0</v>
      </c>
      <c r="I12" s="14">
        <v>427173.0</v>
      </c>
      <c r="J12" s="15" t="s">
        <v>49</v>
      </c>
      <c r="K12" s="12" t="s">
        <v>21</v>
      </c>
      <c r="L12" s="12" t="s">
        <v>22</v>
      </c>
      <c r="M12" s="12" t="s">
        <v>28</v>
      </c>
      <c r="N12" s="12" t="s">
        <v>24</v>
      </c>
      <c r="O12" s="12" t="s">
        <v>25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1" t="s">
        <v>17</v>
      </c>
      <c r="B13" s="12" t="s">
        <v>50</v>
      </c>
      <c r="C13" s="13">
        <v>45894.0</v>
      </c>
      <c r="D13" s="12" t="str">
        <f t="shared" si="2"/>
        <v>August</v>
      </c>
      <c r="E13" s="12" t="str">
        <f t="shared" si="3"/>
        <v>2025</v>
      </c>
      <c r="F13" s="12" t="s">
        <v>19</v>
      </c>
      <c r="G13" s="14">
        <v>100.0</v>
      </c>
      <c r="H13" s="14">
        <v>235862.0</v>
      </c>
      <c r="I13" s="14">
        <v>336300.0</v>
      </c>
      <c r="J13" s="15" t="s">
        <v>51</v>
      </c>
      <c r="K13" s="12" t="s">
        <v>21</v>
      </c>
      <c r="L13" s="12" t="s">
        <v>22</v>
      </c>
      <c r="M13" s="12" t="s">
        <v>32</v>
      </c>
      <c r="N13" s="12" t="s">
        <v>52</v>
      </c>
      <c r="O13" s="12" t="s">
        <v>53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11" t="s">
        <v>17</v>
      </c>
      <c r="B14" s="12" t="s">
        <v>54</v>
      </c>
      <c r="C14" s="13">
        <v>45894.0</v>
      </c>
      <c r="D14" s="12" t="str">
        <f t="shared" si="2"/>
        <v>August</v>
      </c>
      <c r="E14" s="12" t="str">
        <f t="shared" si="3"/>
        <v>2025</v>
      </c>
      <c r="F14" s="12" t="s">
        <v>19</v>
      </c>
      <c r="G14" s="14">
        <v>125.0</v>
      </c>
      <c r="H14" s="14">
        <v>266072.0</v>
      </c>
      <c r="I14" s="14">
        <v>379375.0</v>
      </c>
      <c r="J14" s="15" t="s">
        <v>55</v>
      </c>
      <c r="K14" s="12" t="s">
        <v>21</v>
      </c>
      <c r="L14" s="12" t="s">
        <v>22</v>
      </c>
      <c r="M14" s="12" t="s">
        <v>32</v>
      </c>
      <c r="N14" s="12" t="s">
        <v>52</v>
      </c>
      <c r="O14" s="12" t="s">
        <v>53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1" t="s">
        <v>17</v>
      </c>
      <c r="B15" s="12" t="s">
        <v>56</v>
      </c>
      <c r="C15" s="13">
        <v>45899.0</v>
      </c>
      <c r="D15" s="12" t="str">
        <f t="shared" si="2"/>
        <v>August</v>
      </c>
      <c r="E15" s="12" t="str">
        <f t="shared" si="3"/>
        <v>2025</v>
      </c>
      <c r="F15" s="12" t="s">
        <v>19</v>
      </c>
      <c r="G15" s="14">
        <v>243.0</v>
      </c>
      <c r="H15" s="14">
        <v>559712.0</v>
      </c>
      <c r="I15" s="14">
        <v>798057.0</v>
      </c>
      <c r="J15" s="15" t="s">
        <v>57</v>
      </c>
      <c r="K15" s="12" t="s">
        <v>21</v>
      </c>
      <c r="L15" s="12" t="s">
        <v>22</v>
      </c>
      <c r="M15" s="12" t="s">
        <v>58</v>
      </c>
      <c r="N15" s="12" t="s">
        <v>59</v>
      </c>
      <c r="O15" s="12" t="s">
        <v>53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11" t="s">
        <v>17</v>
      </c>
      <c r="B16" s="12" t="s">
        <v>60</v>
      </c>
      <c r="C16" s="13">
        <v>45901.0</v>
      </c>
      <c r="D16" s="12" t="str">
        <f t="shared" si="2"/>
        <v>September</v>
      </c>
      <c r="E16" s="12" t="str">
        <f t="shared" si="3"/>
        <v>2025</v>
      </c>
      <c r="F16" s="12" t="s">
        <v>19</v>
      </c>
      <c r="G16" s="14">
        <v>47.0</v>
      </c>
      <c r="H16" s="14">
        <v>104397.0</v>
      </c>
      <c r="I16" s="14">
        <v>148853.0</v>
      </c>
      <c r="J16" s="15" t="s">
        <v>61</v>
      </c>
      <c r="K16" s="12" t="s">
        <v>21</v>
      </c>
      <c r="L16" s="12" t="s">
        <v>22</v>
      </c>
      <c r="M16" s="12" t="s">
        <v>62</v>
      </c>
      <c r="N16" s="12" t="s">
        <v>52</v>
      </c>
      <c r="O16" s="12" t="s">
        <v>53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11" t="s">
        <v>17</v>
      </c>
      <c r="B17" s="12" t="s">
        <v>63</v>
      </c>
      <c r="C17" s="13">
        <v>45901.0</v>
      </c>
      <c r="D17" s="12" t="str">
        <f t="shared" si="2"/>
        <v>September</v>
      </c>
      <c r="E17" s="12" t="str">
        <f t="shared" si="3"/>
        <v>2025</v>
      </c>
      <c r="F17" s="12" t="s">
        <v>19</v>
      </c>
      <c r="G17" s="14">
        <v>89.0</v>
      </c>
      <c r="H17" s="14">
        <v>208868.0</v>
      </c>
      <c r="I17" s="14">
        <v>297811.0</v>
      </c>
      <c r="J17" s="15" t="s">
        <v>64</v>
      </c>
      <c r="K17" s="12" t="s">
        <v>21</v>
      </c>
      <c r="L17" s="12" t="s">
        <v>22</v>
      </c>
      <c r="M17" s="12" t="s">
        <v>23</v>
      </c>
      <c r="N17" s="12" t="s">
        <v>24</v>
      </c>
      <c r="O17" s="12" t="s">
        <v>53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11" t="s">
        <v>17</v>
      </c>
      <c r="B18" s="12" t="s">
        <v>65</v>
      </c>
      <c r="C18" s="13">
        <v>45903.0</v>
      </c>
      <c r="D18" s="12" t="str">
        <f t="shared" si="2"/>
        <v>September</v>
      </c>
      <c r="E18" s="12" t="str">
        <f t="shared" si="3"/>
        <v>2025</v>
      </c>
      <c r="F18" s="12" t="s">
        <v>40</v>
      </c>
      <c r="G18" s="14">
        <v>73.0</v>
      </c>
      <c r="H18" s="14">
        <v>102204.0</v>
      </c>
      <c r="I18" s="14">
        <v>145727.0</v>
      </c>
      <c r="J18" s="15" t="s">
        <v>66</v>
      </c>
      <c r="K18" s="12" t="s">
        <v>21</v>
      </c>
      <c r="L18" s="12" t="s">
        <v>22</v>
      </c>
      <c r="M18" s="12" t="s">
        <v>38</v>
      </c>
      <c r="N18" s="12" t="s">
        <v>24</v>
      </c>
      <c r="O18" s="12" t="s">
        <v>53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11" t="s">
        <v>17</v>
      </c>
      <c r="B19" s="12" t="s">
        <v>67</v>
      </c>
      <c r="C19" s="13">
        <v>45908.0</v>
      </c>
      <c r="D19" s="12" t="str">
        <f t="shared" si="2"/>
        <v>September</v>
      </c>
      <c r="E19" s="12" t="str">
        <f t="shared" si="3"/>
        <v>2025</v>
      </c>
      <c r="F19" s="12" t="s">
        <v>19</v>
      </c>
      <c r="G19" s="14">
        <v>166.0</v>
      </c>
      <c r="H19" s="14">
        <v>345014.0</v>
      </c>
      <c r="I19" s="14">
        <v>491934.0</v>
      </c>
      <c r="J19" s="15" t="s">
        <v>68</v>
      </c>
      <c r="K19" s="12" t="s">
        <v>21</v>
      </c>
      <c r="L19" s="12" t="s">
        <v>22</v>
      </c>
      <c r="M19" s="12" t="s">
        <v>69</v>
      </c>
      <c r="N19" s="12" t="s">
        <v>52</v>
      </c>
      <c r="O19" s="12" t="s">
        <v>53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11" t="s">
        <v>17</v>
      </c>
      <c r="B20" s="12" t="s">
        <v>70</v>
      </c>
      <c r="C20" s="13">
        <v>45908.0</v>
      </c>
      <c r="D20" s="12" t="str">
        <f t="shared" si="2"/>
        <v>September</v>
      </c>
      <c r="E20" s="12" t="str">
        <f t="shared" si="3"/>
        <v>2025</v>
      </c>
      <c r="F20" s="12" t="s">
        <v>30</v>
      </c>
      <c r="G20" s="14">
        <v>205.0</v>
      </c>
      <c r="H20" s="14">
        <v>362384.0</v>
      </c>
      <c r="I20" s="14">
        <v>530595.0</v>
      </c>
      <c r="J20" s="15" t="s">
        <v>71</v>
      </c>
      <c r="K20" s="12" t="s">
        <v>21</v>
      </c>
      <c r="L20" s="12" t="s">
        <v>22</v>
      </c>
      <c r="M20" s="12" t="s">
        <v>69</v>
      </c>
      <c r="N20" s="12" t="s">
        <v>52</v>
      </c>
      <c r="O20" s="12" t="s">
        <v>53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11" t="s">
        <v>17</v>
      </c>
      <c r="B21" s="12" t="s">
        <v>72</v>
      </c>
      <c r="C21" s="13">
        <v>45910.0</v>
      </c>
      <c r="D21" s="12" t="str">
        <f t="shared" si="2"/>
        <v>September</v>
      </c>
      <c r="E21" s="12" t="str">
        <f t="shared" si="3"/>
        <v>2025</v>
      </c>
      <c r="F21" s="12" t="s">
        <v>19</v>
      </c>
      <c r="G21" s="14">
        <v>125.0</v>
      </c>
      <c r="H21" s="14">
        <v>257936.0</v>
      </c>
      <c r="I21" s="14">
        <v>367775.0</v>
      </c>
      <c r="J21" s="15" t="s">
        <v>73</v>
      </c>
      <c r="K21" s="12" t="s">
        <v>21</v>
      </c>
      <c r="L21" s="12" t="s">
        <v>22</v>
      </c>
      <c r="M21" s="12" t="s">
        <v>74</v>
      </c>
      <c r="N21" s="12" t="s">
        <v>59</v>
      </c>
      <c r="O21" s="12" t="s">
        <v>53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1" t="s">
        <v>17</v>
      </c>
      <c r="B22" s="12" t="s">
        <v>75</v>
      </c>
      <c r="C22" s="13">
        <v>45910.0</v>
      </c>
      <c r="D22" s="12" t="str">
        <f t="shared" si="2"/>
        <v>September</v>
      </c>
      <c r="E22" s="12" t="str">
        <f t="shared" si="3"/>
        <v>2025</v>
      </c>
      <c r="F22" s="12" t="s">
        <v>76</v>
      </c>
      <c r="G22" s="14">
        <v>43.0</v>
      </c>
      <c r="H22" s="14">
        <v>26378.0</v>
      </c>
      <c r="I22" s="14">
        <v>26357.0</v>
      </c>
      <c r="J22" s="15" t="s">
        <v>77</v>
      </c>
      <c r="K22" s="12" t="s">
        <v>21</v>
      </c>
      <c r="L22" s="12" t="s">
        <v>22</v>
      </c>
      <c r="M22" s="12" t="s">
        <v>78</v>
      </c>
      <c r="N22" s="12" t="s">
        <v>79</v>
      </c>
      <c r="O22" s="12" t="s">
        <v>53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11" t="s">
        <v>17</v>
      </c>
      <c r="B23" s="12" t="s">
        <v>80</v>
      </c>
      <c r="C23" s="13">
        <v>45910.0</v>
      </c>
      <c r="D23" s="12" t="str">
        <f t="shared" si="2"/>
        <v>September</v>
      </c>
      <c r="E23" s="12" t="str">
        <f t="shared" si="3"/>
        <v>2025</v>
      </c>
      <c r="F23" s="12" t="s">
        <v>19</v>
      </c>
      <c r="G23" s="14">
        <v>20.0</v>
      </c>
      <c r="H23" s="14">
        <v>54971.0</v>
      </c>
      <c r="I23" s="14">
        <v>78380.0</v>
      </c>
      <c r="J23" s="15" t="s">
        <v>81</v>
      </c>
      <c r="K23" s="12" t="s">
        <v>21</v>
      </c>
      <c r="L23" s="12" t="s">
        <v>22</v>
      </c>
      <c r="M23" s="12" t="s">
        <v>32</v>
      </c>
      <c r="N23" s="12" t="s">
        <v>52</v>
      </c>
      <c r="O23" s="12" t="s">
        <v>53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11" t="s">
        <v>17</v>
      </c>
      <c r="B24" s="12" t="s">
        <v>82</v>
      </c>
      <c r="C24" s="13">
        <v>45910.0</v>
      </c>
      <c r="D24" s="12" t="str">
        <f t="shared" si="2"/>
        <v>September</v>
      </c>
      <c r="E24" s="12" t="str">
        <f t="shared" si="3"/>
        <v>2025</v>
      </c>
      <c r="F24" s="12" t="s">
        <v>36</v>
      </c>
      <c r="G24" s="14">
        <v>153.0</v>
      </c>
      <c r="H24" s="14">
        <v>256520.0</v>
      </c>
      <c r="I24" s="14">
        <v>376947.0</v>
      </c>
      <c r="J24" s="15" t="s">
        <v>83</v>
      </c>
      <c r="K24" s="12" t="s">
        <v>21</v>
      </c>
      <c r="L24" s="12" t="s">
        <v>22</v>
      </c>
      <c r="M24" s="12" t="s">
        <v>38</v>
      </c>
      <c r="N24" s="12" t="s">
        <v>24</v>
      </c>
      <c r="O24" s="12" t="s">
        <v>53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11" t="s">
        <v>17</v>
      </c>
      <c r="B25" s="12" t="s">
        <v>84</v>
      </c>
      <c r="C25" s="13">
        <v>45910.0</v>
      </c>
      <c r="D25" s="12" t="str">
        <f t="shared" si="2"/>
        <v>September</v>
      </c>
      <c r="E25" s="12" t="str">
        <f t="shared" si="3"/>
        <v>2025</v>
      </c>
      <c r="F25" s="12" t="s">
        <v>85</v>
      </c>
      <c r="G25" s="14">
        <v>15.0</v>
      </c>
      <c r="H25" s="14">
        <v>8992.0</v>
      </c>
      <c r="I25" s="14">
        <v>8985.0</v>
      </c>
      <c r="J25" s="15" t="s">
        <v>86</v>
      </c>
      <c r="K25" s="12" t="s">
        <v>21</v>
      </c>
      <c r="L25" s="12" t="s">
        <v>22</v>
      </c>
      <c r="M25" s="12" t="s">
        <v>38</v>
      </c>
      <c r="N25" s="12" t="s">
        <v>79</v>
      </c>
      <c r="O25" s="12" t="s">
        <v>53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11" t="s">
        <v>17</v>
      </c>
      <c r="B26" s="12" t="s">
        <v>87</v>
      </c>
      <c r="C26" s="13">
        <v>45911.0</v>
      </c>
      <c r="D26" s="12" t="str">
        <f t="shared" si="2"/>
        <v>September</v>
      </c>
      <c r="E26" s="12" t="str">
        <f t="shared" si="3"/>
        <v>2025</v>
      </c>
      <c r="F26" s="12" t="s">
        <v>76</v>
      </c>
      <c r="G26" s="14">
        <v>22.0</v>
      </c>
      <c r="H26" s="14">
        <v>13589.0</v>
      </c>
      <c r="I26" s="14">
        <v>13578.0</v>
      </c>
      <c r="J26" s="15" t="s">
        <v>88</v>
      </c>
      <c r="K26" s="12" t="s">
        <v>21</v>
      </c>
      <c r="L26" s="12" t="s">
        <v>22</v>
      </c>
      <c r="M26" s="12" t="s">
        <v>69</v>
      </c>
      <c r="N26" s="12" t="s">
        <v>79</v>
      </c>
      <c r="O26" s="12" t="s">
        <v>53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11" t="s">
        <v>17</v>
      </c>
      <c r="B27" s="12" t="s">
        <v>89</v>
      </c>
      <c r="C27" s="13">
        <v>45911.0</v>
      </c>
      <c r="D27" s="12" t="str">
        <f t="shared" si="2"/>
        <v>September</v>
      </c>
      <c r="E27" s="12" t="str">
        <f t="shared" si="3"/>
        <v>2025</v>
      </c>
      <c r="F27" s="12" t="s">
        <v>90</v>
      </c>
      <c r="G27" s="14">
        <v>385.0</v>
      </c>
      <c r="H27" s="14">
        <v>911546.0</v>
      </c>
      <c r="I27" s="14">
        <v>1327915.0</v>
      </c>
      <c r="J27" s="15" t="s">
        <v>91</v>
      </c>
      <c r="K27" s="12" t="s">
        <v>21</v>
      </c>
      <c r="L27" s="12" t="s">
        <v>22</v>
      </c>
      <c r="M27" s="12" t="s">
        <v>92</v>
      </c>
      <c r="N27" s="12" t="s">
        <v>24</v>
      </c>
      <c r="O27" s="12" t="s">
        <v>53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11" t="s">
        <v>17</v>
      </c>
      <c r="B28" s="12" t="s">
        <v>93</v>
      </c>
      <c r="C28" s="13">
        <v>45911.0</v>
      </c>
      <c r="D28" s="12" t="str">
        <f t="shared" si="2"/>
        <v>September</v>
      </c>
      <c r="E28" s="12" t="str">
        <f t="shared" si="3"/>
        <v>2025</v>
      </c>
      <c r="F28" s="12" t="s">
        <v>90</v>
      </c>
      <c r="G28" s="14">
        <v>125.0</v>
      </c>
      <c r="H28" s="14">
        <v>296701.0</v>
      </c>
      <c r="I28" s="14">
        <v>432775.0</v>
      </c>
      <c r="J28" s="15" t="s">
        <v>94</v>
      </c>
      <c r="K28" s="12" t="s">
        <v>21</v>
      </c>
      <c r="L28" s="12" t="s">
        <v>22</v>
      </c>
      <c r="M28" s="12" t="s">
        <v>95</v>
      </c>
      <c r="N28" s="12" t="s">
        <v>59</v>
      </c>
      <c r="O28" s="12" t="s">
        <v>53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11" t="s">
        <v>17</v>
      </c>
      <c r="B29" s="12" t="s">
        <v>96</v>
      </c>
      <c r="C29" s="13">
        <v>45913.0</v>
      </c>
      <c r="D29" s="12" t="str">
        <f t="shared" si="2"/>
        <v>September</v>
      </c>
      <c r="E29" s="12" t="str">
        <f t="shared" si="3"/>
        <v>2025</v>
      </c>
      <c r="F29" s="12" t="s">
        <v>30</v>
      </c>
      <c r="G29" s="14">
        <v>235.0</v>
      </c>
      <c r="H29" s="14">
        <v>473415.0</v>
      </c>
      <c r="I29" s="14">
        <v>693165.0</v>
      </c>
      <c r="J29" s="15" t="s">
        <v>97</v>
      </c>
      <c r="K29" s="12" t="s">
        <v>21</v>
      </c>
      <c r="L29" s="12" t="s">
        <v>22</v>
      </c>
      <c r="M29" s="12" t="s">
        <v>69</v>
      </c>
      <c r="N29" s="12" t="s">
        <v>24</v>
      </c>
      <c r="O29" s="12" t="s">
        <v>53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11" t="s">
        <v>17</v>
      </c>
      <c r="B30" s="12" t="s">
        <v>98</v>
      </c>
      <c r="C30" s="13">
        <v>45913.0</v>
      </c>
      <c r="D30" s="12" t="str">
        <f t="shared" si="2"/>
        <v>September</v>
      </c>
      <c r="E30" s="12" t="str">
        <f t="shared" si="3"/>
        <v>2025</v>
      </c>
      <c r="F30" s="12" t="s">
        <v>19</v>
      </c>
      <c r="G30" s="14">
        <v>67.0</v>
      </c>
      <c r="H30" s="14">
        <v>119342.0</v>
      </c>
      <c r="I30" s="14">
        <v>166233.0</v>
      </c>
      <c r="J30" s="15" t="s">
        <v>99</v>
      </c>
      <c r="K30" s="12" t="s">
        <v>21</v>
      </c>
      <c r="L30" s="12" t="s">
        <v>22</v>
      </c>
      <c r="M30" s="12" t="s">
        <v>69</v>
      </c>
      <c r="N30" s="12" t="s">
        <v>24</v>
      </c>
      <c r="O30" s="12" t="s">
        <v>53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11" t="s">
        <v>17</v>
      </c>
      <c r="B31" s="12" t="s">
        <v>100</v>
      </c>
      <c r="C31" s="13">
        <v>45926.0</v>
      </c>
      <c r="D31" s="12" t="str">
        <f t="shared" si="2"/>
        <v>September</v>
      </c>
      <c r="E31" s="12" t="str">
        <f t="shared" si="3"/>
        <v>2025</v>
      </c>
      <c r="F31" s="12" t="s">
        <v>90</v>
      </c>
      <c r="G31" s="14">
        <v>260.0</v>
      </c>
      <c r="H31" s="14">
        <v>626360.0</v>
      </c>
      <c r="I31" s="14">
        <v>1018557.0</v>
      </c>
      <c r="J31" s="15" t="s">
        <v>101</v>
      </c>
      <c r="K31" s="12" t="s">
        <v>21</v>
      </c>
      <c r="L31" s="12" t="s">
        <v>22</v>
      </c>
      <c r="M31" s="12" t="s">
        <v>102</v>
      </c>
      <c r="N31" s="12" t="s">
        <v>24</v>
      </c>
      <c r="O31" s="12" t="s">
        <v>53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11" t="s">
        <v>17</v>
      </c>
      <c r="B32" s="12" t="s">
        <v>103</v>
      </c>
      <c r="C32" s="13">
        <v>45936.0</v>
      </c>
      <c r="D32" s="12" t="str">
        <f t="shared" si="2"/>
        <v>October</v>
      </c>
      <c r="E32" s="12" t="str">
        <f t="shared" si="3"/>
        <v>2025</v>
      </c>
      <c r="F32" s="12" t="s">
        <v>30</v>
      </c>
      <c r="G32" s="14">
        <v>88.0</v>
      </c>
      <c r="H32" s="14">
        <v>167494.0</v>
      </c>
      <c r="I32" s="14">
        <v>276989.0</v>
      </c>
      <c r="J32" s="15" t="s">
        <v>104</v>
      </c>
      <c r="K32" s="12" t="s">
        <v>21</v>
      </c>
      <c r="L32" s="12" t="s">
        <v>22</v>
      </c>
      <c r="M32" s="12" t="s">
        <v>69</v>
      </c>
      <c r="N32" s="12" t="s">
        <v>24</v>
      </c>
      <c r="O32" s="12" t="s">
        <v>53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11" t="s">
        <v>17</v>
      </c>
      <c r="B33" s="12" t="s">
        <v>105</v>
      </c>
      <c r="C33" s="13">
        <v>45943.0</v>
      </c>
      <c r="D33" s="12" t="str">
        <f t="shared" si="2"/>
        <v>October</v>
      </c>
      <c r="E33" s="12" t="str">
        <f t="shared" si="3"/>
        <v>2025</v>
      </c>
      <c r="F33" s="12" t="s">
        <v>30</v>
      </c>
      <c r="G33" s="14">
        <v>27.0</v>
      </c>
      <c r="H33" s="14">
        <v>127118.0</v>
      </c>
      <c r="I33" s="14">
        <v>190668.0</v>
      </c>
      <c r="J33" s="15" t="s">
        <v>106</v>
      </c>
      <c r="K33" s="12" t="s">
        <v>21</v>
      </c>
      <c r="L33" s="12" t="s">
        <v>22</v>
      </c>
      <c r="M33" s="12" t="s">
        <v>69</v>
      </c>
      <c r="N33" s="12" t="s">
        <v>24</v>
      </c>
      <c r="O33" s="12" t="s">
        <v>53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11" t="s">
        <v>17</v>
      </c>
      <c r="B34" s="12" t="s">
        <v>107</v>
      </c>
      <c r="C34" s="13">
        <v>45947.0</v>
      </c>
      <c r="D34" s="12" t="str">
        <f t="shared" si="2"/>
        <v>October</v>
      </c>
      <c r="E34" s="12" t="str">
        <f t="shared" si="3"/>
        <v>2025</v>
      </c>
      <c r="F34" s="12" t="s">
        <v>30</v>
      </c>
      <c r="G34" s="14">
        <v>67.0</v>
      </c>
      <c r="H34" s="14">
        <v>126579.0</v>
      </c>
      <c r="I34" s="14">
        <v>199613.0</v>
      </c>
      <c r="J34" s="15" t="s">
        <v>108</v>
      </c>
      <c r="K34" s="12" t="s">
        <v>21</v>
      </c>
      <c r="L34" s="12" t="s">
        <v>22</v>
      </c>
      <c r="M34" s="12" t="s">
        <v>32</v>
      </c>
      <c r="N34" s="12" t="s">
        <v>24</v>
      </c>
      <c r="O34" s="12" t="s">
        <v>53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11" t="s">
        <v>17</v>
      </c>
      <c r="B35" s="12" t="s">
        <v>109</v>
      </c>
      <c r="C35" s="13">
        <v>45927.0</v>
      </c>
      <c r="D35" s="12" t="str">
        <f t="shared" si="2"/>
        <v>September</v>
      </c>
      <c r="E35" s="12" t="str">
        <f t="shared" si="3"/>
        <v>2025</v>
      </c>
      <c r="F35" s="12" t="s">
        <v>36</v>
      </c>
      <c r="G35" s="14">
        <v>40.0</v>
      </c>
      <c r="H35" s="14">
        <v>75426.0</v>
      </c>
      <c r="I35" s="14">
        <v>113398.0</v>
      </c>
      <c r="J35" s="15" t="s">
        <v>110</v>
      </c>
      <c r="K35" s="12" t="s">
        <v>21</v>
      </c>
      <c r="L35" s="12" t="s">
        <v>22</v>
      </c>
      <c r="M35" s="12" t="s">
        <v>38</v>
      </c>
      <c r="N35" s="12" t="s">
        <v>24</v>
      </c>
      <c r="O35" s="12" t="s">
        <v>53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11" t="s">
        <v>17</v>
      </c>
      <c r="B36" s="12" t="s">
        <v>111</v>
      </c>
      <c r="C36" s="13">
        <v>45936.0</v>
      </c>
      <c r="D36" s="12" t="str">
        <f t="shared" si="2"/>
        <v>October</v>
      </c>
      <c r="E36" s="12" t="str">
        <f t="shared" si="3"/>
        <v>2025</v>
      </c>
      <c r="F36" s="12" t="s">
        <v>36</v>
      </c>
      <c r="G36" s="14">
        <v>62.0</v>
      </c>
      <c r="H36" s="14">
        <v>111850.0</v>
      </c>
      <c r="I36" s="14">
        <v>176488.0</v>
      </c>
      <c r="J36" s="15" t="s">
        <v>112</v>
      </c>
      <c r="K36" s="12" t="s">
        <v>21</v>
      </c>
      <c r="L36" s="12" t="s">
        <v>22</v>
      </c>
      <c r="M36" s="12" t="s">
        <v>38</v>
      </c>
      <c r="N36" s="12" t="s">
        <v>24</v>
      </c>
      <c r="O36" s="12" t="s">
        <v>53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11" t="s">
        <v>17</v>
      </c>
      <c r="B37" s="12" t="s">
        <v>113</v>
      </c>
      <c r="C37" s="13">
        <v>45946.0</v>
      </c>
      <c r="D37" s="12" t="str">
        <f t="shared" si="2"/>
        <v>October</v>
      </c>
      <c r="E37" s="12" t="str">
        <f t="shared" si="3"/>
        <v>2025</v>
      </c>
      <c r="F37" s="12" t="s">
        <v>36</v>
      </c>
      <c r="G37" s="14">
        <v>207.0</v>
      </c>
      <c r="H37" s="14">
        <v>375959.0</v>
      </c>
      <c r="I37" s="14">
        <v>569732.0</v>
      </c>
      <c r="J37" s="15" t="s">
        <v>114</v>
      </c>
      <c r="K37" s="12" t="s">
        <v>21</v>
      </c>
      <c r="L37" s="12" t="s">
        <v>22</v>
      </c>
      <c r="M37" s="12" t="s">
        <v>38</v>
      </c>
      <c r="N37" s="12" t="s">
        <v>24</v>
      </c>
      <c r="O37" s="12" t="s">
        <v>53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11" t="s">
        <v>17</v>
      </c>
      <c r="B38" s="12" t="s">
        <v>115</v>
      </c>
      <c r="C38" s="13">
        <v>45941.0</v>
      </c>
      <c r="D38" s="12" t="str">
        <f t="shared" si="2"/>
        <v>October</v>
      </c>
      <c r="E38" s="12" t="str">
        <f t="shared" si="3"/>
        <v>2025</v>
      </c>
      <c r="F38" s="12" t="s">
        <v>90</v>
      </c>
      <c r="G38" s="14">
        <v>49.0</v>
      </c>
      <c r="H38" s="14">
        <v>109505.0</v>
      </c>
      <c r="I38" s="14">
        <v>183771.0</v>
      </c>
      <c r="J38" s="15" t="s">
        <v>116</v>
      </c>
      <c r="K38" s="12" t="s">
        <v>21</v>
      </c>
      <c r="L38" s="12" t="s">
        <v>22</v>
      </c>
      <c r="M38" s="12" t="s">
        <v>117</v>
      </c>
      <c r="N38" s="12" t="s">
        <v>24</v>
      </c>
      <c r="O38" s="12" t="s">
        <v>53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11" t="s">
        <v>17</v>
      </c>
      <c r="B39" s="12" t="s">
        <v>118</v>
      </c>
      <c r="C39" s="13">
        <v>45943.0</v>
      </c>
      <c r="D39" s="12" t="str">
        <f t="shared" si="2"/>
        <v>October</v>
      </c>
      <c r="E39" s="12" t="str">
        <f t="shared" si="3"/>
        <v>2025</v>
      </c>
      <c r="F39" s="12" t="s">
        <v>90</v>
      </c>
      <c r="G39" s="14">
        <v>30.0</v>
      </c>
      <c r="H39" s="14">
        <v>64580.0</v>
      </c>
      <c r="I39" s="14">
        <v>108378.0</v>
      </c>
      <c r="J39" s="15" t="s">
        <v>119</v>
      </c>
      <c r="K39" s="12" t="s">
        <v>21</v>
      </c>
      <c r="L39" s="12" t="s">
        <v>22</v>
      </c>
      <c r="M39" s="12" t="s">
        <v>120</v>
      </c>
      <c r="N39" s="12" t="s">
        <v>24</v>
      </c>
      <c r="O39" s="12" t="s">
        <v>53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11" t="s">
        <v>17</v>
      </c>
      <c r="B40" s="12" t="s">
        <v>121</v>
      </c>
      <c r="C40" s="13">
        <v>45925.0</v>
      </c>
      <c r="D40" s="12" t="str">
        <f t="shared" si="2"/>
        <v>September</v>
      </c>
      <c r="E40" s="12" t="str">
        <f t="shared" si="3"/>
        <v>2025</v>
      </c>
      <c r="F40" s="12" t="s">
        <v>19</v>
      </c>
      <c r="G40" s="14">
        <v>21.0</v>
      </c>
      <c r="H40" s="14">
        <v>48994.0</v>
      </c>
      <c r="I40" s="14">
        <v>77731.0</v>
      </c>
      <c r="J40" s="15" t="s">
        <v>122</v>
      </c>
      <c r="K40" s="12" t="s">
        <v>21</v>
      </c>
      <c r="L40" s="12" t="s">
        <v>22</v>
      </c>
      <c r="M40" s="12" t="s">
        <v>69</v>
      </c>
      <c r="N40" s="12" t="s">
        <v>24</v>
      </c>
      <c r="O40" s="12" t="s">
        <v>53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11" t="s">
        <v>17</v>
      </c>
      <c r="B41" s="12" t="s">
        <v>123</v>
      </c>
      <c r="C41" s="13">
        <v>45925.0</v>
      </c>
      <c r="D41" s="12" t="str">
        <f t="shared" si="2"/>
        <v>September</v>
      </c>
      <c r="E41" s="12" t="str">
        <f t="shared" si="3"/>
        <v>2025</v>
      </c>
      <c r="F41" s="12" t="s">
        <v>19</v>
      </c>
      <c r="G41" s="14">
        <v>131.0</v>
      </c>
      <c r="H41" s="14">
        <v>273563.0</v>
      </c>
      <c r="I41" s="14">
        <v>428940.0</v>
      </c>
      <c r="J41" s="15" t="s">
        <v>124</v>
      </c>
      <c r="K41" s="12" t="s">
        <v>21</v>
      </c>
      <c r="L41" s="12" t="s">
        <v>22</v>
      </c>
      <c r="M41" s="12" t="s">
        <v>125</v>
      </c>
      <c r="N41" s="12" t="s">
        <v>24</v>
      </c>
      <c r="O41" s="12" t="s">
        <v>53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11" t="s">
        <v>17</v>
      </c>
      <c r="B42" s="12" t="s">
        <v>126</v>
      </c>
      <c r="C42" s="13">
        <v>45954.0</v>
      </c>
      <c r="D42" s="12" t="str">
        <f t="shared" si="2"/>
        <v>October</v>
      </c>
      <c r="E42" s="12" t="str">
        <f t="shared" si="3"/>
        <v>2025</v>
      </c>
      <c r="F42" s="12" t="s">
        <v>30</v>
      </c>
      <c r="G42" s="14">
        <v>78.0</v>
      </c>
      <c r="H42" s="14">
        <v>331393.0</v>
      </c>
      <c r="I42" s="14">
        <v>504793.0</v>
      </c>
      <c r="J42" s="15" t="s">
        <v>127</v>
      </c>
      <c r="K42" s="12" t="s">
        <v>21</v>
      </c>
      <c r="L42" s="12" t="s">
        <v>22</v>
      </c>
      <c r="M42" s="12"/>
      <c r="N42" s="12" t="s">
        <v>24</v>
      </c>
      <c r="O42" s="12" t="s">
        <v>53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11" t="s">
        <v>17</v>
      </c>
      <c r="B43" s="12" t="s">
        <v>128</v>
      </c>
      <c r="C43" s="13">
        <v>45955.0</v>
      </c>
      <c r="D43" s="12" t="str">
        <f t="shared" si="2"/>
        <v>October</v>
      </c>
      <c r="E43" s="12" t="str">
        <f t="shared" si="3"/>
        <v>2025</v>
      </c>
      <c r="F43" s="12" t="s">
        <v>30</v>
      </c>
      <c r="G43" s="14">
        <v>17.0</v>
      </c>
      <c r="H43" s="14">
        <v>75849.0</v>
      </c>
      <c r="I43" s="14">
        <v>113768.0</v>
      </c>
      <c r="J43" s="15" t="s">
        <v>129</v>
      </c>
      <c r="K43" s="12" t="s">
        <v>21</v>
      </c>
      <c r="L43" s="12" t="s">
        <v>22</v>
      </c>
      <c r="M43" s="12"/>
      <c r="N43" s="12" t="s">
        <v>24</v>
      </c>
      <c r="O43" s="12" t="s">
        <v>53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11" t="s">
        <v>17</v>
      </c>
      <c r="B44" s="12" t="s">
        <v>130</v>
      </c>
      <c r="C44" s="17">
        <v>45788.0</v>
      </c>
      <c r="D44" s="12" t="str">
        <f t="shared" si="2"/>
        <v>May</v>
      </c>
      <c r="E44" s="12" t="str">
        <f t="shared" si="3"/>
        <v>2025</v>
      </c>
      <c r="F44" s="12" t="s">
        <v>30</v>
      </c>
      <c r="G44" s="14">
        <v>53.0</v>
      </c>
      <c r="H44" s="14">
        <v>175689.0</v>
      </c>
      <c r="I44" s="14">
        <v>268394.0</v>
      </c>
      <c r="J44" s="15" t="s">
        <v>131</v>
      </c>
      <c r="K44" s="12" t="s">
        <v>21</v>
      </c>
      <c r="L44" s="12" t="s">
        <v>22</v>
      </c>
      <c r="M44" s="12"/>
      <c r="N44" s="12" t="s">
        <v>24</v>
      </c>
      <c r="O44" s="12" t="s">
        <v>53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11" t="s">
        <v>17</v>
      </c>
      <c r="B45" s="12" t="s">
        <v>132</v>
      </c>
      <c r="C45" s="18">
        <v>45972.0</v>
      </c>
      <c r="D45" s="12" t="str">
        <f t="shared" si="2"/>
        <v>November</v>
      </c>
      <c r="E45" s="12" t="str">
        <f t="shared" si="3"/>
        <v>2025</v>
      </c>
      <c r="F45" s="12" t="s">
        <v>30</v>
      </c>
      <c r="G45" s="14">
        <v>105.0</v>
      </c>
      <c r="H45" s="14">
        <v>321032.0</v>
      </c>
      <c r="I45" s="14">
        <v>496227.0</v>
      </c>
      <c r="J45" s="15" t="s">
        <v>133</v>
      </c>
      <c r="K45" s="12" t="s">
        <v>21</v>
      </c>
      <c r="L45" s="12" t="s">
        <v>22</v>
      </c>
      <c r="M45" s="12"/>
      <c r="N45" s="12" t="s">
        <v>24</v>
      </c>
      <c r="O45" s="12" t="s">
        <v>53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11" t="s">
        <v>17</v>
      </c>
      <c r="B46" s="12" t="s">
        <v>134</v>
      </c>
      <c r="C46" s="18">
        <v>45982.0</v>
      </c>
      <c r="D46" s="12" t="str">
        <f t="shared" si="2"/>
        <v>November</v>
      </c>
      <c r="E46" s="12" t="str">
        <f t="shared" si="3"/>
        <v>2025</v>
      </c>
      <c r="F46" s="12" t="s">
        <v>30</v>
      </c>
      <c r="G46" s="14">
        <v>92.0</v>
      </c>
      <c r="H46" s="14">
        <v>418516.0</v>
      </c>
      <c r="I46" s="14">
        <v>630993.0</v>
      </c>
      <c r="J46" s="15" t="s">
        <v>135</v>
      </c>
      <c r="K46" s="12" t="s">
        <v>21</v>
      </c>
      <c r="L46" s="12" t="s">
        <v>22</v>
      </c>
      <c r="M46" s="12"/>
      <c r="N46" s="12" t="s">
        <v>24</v>
      </c>
      <c r="O46" s="12" t="s">
        <v>53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11" t="s">
        <v>17</v>
      </c>
      <c r="B47" s="12" t="s">
        <v>136</v>
      </c>
      <c r="C47" s="18">
        <v>45955.0</v>
      </c>
      <c r="D47" s="12" t="str">
        <f t="shared" si="2"/>
        <v>October</v>
      </c>
      <c r="E47" s="12" t="str">
        <f t="shared" si="3"/>
        <v>2025</v>
      </c>
      <c r="F47" s="12" t="s">
        <v>36</v>
      </c>
      <c r="G47" s="14">
        <v>27.0</v>
      </c>
      <c r="H47" s="14">
        <v>49713.0</v>
      </c>
      <c r="I47" s="14">
        <v>75410.0</v>
      </c>
      <c r="J47" s="15" t="s">
        <v>137</v>
      </c>
      <c r="K47" s="12" t="s">
        <v>21</v>
      </c>
      <c r="L47" s="12" t="s">
        <v>22</v>
      </c>
      <c r="M47" s="12" t="s">
        <v>38</v>
      </c>
      <c r="N47" s="12" t="s">
        <v>24</v>
      </c>
      <c r="O47" s="12" t="s">
        <v>53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11" t="s">
        <v>17</v>
      </c>
      <c r="B48" s="12" t="s">
        <v>138</v>
      </c>
      <c r="C48" s="18">
        <v>45973.0</v>
      </c>
      <c r="D48" s="12" t="str">
        <f t="shared" si="2"/>
        <v>November</v>
      </c>
      <c r="E48" s="12" t="str">
        <f t="shared" si="3"/>
        <v>2025</v>
      </c>
      <c r="F48" s="12" t="s">
        <v>36</v>
      </c>
      <c r="G48" s="14">
        <v>21.0</v>
      </c>
      <c r="H48" s="14">
        <v>86759.0</v>
      </c>
      <c r="I48" s="14">
        <v>129778.0</v>
      </c>
      <c r="J48" s="15" t="s">
        <v>139</v>
      </c>
      <c r="K48" s="12" t="s">
        <v>21</v>
      </c>
      <c r="L48" s="12" t="s">
        <v>22</v>
      </c>
      <c r="M48" s="12" t="s">
        <v>38</v>
      </c>
      <c r="N48" s="12" t="s">
        <v>24</v>
      </c>
      <c r="O48" s="12" t="s">
        <v>53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11" t="s">
        <v>17</v>
      </c>
      <c r="B49" s="12" t="s">
        <v>140</v>
      </c>
      <c r="C49" s="18">
        <v>45925.0</v>
      </c>
      <c r="D49" s="12" t="str">
        <f t="shared" si="2"/>
        <v>September</v>
      </c>
      <c r="E49" s="12" t="str">
        <f t="shared" si="3"/>
        <v>2025</v>
      </c>
      <c r="F49" s="12" t="s">
        <v>19</v>
      </c>
      <c r="G49" s="14">
        <v>79.0</v>
      </c>
      <c r="H49" s="14">
        <v>164885.0</v>
      </c>
      <c r="I49" s="14">
        <v>253053.0</v>
      </c>
      <c r="J49" s="15" t="s">
        <v>141</v>
      </c>
      <c r="K49" s="12" t="s">
        <v>21</v>
      </c>
      <c r="L49" s="12" t="s">
        <v>22</v>
      </c>
      <c r="M49" s="12" t="s">
        <v>38</v>
      </c>
      <c r="N49" s="12" t="s">
        <v>24</v>
      </c>
      <c r="O49" s="12" t="s">
        <v>53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11" t="s">
        <v>17</v>
      </c>
      <c r="B50" s="12" t="s">
        <v>142</v>
      </c>
      <c r="C50" s="18">
        <v>45925.0</v>
      </c>
      <c r="D50" s="12" t="str">
        <f t="shared" si="2"/>
        <v>September</v>
      </c>
      <c r="E50" s="12" t="str">
        <f t="shared" si="3"/>
        <v>2025</v>
      </c>
      <c r="F50" s="12" t="s">
        <v>19</v>
      </c>
      <c r="G50" s="14">
        <v>94.0</v>
      </c>
      <c r="H50" s="14">
        <v>203236.0</v>
      </c>
      <c r="I50" s="14">
        <v>320182.0</v>
      </c>
      <c r="J50" s="15" t="s">
        <v>143</v>
      </c>
      <c r="K50" s="12" t="s">
        <v>21</v>
      </c>
      <c r="L50" s="12" t="s">
        <v>22</v>
      </c>
      <c r="M50" s="12" t="s">
        <v>38</v>
      </c>
      <c r="N50" s="12" t="s">
        <v>24</v>
      </c>
      <c r="O50" s="12" t="s">
        <v>53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11" t="s">
        <v>17</v>
      </c>
      <c r="B51" s="12" t="s">
        <v>144</v>
      </c>
      <c r="C51" s="18">
        <v>45818.0</v>
      </c>
      <c r="D51" s="12" t="str">
        <f t="shared" si="2"/>
        <v>June</v>
      </c>
      <c r="E51" s="12" t="str">
        <f t="shared" si="3"/>
        <v>2025</v>
      </c>
      <c r="F51" s="12" t="s">
        <v>19</v>
      </c>
      <c r="G51" s="14">
        <v>21.0</v>
      </c>
      <c r="H51" s="14">
        <v>41043.0</v>
      </c>
      <c r="I51" s="14">
        <v>67301.0</v>
      </c>
      <c r="J51" s="15" t="s">
        <v>145</v>
      </c>
      <c r="K51" s="12" t="s">
        <v>21</v>
      </c>
      <c r="L51" s="12" t="s">
        <v>22</v>
      </c>
      <c r="M51" s="12" t="s">
        <v>38</v>
      </c>
      <c r="N51" s="12" t="s">
        <v>24</v>
      </c>
      <c r="O51" s="12" t="s">
        <v>53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11" t="s">
        <v>17</v>
      </c>
      <c r="B52" s="12" t="s">
        <v>146</v>
      </c>
      <c r="C52" s="18">
        <v>45948.0</v>
      </c>
      <c r="D52" s="12" t="str">
        <f t="shared" si="2"/>
        <v>October</v>
      </c>
      <c r="E52" s="12" t="str">
        <f t="shared" si="3"/>
        <v>2025</v>
      </c>
      <c r="F52" s="12" t="s">
        <v>19</v>
      </c>
      <c r="G52" s="14">
        <v>38.0</v>
      </c>
      <c r="H52" s="14">
        <v>90981.0</v>
      </c>
      <c r="I52" s="14">
        <v>139434.0</v>
      </c>
      <c r="J52" s="15" t="s">
        <v>147</v>
      </c>
      <c r="K52" s="12" t="s">
        <v>21</v>
      </c>
      <c r="L52" s="12" t="s">
        <v>22</v>
      </c>
      <c r="M52" s="12" t="s">
        <v>38</v>
      </c>
      <c r="N52" s="12" t="s">
        <v>24</v>
      </c>
      <c r="O52" s="12" t="s">
        <v>53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11" t="s">
        <v>17</v>
      </c>
      <c r="B53" s="12" t="s">
        <v>148</v>
      </c>
      <c r="C53" s="18">
        <v>45948.0</v>
      </c>
      <c r="D53" s="12" t="str">
        <f t="shared" si="2"/>
        <v>October</v>
      </c>
      <c r="E53" s="12" t="str">
        <f t="shared" si="3"/>
        <v>2025</v>
      </c>
      <c r="F53" s="12" t="s">
        <v>19</v>
      </c>
      <c r="G53" s="14">
        <v>22.0</v>
      </c>
      <c r="H53" s="14">
        <v>55308.0</v>
      </c>
      <c r="I53" s="14">
        <v>86600.0</v>
      </c>
      <c r="J53" s="15" t="s">
        <v>149</v>
      </c>
      <c r="K53" s="12" t="s">
        <v>21</v>
      </c>
      <c r="L53" s="12" t="s">
        <v>22</v>
      </c>
      <c r="M53" s="12" t="s">
        <v>38</v>
      </c>
      <c r="N53" s="12" t="s">
        <v>24</v>
      </c>
      <c r="O53" s="12" t="s">
        <v>53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11" t="s">
        <v>17</v>
      </c>
      <c r="B54" s="12" t="s">
        <v>150</v>
      </c>
      <c r="C54" s="18">
        <v>45948.0</v>
      </c>
      <c r="D54" s="12" t="str">
        <f t="shared" si="2"/>
        <v>October</v>
      </c>
      <c r="E54" s="12" t="str">
        <f t="shared" si="3"/>
        <v>2025</v>
      </c>
      <c r="F54" s="12" t="s">
        <v>19</v>
      </c>
      <c r="G54" s="14">
        <v>82.0</v>
      </c>
      <c r="H54" s="14">
        <v>315698.0</v>
      </c>
      <c r="I54" s="14">
        <v>469764.0</v>
      </c>
      <c r="J54" s="15" t="s">
        <v>151</v>
      </c>
      <c r="K54" s="12" t="s">
        <v>21</v>
      </c>
      <c r="L54" s="12" t="s">
        <v>22</v>
      </c>
      <c r="M54" s="12" t="s">
        <v>38</v>
      </c>
      <c r="N54" s="12" t="s">
        <v>24</v>
      </c>
      <c r="O54" s="12" t="s">
        <v>53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11" t="s">
        <v>17</v>
      </c>
      <c r="B55" s="12" t="s">
        <v>152</v>
      </c>
      <c r="C55" s="18">
        <v>45955.0</v>
      </c>
      <c r="D55" s="12" t="str">
        <f t="shared" si="2"/>
        <v>October</v>
      </c>
      <c r="E55" s="12" t="str">
        <f t="shared" si="3"/>
        <v>2025</v>
      </c>
      <c r="F55" s="12" t="s">
        <v>19</v>
      </c>
      <c r="G55" s="14">
        <v>14.0</v>
      </c>
      <c r="H55" s="14">
        <v>26359.0</v>
      </c>
      <c r="I55" s="14">
        <v>43223.0</v>
      </c>
      <c r="J55" s="15" t="s">
        <v>153</v>
      </c>
      <c r="K55" s="12" t="s">
        <v>21</v>
      </c>
      <c r="L55" s="12" t="s">
        <v>22</v>
      </c>
      <c r="M55" s="12" t="s">
        <v>38</v>
      </c>
      <c r="N55" s="12" t="s">
        <v>24</v>
      </c>
      <c r="O55" s="12" t="s">
        <v>53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11" t="s">
        <v>17</v>
      </c>
      <c r="B56" s="12" t="s">
        <v>154</v>
      </c>
      <c r="C56" s="18">
        <v>45668.0</v>
      </c>
      <c r="D56" s="12" t="str">
        <f t="shared" si="2"/>
        <v>January</v>
      </c>
      <c r="E56" s="12" t="str">
        <f t="shared" si="3"/>
        <v>2025</v>
      </c>
      <c r="F56" s="12" t="s">
        <v>19</v>
      </c>
      <c r="G56" s="14">
        <v>151.0</v>
      </c>
      <c r="H56" s="14">
        <v>390079.0</v>
      </c>
      <c r="I56" s="14">
        <v>617444.0</v>
      </c>
      <c r="J56" s="15" t="s">
        <v>155</v>
      </c>
      <c r="K56" s="12" t="s">
        <v>21</v>
      </c>
      <c r="L56" s="12" t="s">
        <v>22</v>
      </c>
      <c r="M56" s="12" t="s">
        <v>38</v>
      </c>
      <c r="N56" s="12" t="s">
        <v>24</v>
      </c>
      <c r="O56" s="12" t="s">
        <v>53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11" t="s">
        <v>17</v>
      </c>
      <c r="B57" s="12" t="s">
        <v>156</v>
      </c>
      <c r="C57" s="18">
        <v>45668.0</v>
      </c>
      <c r="D57" s="12" t="str">
        <f t="shared" si="2"/>
        <v>January</v>
      </c>
      <c r="E57" s="12" t="str">
        <f t="shared" si="3"/>
        <v>2025</v>
      </c>
      <c r="F57" s="12" t="s">
        <v>19</v>
      </c>
      <c r="G57" s="14">
        <v>103.0</v>
      </c>
      <c r="H57" s="14">
        <v>220372.0</v>
      </c>
      <c r="I57" s="14">
        <v>350293.0</v>
      </c>
      <c r="J57" s="15" t="s">
        <v>157</v>
      </c>
      <c r="K57" s="12" t="s">
        <v>21</v>
      </c>
      <c r="L57" s="12" t="s">
        <v>22</v>
      </c>
      <c r="M57" s="12" t="s">
        <v>38</v>
      </c>
      <c r="N57" s="12" t="s">
        <v>24</v>
      </c>
      <c r="O57" s="12" t="s">
        <v>53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11" t="s">
        <v>17</v>
      </c>
      <c r="B58" s="12" t="s">
        <v>158</v>
      </c>
      <c r="C58" s="18">
        <v>45668.0</v>
      </c>
      <c r="D58" s="12" t="str">
        <f t="shared" si="2"/>
        <v>January</v>
      </c>
      <c r="E58" s="12" t="str">
        <f t="shared" si="3"/>
        <v>2025</v>
      </c>
      <c r="F58" s="12" t="s">
        <v>19</v>
      </c>
      <c r="G58" s="14">
        <v>33.0</v>
      </c>
      <c r="H58" s="14">
        <v>68625.0</v>
      </c>
      <c r="I58" s="14">
        <v>111121.0</v>
      </c>
      <c r="J58" s="15" t="s">
        <v>159</v>
      </c>
      <c r="K58" s="12" t="s">
        <v>21</v>
      </c>
      <c r="L58" s="12" t="s">
        <v>22</v>
      </c>
      <c r="M58" s="12" t="s">
        <v>38</v>
      </c>
      <c r="N58" s="12" t="s">
        <v>24</v>
      </c>
      <c r="O58" s="12" t="s">
        <v>53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11" t="s">
        <v>17</v>
      </c>
      <c r="B59" s="12" t="s">
        <v>160</v>
      </c>
      <c r="C59" s="18">
        <v>45880.0</v>
      </c>
      <c r="D59" s="12" t="str">
        <f t="shared" si="2"/>
        <v>August</v>
      </c>
      <c r="E59" s="12" t="str">
        <f t="shared" si="3"/>
        <v>2025</v>
      </c>
      <c r="F59" s="12" t="s">
        <v>19</v>
      </c>
      <c r="G59" s="14">
        <v>82.0</v>
      </c>
      <c r="H59" s="14">
        <v>360321.0</v>
      </c>
      <c r="I59" s="14">
        <v>525751.0</v>
      </c>
      <c r="J59" s="15" t="s">
        <v>161</v>
      </c>
      <c r="K59" s="12" t="s">
        <v>21</v>
      </c>
      <c r="L59" s="12" t="s">
        <v>22</v>
      </c>
      <c r="M59" s="12" t="s">
        <v>38</v>
      </c>
      <c r="N59" s="12" t="s">
        <v>24</v>
      </c>
      <c r="O59" s="12" t="s">
        <v>53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11" t="s">
        <v>17</v>
      </c>
      <c r="B60" s="12" t="s">
        <v>162</v>
      </c>
      <c r="C60" s="18">
        <v>46002.0</v>
      </c>
      <c r="D60" s="12" t="str">
        <f t="shared" si="2"/>
        <v>December</v>
      </c>
      <c r="E60" s="12" t="str">
        <f t="shared" si="3"/>
        <v>2025</v>
      </c>
      <c r="F60" s="12" t="s">
        <v>19</v>
      </c>
      <c r="G60" s="14">
        <v>31.0</v>
      </c>
      <c r="H60" s="14">
        <v>123594.0</v>
      </c>
      <c r="I60" s="14">
        <v>180339.0</v>
      </c>
      <c r="J60" s="15" t="s">
        <v>163</v>
      </c>
      <c r="K60" s="12" t="s">
        <v>21</v>
      </c>
      <c r="L60" s="12" t="s">
        <v>22</v>
      </c>
      <c r="M60" s="12" t="s">
        <v>38</v>
      </c>
      <c r="N60" s="12" t="s">
        <v>24</v>
      </c>
      <c r="O60" s="12" t="s">
        <v>53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11" t="s">
        <v>17</v>
      </c>
      <c r="B61" s="12" t="s">
        <v>164</v>
      </c>
      <c r="C61" s="18">
        <v>45982.0</v>
      </c>
      <c r="D61" s="12" t="str">
        <f t="shared" si="2"/>
        <v>November</v>
      </c>
      <c r="E61" s="12" t="str">
        <f t="shared" si="3"/>
        <v>2025</v>
      </c>
      <c r="F61" s="12" t="s">
        <v>19</v>
      </c>
      <c r="G61" s="14">
        <v>124.0</v>
      </c>
      <c r="H61" s="14">
        <v>390022.0</v>
      </c>
      <c r="I61" s="14">
        <v>598087.0</v>
      </c>
      <c r="J61" s="15" t="s">
        <v>165</v>
      </c>
      <c r="K61" s="12" t="s">
        <v>21</v>
      </c>
      <c r="L61" s="12" t="s">
        <v>22</v>
      </c>
      <c r="M61" s="12" t="s">
        <v>38</v>
      </c>
      <c r="N61" s="12" t="s">
        <v>24</v>
      </c>
      <c r="O61" s="12" t="s">
        <v>53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11" t="s">
        <v>17</v>
      </c>
      <c r="B62" s="12" t="s">
        <v>166</v>
      </c>
      <c r="C62" s="18">
        <v>45982.0</v>
      </c>
      <c r="D62" s="12" t="str">
        <f t="shared" si="2"/>
        <v>November</v>
      </c>
      <c r="E62" s="12" t="str">
        <f t="shared" si="3"/>
        <v>2025</v>
      </c>
      <c r="F62" s="12" t="s">
        <v>19</v>
      </c>
      <c r="G62" s="14">
        <v>49.0</v>
      </c>
      <c r="H62" s="14">
        <v>166404.0</v>
      </c>
      <c r="I62" s="14">
        <v>252911.0</v>
      </c>
      <c r="J62" s="15" t="s">
        <v>167</v>
      </c>
      <c r="K62" s="12" t="s">
        <v>21</v>
      </c>
      <c r="L62" s="12" t="s">
        <v>22</v>
      </c>
      <c r="M62" s="12" t="s">
        <v>38</v>
      </c>
      <c r="N62" s="12" t="s">
        <v>24</v>
      </c>
      <c r="O62" s="12" t="s">
        <v>53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11" t="s">
        <v>17</v>
      </c>
      <c r="B63" s="12" t="s">
        <v>168</v>
      </c>
      <c r="C63" s="18">
        <v>45820.0</v>
      </c>
      <c r="D63" s="12" t="str">
        <f t="shared" si="2"/>
        <v>June</v>
      </c>
      <c r="E63" s="12" t="str">
        <f t="shared" si="3"/>
        <v>2025</v>
      </c>
      <c r="F63" s="12" t="s">
        <v>169</v>
      </c>
      <c r="G63" s="14">
        <v>85.0</v>
      </c>
      <c r="H63" s="14">
        <v>318021.0</v>
      </c>
      <c r="I63" s="14">
        <v>475809.0</v>
      </c>
      <c r="J63" s="15" t="s">
        <v>170</v>
      </c>
      <c r="K63" s="12" t="s">
        <v>21</v>
      </c>
      <c r="L63" s="12" t="s">
        <v>22</v>
      </c>
      <c r="M63" s="12" t="s">
        <v>38</v>
      </c>
      <c r="N63" s="12" t="s">
        <v>24</v>
      </c>
      <c r="O63" s="12" t="s">
        <v>53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11" t="s">
        <v>17</v>
      </c>
      <c r="B64" s="12" t="s">
        <v>171</v>
      </c>
      <c r="C64" s="18">
        <v>45881.0</v>
      </c>
      <c r="D64" s="12" t="str">
        <f t="shared" si="2"/>
        <v>August</v>
      </c>
      <c r="E64" s="12" t="str">
        <f t="shared" si="3"/>
        <v>2025</v>
      </c>
      <c r="F64" s="12" t="s">
        <v>169</v>
      </c>
      <c r="G64" s="14">
        <v>18.0</v>
      </c>
      <c r="H64" s="14">
        <v>56326.0</v>
      </c>
      <c r="I64" s="14">
        <v>83951.0</v>
      </c>
      <c r="J64" s="15" t="s">
        <v>172</v>
      </c>
      <c r="K64" s="12" t="s">
        <v>21</v>
      </c>
      <c r="L64" s="12" t="s">
        <v>22</v>
      </c>
      <c r="M64" s="12" t="s">
        <v>38</v>
      </c>
      <c r="N64" s="12" t="s">
        <v>24</v>
      </c>
      <c r="O64" s="12" t="s">
        <v>53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11" t="s">
        <v>17</v>
      </c>
      <c r="B65" s="12" t="s">
        <v>173</v>
      </c>
      <c r="C65" s="18">
        <v>45926.0</v>
      </c>
      <c r="D65" s="12" t="str">
        <f t="shared" si="2"/>
        <v>September</v>
      </c>
      <c r="E65" s="12" t="str">
        <f t="shared" si="3"/>
        <v>2025</v>
      </c>
      <c r="F65" s="12" t="s">
        <v>40</v>
      </c>
      <c r="G65" s="14">
        <v>44.0</v>
      </c>
      <c r="H65" s="14">
        <v>71895.0</v>
      </c>
      <c r="I65" s="14">
        <v>99856.0</v>
      </c>
      <c r="J65" s="15" t="s">
        <v>174</v>
      </c>
      <c r="K65" s="12" t="s">
        <v>21</v>
      </c>
      <c r="L65" s="12" t="s">
        <v>22</v>
      </c>
      <c r="M65" s="12" t="s">
        <v>38</v>
      </c>
      <c r="N65" s="12" t="s">
        <v>24</v>
      </c>
      <c r="O65" s="12" t="s">
        <v>53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11" t="s">
        <v>17</v>
      </c>
      <c r="B66" s="12" t="s">
        <v>175</v>
      </c>
      <c r="C66" s="18">
        <v>45948.0</v>
      </c>
      <c r="D66" s="12" t="str">
        <f t="shared" si="2"/>
        <v>October</v>
      </c>
      <c r="E66" s="12" t="str">
        <f t="shared" si="3"/>
        <v>2025</v>
      </c>
      <c r="F66" s="12" t="s">
        <v>40</v>
      </c>
      <c r="G66" s="14">
        <v>159.0</v>
      </c>
      <c r="H66" s="14">
        <v>256072.0</v>
      </c>
      <c r="I66" s="14">
        <v>360741.0</v>
      </c>
      <c r="J66" s="15" t="s">
        <v>176</v>
      </c>
      <c r="K66" s="12" t="s">
        <v>21</v>
      </c>
      <c r="L66" s="12" t="s">
        <v>22</v>
      </c>
      <c r="M66" s="12" t="s">
        <v>38</v>
      </c>
      <c r="N66" s="12" t="s">
        <v>24</v>
      </c>
      <c r="O66" s="12" t="s">
        <v>53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11" t="s">
        <v>17</v>
      </c>
      <c r="B67" s="12" t="s">
        <v>177</v>
      </c>
      <c r="C67" s="18">
        <v>45788.0</v>
      </c>
      <c r="D67" s="12" t="str">
        <f t="shared" si="2"/>
        <v>May</v>
      </c>
      <c r="E67" s="12" t="str">
        <f t="shared" si="3"/>
        <v>2025</v>
      </c>
      <c r="F67" s="12" t="s">
        <v>40</v>
      </c>
      <c r="G67" s="14">
        <v>21.0</v>
      </c>
      <c r="H67" s="14">
        <v>36519.0</v>
      </c>
      <c r="I67" s="14">
        <v>54781.0</v>
      </c>
      <c r="J67" s="15" t="s">
        <v>178</v>
      </c>
      <c r="K67" s="12" t="s">
        <v>21</v>
      </c>
      <c r="L67" s="12" t="s">
        <v>22</v>
      </c>
      <c r="M67" s="12" t="s">
        <v>38</v>
      </c>
      <c r="N67" s="12" t="s">
        <v>24</v>
      </c>
      <c r="O67" s="12" t="s">
        <v>53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11" t="s">
        <v>17</v>
      </c>
      <c r="B68" s="12" t="s">
        <v>179</v>
      </c>
      <c r="C68" s="18">
        <v>45819.0</v>
      </c>
      <c r="D68" s="12" t="str">
        <f t="shared" si="2"/>
        <v>June</v>
      </c>
      <c r="E68" s="12" t="str">
        <f t="shared" si="3"/>
        <v>2025</v>
      </c>
      <c r="F68" s="12" t="s">
        <v>90</v>
      </c>
      <c r="G68" s="14">
        <v>260.0</v>
      </c>
      <c r="H68" s="14">
        <v>306186.0</v>
      </c>
      <c r="I68" s="14">
        <v>1003685.47</v>
      </c>
      <c r="J68" s="15" t="s">
        <v>180</v>
      </c>
      <c r="K68" s="12" t="s">
        <v>21</v>
      </c>
      <c r="L68" s="12" t="s">
        <v>22</v>
      </c>
      <c r="M68" s="12" t="s">
        <v>120</v>
      </c>
      <c r="N68" s="12" t="s">
        <v>24</v>
      </c>
      <c r="O68" s="12" t="s">
        <v>53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11" t="s">
        <v>17</v>
      </c>
      <c r="B69" s="12" t="s">
        <v>181</v>
      </c>
      <c r="C69" s="18">
        <v>45980.0</v>
      </c>
      <c r="D69" s="12" t="str">
        <f t="shared" si="2"/>
        <v>November</v>
      </c>
      <c r="E69" s="12" t="str">
        <f t="shared" si="3"/>
        <v>2025</v>
      </c>
      <c r="F69" s="12" t="s">
        <v>90</v>
      </c>
      <c r="G69" s="14">
        <v>21.0</v>
      </c>
      <c r="H69" s="14">
        <v>48327.0</v>
      </c>
      <c r="I69" s="14">
        <v>81102.0</v>
      </c>
      <c r="J69" s="15" t="s">
        <v>182</v>
      </c>
      <c r="K69" s="12" t="s">
        <v>21</v>
      </c>
      <c r="L69" s="12" t="s">
        <v>22</v>
      </c>
      <c r="M69" s="12" t="s">
        <v>120</v>
      </c>
      <c r="N69" s="12" t="s">
        <v>24</v>
      </c>
      <c r="O69" s="12" t="s">
        <v>53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11"/>
      <c r="B70" s="19"/>
      <c r="C70" s="18"/>
      <c r="D70" s="12" t="str">
        <f t="shared" si="2"/>
        <v> </v>
      </c>
      <c r="E70" s="12" t="str">
        <f t="shared" si="3"/>
        <v> </v>
      </c>
      <c r="F70" s="12"/>
      <c r="G70" s="20"/>
      <c r="H70" s="14"/>
      <c r="I70" s="20"/>
      <c r="J70" s="19"/>
      <c r="K70" s="19"/>
      <c r="L70" s="12"/>
      <c r="M70" s="12"/>
      <c r="N70" s="12"/>
      <c r="O70" s="1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11"/>
      <c r="B71" s="19"/>
      <c r="C71" s="18"/>
      <c r="D71" s="12" t="str">
        <f t="shared" si="2"/>
        <v> </v>
      </c>
      <c r="E71" s="12" t="str">
        <f t="shared" si="3"/>
        <v> </v>
      </c>
      <c r="F71" s="12"/>
      <c r="G71" s="20"/>
      <c r="H71" s="20"/>
      <c r="I71" s="20"/>
      <c r="J71" s="19"/>
      <c r="K71" s="19"/>
      <c r="L71" s="12"/>
      <c r="M71" s="12"/>
      <c r="N71" s="12"/>
      <c r="O71" s="1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11"/>
      <c r="B72" s="19"/>
      <c r="C72" s="18"/>
      <c r="D72" s="12" t="str">
        <f t="shared" si="2"/>
        <v> </v>
      </c>
      <c r="E72" s="12" t="str">
        <f t="shared" si="3"/>
        <v> </v>
      </c>
      <c r="F72" s="12"/>
      <c r="G72" s="20"/>
      <c r="H72" s="20"/>
      <c r="I72" s="20"/>
      <c r="J72" s="19"/>
      <c r="K72" s="19"/>
      <c r="L72" s="12"/>
      <c r="M72" s="12"/>
      <c r="N72" s="12"/>
      <c r="O72" s="1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11"/>
      <c r="B73" s="19"/>
      <c r="C73" s="18"/>
      <c r="D73" s="12" t="str">
        <f t="shared" si="2"/>
        <v> </v>
      </c>
      <c r="E73" s="12" t="str">
        <f t="shared" si="3"/>
        <v> </v>
      </c>
      <c r="F73" s="12"/>
      <c r="G73" s="20"/>
      <c r="H73" s="20"/>
      <c r="I73" s="20"/>
      <c r="J73" s="19"/>
      <c r="K73" s="19"/>
      <c r="L73" s="12"/>
      <c r="M73" s="12"/>
      <c r="N73" s="12"/>
      <c r="O73" s="1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11"/>
      <c r="B74" s="19"/>
      <c r="C74" s="18"/>
      <c r="D74" s="12" t="str">
        <f t="shared" si="2"/>
        <v> </v>
      </c>
      <c r="E74" s="12" t="str">
        <f t="shared" si="3"/>
        <v> </v>
      </c>
      <c r="F74" s="12"/>
      <c r="G74" s="20"/>
      <c r="H74" s="20"/>
      <c r="I74" s="20"/>
      <c r="J74" s="19"/>
      <c r="K74" s="19"/>
      <c r="L74" s="12"/>
      <c r="M74" s="12"/>
      <c r="N74" s="12"/>
      <c r="O74" s="1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11"/>
      <c r="B75" s="19"/>
      <c r="C75" s="18"/>
      <c r="D75" s="12" t="str">
        <f t="shared" si="2"/>
        <v> </v>
      </c>
      <c r="E75" s="12" t="str">
        <f t="shared" si="3"/>
        <v> </v>
      </c>
      <c r="F75" s="12"/>
      <c r="G75" s="20"/>
      <c r="H75" s="20"/>
      <c r="I75" s="20"/>
      <c r="J75" s="19"/>
      <c r="K75" s="19"/>
      <c r="L75" s="12"/>
      <c r="M75" s="12"/>
      <c r="N75" s="12"/>
      <c r="O75" s="1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11"/>
      <c r="B76" s="19"/>
      <c r="C76" s="18"/>
      <c r="D76" s="12" t="str">
        <f t="shared" si="2"/>
        <v> </v>
      </c>
      <c r="E76" s="12" t="str">
        <f t="shared" si="3"/>
        <v> </v>
      </c>
      <c r="F76" s="12"/>
      <c r="G76" s="20"/>
      <c r="H76" s="20"/>
      <c r="I76" s="20"/>
      <c r="J76" s="19"/>
      <c r="K76" s="19"/>
      <c r="L76" s="12"/>
      <c r="M76" s="12"/>
      <c r="N76" s="12"/>
      <c r="O76" s="1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1"/>
      <c r="B77" s="19"/>
      <c r="C77" s="18"/>
      <c r="D77" s="12" t="str">
        <f t="shared" si="2"/>
        <v> </v>
      </c>
      <c r="E77" s="12" t="str">
        <f t="shared" si="3"/>
        <v> </v>
      </c>
      <c r="F77" s="12"/>
      <c r="G77" s="20"/>
      <c r="H77" s="20"/>
      <c r="I77" s="20"/>
      <c r="J77" s="19"/>
      <c r="K77" s="19"/>
      <c r="L77" s="12"/>
      <c r="M77" s="12"/>
      <c r="N77" s="12"/>
      <c r="O77" s="1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1"/>
      <c r="B78" s="19"/>
      <c r="C78" s="18"/>
      <c r="D78" s="12" t="str">
        <f t="shared" si="2"/>
        <v> </v>
      </c>
      <c r="E78" s="12" t="str">
        <f t="shared" si="3"/>
        <v> </v>
      </c>
      <c r="F78" s="12"/>
      <c r="G78" s="20"/>
      <c r="H78" s="20"/>
      <c r="I78" s="20"/>
      <c r="J78" s="19"/>
      <c r="K78" s="19"/>
      <c r="L78" s="12"/>
      <c r="M78" s="12"/>
      <c r="N78" s="12"/>
      <c r="O78" s="1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1"/>
      <c r="B79" s="19"/>
      <c r="C79" s="18"/>
      <c r="D79" s="12" t="str">
        <f t="shared" si="2"/>
        <v> </v>
      </c>
      <c r="E79" s="12" t="str">
        <f t="shared" si="3"/>
        <v> </v>
      </c>
      <c r="F79" s="12"/>
      <c r="G79" s="20"/>
      <c r="H79" s="20"/>
      <c r="I79" s="20"/>
      <c r="J79" s="19"/>
      <c r="K79" s="19"/>
      <c r="L79" s="12"/>
      <c r="M79" s="12"/>
      <c r="N79" s="12"/>
      <c r="O79" s="1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1"/>
      <c r="B80" s="19"/>
      <c r="C80" s="18"/>
      <c r="D80" s="12" t="str">
        <f t="shared" si="2"/>
        <v> </v>
      </c>
      <c r="E80" s="12" t="str">
        <f t="shared" si="3"/>
        <v> </v>
      </c>
      <c r="F80" s="12"/>
      <c r="G80" s="20"/>
      <c r="H80" s="20"/>
      <c r="I80" s="20"/>
      <c r="J80" s="19"/>
      <c r="K80" s="19"/>
      <c r="L80" s="12"/>
      <c r="M80" s="12"/>
      <c r="N80" s="12"/>
      <c r="O80" s="1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1"/>
      <c r="B81" s="19"/>
      <c r="C81" s="18"/>
      <c r="D81" s="12" t="str">
        <f t="shared" si="2"/>
        <v> </v>
      </c>
      <c r="E81" s="12" t="str">
        <f t="shared" si="3"/>
        <v> </v>
      </c>
      <c r="F81" s="12"/>
      <c r="G81" s="20"/>
      <c r="H81" s="20"/>
      <c r="I81" s="20"/>
      <c r="J81" s="19"/>
      <c r="K81" s="19"/>
      <c r="L81" s="12"/>
      <c r="M81" s="12"/>
      <c r="N81" s="12"/>
      <c r="O81" s="1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1"/>
      <c r="B82" s="19"/>
      <c r="C82" s="18"/>
      <c r="D82" s="12" t="str">
        <f t="shared" si="2"/>
        <v> </v>
      </c>
      <c r="E82" s="12" t="str">
        <f t="shared" si="3"/>
        <v> </v>
      </c>
      <c r="F82" s="12"/>
      <c r="G82" s="20"/>
      <c r="H82" s="20"/>
      <c r="I82" s="20"/>
      <c r="J82" s="19"/>
      <c r="K82" s="19"/>
      <c r="L82" s="12"/>
      <c r="M82" s="12"/>
      <c r="N82" s="12"/>
      <c r="O82" s="1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1"/>
      <c r="B83" s="19"/>
      <c r="C83" s="18"/>
      <c r="D83" s="12" t="str">
        <f t="shared" si="2"/>
        <v> </v>
      </c>
      <c r="E83" s="12" t="str">
        <f t="shared" si="3"/>
        <v> </v>
      </c>
      <c r="F83" s="12"/>
      <c r="G83" s="20"/>
      <c r="H83" s="20"/>
      <c r="I83" s="20"/>
      <c r="J83" s="19"/>
      <c r="K83" s="19"/>
      <c r="L83" s="12"/>
      <c r="M83" s="12"/>
      <c r="N83" s="12"/>
      <c r="O83" s="1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1"/>
      <c r="B84" s="19"/>
      <c r="C84" s="18"/>
      <c r="D84" s="12" t="str">
        <f t="shared" si="2"/>
        <v> </v>
      </c>
      <c r="E84" s="12" t="str">
        <f t="shared" si="3"/>
        <v> </v>
      </c>
      <c r="F84" s="12"/>
      <c r="G84" s="20"/>
      <c r="H84" s="20"/>
      <c r="I84" s="20"/>
      <c r="J84" s="19"/>
      <c r="K84" s="19"/>
      <c r="L84" s="12"/>
      <c r="M84" s="12"/>
      <c r="N84" s="12"/>
      <c r="O84" s="1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1"/>
      <c r="B85" s="19"/>
      <c r="C85" s="18"/>
      <c r="D85" s="12" t="str">
        <f t="shared" si="2"/>
        <v> </v>
      </c>
      <c r="E85" s="12" t="str">
        <f t="shared" si="3"/>
        <v> </v>
      </c>
      <c r="F85" s="12"/>
      <c r="G85" s="20"/>
      <c r="H85" s="20"/>
      <c r="I85" s="20"/>
      <c r="J85" s="19"/>
      <c r="K85" s="19"/>
      <c r="L85" s="12"/>
      <c r="M85" s="12"/>
      <c r="N85" s="12"/>
      <c r="O85" s="1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1"/>
      <c r="B86" s="19"/>
      <c r="C86" s="18"/>
      <c r="D86" s="12" t="str">
        <f t="shared" si="2"/>
        <v> </v>
      </c>
      <c r="E86" s="12" t="str">
        <f t="shared" si="3"/>
        <v> </v>
      </c>
      <c r="F86" s="12"/>
      <c r="G86" s="20"/>
      <c r="H86" s="20"/>
      <c r="I86" s="20"/>
      <c r="J86" s="19"/>
      <c r="K86" s="19"/>
      <c r="L86" s="12"/>
      <c r="M86" s="12"/>
      <c r="N86" s="12"/>
      <c r="O86" s="1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1"/>
      <c r="B87" s="19"/>
      <c r="C87" s="18"/>
      <c r="D87" s="12" t="str">
        <f t="shared" si="2"/>
        <v> </v>
      </c>
      <c r="E87" s="12" t="str">
        <f t="shared" si="3"/>
        <v> </v>
      </c>
      <c r="F87" s="12"/>
      <c r="G87" s="20"/>
      <c r="H87" s="20"/>
      <c r="I87" s="20"/>
      <c r="J87" s="19"/>
      <c r="K87" s="19"/>
      <c r="L87" s="12"/>
      <c r="M87" s="12"/>
      <c r="N87" s="12"/>
      <c r="O87" s="1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1"/>
      <c r="B88" s="19"/>
      <c r="C88" s="18"/>
      <c r="D88" s="12" t="str">
        <f t="shared" si="2"/>
        <v> </v>
      </c>
      <c r="E88" s="12" t="str">
        <f t="shared" si="3"/>
        <v> </v>
      </c>
      <c r="F88" s="12"/>
      <c r="G88" s="20"/>
      <c r="H88" s="20"/>
      <c r="I88" s="20"/>
      <c r="J88" s="19"/>
      <c r="K88" s="19"/>
      <c r="L88" s="12"/>
      <c r="M88" s="12"/>
      <c r="N88" s="12"/>
      <c r="O88" s="1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1"/>
      <c r="B89" s="19"/>
      <c r="C89" s="18"/>
      <c r="D89" s="12" t="str">
        <f t="shared" si="2"/>
        <v> </v>
      </c>
      <c r="E89" s="12" t="str">
        <f t="shared" si="3"/>
        <v> </v>
      </c>
      <c r="F89" s="12"/>
      <c r="G89" s="20"/>
      <c r="H89" s="20"/>
      <c r="I89" s="20"/>
      <c r="J89" s="19"/>
      <c r="K89" s="19"/>
      <c r="L89" s="12"/>
      <c r="M89" s="12"/>
      <c r="N89" s="12"/>
      <c r="O89" s="1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1"/>
      <c r="B90" s="19"/>
      <c r="C90" s="18"/>
      <c r="D90" s="12" t="str">
        <f t="shared" si="2"/>
        <v> </v>
      </c>
      <c r="E90" s="12" t="str">
        <f t="shared" si="3"/>
        <v> </v>
      </c>
      <c r="F90" s="12"/>
      <c r="G90" s="20"/>
      <c r="H90" s="20"/>
      <c r="I90" s="20"/>
      <c r="J90" s="19"/>
      <c r="K90" s="19"/>
      <c r="L90" s="12"/>
      <c r="M90" s="12"/>
      <c r="N90" s="12"/>
      <c r="O90" s="1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1"/>
      <c r="B91" s="19"/>
      <c r="C91" s="18"/>
      <c r="D91" s="12" t="str">
        <f t="shared" si="2"/>
        <v> </v>
      </c>
      <c r="E91" s="12" t="str">
        <f t="shared" si="3"/>
        <v> </v>
      </c>
      <c r="F91" s="12"/>
      <c r="G91" s="20"/>
      <c r="H91" s="20"/>
      <c r="I91" s="20"/>
      <c r="J91" s="19"/>
      <c r="K91" s="19"/>
      <c r="L91" s="12"/>
      <c r="M91" s="12"/>
      <c r="N91" s="12"/>
      <c r="O91" s="1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1"/>
      <c r="B92" s="19"/>
      <c r="C92" s="18"/>
      <c r="D92" s="12" t="str">
        <f t="shared" si="2"/>
        <v> </v>
      </c>
      <c r="E92" s="12" t="str">
        <f t="shared" si="3"/>
        <v> </v>
      </c>
      <c r="F92" s="12"/>
      <c r="G92" s="20"/>
      <c r="H92" s="20"/>
      <c r="I92" s="20"/>
      <c r="J92" s="19"/>
      <c r="K92" s="19"/>
      <c r="L92" s="12"/>
      <c r="M92" s="12"/>
      <c r="N92" s="12"/>
      <c r="O92" s="1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1"/>
      <c r="B93" s="19"/>
      <c r="C93" s="18"/>
      <c r="D93" s="12" t="str">
        <f t="shared" si="2"/>
        <v> </v>
      </c>
      <c r="E93" s="12" t="str">
        <f t="shared" si="3"/>
        <v> </v>
      </c>
      <c r="F93" s="12"/>
      <c r="G93" s="20"/>
      <c r="H93" s="20"/>
      <c r="I93" s="20"/>
      <c r="J93" s="19"/>
      <c r="K93" s="19"/>
      <c r="L93" s="12"/>
      <c r="M93" s="12"/>
      <c r="N93" s="12"/>
      <c r="O93" s="1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1"/>
      <c r="B94" s="19"/>
      <c r="C94" s="18"/>
      <c r="D94" s="12" t="str">
        <f t="shared" si="2"/>
        <v> </v>
      </c>
      <c r="E94" s="12" t="str">
        <f t="shared" si="3"/>
        <v> </v>
      </c>
      <c r="F94" s="12"/>
      <c r="G94" s="20"/>
      <c r="H94" s="20"/>
      <c r="I94" s="20"/>
      <c r="J94" s="19"/>
      <c r="K94" s="19"/>
      <c r="L94" s="12"/>
      <c r="M94" s="12"/>
      <c r="N94" s="12"/>
      <c r="O94" s="1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11"/>
      <c r="B95" s="19"/>
      <c r="C95" s="18"/>
      <c r="D95" s="12" t="str">
        <f t="shared" si="2"/>
        <v> </v>
      </c>
      <c r="E95" s="12" t="str">
        <f t="shared" si="3"/>
        <v> </v>
      </c>
      <c r="F95" s="12"/>
      <c r="G95" s="20"/>
      <c r="H95" s="20"/>
      <c r="I95" s="20"/>
      <c r="J95" s="19"/>
      <c r="K95" s="19"/>
      <c r="L95" s="12"/>
      <c r="M95" s="12"/>
      <c r="N95" s="12"/>
      <c r="O95" s="1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11"/>
      <c r="B96" s="19"/>
      <c r="C96" s="18"/>
      <c r="D96" s="12" t="str">
        <f t="shared" si="2"/>
        <v> </v>
      </c>
      <c r="E96" s="12" t="str">
        <f t="shared" si="3"/>
        <v> </v>
      </c>
      <c r="F96" s="12"/>
      <c r="G96" s="20"/>
      <c r="H96" s="20"/>
      <c r="I96" s="20"/>
      <c r="J96" s="19"/>
      <c r="K96" s="19"/>
      <c r="L96" s="12"/>
      <c r="M96" s="12"/>
      <c r="N96" s="12"/>
      <c r="O96" s="1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11"/>
      <c r="B97" s="19"/>
      <c r="C97" s="18"/>
      <c r="D97" s="12" t="str">
        <f t="shared" si="2"/>
        <v> </v>
      </c>
      <c r="E97" s="12" t="str">
        <f t="shared" si="3"/>
        <v> </v>
      </c>
      <c r="F97" s="12"/>
      <c r="G97" s="20"/>
      <c r="H97" s="20"/>
      <c r="I97" s="20"/>
      <c r="J97" s="19"/>
      <c r="K97" s="19"/>
      <c r="L97" s="12"/>
      <c r="M97" s="12"/>
      <c r="N97" s="12"/>
      <c r="O97" s="1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11"/>
      <c r="B98" s="19"/>
      <c r="C98" s="18"/>
      <c r="D98" s="12" t="str">
        <f t="shared" si="2"/>
        <v> </v>
      </c>
      <c r="E98" s="12" t="str">
        <f t="shared" si="3"/>
        <v> </v>
      </c>
      <c r="F98" s="12"/>
      <c r="G98" s="20"/>
      <c r="H98" s="20"/>
      <c r="I98" s="20"/>
      <c r="J98" s="19"/>
      <c r="K98" s="19"/>
      <c r="L98" s="12"/>
      <c r="M98" s="12"/>
      <c r="N98" s="12"/>
      <c r="O98" s="1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11"/>
      <c r="B99" s="19"/>
      <c r="C99" s="18"/>
      <c r="D99" s="12" t="str">
        <f t="shared" si="2"/>
        <v> </v>
      </c>
      <c r="E99" s="12" t="str">
        <f t="shared" si="3"/>
        <v> </v>
      </c>
      <c r="F99" s="12"/>
      <c r="G99" s="20"/>
      <c r="H99" s="20"/>
      <c r="I99" s="20"/>
      <c r="J99" s="19"/>
      <c r="K99" s="19"/>
      <c r="L99" s="12"/>
      <c r="M99" s="12"/>
      <c r="N99" s="12"/>
      <c r="O99" s="1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11"/>
      <c r="B100" s="19"/>
      <c r="C100" s="18"/>
      <c r="D100" s="12" t="str">
        <f t="shared" si="2"/>
        <v> </v>
      </c>
      <c r="E100" s="12" t="str">
        <f t="shared" si="3"/>
        <v> </v>
      </c>
      <c r="F100" s="12"/>
      <c r="G100" s="20"/>
      <c r="H100" s="20"/>
      <c r="I100" s="20"/>
      <c r="J100" s="19"/>
      <c r="K100" s="19"/>
      <c r="L100" s="12"/>
      <c r="M100" s="12"/>
      <c r="N100" s="12"/>
      <c r="O100" s="1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11"/>
      <c r="B101" s="19"/>
      <c r="C101" s="18"/>
      <c r="D101" s="12" t="str">
        <f t="shared" si="2"/>
        <v> </v>
      </c>
      <c r="E101" s="12" t="str">
        <f t="shared" si="3"/>
        <v> </v>
      </c>
      <c r="F101" s="12"/>
      <c r="G101" s="20"/>
      <c r="H101" s="20"/>
      <c r="I101" s="20"/>
      <c r="J101" s="19"/>
      <c r="K101" s="19"/>
      <c r="L101" s="12"/>
      <c r="M101" s="12"/>
      <c r="N101" s="12"/>
      <c r="O101" s="1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11"/>
      <c r="B102" s="19"/>
      <c r="C102" s="18"/>
      <c r="D102" s="12" t="str">
        <f t="shared" si="2"/>
        <v> </v>
      </c>
      <c r="E102" s="12" t="str">
        <f t="shared" si="3"/>
        <v> </v>
      </c>
      <c r="F102" s="12"/>
      <c r="G102" s="20"/>
      <c r="H102" s="20"/>
      <c r="I102" s="20"/>
      <c r="J102" s="19"/>
      <c r="K102" s="19"/>
      <c r="L102" s="12"/>
      <c r="M102" s="12"/>
      <c r="N102" s="12"/>
      <c r="O102" s="1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11"/>
      <c r="B103" s="19"/>
      <c r="C103" s="18"/>
      <c r="D103" s="12" t="str">
        <f t="shared" si="2"/>
        <v> </v>
      </c>
      <c r="E103" s="12" t="str">
        <f t="shared" si="3"/>
        <v> </v>
      </c>
      <c r="F103" s="12"/>
      <c r="G103" s="20"/>
      <c r="H103" s="20"/>
      <c r="I103" s="20"/>
      <c r="J103" s="19"/>
      <c r="K103" s="19"/>
      <c r="L103" s="12"/>
      <c r="M103" s="12"/>
      <c r="N103" s="12"/>
      <c r="O103" s="1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11"/>
      <c r="B104" s="19"/>
      <c r="C104" s="18"/>
      <c r="D104" s="12" t="str">
        <f t="shared" si="2"/>
        <v> </v>
      </c>
      <c r="E104" s="12" t="str">
        <f t="shared" si="3"/>
        <v> </v>
      </c>
      <c r="F104" s="12"/>
      <c r="G104" s="20"/>
      <c r="H104" s="20"/>
      <c r="I104" s="20"/>
      <c r="J104" s="19"/>
      <c r="K104" s="19"/>
      <c r="L104" s="12"/>
      <c r="M104" s="12"/>
      <c r="N104" s="12"/>
      <c r="O104" s="1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11"/>
      <c r="B105" s="19"/>
      <c r="C105" s="18"/>
      <c r="D105" s="12" t="str">
        <f t="shared" si="2"/>
        <v> </v>
      </c>
      <c r="E105" s="12" t="str">
        <f t="shared" si="3"/>
        <v> </v>
      </c>
      <c r="F105" s="12"/>
      <c r="G105" s="20"/>
      <c r="H105" s="20"/>
      <c r="I105" s="20"/>
      <c r="J105" s="19"/>
      <c r="K105" s="19"/>
      <c r="L105" s="12"/>
      <c r="M105" s="12"/>
      <c r="N105" s="12"/>
      <c r="O105" s="1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11"/>
      <c r="B106" s="19"/>
      <c r="C106" s="18"/>
      <c r="D106" s="12" t="str">
        <f t="shared" si="2"/>
        <v> </v>
      </c>
      <c r="E106" s="12" t="str">
        <f t="shared" si="3"/>
        <v> </v>
      </c>
      <c r="F106" s="12"/>
      <c r="G106" s="20"/>
      <c r="H106" s="20"/>
      <c r="I106" s="20"/>
      <c r="J106" s="19"/>
      <c r="K106" s="19"/>
      <c r="L106" s="12"/>
      <c r="M106" s="12"/>
      <c r="N106" s="12"/>
      <c r="O106" s="1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11"/>
      <c r="B107" s="19"/>
      <c r="C107" s="18"/>
      <c r="D107" s="12" t="str">
        <f t="shared" si="2"/>
        <v> </v>
      </c>
      <c r="E107" s="12" t="str">
        <f t="shared" si="3"/>
        <v> </v>
      </c>
      <c r="F107" s="12"/>
      <c r="G107" s="20"/>
      <c r="H107" s="20"/>
      <c r="I107" s="20"/>
      <c r="J107" s="19"/>
      <c r="K107" s="19"/>
      <c r="L107" s="12"/>
      <c r="M107" s="12"/>
      <c r="N107" s="12"/>
      <c r="O107" s="1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11"/>
      <c r="B108" s="19"/>
      <c r="C108" s="18"/>
      <c r="D108" s="12" t="str">
        <f t="shared" si="2"/>
        <v> </v>
      </c>
      <c r="E108" s="12" t="str">
        <f t="shared" si="3"/>
        <v> </v>
      </c>
      <c r="F108" s="12"/>
      <c r="G108" s="20"/>
      <c r="H108" s="20"/>
      <c r="I108" s="20"/>
      <c r="J108" s="19"/>
      <c r="K108" s="19"/>
      <c r="L108" s="12"/>
      <c r="M108" s="12"/>
      <c r="N108" s="12"/>
      <c r="O108" s="1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11"/>
      <c r="B109" s="19"/>
      <c r="C109" s="18"/>
      <c r="D109" s="12" t="str">
        <f t="shared" si="2"/>
        <v> </v>
      </c>
      <c r="E109" s="12" t="str">
        <f t="shared" si="3"/>
        <v> </v>
      </c>
      <c r="F109" s="12"/>
      <c r="G109" s="20"/>
      <c r="H109" s="20"/>
      <c r="I109" s="20"/>
      <c r="J109" s="19"/>
      <c r="K109" s="19"/>
      <c r="L109" s="12"/>
      <c r="M109" s="12"/>
      <c r="N109" s="12"/>
      <c r="O109" s="1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11"/>
      <c r="B110" s="19"/>
      <c r="C110" s="18"/>
      <c r="D110" s="12" t="str">
        <f t="shared" si="2"/>
        <v> </v>
      </c>
      <c r="E110" s="12" t="str">
        <f t="shared" si="3"/>
        <v> </v>
      </c>
      <c r="F110" s="12"/>
      <c r="G110" s="20"/>
      <c r="H110" s="20"/>
      <c r="I110" s="20"/>
      <c r="J110" s="19"/>
      <c r="K110" s="19"/>
      <c r="L110" s="12"/>
      <c r="M110" s="12"/>
      <c r="N110" s="12"/>
      <c r="O110" s="1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11"/>
      <c r="B111" s="19"/>
      <c r="C111" s="18"/>
      <c r="D111" s="12" t="str">
        <f t="shared" si="2"/>
        <v> </v>
      </c>
      <c r="E111" s="12" t="str">
        <f t="shared" si="3"/>
        <v> </v>
      </c>
      <c r="F111" s="12"/>
      <c r="G111" s="20"/>
      <c r="H111" s="20"/>
      <c r="I111" s="20"/>
      <c r="J111" s="19"/>
      <c r="K111" s="19"/>
      <c r="L111" s="12"/>
      <c r="M111" s="12"/>
      <c r="N111" s="12"/>
      <c r="O111" s="1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11"/>
      <c r="B112" s="19"/>
      <c r="C112" s="18"/>
      <c r="D112" s="12" t="str">
        <f t="shared" si="2"/>
        <v> </v>
      </c>
      <c r="E112" s="12" t="str">
        <f t="shared" si="3"/>
        <v> </v>
      </c>
      <c r="F112" s="12"/>
      <c r="G112" s="20"/>
      <c r="H112" s="20"/>
      <c r="I112" s="20"/>
      <c r="J112" s="19"/>
      <c r="K112" s="19"/>
      <c r="L112" s="12"/>
      <c r="M112" s="12"/>
      <c r="N112" s="12"/>
      <c r="O112" s="1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11"/>
      <c r="B113" s="19"/>
      <c r="C113" s="18"/>
      <c r="D113" s="12" t="str">
        <f t="shared" si="2"/>
        <v> </v>
      </c>
      <c r="E113" s="12" t="str">
        <f t="shared" si="3"/>
        <v> </v>
      </c>
      <c r="F113" s="12"/>
      <c r="G113" s="20"/>
      <c r="H113" s="20"/>
      <c r="I113" s="20"/>
      <c r="J113" s="19"/>
      <c r="K113" s="19"/>
      <c r="L113" s="12"/>
      <c r="M113" s="12"/>
      <c r="N113" s="12"/>
      <c r="O113" s="1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11"/>
      <c r="B114" s="19"/>
      <c r="C114" s="18"/>
      <c r="D114" s="12" t="str">
        <f t="shared" si="2"/>
        <v> </v>
      </c>
      <c r="E114" s="12" t="str">
        <f t="shared" si="3"/>
        <v> </v>
      </c>
      <c r="F114" s="12"/>
      <c r="G114" s="20"/>
      <c r="H114" s="20"/>
      <c r="I114" s="20"/>
      <c r="J114" s="19"/>
      <c r="K114" s="19"/>
      <c r="L114" s="12"/>
      <c r="M114" s="12"/>
      <c r="N114" s="12"/>
      <c r="O114" s="1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11"/>
      <c r="B115" s="19"/>
      <c r="C115" s="18"/>
      <c r="D115" s="12" t="str">
        <f t="shared" si="2"/>
        <v> </v>
      </c>
      <c r="E115" s="12" t="str">
        <f t="shared" si="3"/>
        <v> </v>
      </c>
      <c r="F115" s="12"/>
      <c r="G115" s="20"/>
      <c r="H115" s="20"/>
      <c r="I115" s="20"/>
      <c r="J115" s="19"/>
      <c r="K115" s="19"/>
      <c r="L115" s="12"/>
      <c r="M115" s="12"/>
      <c r="N115" s="12"/>
      <c r="O115" s="1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11"/>
      <c r="B116" s="19"/>
      <c r="C116" s="18"/>
      <c r="D116" s="12" t="str">
        <f t="shared" si="2"/>
        <v> </v>
      </c>
      <c r="E116" s="12" t="str">
        <f t="shared" si="3"/>
        <v> </v>
      </c>
      <c r="F116" s="12"/>
      <c r="G116" s="20"/>
      <c r="H116" s="20"/>
      <c r="I116" s="20"/>
      <c r="J116" s="19"/>
      <c r="K116" s="19"/>
      <c r="L116" s="12"/>
      <c r="M116" s="12"/>
      <c r="N116" s="12"/>
      <c r="O116" s="1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11"/>
      <c r="B117" s="19"/>
      <c r="C117" s="18"/>
      <c r="D117" s="12" t="str">
        <f t="shared" si="2"/>
        <v> </v>
      </c>
      <c r="E117" s="12" t="str">
        <f t="shared" si="3"/>
        <v> </v>
      </c>
      <c r="F117" s="12"/>
      <c r="G117" s="20"/>
      <c r="H117" s="20"/>
      <c r="I117" s="20"/>
      <c r="J117" s="19"/>
      <c r="K117" s="19"/>
      <c r="L117" s="12"/>
      <c r="M117" s="12"/>
      <c r="N117" s="12"/>
      <c r="O117" s="1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11"/>
      <c r="B118" s="19"/>
      <c r="C118" s="18"/>
      <c r="D118" s="12" t="str">
        <f t="shared" si="2"/>
        <v> </v>
      </c>
      <c r="E118" s="12" t="str">
        <f t="shared" si="3"/>
        <v> </v>
      </c>
      <c r="F118" s="12"/>
      <c r="G118" s="20"/>
      <c r="H118" s="20"/>
      <c r="I118" s="20"/>
      <c r="J118" s="19"/>
      <c r="K118" s="19"/>
      <c r="L118" s="12"/>
      <c r="M118" s="12"/>
      <c r="N118" s="12"/>
      <c r="O118" s="1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11"/>
      <c r="B119" s="19"/>
      <c r="C119" s="18"/>
      <c r="D119" s="12" t="str">
        <f t="shared" si="2"/>
        <v> </v>
      </c>
      <c r="E119" s="12" t="str">
        <f t="shared" si="3"/>
        <v> </v>
      </c>
      <c r="F119" s="12"/>
      <c r="G119" s="20"/>
      <c r="H119" s="20"/>
      <c r="I119" s="20"/>
      <c r="J119" s="19"/>
      <c r="K119" s="19"/>
      <c r="L119" s="12"/>
      <c r="M119" s="12"/>
      <c r="N119" s="12"/>
      <c r="O119" s="1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11"/>
      <c r="B120" s="19"/>
      <c r="C120" s="18"/>
      <c r="D120" s="12" t="str">
        <f t="shared" si="2"/>
        <v> </v>
      </c>
      <c r="E120" s="12" t="str">
        <f t="shared" si="3"/>
        <v> </v>
      </c>
      <c r="F120" s="12"/>
      <c r="G120" s="20"/>
      <c r="H120" s="20"/>
      <c r="I120" s="20"/>
      <c r="J120" s="19"/>
      <c r="K120" s="19"/>
      <c r="L120" s="12"/>
      <c r="M120" s="12"/>
      <c r="N120" s="12"/>
      <c r="O120" s="1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11"/>
      <c r="B121" s="19"/>
      <c r="C121" s="18"/>
      <c r="D121" s="12" t="str">
        <f t="shared" si="2"/>
        <v> </v>
      </c>
      <c r="E121" s="12" t="str">
        <f t="shared" si="3"/>
        <v> </v>
      </c>
      <c r="F121" s="12"/>
      <c r="G121" s="20"/>
      <c r="H121" s="20"/>
      <c r="I121" s="20"/>
      <c r="J121" s="19"/>
      <c r="K121" s="19"/>
      <c r="L121" s="12"/>
      <c r="M121" s="12"/>
      <c r="N121" s="12"/>
      <c r="O121" s="1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11"/>
      <c r="B122" s="19"/>
      <c r="C122" s="18"/>
      <c r="D122" s="12" t="str">
        <f t="shared" si="2"/>
        <v> </v>
      </c>
      <c r="E122" s="12" t="str">
        <f t="shared" si="3"/>
        <v> </v>
      </c>
      <c r="F122" s="12"/>
      <c r="G122" s="20"/>
      <c r="H122" s="20"/>
      <c r="I122" s="20"/>
      <c r="J122" s="19"/>
      <c r="K122" s="19"/>
      <c r="L122" s="12"/>
      <c r="M122" s="12"/>
      <c r="N122" s="12"/>
      <c r="O122" s="1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11"/>
      <c r="B123" s="19"/>
      <c r="C123" s="18"/>
      <c r="D123" s="12" t="str">
        <f t="shared" si="2"/>
        <v> </v>
      </c>
      <c r="E123" s="12" t="str">
        <f t="shared" si="3"/>
        <v> </v>
      </c>
      <c r="F123" s="12"/>
      <c r="G123" s="20"/>
      <c r="H123" s="20"/>
      <c r="I123" s="20"/>
      <c r="J123" s="19"/>
      <c r="K123" s="19"/>
      <c r="L123" s="12"/>
      <c r="M123" s="12"/>
      <c r="N123" s="12"/>
      <c r="O123" s="1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11"/>
      <c r="B124" s="19"/>
      <c r="C124" s="18"/>
      <c r="D124" s="12" t="str">
        <f t="shared" si="2"/>
        <v> </v>
      </c>
      <c r="E124" s="12" t="str">
        <f t="shared" si="3"/>
        <v> </v>
      </c>
      <c r="F124" s="12"/>
      <c r="G124" s="20"/>
      <c r="H124" s="20"/>
      <c r="I124" s="20"/>
      <c r="J124" s="19"/>
      <c r="K124" s="19"/>
      <c r="L124" s="12"/>
      <c r="M124" s="12"/>
      <c r="N124" s="12"/>
      <c r="O124" s="1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11"/>
      <c r="B125" s="19"/>
      <c r="C125" s="18"/>
      <c r="D125" s="12" t="str">
        <f t="shared" si="2"/>
        <v> </v>
      </c>
      <c r="E125" s="12" t="str">
        <f t="shared" si="3"/>
        <v> </v>
      </c>
      <c r="F125" s="12"/>
      <c r="G125" s="20"/>
      <c r="H125" s="20"/>
      <c r="I125" s="20"/>
      <c r="J125" s="19"/>
      <c r="K125" s="19"/>
      <c r="L125" s="12"/>
      <c r="M125" s="12"/>
      <c r="N125" s="12"/>
      <c r="O125" s="1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11"/>
      <c r="B126" s="19"/>
      <c r="C126" s="18"/>
      <c r="D126" s="12" t="str">
        <f t="shared" si="2"/>
        <v> </v>
      </c>
      <c r="E126" s="12" t="str">
        <f t="shared" si="3"/>
        <v> </v>
      </c>
      <c r="F126" s="12"/>
      <c r="G126" s="20"/>
      <c r="H126" s="20"/>
      <c r="I126" s="20"/>
      <c r="J126" s="19"/>
      <c r="K126" s="19"/>
      <c r="L126" s="12"/>
      <c r="M126" s="12"/>
      <c r="N126" s="12"/>
      <c r="O126" s="1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11"/>
      <c r="B127" s="19"/>
      <c r="C127" s="18"/>
      <c r="D127" s="12" t="str">
        <f t="shared" si="2"/>
        <v> </v>
      </c>
      <c r="E127" s="12" t="str">
        <f t="shared" si="3"/>
        <v> </v>
      </c>
      <c r="F127" s="12"/>
      <c r="G127" s="20"/>
      <c r="H127" s="20"/>
      <c r="I127" s="20"/>
      <c r="J127" s="19"/>
      <c r="K127" s="19"/>
      <c r="L127" s="12"/>
      <c r="M127" s="12"/>
      <c r="N127" s="12"/>
      <c r="O127" s="1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11"/>
      <c r="B128" s="19"/>
      <c r="C128" s="18"/>
      <c r="D128" s="12" t="str">
        <f t="shared" si="2"/>
        <v> </v>
      </c>
      <c r="E128" s="12" t="str">
        <f t="shared" si="3"/>
        <v> </v>
      </c>
      <c r="F128" s="12"/>
      <c r="G128" s="20"/>
      <c r="H128" s="20"/>
      <c r="I128" s="20"/>
      <c r="J128" s="19"/>
      <c r="K128" s="19"/>
      <c r="L128" s="12"/>
      <c r="M128" s="12"/>
      <c r="N128" s="12"/>
      <c r="O128" s="1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11"/>
      <c r="B129" s="19"/>
      <c r="C129" s="18"/>
      <c r="D129" s="12" t="str">
        <f t="shared" si="2"/>
        <v> </v>
      </c>
      <c r="E129" s="12" t="str">
        <f t="shared" si="3"/>
        <v> </v>
      </c>
      <c r="F129" s="12"/>
      <c r="G129" s="20"/>
      <c r="H129" s="20"/>
      <c r="I129" s="20"/>
      <c r="J129" s="19"/>
      <c r="K129" s="19"/>
      <c r="L129" s="12"/>
      <c r="M129" s="12"/>
      <c r="N129" s="12"/>
      <c r="O129" s="1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11"/>
      <c r="B130" s="19"/>
      <c r="C130" s="18"/>
      <c r="D130" s="12" t="str">
        <f t="shared" si="2"/>
        <v> </v>
      </c>
      <c r="E130" s="12" t="str">
        <f t="shared" si="3"/>
        <v> </v>
      </c>
      <c r="F130" s="12"/>
      <c r="G130" s="20"/>
      <c r="H130" s="20"/>
      <c r="I130" s="20"/>
      <c r="J130" s="19"/>
      <c r="K130" s="19"/>
      <c r="L130" s="12"/>
      <c r="M130" s="12"/>
      <c r="N130" s="12"/>
      <c r="O130" s="1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11"/>
      <c r="B131" s="19"/>
      <c r="C131" s="18"/>
      <c r="D131" s="12" t="str">
        <f t="shared" si="2"/>
        <v> </v>
      </c>
      <c r="E131" s="12" t="str">
        <f t="shared" si="3"/>
        <v> </v>
      </c>
      <c r="F131" s="12"/>
      <c r="G131" s="20"/>
      <c r="H131" s="20"/>
      <c r="I131" s="20"/>
      <c r="J131" s="19"/>
      <c r="K131" s="19"/>
      <c r="L131" s="12"/>
      <c r="M131" s="12"/>
      <c r="N131" s="12"/>
      <c r="O131" s="1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11"/>
      <c r="B132" s="19"/>
      <c r="C132" s="18"/>
      <c r="D132" s="12" t="str">
        <f t="shared" si="2"/>
        <v> </v>
      </c>
      <c r="E132" s="12" t="str">
        <f t="shared" si="3"/>
        <v> </v>
      </c>
      <c r="F132" s="12"/>
      <c r="G132" s="20"/>
      <c r="H132" s="20"/>
      <c r="I132" s="20"/>
      <c r="J132" s="19"/>
      <c r="K132" s="19"/>
      <c r="L132" s="12"/>
      <c r="M132" s="12"/>
      <c r="N132" s="12"/>
      <c r="O132" s="1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11"/>
      <c r="B133" s="19"/>
      <c r="C133" s="18"/>
      <c r="D133" s="12" t="str">
        <f t="shared" si="2"/>
        <v> </v>
      </c>
      <c r="E133" s="12" t="str">
        <f t="shared" si="3"/>
        <v> </v>
      </c>
      <c r="F133" s="12"/>
      <c r="G133" s="20"/>
      <c r="H133" s="20"/>
      <c r="I133" s="20"/>
      <c r="J133" s="19"/>
      <c r="K133" s="19"/>
      <c r="L133" s="12"/>
      <c r="M133" s="12"/>
      <c r="N133" s="12"/>
      <c r="O133" s="1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11"/>
      <c r="B134" s="19"/>
      <c r="C134" s="19"/>
      <c r="D134" s="12" t="str">
        <f t="shared" si="2"/>
        <v> </v>
      </c>
      <c r="E134" s="12" t="str">
        <f t="shared" si="3"/>
        <v> </v>
      </c>
      <c r="F134" s="12"/>
      <c r="G134" s="20"/>
      <c r="H134" s="20"/>
      <c r="I134" s="20"/>
      <c r="J134" s="19"/>
      <c r="K134" s="19"/>
      <c r="L134" s="12"/>
      <c r="M134" s="12"/>
      <c r="N134" s="12"/>
      <c r="O134" s="1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11"/>
      <c r="B135" s="19"/>
      <c r="C135" s="19"/>
      <c r="D135" s="12" t="str">
        <f t="shared" si="2"/>
        <v> </v>
      </c>
      <c r="E135" s="12" t="str">
        <f t="shared" si="3"/>
        <v> </v>
      </c>
      <c r="F135" s="12"/>
      <c r="G135" s="20"/>
      <c r="H135" s="20"/>
      <c r="I135" s="20"/>
      <c r="J135" s="19"/>
      <c r="K135" s="19"/>
      <c r="L135" s="12"/>
      <c r="M135" s="12"/>
      <c r="N135" s="12"/>
      <c r="O135" s="1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11"/>
      <c r="B136" s="19"/>
      <c r="C136" s="19"/>
      <c r="D136" s="12" t="str">
        <f t="shared" si="2"/>
        <v> </v>
      </c>
      <c r="E136" s="12" t="str">
        <f t="shared" si="3"/>
        <v> </v>
      </c>
      <c r="F136" s="12"/>
      <c r="G136" s="20"/>
      <c r="H136" s="20"/>
      <c r="I136" s="20"/>
      <c r="J136" s="19"/>
      <c r="K136" s="19"/>
      <c r="L136" s="12"/>
      <c r="M136" s="12"/>
      <c r="N136" s="12"/>
      <c r="O136" s="1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11"/>
      <c r="B137" s="19"/>
      <c r="C137" s="19"/>
      <c r="D137" s="12" t="str">
        <f t="shared" si="2"/>
        <v> </v>
      </c>
      <c r="E137" s="12" t="str">
        <f t="shared" si="3"/>
        <v> </v>
      </c>
      <c r="F137" s="12"/>
      <c r="G137" s="20"/>
      <c r="H137" s="20"/>
      <c r="I137" s="20"/>
      <c r="J137" s="19"/>
      <c r="K137" s="19"/>
      <c r="L137" s="12"/>
      <c r="M137" s="12"/>
      <c r="N137" s="12"/>
      <c r="O137" s="1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11"/>
      <c r="B138" s="19"/>
      <c r="C138" s="19"/>
      <c r="D138" s="12" t="str">
        <f t="shared" si="2"/>
        <v> </v>
      </c>
      <c r="E138" s="12" t="str">
        <f t="shared" si="3"/>
        <v> </v>
      </c>
      <c r="F138" s="12"/>
      <c r="G138" s="20"/>
      <c r="H138" s="20"/>
      <c r="I138" s="20"/>
      <c r="J138" s="19"/>
      <c r="K138" s="19"/>
      <c r="L138" s="12"/>
      <c r="M138" s="12"/>
      <c r="N138" s="12"/>
      <c r="O138" s="1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11"/>
      <c r="B139" s="19"/>
      <c r="C139" s="19"/>
      <c r="D139" s="12" t="str">
        <f t="shared" si="2"/>
        <v> </v>
      </c>
      <c r="E139" s="12" t="str">
        <f t="shared" si="3"/>
        <v> </v>
      </c>
      <c r="F139" s="12"/>
      <c r="G139" s="20"/>
      <c r="H139" s="20"/>
      <c r="I139" s="20"/>
      <c r="J139" s="19"/>
      <c r="K139" s="19"/>
      <c r="L139" s="12"/>
      <c r="M139" s="12"/>
      <c r="N139" s="12"/>
      <c r="O139" s="1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11"/>
      <c r="B140" s="19"/>
      <c r="C140" s="19"/>
      <c r="D140" s="12" t="str">
        <f t="shared" si="2"/>
        <v> </v>
      </c>
      <c r="E140" s="12" t="str">
        <f t="shared" si="3"/>
        <v> </v>
      </c>
      <c r="F140" s="12"/>
      <c r="G140" s="20"/>
      <c r="H140" s="20"/>
      <c r="I140" s="20"/>
      <c r="J140" s="19"/>
      <c r="K140" s="19"/>
      <c r="L140" s="12"/>
      <c r="M140" s="12"/>
      <c r="N140" s="12"/>
      <c r="O140" s="1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11"/>
      <c r="B141" s="19"/>
      <c r="C141" s="19"/>
      <c r="D141" s="12" t="str">
        <f t="shared" si="2"/>
        <v> </v>
      </c>
      <c r="E141" s="12" t="str">
        <f t="shared" si="3"/>
        <v> </v>
      </c>
      <c r="F141" s="12"/>
      <c r="G141" s="20"/>
      <c r="H141" s="20"/>
      <c r="I141" s="20"/>
      <c r="J141" s="19"/>
      <c r="K141" s="19"/>
      <c r="L141" s="12"/>
      <c r="M141" s="12"/>
      <c r="N141" s="12"/>
      <c r="O141" s="1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11"/>
      <c r="B142" s="19"/>
      <c r="C142" s="19"/>
      <c r="D142" s="12" t="str">
        <f t="shared" si="2"/>
        <v> </v>
      </c>
      <c r="E142" s="12" t="str">
        <f t="shared" si="3"/>
        <v> </v>
      </c>
      <c r="F142" s="12"/>
      <c r="G142" s="20"/>
      <c r="H142" s="20"/>
      <c r="I142" s="20"/>
      <c r="J142" s="19"/>
      <c r="K142" s="19"/>
      <c r="L142" s="12"/>
      <c r="M142" s="12"/>
      <c r="N142" s="12"/>
      <c r="O142" s="1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11"/>
      <c r="B143" s="19"/>
      <c r="C143" s="19"/>
      <c r="D143" s="12" t="str">
        <f t="shared" si="2"/>
        <v> </v>
      </c>
      <c r="E143" s="12" t="str">
        <f t="shared" si="3"/>
        <v> </v>
      </c>
      <c r="F143" s="12"/>
      <c r="G143" s="20"/>
      <c r="H143" s="20"/>
      <c r="I143" s="20"/>
      <c r="J143" s="19"/>
      <c r="K143" s="19"/>
      <c r="L143" s="12"/>
      <c r="M143" s="12"/>
      <c r="N143" s="12"/>
      <c r="O143" s="1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11"/>
      <c r="B144" s="19"/>
      <c r="C144" s="19"/>
      <c r="D144" s="12" t="str">
        <f t="shared" si="2"/>
        <v> </v>
      </c>
      <c r="E144" s="12" t="str">
        <f t="shared" si="3"/>
        <v> </v>
      </c>
      <c r="F144" s="12"/>
      <c r="G144" s="20"/>
      <c r="H144" s="20"/>
      <c r="I144" s="20"/>
      <c r="J144" s="19"/>
      <c r="K144" s="19"/>
      <c r="L144" s="12"/>
      <c r="M144" s="12"/>
      <c r="N144" s="12"/>
      <c r="O144" s="1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11"/>
      <c r="B145" s="19"/>
      <c r="C145" s="19"/>
      <c r="D145" s="12" t="str">
        <f t="shared" si="2"/>
        <v> </v>
      </c>
      <c r="E145" s="12" t="str">
        <f t="shared" si="3"/>
        <v> </v>
      </c>
      <c r="F145" s="12"/>
      <c r="G145" s="20"/>
      <c r="H145" s="20"/>
      <c r="I145" s="20"/>
      <c r="J145" s="19"/>
      <c r="K145" s="19"/>
      <c r="L145" s="12"/>
      <c r="M145" s="12"/>
      <c r="N145" s="12"/>
      <c r="O145" s="1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11"/>
      <c r="B146" s="19"/>
      <c r="C146" s="19"/>
      <c r="D146" s="12" t="str">
        <f t="shared" si="2"/>
        <v> </v>
      </c>
      <c r="E146" s="12" t="str">
        <f t="shared" si="3"/>
        <v> </v>
      </c>
      <c r="F146" s="12"/>
      <c r="G146" s="20"/>
      <c r="H146" s="20"/>
      <c r="I146" s="20"/>
      <c r="J146" s="19"/>
      <c r="K146" s="19"/>
      <c r="L146" s="12"/>
      <c r="M146" s="12"/>
      <c r="N146" s="12"/>
      <c r="O146" s="1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11"/>
      <c r="B147" s="19"/>
      <c r="C147" s="19"/>
      <c r="D147" s="12" t="str">
        <f t="shared" si="2"/>
        <v> </v>
      </c>
      <c r="E147" s="12" t="str">
        <f t="shared" si="3"/>
        <v> </v>
      </c>
      <c r="F147" s="12"/>
      <c r="G147" s="20"/>
      <c r="H147" s="20"/>
      <c r="I147" s="20"/>
      <c r="J147" s="19"/>
      <c r="K147" s="19"/>
      <c r="L147" s="12"/>
      <c r="M147" s="12"/>
      <c r="N147" s="12"/>
      <c r="O147" s="1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11"/>
      <c r="B148" s="19"/>
      <c r="C148" s="19"/>
      <c r="D148" s="12" t="str">
        <f t="shared" si="2"/>
        <v> </v>
      </c>
      <c r="E148" s="12" t="str">
        <f t="shared" si="3"/>
        <v> </v>
      </c>
      <c r="F148" s="12"/>
      <c r="G148" s="20"/>
      <c r="H148" s="20"/>
      <c r="I148" s="20"/>
      <c r="J148" s="19"/>
      <c r="K148" s="19"/>
      <c r="L148" s="12"/>
      <c r="M148" s="12"/>
      <c r="N148" s="12"/>
      <c r="O148" s="1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11"/>
      <c r="B149" s="19"/>
      <c r="C149" s="19"/>
      <c r="D149" s="12" t="str">
        <f t="shared" si="2"/>
        <v> </v>
      </c>
      <c r="E149" s="12" t="str">
        <f t="shared" si="3"/>
        <v> </v>
      </c>
      <c r="F149" s="12"/>
      <c r="G149" s="20"/>
      <c r="H149" s="20"/>
      <c r="I149" s="20"/>
      <c r="J149" s="19"/>
      <c r="K149" s="19"/>
      <c r="L149" s="12"/>
      <c r="M149" s="12"/>
      <c r="N149" s="12"/>
      <c r="O149" s="1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11"/>
      <c r="B150" s="19"/>
      <c r="C150" s="19"/>
      <c r="D150" s="12" t="str">
        <f t="shared" si="2"/>
        <v> </v>
      </c>
      <c r="E150" s="12" t="str">
        <f t="shared" si="3"/>
        <v> </v>
      </c>
      <c r="F150" s="12"/>
      <c r="G150" s="20"/>
      <c r="H150" s="20"/>
      <c r="I150" s="20"/>
      <c r="J150" s="19"/>
      <c r="K150" s="19"/>
      <c r="L150" s="12"/>
      <c r="M150" s="12"/>
      <c r="N150" s="12"/>
      <c r="O150" s="1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11"/>
      <c r="B151" s="19"/>
      <c r="C151" s="19"/>
      <c r="D151" s="12" t="str">
        <f t="shared" si="2"/>
        <v> </v>
      </c>
      <c r="E151" s="12" t="str">
        <f t="shared" si="3"/>
        <v> </v>
      </c>
      <c r="F151" s="12"/>
      <c r="G151" s="20"/>
      <c r="H151" s="20"/>
      <c r="I151" s="20"/>
      <c r="J151" s="19"/>
      <c r="K151" s="19"/>
      <c r="L151" s="12"/>
      <c r="M151" s="12"/>
      <c r="N151" s="12"/>
      <c r="O151" s="1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11"/>
      <c r="B152" s="19"/>
      <c r="C152" s="19"/>
      <c r="D152" s="12" t="str">
        <f t="shared" si="2"/>
        <v> </v>
      </c>
      <c r="E152" s="12" t="str">
        <f t="shared" si="3"/>
        <v> </v>
      </c>
      <c r="F152" s="12"/>
      <c r="G152" s="20"/>
      <c r="H152" s="20"/>
      <c r="I152" s="20"/>
      <c r="J152" s="19"/>
      <c r="K152" s="19"/>
      <c r="L152" s="12"/>
      <c r="M152" s="12"/>
      <c r="N152" s="12"/>
      <c r="O152" s="1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11"/>
      <c r="B153" s="19"/>
      <c r="C153" s="19"/>
      <c r="D153" s="12" t="str">
        <f t="shared" si="2"/>
        <v> </v>
      </c>
      <c r="E153" s="12" t="str">
        <f t="shared" si="3"/>
        <v> </v>
      </c>
      <c r="F153" s="12"/>
      <c r="G153" s="20"/>
      <c r="H153" s="20"/>
      <c r="I153" s="20"/>
      <c r="J153" s="19"/>
      <c r="K153" s="19"/>
      <c r="L153" s="12"/>
      <c r="M153" s="12"/>
      <c r="N153" s="12"/>
      <c r="O153" s="1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11"/>
      <c r="B154" s="19"/>
      <c r="C154" s="19"/>
      <c r="D154" s="12" t="str">
        <f t="shared" si="2"/>
        <v> </v>
      </c>
      <c r="E154" s="12" t="str">
        <f t="shared" si="3"/>
        <v> </v>
      </c>
      <c r="F154" s="12"/>
      <c r="G154" s="20"/>
      <c r="H154" s="20"/>
      <c r="I154" s="20"/>
      <c r="J154" s="19"/>
      <c r="K154" s="19"/>
      <c r="L154" s="12"/>
      <c r="M154" s="12"/>
      <c r="N154" s="12"/>
      <c r="O154" s="1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11"/>
      <c r="B155" s="19"/>
      <c r="C155" s="19"/>
      <c r="D155" s="12" t="str">
        <f t="shared" si="2"/>
        <v> </v>
      </c>
      <c r="E155" s="12" t="str">
        <f t="shared" si="3"/>
        <v> </v>
      </c>
      <c r="F155" s="12"/>
      <c r="G155" s="20"/>
      <c r="H155" s="20"/>
      <c r="I155" s="20"/>
      <c r="J155" s="19"/>
      <c r="K155" s="19"/>
      <c r="L155" s="12"/>
      <c r="M155" s="12"/>
      <c r="N155" s="12"/>
      <c r="O155" s="1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11"/>
      <c r="B156" s="19"/>
      <c r="C156" s="19"/>
      <c r="D156" s="12" t="str">
        <f t="shared" si="2"/>
        <v> </v>
      </c>
      <c r="E156" s="12" t="str">
        <f t="shared" si="3"/>
        <v> </v>
      </c>
      <c r="F156" s="12"/>
      <c r="G156" s="20"/>
      <c r="H156" s="20"/>
      <c r="I156" s="20"/>
      <c r="J156" s="19"/>
      <c r="K156" s="19"/>
      <c r="L156" s="12"/>
      <c r="M156" s="12"/>
      <c r="N156" s="12"/>
      <c r="O156" s="1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11"/>
      <c r="B157" s="19"/>
      <c r="C157" s="19"/>
      <c r="D157" s="12" t="str">
        <f t="shared" si="2"/>
        <v> </v>
      </c>
      <c r="E157" s="12" t="str">
        <f t="shared" si="3"/>
        <v> </v>
      </c>
      <c r="F157" s="12"/>
      <c r="G157" s="20"/>
      <c r="H157" s="20"/>
      <c r="I157" s="20"/>
      <c r="J157" s="19"/>
      <c r="K157" s="19"/>
      <c r="L157" s="12"/>
      <c r="M157" s="12"/>
      <c r="N157" s="12"/>
      <c r="O157" s="1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11"/>
      <c r="B158" s="19"/>
      <c r="C158" s="19"/>
      <c r="D158" s="12" t="str">
        <f t="shared" si="2"/>
        <v> </v>
      </c>
      <c r="E158" s="12" t="str">
        <f t="shared" si="3"/>
        <v> </v>
      </c>
      <c r="F158" s="12"/>
      <c r="G158" s="20"/>
      <c r="H158" s="20"/>
      <c r="I158" s="20"/>
      <c r="J158" s="19"/>
      <c r="K158" s="19"/>
      <c r="L158" s="12"/>
      <c r="M158" s="12"/>
      <c r="N158" s="12"/>
      <c r="O158" s="1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11"/>
      <c r="B159" s="19"/>
      <c r="C159" s="19"/>
      <c r="D159" s="12" t="str">
        <f t="shared" si="2"/>
        <v> </v>
      </c>
      <c r="E159" s="12" t="str">
        <f t="shared" si="3"/>
        <v> </v>
      </c>
      <c r="F159" s="12"/>
      <c r="G159" s="20"/>
      <c r="H159" s="20"/>
      <c r="I159" s="20"/>
      <c r="J159" s="19"/>
      <c r="K159" s="19"/>
      <c r="L159" s="12"/>
      <c r="M159" s="12"/>
      <c r="N159" s="12"/>
      <c r="O159" s="1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11"/>
      <c r="B160" s="19"/>
      <c r="C160" s="19"/>
      <c r="D160" s="12" t="str">
        <f t="shared" si="2"/>
        <v> </v>
      </c>
      <c r="E160" s="12" t="str">
        <f t="shared" si="3"/>
        <v> </v>
      </c>
      <c r="F160" s="12"/>
      <c r="G160" s="20"/>
      <c r="H160" s="20"/>
      <c r="I160" s="20"/>
      <c r="J160" s="19"/>
      <c r="K160" s="19"/>
      <c r="L160" s="12"/>
      <c r="M160" s="12"/>
      <c r="N160" s="12"/>
      <c r="O160" s="1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11"/>
      <c r="B161" s="19"/>
      <c r="C161" s="19"/>
      <c r="D161" s="12" t="str">
        <f t="shared" si="2"/>
        <v> </v>
      </c>
      <c r="E161" s="12" t="str">
        <f t="shared" si="3"/>
        <v> </v>
      </c>
      <c r="F161" s="12"/>
      <c r="G161" s="20"/>
      <c r="H161" s="20"/>
      <c r="I161" s="20"/>
      <c r="J161" s="19"/>
      <c r="K161" s="19"/>
      <c r="L161" s="12"/>
      <c r="M161" s="12"/>
      <c r="N161" s="12"/>
      <c r="O161" s="1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11"/>
      <c r="B162" s="19"/>
      <c r="C162" s="19"/>
      <c r="D162" s="12" t="str">
        <f t="shared" si="2"/>
        <v> </v>
      </c>
      <c r="E162" s="12" t="str">
        <f t="shared" si="3"/>
        <v> </v>
      </c>
      <c r="F162" s="12"/>
      <c r="G162" s="20"/>
      <c r="H162" s="20"/>
      <c r="I162" s="20"/>
      <c r="J162" s="19"/>
      <c r="K162" s="19"/>
      <c r="L162" s="12"/>
      <c r="M162" s="12"/>
      <c r="N162" s="12"/>
      <c r="O162" s="1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11"/>
      <c r="B163" s="19"/>
      <c r="C163" s="19"/>
      <c r="D163" s="12" t="str">
        <f t="shared" si="2"/>
        <v> </v>
      </c>
      <c r="E163" s="12" t="str">
        <f t="shared" si="3"/>
        <v> </v>
      </c>
      <c r="F163" s="12"/>
      <c r="G163" s="20"/>
      <c r="H163" s="20"/>
      <c r="I163" s="20"/>
      <c r="J163" s="19"/>
      <c r="K163" s="19"/>
      <c r="L163" s="12"/>
      <c r="M163" s="12"/>
      <c r="N163" s="12"/>
      <c r="O163" s="1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11"/>
      <c r="B164" s="19"/>
      <c r="C164" s="19"/>
      <c r="D164" s="12" t="str">
        <f t="shared" si="2"/>
        <v> </v>
      </c>
      <c r="E164" s="12" t="str">
        <f t="shared" si="3"/>
        <v> </v>
      </c>
      <c r="F164" s="12"/>
      <c r="G164" s="20"/>
      <c r="H164" s="20"/>
      <c r="I164" s="20"/>
      <c r="J164" s="19"/>
      <c r="K164" s="19"/>
      <c r="L164" s="12"/>
      <c r="M164" s="12"/>
      <c r="N164" s="12"/>
      <c r="O164" s="1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11"/>
      <c r="B165" s="19"/>
      <c r="C165" s="19"/>
      <c r="D165" s="12" t="str">
        <f t="shared" si="2"/>
        <v> </v>
      </c>
      <c r="E165" s="12" t="str">
        <f t="shared" si="3"/>
        <v> </v>
      </c>
      <c r="F165" s="12"/>
      <c r="G165" s="20"/>
      <c r="H165" s="20"/>
      <c r="I165" s="20"/>
      <c r="J165" s="19"/>
      <c r="K165" s="19"/>
      <c r="L165" s="12"/>
      <c r="M165" s="12"/>
      <c r="N165" s="12"/>
      <c r="O165" s="1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11"/>
      <c r="B166" s="19"/>
      <c r="C166" s="19"/>
      <c r="D166" s="12" t="str">
        <f t="shared" si="2"/>
        <v> </v>
      </c>
      <c r="E166" s="12" t="str">
        <f t="shared" si="3"/>
        <v> </v>
      </c>
      <c r="F166" s="12"/>
      <c r="G166" s="20"/>
      <c r="H166" s="20"/>
      <c r="I166" s="20"/>
      <c r="J166" s="19"/>
      <c r="K166" s="19"/>
      <c r="L166" s="12"/>
      <c r="M166" s="12"/>
      <c r="N166" s="12"/>
      <c r="O166" s="1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11"/>
      <c r="B167" s="19"/>
      <c r="C167" s="19"/>
      <c r="D167" s="12" t="str">
        <f t="shared" si="2"/>
        <v> </v>
      </c>
      <c r="E167" s="12" t="str">
        <f t="shared" si="3"/>
        <v> </v>
      </c>
      <c r="F167" s="12"/>
      <c r="G167" s="20"/>
      <c r="H167" s="20"/>
      <c r="I167" s="20"/>
      <c r="J167" s="19"/>
      <c r="K167" s="19"/>
      <c r="L167" s="12"/>
      <c r="M167" s="12"/>
      <c r="N167" s="12"/>
      <c r="O167" s="1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11"/>
      <c r="B168" s="19"/>
      <c r="C168" s="19"/>
      <c r="D168" s="12" t="str">
        <f t="shared" si="2"/>
        <v> </v>
      </c>
      <c r="E168" s="12" t="str">
        <f t="shared" si="3"/>
        <v> </v>
      </c>
      <c r="F168" s="12"/>
      <c r="G168" s="20"/>
      <c r="H168" s="20"/>
      <c r="I168" s="20"/>
      <c r="J168" s="19"/>
      <c r="K168" s="19"/>
      <c r="L168" s="12"/>
      <c r="M168" s="12"/>
      <c r="N168" s="12"/>
      <c r="O168" s="1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11"/>
      <c r="B169" s="19"/>
      <c r="C169" s="19"/>
      <c r="D169" s="12" t="str">
        <f t="shared" si="2"/>
        <v> </v>
      </c>
      <c r="E169" s="12" t="str">
        <f t="shared" si="3"/>
        <v> </v>
      </c>
      <c r="F169" s="12"/>
      <c r="G169" s="20"/>
      <c r="H169" s="20"/>
      <c r="I169" s="20"/>
      <c r="J169" s="19"/>
      <c r="K169" s="19"/>
      <c r="L169" s="12"/>
      <c r="M169" s="12"/>
      <c r="N169" s="12"/>
      <c r="O169" s="1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11"/>
      <c r="B170" s="19"/>
      <c r="C170" s="19"/>
      <c r="D170" s="12" t="str">
        <f t="shared" si="2"/>
        <v> </v>
      </c>
      <c r="E170" s="12" t="str">
        <f t="shared" si="3"/>
        <v> </v>
      </c>
      <c r="F170" s="12"/>
      <c r="G170" s="20"/>
      <c r="H170" s="20"/>
      <c r="I170" s="20"/>
      <c r="J170" s="19"/>
      <c r="K170" s="19"/>
      <c r="L170" s="12"/>
      <c r="M170" s="12"/>
      <c r="N170" s="12"/>
      <c r="O170" s="1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11"/>
      <c r="B171" s="19"/>
      <c r="C171" s="19"/>
      <c r="D171" s="12" t="str">
        <f t="shared" si="2"/>
        <v> </v>
      </c>
      <c r="E171" s="12" t="str">
        <f t="shared" si="3"/>
        <v> </v>
      </c>
      <c r="F171" s="12"/>
      <c r="G171" s="20"/>
      <c r="H171" s="20"/>
      <c r="I171" s="20"/>
      <c r="J171" s="19"/>
      <c r="K171" s="19"/>
      <c r="L171" s="12"/>
      <c r="M171" s="12"/>
      <c r="N171" s="12"/>
      <c r="O171" s="1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11"/>
      <c r="B172" s="19"/>
      <c r="C172" s="19"/>
      <c r="D172" s="12" t="str">
        <f t="shared" si="2"/>
        <v> </v>
      </c>
      <c r="E172" s="12" t="str">
        <f t="shared" si="3"/>
        <v> </v>
      </c>
      <c r="F172" s="12"/>
      <c r="G172" s="20"/>
      <c r="H172" s="20"/>
      <c r="I172" s="20"/>
      <c r="J172" s="19"/>
      <c r="K172" s="19"/>
      <c r="L172" s="12"/>
      <c r="M172" s="12"/>
      <c r="N172" s="12"/>
      <c r="O172" s="1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11"/>
      <c r="B173" s="19"/>
      <c r="C173" s="19"/>
      <c r="D173" s="12" t="str">
        <f t="shared" si="2"/>
        <v> </v>
      </c>
      <c r="E173" s="12" t="str">
        <f t="shared" si="3"/>
        <v> </v>
      </c>
      <c r="F173" s="12"/>
      <c r="G173" s="20"/>
      <c r="H173" s="20"/>
      <c r="I173" s="20"/>
      <c r="J173" s="19"/>
      <c r="K173" s="19"/>
      <c r="L173" s="12"/>
      <c r="M173" s="12"/>
      <c r="N173" s="12"/>
      <c r="O173" s="1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11"/>
      <c r="B174" s="19"/>
      <c r="C174" s="19"/>
      <c r="D174" s="12" t="str">
        <f t="shared" si="2"/>
        <v> </v>
      </c>
      <c r="E174" s="12" t="str">
        <f t="shared" si="3"/>
        <v> </v>
      </c>
      <c r="F174" s="12"/>
      <c r="G174" s="20"/>
      <c r="H174" s="20"/>
      <c r="I174" s="20"/>
      <c r="J174" s="19"/>
      <c r="K174" s="19"/>
      <c r="L174" s="12"/>
      <c r="M174" s="12"/>
      <c r="N174" s="12"/>
      <c r="O174" s="1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11"/>
      <c r="B175" s="19"/>
      <c r="C175" s="19"/>
      <c r="D175" s="12" t="str">
        <f t="shared" si="2"/>
        <v> </v>
      </c>
      <c r="E175" s="12" t="str">
        <f t="shared" si="3"/>
        <v> </v>
      </c>
      <c r="F175" s="12"/>
      <c r="G175" s="20"/>
      <c r="H175" s="20"/>
      <c r="I175" s="20"/>
      <c r="J175" s="19"/>
      <c r="K175" s="19"/>
      <c r="L175" s="12"/>
      <c r="M175" s="12"/>
      <c r="N175" s="12"/>
      <c r="O175" s="1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11"/>
      <c r="B176" s="19"/>
      <c r="C176" s="19"/>
      <c r="D176" s="12" t="str">
        <f t="shared" si="2"/>
        <v> </v>
      </c>
      <c r="E176" s="12" t="str">
        <f t="shared" si="3"/>
        <v> </v>
      </c>
      <c r="F176" s="12"/>
      <c r="G176" s="20"/>
      <c r="H176" s="20"/>
      <c r="I176" s="20"/>
      <c r="J176" s="19"/>
      <c r="K176" s="19"/>
      <c r="L176" s="12"/>
      <c r="M176" s="12"/>
      <c r="N176" s="12"/>
      <c r="O176" s="1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11"/>
      <c r="B177" s="19"/>
      <c r="C177" s="19"/>
      <c r="D177" s="12" t="str">
        <f t="shared" si="2"/>
        <v> </v>
      </c>
      <c r="E177" s="12" t="str">
        <f t="shared" si="3"/>
        <v> </v>
      </c>
      <c r="F177" s="12"/>
      <c r="G177" s="20"/>
      <c r="H177" s="20"/>
      <c r="I177" s="20"/>
      <c r="J177" s="19"/>
      <c r="K177" s="19"/>
      <c r="L177" s="12"/>
      <c r="M177" s="12"/>
      <c r="N177" s="12"/>
      <c r="O177" s="1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11"/>
      <c r="B178" s="19"/>
      <c r="C178" s="19"/>
      <c r="D178" s="12" t="str">
        <f t="shared" si="2"/>
        <v> </v>
      </c>
      <c r="E178" s="12" t="str">
        <f t="shared" si="3"/>
        <v> </v>
      </c>
      <c r="F178" s="12"/>
      <c r="G178" s="20"/>
      <c r="H178" s="20"/>
      <c r="I178" s="20"/>
      <c r="J178" s="19"/>
      <c r="K178" s="19"/>
      <c r="L178" s="12"/>
      <c r="M178" s="12"/>
      <c r="N178" s="12"/>
      <c r="O178" s="1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11"/>
      <c r="B179" s="19"/>
      <c r="C179" s="19"/>
      <c r="D179" s="12" t="str">
        <f t="shared" si="2"/>
        <v> </v>
      </c>
      <c r="E179" s="12" t="str">
        <f t="shared" si="3"/>
        <v> </v>
      </c>
      <c r="F179" s="12"/>
      <c r="G179" s="20"/>
      <c r="H179" s="20"/>
      <c r="I179" s="20"/>
      <c r="J179" s="19"/>
      <c r="K179" s="19"/>
      <c r="L179" s="12"/>
      <c r="M179" s="12"/>
      <c r="N179" s="12"/>
      <c r="O179" s="1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11"/>
      <c r="B180" s="19"/>
      <c r="C180" s="19"/>
      <c r="D180" s="12" t="str">
        <f t="shared" si="2"/>
        <v> </v>
      </c>
      <c r="E180" s="12" t="str">
        <f t="shared" si="3"/>
        <v> </v>
      </c>
      <c r="F180" s="12"/>
      <c r="G180" s="20"/>
      <c r="H180" s="20"/>
      <c r="I180" s="20"/>
      <c r="J180" s="19"/>
      <c r="K180" s="19"/>
      <c r="L180" s="12"/>
      <c r="M180" s="12"/>
      <c r="N180" s="12"/>
      <c r="O180" s="1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11"/>
      <c r="B181" s="19"/>
      <c r="C181" s="19"/>
      <c r="D181" s="12" t="str">
        <f t="shared" si="2"/>
        <v> </v>
      </c>
      <c r="E181" s="12" t="str">
        <f t="shared" si="3"/>
        <v> </v>
      </c>
      <c r="F181" s="12"/>
      <c r="G181" s="20"/>
      <c r="H181" s="20"/>
      <c r="I181" s="20"/>
      <c r="J181" s="19"/>
      <c r="K181" s="19"/>
      <c r="L181" s="12"/>
      <c r="M181" s="12"/>
      <c r="N181" s="12"/>
      <c r="O181" s="1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11"/>
      <c r="B182" s="19"/>
      <c r="C182" s="19"/>
      <c r="D182" s="12" t="str">
        <f t="shared" si="2"/>
        <v> </v>
      </c>
      <c r="E182" s="12" t="str">
        <f t="shared" si="3"/>
        <v> </v>
      </c>
      <c r="F182" s="12"/>
      <c r="G182" s="20"/>
      <c r="H182" s="20"/>
      <c r="I182" s="20"/>
      <c r="J182" s="19"/>
      <c r="K182" s="19"/>
      <c r="L182" s="12"/>
      <c r="M182" s="12"/>
      <c r="N182" s="12"/>
      <c r="O182" s="1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11"/>
      <c r="B183" s="19"/>
      <c r="C183" s="19"/>
      <c r="D183" s="12" t="str">
        <f t="shared" si="2"/>
        <v> </v>
      </c>
      <c r="E183" s="12" t="str">
        <f t="shared" si="3"/>
        <v> </v>
      </c>
      <c r="F183" s="12"/>
      <c r="G183" s="20"/>
      <c r="H183" s="20"/>
      <c r="I183" s="20"/>
      <c r="J183" s="19"/>
      <c r="K183" s="19"/>
      <c r="L183" s="12"/>
      <c r="M183" s="12"/>
      <c r="N183" s="12"/>
      <c r="O183" s="1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11"/>
      <c r="B184" s="19"/>
      <c r="C184" s="19"/>
      <c r="D184" s="12" t="str">
        <f t="shared" si="2"/>
        <v> </v>
      </c>
      <c r="E184" s="12" t="str">
        <f t="shared" si="3"/>
        <v> </v>
      </c>
      <c r="F184" s="12"/>
      <c r="G184" s="20"/>
      <c r="H184" s="20"/>
      <c r="I184" s="20"/>
      <c r="J184" s="19"/>
      <c r="K184" s="19"/>
      <c r="L184" s="12"/>
      <c r="M184" s="12"/>
      <c r="N184" s="12"/>
      <c r="O184" s="1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11"/>
      <c r="B185" s="19"/>
      <c r="C185" s="19"/>
      <c r="D185" s="12" t="str">
        <f t="shared" si="2"/>
        <v> </v>
      </c>
      <c r="E185" s="12" t="str">
        <f t="shared" si="3"/>
        <v> </v>
      </c>
      <c r="F185" s="12"/>
      <c r="G185" s="20"/>
      <c r="H185" s="20"/>
      <c r="I185" s="20"/>
      <c r="J185" s="19"/>
      <c r="K185" s="19"/>
      <c r="L185" s="12"/>
      <c r="M185" s="12"/>
      <c r="N185" s="12"/>
      <c r="O185" s="1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11"/>
      <c r="B186" s="19"/>
      <c r="C186" s="19"/>
      <c r="D186" s="12" t="str">
        <f t="shared" si="2"/>
        <v> </v>
      </c>
      <c r="E186" s="12" t="str">
        <f t="shared" si="3"/>
        <v> </v>
      </c>
      <c r="F186" s="12"/>
      <c r="G186" s="20"/>
      <c r="H186" s="20"/>
      <c r="I186" s="20"/>
      <c r="J186" s="19"/>
      <c r="K186" s="19"/>
      <c r="L186" s="12"/>
      <c r="M186" s="12"/>
      <c r="N186" s="12"/>
      <c r="O186" s="1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11"/>
      <c r="B187" s="19"/>
      <c r="C187" s="19"/>
      <c r="D187" s="12" t="str">
        <f t="shared" si="2"/>
        <v> </v>
      </c>
      <c r="E187" s="12" t="str">
        <f t="shared" si="3"/>
        <v> </v>
      </c>
      <c r="F187" s="12"/>
      <c r="G187" s="20"/>
      <c r="H187" s="20"/>
      <c r="I187" s="20"/>
      <c r="J187" s="19"/>
      <c r="K187" s="19"/>
      <c r="L187" s="12"/>
      <c r="M187" s="12"/>
      <c r="N187" s="12"/>
      <c r="O187" s="1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11"/>
      <c r="B188" s="19"/>
      <c r="C188" s="19"/>
      <c r="D188" s="12" t="str">
        <f t="shared" si="2"/>
        <v> </v>
      </c>
      <c r="E188" s="12" t="str">
        <f t="shared" si="3"/>
        <v> </v>
      </c>
      <c r="F188" s="12"/>
      <c r="G188" s="20"/>
      <c r="H188" s="20"/>
      <c r="I188" s="20"/>
      <c r="J188" s="19"/>
      <c r="K188" s="19"/>
      <c r="L188" s="12"/>
      <c r="M188" s="12"/>
      <c r="N188" s="12"/>
      <c r="O188" s="1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11"/>
      <c r="B189" s="19"/>
      <c r="C189" s="19"/>
      <c r="D189" s="12" t="str">
        <f t="shared" si="2"/>
        <v> </v>
      </c>
      <c r="E189" s="12" t="str">
        <f t="shared" si="3"/>
        <v> </v>
      </c>
      <c r="F189" s="12"/>
      <c r="G189" s="20"/>
      <c r="H189" s="20"/>
      <c r="I189" s="20"/>
      <c r="J189" s="19"/>
      <c r="K189" s="19"/>
      <c r="L189" s="12"/>
      <c r="M189" s="12"/>
      <c r="N189" s="12"/>
      <c r="O189" s="1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11"/>
      <c r="B190" s="19"/>
      <c r="C190" s="19"/>
      <c r="D190" s="12" t="str">
        <f t="shared" si="2"/>
        <v> </v>
      </c>
      <c r="E190" s="12" t="str">
        <f t="shared" si="3"/>
        <v> </v>
      </c>
      <c r="F190" s="12"/>
      <c r="G190" s="20"/>
      <c r="H190" s="20"/>
      <c r="I190" s="20"/>
      <c r="J190" s="19"/>
      <c r="K190" s="19"/>
      <c r="L190" s="12"/>
      <c r="M190" s="12"/>
      <c r="N190" s="12"/>
      <c r="O190" s="1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11"/>
      <c r="B191" s="19"/>
      <c r="C191" s="19"/>
      <c r="D191" s="12" t="str">
        <f t="shared" si="2"/>
        <v> </v>
      </c>
      <c r="E191" s="12" t="str">
        <f t="shared" si="3"/>
        <v> </v>
      </c>
      <c r="F191" s="12"/>
      <c r="G191" s="20"/>
      <c r="H191" s="20"/>
      <c r="I191" s="20"/>
      <c r="J191" s="19"/>
      <c r="K191" s="19"/>
      <c r="L191" s="12"/>
      <c r="M191" s="12"/>
      <c r="N191" s="12"/>
      <c r="O191" s="1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11"/>
      <c r="B192" s="19"/>
      <c r="C192" s="19"/>
      <c r="D192" s="12" t="str">
        <f t="shared" si="2"/>
        <v> </v>
      </c>
      <c r="E192" s="12" t="str">
        <f t="shared" si="3"/>
        <v> </v>
      </c>
      <c r="F192" s="12"/>
      <c r="G192" s="20"/>
      <c r="H192" s="20"/>
      <c r="I192" s="20"/>
      <c r="J192" s="19"/>
      <c r="K192" s="19"/>
      <c r="L192" s="12"/>
      <c r="M192" s="12"/>
      <c r="N192" s="12"/>
      <c r="O192" s="1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11"/>
      <c r="B193" s="19"/>
      <c r="C193" s="19"/>
      <c r="D193" s="12" t="str">
        <f t="shared" si="2"/>
        <v> </v>
      </c>
      <c r="E193" s="12" t="str">
        <f t="shared" si="3"/>
        <v> </v>
      </c>
      <c r="F193" s="12"/>
      <c r="G193" s="20"/>
      <c r="H193" s="20"/>
      <c r="I193" s="20"/>
      <c r="J193" s="19"/>
      <c r="K193" s="19"/>
      <c r="L193" s="12"/>
      <c r="M193" s="12"/>
      <c r="N193" s="12"/>
      <c r="O193" s="1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11"/>
      <c r="B194" s="19"/>
      <c r="C194" s="19"/>
      <c r="D194" s="12" t="str">
        <f t="shared" si="2"/>
        <v> </v>
      </c>
      <c r="E194" s="12" t="str">
        <f t="shared" si="3"/>
        <v> </v>
      </c>
      <c r="F194" s="12"/>
      <c r="G194" s="20"/>
      <c r="H194" s="20"/>
      <c r="I194" s="20"/>
      <c r="J194" s="19"/>
      <c r="K194" s="19"/>
      <c r="L194" s="12"/>
      <c r="M194" s="12"/>
      <c r="N194" s="12"/>
      <c r="O194" s="1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11"/>
      <c r="B195" s="19"/>
      <c r="C195" s="19"/>
      <c r="D195" s="12" t="str">
        <f t="shared" si="2"/>
        <v> </v>
      </c>
      <c r="E195" s="12" t="str">
        <f t="shared" si="3"/>
        <v> </v>
      </c>
      <c r="F195" s="12"/>
      <c r="G195" s="20"/>
      <c r="H195" s="20"/>
      <c r="I195" s="20"/>
      <c r="J195" s="19"/>
      <c r="K195" s="19"/>
      <c r="L195" s="12"/>
      <c r="M195" s="12"/>
      <c r="N195" s="12"/>
      <c r="O195" s="1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11"/>
      <c r="B196" s="19"/>
      <c r="C196" s="19"/>
      <c r="D196" s="12" t="str">
        <f t="shared" si="2"/>
        <v> </v>
      </c>
      <c r="E196" s="12" t="str">
        <f t="shared" si="3"/>
        <v> </v>
      </c>
      <c r="F196" s="12"/>
      <c r="G196" s="20"/>
      <c r="H196" s="20"/>
      <c r="I196" s="20"/>
      <c r="J196" s="19"/>
      <c r="K196" s="19"/>
      <c r="L196" s="12"/>
      <c r="M196" s="12"/>
      <c r="N196" s="12"/>
      <c r="O196" s="1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11"/>
      <c r="B197" s="19"/>
      <c r="C197" s="19"/>
      <c r="D197" s="12" t="str">
        <f t="shared" si="2"/>
        <v> </v>
      </c>
      <c r="E197" s="12" t="str">
        <f t="shared" si="3"/>
        <v> </v>
      </c>
      <c r="F197" s="12"/>
      <c r="G197" s="20"/>
      <c r="H197" s="20"/>
      <c r="I197" s="20"/>
      <c r="J197" s="19"/>
      <c r="K197" s="19"/>
      <c r="L197" s="12"/>
      <c r="M197" s="12"/>
      <c r="N197" s="12"/>
      <c r="O197" s="1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11"/>
      <c r="B198" s="19"/>
      <c r="C198" s="19"/>
      <c r="D198" s="12" t="str">
        <f t="shared" si="2"/>
        <v> </v>
      </c>
      <c r="E198" s="12" t="str">
        <f t="shared" si="3"/>
        <v> </v>
      </c>
      <c r="F198" s="12"/>
      <c r="G198" s="20"/>
      <c r="H198" s="20"/>
      <c r="I198" s="20"/>
      <c r="J198" s="19"/>
      <c r="K198" s="19"/>
      <c r="L198" s="12"/>
      <c r="M198" s="12"/>
      <c r="N198" s="12"/>
      <c r="O198" s="1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11"/>
      <c r="B199" s="19"/>
      <c r="C199" s="19"/>
      <c r="D199" s="12" t="str">
        <f t="shared" si="2"/>
        <v> </v>
      </c>
      <c r="E199" s="12" t="str">
        <f t="shared" si="3"/>
        <v> </v>
      </c>
      <c r="F199" s="12"/>
      <c r="G199" s="20"/>
      <c r="H199" s="20"/>
      <c r="I199" s="20"/>
      <c r="J199" s="19"/>
      <c r="K199" s="19"/>
      <c r="L199" s="12"/>
      <c r="M199" s="12"/>
      <c r="N199" s="12"/>
      <c r="O199" s="1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11"/>
      <c r="B200" s="19"/>
      <c r="C200" s="19"/>
      <c r="D200" s="12" t="str">
        <f t="shared" si="2"/>
        <v> </v>
      </c>
      <c r="E200" s="12" t="str">
        <f t="shared" si="3"/>
        <v> </v>
      </c>
      <c r="F200" s="12"/>
      <c r="G200" s="20"/>
      <c r="H200" s="20"/>
      <c r="I200" s="20"/>
      <c r="J200" s="19"/>
      <c r="K200" s="19"/>
      <c r="L200" s="12"/>
      <c r="M200" s="12"/>
      <c r="N200" s="12"/>
      <c r="O200" s="1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11"/>
      <c r="B201" s="19"/>
      <c r="C201" s="19"/>
      <c r="D201" s="12" t="str">
        <f t="shared" si="2"/>
        <v> </v>
      </c>
      <c r="E201" s="12" t="str">
        <f t="shared" si="3"/>
        <v> </v>
      </c>
      <c r="F201" s="12"/>
      <c r="G201" s="20"/>
      <c r="H201" s="20"/>
      <c r="I201" s="20"/>
      <c r="J201" s="19"/>
      <c r="K201" s="19"/>
      <c r="L201" s="12"/>
      <c r="M201" s="12"/>
      <c r="N201" s="12"/>
      <c r="O201" s="1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11"/>
      <c r="B202" s="19"/>
      <c r="C202" s="19"/>
      <c r="D202" s="12" t="str">
        <f t="shared" si="2"/>
        <v> </v>
      </c>
      <c r="E202" s="12" t="str">
        <f t="shared" si="3"/>
        <v> </v>
      </c>
      <c r="F202" s="12"/>
      <c r="G202" s="20"/>
      <c r="H202" s="20"/>
      <c r="I202" s="20"/>
      <c r="J202" s="19"/>
      <c r="K202" s="19"/>
      <c r="L202" s="12"/>
      <c r="M202" s="12"/>
      <c r="N202" s="12"/>
      <c r="O202" s="1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11"/>
      <c r="B203" s="19"/>
      <c r="C203" s="19"/>
      <c r="D203" s="12" t="str">
        <f t="shared" si="2"/>
        <v> </v>
      </c>
      <c r="E203" s="12" t="str">
        <f t="shared" si="3"/>
        <v> </v>
      </c>
      <c r="F203" s="12"/>
      <c r="G203" s="20"/>
      <c r="H203" s="20"/>
      <c r="I203" s="20"/>
      <c r="J203" s="19"/>
      <c r="K203" s="19"/>
      <c r="L203" s="12"/>
      <c r="M203" s="12"/>
      <c r="N203" s="12"/>
      <c r="O203" s="1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11"/>
      <c r="B204" s="19"/>
      <c r="C204" s="19"/>
      <c r="D204" s="12" t="str">
        <f t="shared" si="2"/>
        <v> </v>
      </c>
      <c r="E204" s="12" t="str">
        <f t="shared" si="3"/>
        <v> </v>
      </c>
      <c r="F204" s="12"/>
      <c r="G204" s="20"/>
      <c r="H204" s="20"/>
      <c r="I204" s="20"/>
      <c r="J204" s="19"/>
      <c r="K204" s="19"/>
      <c r="L204" s="12"/>
      <c r="M204" s="12"/>
      <c r="N204" s="12"/>
      <c r="O204" s="1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11"/>
      <c r="B205" s="19"/>
      <c r="C205" s="19"/>
      <c r="D205" s="12" t="str">
        <f t="shared" si="2"/>
        <v> </v>
      </c>
      <c r="E205" s="12" t="str">
        <f t="shared" si="3"/>
        <v> </v>
      </c>
      <c r="F205" s="12"/>
      <c r="G205" s="20"/>
      <c r="H205" s="20"/>
      <c r="I205" s="20"/>
      <c r="J205" s="19"/>
      <c r="K205" s="19"/>
      <c r="L205" s="12"/>
      <c r="M205" s="12"/>
      <c r="N205" s="12"/>
      <c r="O205" s="1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11"/>
      <c r="B206" s="19"/>
      <c r="C206" s="19"/>
      <c r="D206" s="12" t="str">
        <f t="shared" si="2"/>
        <v> </v>
      </c>
      <c r="E206" s="12" t="str">
        <f t="shared" si="3"/>
        <v> </v>
      </c>
      <c r="F206" s="12"/>
      <c r="G206" s="20"/>
      <c r="H206" s="20"/>
      <c r="I206" s="20"/>
      <c r="J206" s="19"/>
      <c r="K206" s="19"/>
      <c r="L206" s="12"/>
      <c r="M206" s="12"/>
      <c r="N206" s="12"/>
      <c r="O206" s="1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11"/>
      <c r="B207" s="19"/>
      <c r="C207" s="19"/>
      <c r="D207" s="12" t="str">
        <f t="shared" si="2"/>
        <v> </v>
      </c>
      <c r="E207" s="12" t="str">
        <f t="shared" si="3"/>
        <v> </v>
      </c>
      <c r="F207" s="12"/>
      <c r="G207" s="20"/>
      <c r="H207" s="20"/>
      <c r="I207" s="20"/>
      <c r="J207" s="19"/>
      <c r="K207" s="19"/>
      <c r="L207" s="12"/>
      <c r="M207" s="12"/>
      <c r="N207" s="12"/>
      <c r="O207" s="1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11"/>
      <c r="B208" s="19"/>
      <c r="C208" s="19"/>
      <c r="D208" s="12" t="str">
        <f t="shared" si="2"/>
        <v> </v>
      </c>
      <c r="E208" s="12" t="str">
        <f t="shared" si="3"/>
        <v> </v>
      </c>
      <c r="F208" s="12"/>
      <c r="G208" s="20"/>
      <c r="H208" s="20"/>
      <c r="I208" s="20"/>
      <c r="J208" s="19"/>
      <c r="K208" s="19"/>
      <c r="L208" s="12"/>
      <c r="M208" s="12"/>
      <c r="N208" s="12"/>
      <c r="O208" s="1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11"/>
      <c r="B209" s="19"/>
      <c r="C209" s="19"/>
      <c r="D209" s="12" t="str">
        <f t="shared" si="2"/>
        <v> </v>
      </c>
      <c r="E209" s="12" t="str">
        <f t="shared" si="3"/>
        <v> </v>
      </c>
      <c r="F209" s="12"/>
      <c r="G209" s="20"/>
      <c r="H209" s="20"/>
      <c r="I209" s="20"/>
      <c r="J209" s="19"/>
      <c r="K209" s="19"/>
      <c r="L209" s="12"/>
      <c r="M209" s="12"/>
      <c r="N209" s="12"/>
      <c r="O209" s="1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11"/>
      <c r="B210" s="19"/>
      <c r="C210" s="19"/>
      <c r="D210" s="12" t="str">
        <f t="shared" si="2"/>
        <v> </v>
      </c>
      <c r="E210" s="12" t="str">
        <f t="shared" si="3"/>
        <v> </v>
      </c>
      <c r="F210" s="12"/>
      <c r="G210" s="20"/>
      <c r="H210" s="20"/>
      <c r="I210" s="20"/>
      <c r="J210" s="19"/>
      <c r="K210" s="19"/>
      <c r="L210" s="12"/>
      <c r="M210" s="12"/>
      <c r="N210" s="12"/>
      <c r="O210" s="1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11"/>
      <c r="B211" s="19"/>
      <c r="C211" s="19"/>
      <c r="D211" s="12" t="str">
        <f t="shared" si="2"/>
        <v> </v>
      </c>
      <c r="E211" s="12" t="str">
        <f t="shared" si="3"/>
        <v> </v>
      </c>
      <c r="F211" s="12"/>
      <c r="G211" s="20"/>
      <c r="H211" s="20"/>
      <c r="I211" s="20"/>
      <c r="J211" s="19"/>
      <c r="K211" s="19"/>
      <c r="L211" s="12"/>
      <c r="M211" s="12"/>
      <c r="N211" s="12"/>
      <c r="O211" s="1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11"/>
      <c r="B212" s="19"/>
      <c r="C212" s="19"/>
      <c r="D212" s="12" t="str">
        <f t="shared" si="2"/>
        <v> </v>
      </c>
      <c r="E212" s="12" t="str">
        <f t="shared" si="3"/>
        <v> </v>
      </c>
      <c r="F212" s="12"/>
      <c r="G212" s="20"/>
      <c r="H212" s="20"/>
      <c r="I212" s="20"/>
      <c r="J212" s="19"/>
      <c r="K212" s="19"/>
      <c r="L212" s="12"/>
      <c r="M212" s="12"/>
      <c r="N212" s="12"/>
      <c r="O212" s="1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11"/>
      <c r="B213" s="19"/>
      <c r="C213" s="19"/>
      <c r="D213" s="12" t="str">
        <f t="shared" si="2"/>
        <v> </v>
      </c>
      <c r="E213" s="12" t="str">
        <f t="shared" si="3"/>
        <v> </v>
      </c>
      <c r="F213" s="12"/>
      <c r="G213" s="20"/>
      <c r="H213" s="20"/>
      <c r="I213" s="20"/>
      <c r="J213" s="19"/>
      <c r="K213" s="19"/>
      <c r="L213" s="12"/>
      <c r="M213" s="12"/>
      <c r="N213" s="12"/>
      <c r="O213" s="1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11"/>
      <c r="B214" s="19"/>
      <c r="C214" s="19"/>
      <c r="D214" s="12" t="str">
        <f t="shared" si="2"/>
        <v> </v>
      </c>
      <c r="E214" s="12" t="str">
        <f t="shared" si="3"/>
        <v> </v>
      </c>
      <c r="F214" s="12"/>
      <c r="G214" s="20"/>
      <c r="H214" s="20"/>
      <c r="I214" s="20"/>
      <c r="J214" s="19"/>
      <c r="K214" s="19"/>
      <c r="L214" s="12"/>
      <c r="M214" s="12"/>
      <c r="N214" s="12"/>
      <c r="O214" s="1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11"/>
      <c r="B215" s="19"/>
      <c r="C215" s="19"/>
      <c r="D215" s="12" t="str">
        <f t="shared" si="2"/>
        <v> </v>
      </c>
      <c r="E215" s="12" t="str">
        <f t="shared" si="3"/>
        <v> </v>
      </c>
      <c r="F215" s="12"/>
      <c r="G215" s="20"/>
      <c r="H215" s="20"/>
      <c r="I215" s="20"/>
      <c r="J215" s="19"/>
      <c r="K215" s="19"/>
      <c r="L215" s="12"/>
      <c r="M215" s="12"/>
      <c r="N215" s="12"/>
      <c r="O215" s="1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11"/>
      <c r="B216" s="19"/>
      <c r="C216" s="19"/>
      <c r="D216" s="12" t="str">
        <f t="shared" si="2"/>
        <v> </v>
      </c>
      <c r="E216" s="12" t="str">
        <f t="shared" si="3"/>
        <v> </v>
      </c>
      <c r="F216" s="12"/>
      <c r="G216" s="20"/>
      <c r="H216" s="20"/>
      <c r="I216" s="20"/>
      <c r="J216" s="19"/>
      <c r="K216" s="19"/>
      <c r="L216" s="12"/>
      <c r="M216" s="12"/>
      <c r="N216" s="12"/>
      <c r="O216" s="1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11"/>
      <c r="B217" s="19"/>
      <c r="C217" s="19"/>
      <c r="D217" s="12" t="str">
        <f t="shared" si="2"/>
        <v> </v>
      </c>
      <c r="E217" s="12" t="str">
        <f t="shared" si="3"/>
        <v> </v>
      </c>
      <c r="F217" s="12"/>
      <c r="G217" s="20"/>
      <c r="H217" s="20"/>
      <c r="I217" s="20"/>
      <c r="J217" s="19"/>
      <c r="K217" s="19"/>
      <c r="L217" s="12"/>
      <c r="M217" s="12"/>
      <c r="N217" s="12"/>
      <c r="O217" s="1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11"/>
      <c r="B218" s="19"/>
      <c r="C218" s="19"/>
      <c r="D218" s="12" t="str">
        <f t="shared" si="2"/>
        <v> </v>
      </c>
      <c r="E218" s="12" t="str">
        <f t="shared" si="3"/>
        <v> </v>
      </c>
      <c r="F218" s="12"/>
      <c r="G218" s="20"/>
      <c r="H218" s="20"/>
      <c r="I218" s="20"/>
      <c r="J218" s="19"/>
      <c r="K218" s="19"/>
      <c r="L218" s="12"/>
      <c r="M218" s="12"/>
      <c r="N218" s="12"/>
      <c r="O218" s="1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11"/>
      <c r="B219" s="19"/>
      <c r="C219" s="19"/>
      <c r="D219" s="12" t="str">
        <f t="shared" si="2"/>
        <v> </v>
      </c>
      <c r="E219" s="12" t="str">
        <f t="shared" si="3"/>
        <v> </v>
      </c>
      <c r="F219" s="12"/>
      <c r="G219" s="20"/>
      <c r="H219" s="20"/>
      <c r="I219" s="20"/>
      <c r="J219" s="19"/>
      <c r="K219" s="19"/>
      <c r="L219" s="12"/>
      <c r="M219" s="12"/>
      <c r="N219" s="12"/>
      <c r="O219" s="1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11"/>
      <c r="B220" s="19"/>
      <c r="C220" s="19"/>
      <c r="D220" s="12" t="str">
        <f t="shared" si="2"/>
        <v> </v>
      </c>
      <c r="E220" s="12" t="str">
        <f t="shared" si="3"/>
        <v> </v>
      </c>
      <c r="F220" s="12"/>
      <c r="G220" s="20"/>
      <c r="H220" s="20"/>
      <c r="I220" s="20"/>
      <c r="J220" s="19"/>
      <c r="K220" s="19"/>
      <c r="L220" s="12"/>
      <c r="M220" s="12"/>
      <c r="N220" s="12"/>
      <c r="O220" s="1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11"/>
      <c r="B221" s="19"/>
      <c r="C221" s="19"/>
      <c r="D221" s="12" t="str">
        <f t="shared" si="2"/>
        <v> </v>
      </c>
      <c r="E221" s="12" t="str">
        <f t="shared" si="3"/>
        <v> </v>
      </c>
      <c r="F221" s="12"/>
      <c r="G221" s="20"/>
      <c r="H221" s="20"/>
      <c r="I221" s="20"/>
      <c r="J221" s="19"/>
      <c r="K221" s="19"/>
      <c r="L221" s="12"/>
      <c r="M221" s="12"/>
      <c r="N221" s="12"/>
      <c r="O221" s="1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11"/>
      <c r="B222" s="19"/>
      <c r="C222" s="19"/>
      <c r="D222" s="12" t="str">
        <f t="shared" si="2"/>
        <v> </v>
      </c>
      <c r="E222" s="12" t="str">
        <f t="shared" si="3"/>
        <v> </v>
      </c>
      <c r="F222" s="12"/>
      <c r="G222" s="20"/>
      <c r="H222" s="20"/>
      <c r="I222" s="20"/>
      <c r="J222" s="19"/>
      <c r="K222" s="19"/>
      <c r="L222" s="12"/>
      <c r="M222" s="12"/>
      <c r="N222" s="12"/>
      <c r="O222" s="1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11"/>
      <c r="B223" s="19"/>
      <c r="C223" s="19"/>
      <c r="D223" s="12" t="str">
        <f t="shared" si="2"/>
        <v> </v>
      </c>
      <c r="E223" s="12" t="str">
        <f t="shared" si="3"/>
        <v> </v>
      </c>
      <c r="F223" s="12"/>
      <c r="G223" s="20"/>
      <c r="H223" s="20"/>
      <c r="I223" s="20"/>
      <c r="J223" s="19"/>
      <c r="K223" s="19"/>
      <c r="L223" s="12"/>
      <c r="M223" s="12"/>
      <c r="N223" s="12"/>
      <c r="O223" s="1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11"/>
      <c r="B224" s="19"/>
      <c r="C224" s="19"/>
      <c r="D224" s="12" t="str">
        <f t="shared" si="2"/>
        <v> </v>
      </c>
      <c r="E224" s="12" t="str">
        <f t="shared" si="3"/>
        <v> </v>
      </c>
      <c r="F224" s="12"/>
      <c r="G224" s="20"/>
      <c r="H224" s="20"/>
      <c r="I224" s="20"/>
      <c r="J224" s="19"/>
      <c r="K224" s="19"/>
      <c r="L224" s="12"/>
      <c r="M224" s="12"/>
      <c r="N224" s="12"/>
      <c r="O224" s="1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11"/>
      <c r="B225" s="19"/>
      <c r="C225" s="19"/>
      <c r="D225" s="12" t="str">
        <f t="shared" si="2"/>
        <v> </v>
      </c>
      <c r="E225" s="12" t="str">
        <f t="shared" si="3"/>
        <v> </v>
      </c>
      <c r="F225" s="12"/>
      <c r="G225" s="20"/>
      <c r="H225" s="20"/>
      <c r="I225" s="20"/>
      <c r="J225" s="19"/>
      <c r="K225" s="19"/>
      <c r="L225" s="12"/>
      <c r="M225" s="12"/>
      <c r="N225" s="12"/>
      <c r="O225" s="1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11"/>
      <c r="B226" s="19"/>
      <c r="C226" s="19"/>
      <c r="D226" s="12" t="str">
        <f t="shared" si="2"/>
        <v> </v>
      </c>
      <c r="E226" s="12" t="str">
        <f t="shared" si="3"/>
        <v> </v>
      </c>
      <c r="F226" s="12"/>
      <c r="G226" s="20"/>
      <c r="H226" s="20"/>
      <c r="I226" s="20"/>
      <c r="J226" s="19"/>
      <c r="K226" s="19"/>
      <c r="L226" s="12"/>
      <c r="M226" s="12"/>
      <c r="N226" s="12"/>
      <c r="O226" s="1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11"/>
      <c r="B227" s="19"/>
      <c r="C227" s="19"/>
      <c r="D227" s="12" t="str">
        <f t="shared" si="2"/>
        <v> </v>
      </c>
      <c r="E227" s="12" t="str">
        <f t="shared" si="3"/>
        <v> </v>
      </c>
      <c r="F227" s="12"/>
      <c r="G227" s="20"/>
      <c r="H227" s="20"/>
      <c r="I227" s="20"/>
      <c r="J227" s="19"/>
      <c r="K227" s="19"/>
      <c r="L227" s="12"/>
      <c r="M227" s="12"/>
      <c r="N227" s="12"/>
      <c r="O227" s="1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11"/>
      <c r="B228" s="19"/>
      <c r="C228" s="19"/>
      <c r="D228" s="12" t="str">
        <f t="shared" si="2"/>
        <v> </v>
      </c>
      <c r="E228" s="12" t="str">
        <f t="shared" si="3"/>
        <v> </v>
      </c>
      <c r="F228" s="12"/>
      <c r="G228" s="20"/>
      <c r="H228" s="20"/>
      <c r="I228" s="20"/>
      <c r="J228" s="19"/>
      <c r="K228" s="19"/>
      <c r="L228" s="12"/>
      <c r="M228" s="12"/>
      <c r="N228" s="12"/>
      <c r="O228" s="1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11"/>
      <c r="B229" s="19"/>
      <c r="C229" s="19"/>
      <c r="D229" s="12" t="str">
        <f t="shared" si="2"/>
        <v> </v>
      </c>
      <c r="E229" s="12" t="str">
        <f t="shared" si="3"/>
        <v> </v>
      </c>
      <c r="F229" s="12"/>
      <c r="G229" s="20"/>
      <c r="H229" s="20"/>
      <c r="I229" s="20"/>
      <c r="J229" s="19"/>
      <c r="K229" s="19"/>
      <c r="L229" s="12"/>
      <c r="M229" s="12"/>
      <c r="N229" s="12"/>
      <c r="O229" s="1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11"/>
      <c r="B230" s="19"/>
      <c r="C230" s="19"/>
      <c r="D230" s="12" t="str">
        <f t="shared" si="2"/>
        <v> </v>
      </c>
      <c r="E230" s="12" t="str">
        <f t="shared" si="3"/>
        <v> </v>
      </c>
      <c r="F230" s="12"/>
      <c r="G230" s="20"/>
      <c r="H230" s="20"/>
      <c r="I230" s="20"/>
      <c r="J230" s="19"/>
      <c r="K230" s="19"/>
      <c r="L230" s="12"/>
      <c r="M230" s="12"/>
      <c r="N230" s="12"/>
      <c r="O230" s="1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11"/>
      <c r="B231" s="19"/>
      <c r="C231" s="19"/>
      <c r="D231" s="12" t="str">
        <f t="shared" si="2"/>
        <v> </v>
      </c>
      <c r="E231" s="12" t="str">
        <f t="shared" si="3"/>
        <v> </v>
      </c>
      <c r="F231" s="12"/>
      <c r="G231" s="20"/>
      <c r="H231" s="20"/>
      <c r="I231" s="20"/>
      <c r="J231" s="19"/>
      <c r="K231" s="19"/>
      <c r="L231" s="12"/>
      <c r="M231" s="12"/>
      <c r="N231" s="12"/>
      <c r="O231" s="1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11"/>
      <c r="B232" s="19"/>
      <c r="C232" s="19"/>
      <c r="D232" s="12" t="str">
        <f t="shared" si="2"/>
        <v> </v>
      </c>
      <c r="E232" s="12" t="str">
        <f t="shared" si="3"/>
        <v> </v>
      </c>
      <c r="F232" s="12"/>
      <c r="G232" s="20"/>
      <c r="H232" s="20"/>
      <c r="I232" s="20"/>
      <c r="J232" s="19"/>
      <c r="K232" s="19"/>
      <c r="L232" s="12"/>
      <c r="M232" s="12"/>
      <c r="N232" s="12"/>
      <c r="O232" s="1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11"/>
      <c r="B233" s="19"/>
      <c r="C233" s="19"/>
      <c r="D233" s="12" t="str">
        <f t="shared" si="2"/>
        <v> </v>
      </c>
      <c r="E233" s="12" t="str">
        <f t="shared" si="3"/>
        <v> </v>
      </c>
      <c r="F233" s="12"/>
      <c r="G233" s="20"/>
      <c r="H233" s="20"/>
      <c r="I233" s="20"/>
      <c r="J233" s="19"/>
      <c r="K233" s="19"/>
      <c r="L233" s="12"/>
      <c r="M233" s="12"/>
      <c r="N233" s="12"/>
      <c r="O233" s="1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11"/>
      <c r="B234" s="19"/>
      <c r="C234" s="19"/>
      <c r="D234" s="12" t="str">
        <f t="shared" si="2"/>
        <v> </v>
      </c>
      <c r="E234" s="12" t="str">
        <f t="shared" si="3"/>
        <v> </v>
      </c>
      <c r="F234" s="12"/>
      <c r="G234" s="20"/>
      <c r="H234" s="20"/>
      <c r="I234" s="20"/>
      <c r="J234" s="19"/>
      <c r="K234" s="19"/>
      <c r="L234" s="12"/>
      <c r="M234" s="12"/>
      <c r="N234" s="12"/>
      <c r="O234" s="1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11"/>
      <c r="B235" s="19"/>
      <c r="C235" s="19"/>
      <c r="D235" s="12" t="str">
        <f t="shared" si="2"/>
        <v> </v>
      </c>
      <c r="E235" s="12" t="str">
        <f t="shared" si="3"/>
        <v> </v>
      </c>
      <c r="F235" s="12"/>
      <c r="G235" s="20"/>
      <c r="H235" s="20"/>
      <c r="I235" s="20"/>
      <c r="J235" s="19"/>
      <c r="K235" s="19"/>
      <c r="L235" s="12"/>
      <c r="M235" s="12"/>
      <c r="N235" s="12"/>
      <c r="O235" s="1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11"/>
      <c r="B236" s="19"/>
      <c r="C236" s="19"/>
      <c r="D236" s="12" t="str">
        <f t="shared" si="2"/>
        <v> </v>
      </c>
      <c r="E236" s="12" t="str">
        <f t="shared" si="3"/>
        <v> </v>
      </c>
      <c r="F236" s="12"/>
      <c r="G236" s="20"/>
      <c r="H236" s="20"/>
      <c r="I236" s="20"/>
      <c r="J236" s="19"/>
      <c r="K236" s="19"/>
      <c r="L236" s="12"/>
      <c r="M236" s="12"/>
      <c r="N236" s="12"/>
      <c r="O236" s="1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11"/>
      <c r="B237" s="19"/>
      <c r="C237" s="19"/>
      <c r="D237" s="12" t="str">
        <f t="shared" si="2"/>
        <v> </v>
      </c>
      <c r="E237" s="12" t="str">
        <f t="shared" si="3"/>
        <v> </v>
      </c>
      <c r="F237" s="12"/>
      <c r="G237" s="20"/>
      <c r="H237" s="20"/>
      <c r="I237" s="20"/>
      <c r="J237" s="19"/>
      <c r="K237" s="19"/>
      <c r="L237" s="12"/>
      <c r="M237" s="12"/>
      <c r="N237" s="12"/>
      <c r="O237" s="1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11"/>
      <c r="B238" s="19"/>
      <c r="C238" s="19"/>
      <c r="D238" s="12" t="str">
        <f t="shared" si="2"/>
        <v> </v>
      </c>
      <c r="E238" s="12" t="str">
        <f t="shared" si="3"/>
        <v> </v>
      </c>
      <c r="F238" s="12"/>
      <c r="G238" s="20"/>
      <c r="H238" s="20"/>
      <c r="I238" s="20"/>
      <c r="J238" s="19"/>
      <c r="K238" s="19"/>
      <c r="L238" s="12"/>
      <c r="M238" s="12"/>
      <c r="N238" s="12"/>
      <c r="O238" s="1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11"/>
      <c r="B239" s="19"/>
      <c r="C239" s="19"/>
      <c r="D239" s="12" t="str">
        <f t="shared" si="2"/>
        <v> </v>
      </c>
      <c r="E239" s="12" t="str">
        <f t="shared" si="3"/>
        <v> </v>
      </c>
      <c r="F239" s="12"/>
      <c r="G239" s="20"/>
      <c r="H239" s="20"/>
      <c r="I239" s="20"/>
      <c r="J239" s="19"/>
      <c r="K239" s="19"/>
      <c r="L239" s="12"/>
      <c r="M239" s="12"/>
      <c r="N239" s="12"/>
      <c r="O239" s="1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11"/>
      <c r="B240" s="19"/>
      <c r="C240" s="19"/>
      <c r="D240" s="12" t="str">
        <f t="shared" si="2"/>
        <v> </v>
      </c>
      <c r="E240" s="12" t="str">
        <f t="shared" si="3"/>
        <v> </v>
      </c>
      <c r="F240" s="12"/>
      <c r="G240" s="20"/>
      <c r="H240" s="20"/>
      <c r="I240" s="20"/>
      <c r="J240" s="19"/>
      <c r="K240" s="19"/>
      <c r="L240" s="12"/>
      <c r="M240" s="12"/>
      <c r="N240" s="12"/>
      <c r="O240" s="1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11"/>
      <c r="B241" s="19"/>
      <c r="C241" s="19"/>
      <c r="D241" s="12" t="str">
        <f t="shared" si="2"/>
        <v> </v>
      </c>
      <c r="E241" s="12" t="str">
        <f t="shared" si="3"/>
        <v> </v>
      </c>
      <c r="F241" s="12"/>
      <c r="G241" s="20"/>
      <c r="H241" s="20"/>
      <c r="I241" s="20"/>
      <c r="J241" s="19"/>
      <c r="K241" s="19"/>
      <c r="L241" s="12"/>
      <c r="M241" s="12"/>
      <c r="N241" s="12"/>
      <c r="O241" s="1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11"/>
      <c r="B242" s="19"/>
      <c r="C242" s="19"/>
      <c r="D242" s="12" t="str">
        <f t="shared" si="2"/>
        <v> </v>
      </c>
      <c r="E242" s="12" t="str">
        <f t="shared" si="3"/>
        <v> </v>
      </c>
      <c r="F242" s="12"/>
      <c r="G242" s="20"/>
      <c r="H242" s="20"/>
      <c r="I242" s="20"/>
      <c r="J242" s="19"/>
      <c r="K242" s="19"/>
      <c r="L242" s="12"/>
      <c r="M242" s="12"/>
      <c r="N242" s="12"/>
      <c r="O242" s="1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11"/>
      <c r="B243" s="19"/>
      <c r="C243" s="19"/>
      <c r="D243" s="12" t="str">
        <f t="shared" si="2"/>
        <v> </v>
      </c>
      <c r="E243" s="12" t="str">
        <f t="shared" si="3"/>
        <v> </v>
      </c>
      <c r="F243" s="12"/>
      <c r="G243" s="20"/>
      <c r="H243" s="20"/>
      <c r="I243" s="20"/>
      <c r="J243" s="19"/>
      <c r="K243" s="19"/>
      <c r="L243" s="12"/>
      <c r="M243" s="12"/>
      <c r="N243" s="12"/>
      <c r="O243" s="1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11"/>
      <c r="B244" s="19"/>
      <c r="C244" s="19"/>
      <c r="D244" s="12" t="str">
        <f t="shared" si="2"/>
        <v> </v>
      </c>
      <c r="E244" s="12" t="str">
        <f t="shared" si="3"/>
        <v> </v>
      </c>
      <c r="F244" s="12"/>
      <c r="G244" s="20"/>
      <c r="H244" s="20"/>
      <c r="I244" s="20"/>
      <c r="J244" s="19"/>
      <c r="K244" s="19"/>
      <c r="L244" s="12"/>
      <c r="M244" s="12"/>
      <c r="N244" s="12"/>
      <c r="O244" s="1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11"/>
      <c r="B245" s="19"/>
      <c r="C245" s="19"/>
      <c r="D245" s="12" t="str">
        <f t="shared" si="2"/>
        <v> </v>
      </c>
      <c r="E245" s="12" t="str">
        <f t="shared" si="3"/>
        <v> </v>
      </c>
      <c r="F245" s="12"/>
      <c r="G245" s="20"/>
      <c r="H245" s="20"/>
      <c r="I245" s="20"/>
      <c r="J245" s="19"/>
      <c r="K245" s="19"/>
      <c r="L245" s="12"/>
      <c r="M245" s="12"/>
      <c r="N245" s="12"/>
      <c r="O245" s="1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11"/>
      <c r="B246" s="19"/>
      <c r="C246" s="19"/>
      <c r="D246" s="12" t="str">
        <f t="shared" si="2"/>
        <v> </v>
      </c>
      <c r="E246" s="12" t="str">
        <f t="shared" si="3"/>
        <v> </v>
      </c>
      <c r="F246" s="12"/>
      <c r="G246" s="20"/>
      <c r="H246" s="20"/>
      <c r="I246" s="20"/>
      <c r="J246" s="19"/>
      <c r="K246" s="19"/>
      <c r="L246" s="12"/>
      <c r="M246" s="12"/>
      <c r="N246" s="12"/>
      <c r="O246" s="1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11"/>
      <c r="B247" s="19"/>
      <c r="C247" s="19"/>
      <c r="D247" s="12" t="str">
        <f t="shared" si="2"/>
        <v> </v>
      </c>
      <c r="E247" s="12" t="str">
        <f t="shared" si="3"/>
        <v> </v>
      </c>
      <c r="F247" s="12"/>
      <c r="G247" s="20"/>
      <c r="H247" s="20"/>
      <c r="I247" s="20"/>
      <c r="J247" s="19"/>
      <c r="K247" s="19"/>
      <c r="L247" s="12"/>
      <c r="M247" s="12"/>
      <c r="N247" s="12"/>
      <c r="O247" s="1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11"/>
      <c r="B248" s="19"/>
      <c r="C248" s="19"/>
      <c r="D248" s="12" t="str">
        <f t="shared" si="2"/>
        <v> </v>
      </c>
      <c r="E248" s="12" t="str">
        <f t="shared" si="3"/>
        <v> </v>
      </c>
      <c r="F248" s="12"/>
      <c r="G248" s="20"/>
      <c r="H248" s="20"/>
      <c r="I248" s="20"/>
      <c r="J248" s="19"/>
      <c r="K248" s="19"/>
      <c r="L248" s="12"/>
      <c r="M248" s="12"/>
      <c r="N248" s="12"/>
      <c r="O248" s="1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11"/>
      <c r="B249" s="19"/>
      <c r="C249" s="19"/>
      <c r="D249" s="12" t="str">
        <f t="shared" si="2"/>
        <v> </v>
      </c>
      <c r="E249" s="12" t="str">
        <f t="shared" si="3"/>
        <v> </v>
      </c>
      <c r="F249" s="12"/>
      <c r="G249" s="20"/>
      <c r="H249" s="20"/>
      <c r="I249" s="20"/>
      <c r="J249" s="19"/>
      <c r="K249" s="19"/>
      <c r="L249" s="12"/>
      <c r="M249" s="12"/>
      <c r="N249" s="12"/>
      <c r="O249" s="1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11"/>
      <c r="B250" s="19"/>
      <c r="C250" s="19"/>
      <c r="D250" s="12" t="str">
        <f t="shared" si="2"/>
        <v> </v>
      </c>
      <c r="E250" s="12" t="str">
        <f t="shared" si="3"/>
        <v> </v>
      </c>
      <c r="F250" s="12"/>
      <c r="G250" s="20"/>
      <c r="H250" s="20"/>
      <c r="I250" s="20"/>
      <c r="J250" s="19"/>
      <c r="K250" s="19"/>
      <c r="L250" s="12"/>
      <c r="M250" s="12"/>
      <c r="N250" s="12"/>
      <c r="O250" s="1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11"/>
      <c r="B251" s="19"/>
      <c r="C251" s="19"/>
      <c r="D251" s="12" t="str">
        <f t="shared" si="2"/>
        <v> </v>
      </c>
      <c r="E251" s="12" t="str">
        <f t="shared" si="3"/>
        <v> </v>
      </c>
      <c r="F251" s="12"/>
      <c r="G251" s="20"/>
      <c r="H251" s="20"/>
      <c r="I251" s="20"/>
      <c r="J251" s="19"/>
      <c r="K251" s="19"/>
      <c r="L251" s="12"/>
      <c r="M251" s="12"/>
      <c r="N251" s="12"/>
      <c r="O251" s="1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11"/>
      <c r="B252" s="19"/>
      <c r="C252" s="19"/>
      <c r="D252" s="12" t="str">
        <f t="shared" si="2"/>
        <v> </v>
      </c>
      <c r="E252" s="12" t="str">
        <f t="shared" si="3"/>
        <v> </v>
      </c>
      <c r="F252" s="12"/>
      <c r="G252" s="20"/>
      <c r="H252" s="20"/>
      <c r="I252" s="20"/>
      <c r="J252" s="19"/>
      <c r="K252" s="19"/>
      <c r="L252" s="12"/>
      <c r="M252" s="12"/>
      <c r="N252" s="12"/>
      <c r="O252" s="1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11"/>
      <c r="B253" s="19"/>
      <c r="C253" s="19"/>
      <c r="D253" s="12" t="str">
        <f t="shared" si="2"/>
        <v> </v>
      </c>
      <c r="E253" s="12" t="str">
        <f t="shared" si="3"/>
        <v> </v>
      </c>
      <c r="F253" s="12"/>
      <c r="G253" s="20"/>
      <c r="H253" s="20"/>
      <c r="I253" s="20"/>
      <c r="J253" s="19"/>
      <c r="K253" s="19"/>
      <c r="L253" s="12"/>
      <c r="M253" s="12"/>
      <c r="N253" s="12"/>
      <c r="O253" s="1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11"/>
      <c r="B254" s="19"/>
      <c r="C254" s="19"/>
      <c r="D254" s="12" t="str">
        <f t="shared" si="2"/>
        <v> </v>
      </c>
      <c r="E254" s="12" t="str">
        <f t="shared" si="3"/>
        <v> </v>
      </c>
      <c r="F254" s="12"/>
      <c r="G254" s="20"/>
      <c r="H254" s="20"/>
      <c r="I254" s="20"/>
      <c r="J254" s="19"/>
      <c r="K254" s="19"/>
      <c r="L254" s="12"/>
      <c r="M254" s="12"/>
      <c r="N254" s="12"/>
      <c r="O254" s="1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11"/>
      <c r="B255" s="19"/>
      <c r="C255" s="19"/>
      <c r="D255" s="12" t="str">
        <f t="shared" si="2"/>
        <v> </v>
      </c>
      <c r="E255" s="12" t="str">
        <f t="shared" si="3"/>
        <v> </v>
      </c>
      <c r="F255" s="12"/>
      <c r="G255" s="20"/>
      <c r="H255" s="20"/>
      <c r="I255" s="20"/>
      <c r="J255" s="19"/>
      <c r="K255" s="19"/>
      <c r="L255" s="12"/>
      <c r="M255" s="12"/>
      <c r="N255" s="12"/>
      <c r="O255" s="1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11"/>
      <c r="B256" s="19"/>
      <c r="C256" s="19"/>
      <c r="D256" s="12" t="str">
        <f t="shared" si="2"/>
        <v> </v>
      </c>
      <c r="E256" s="12" t="str">
        <f t="shared" si="3"/>
        <v> </v>
      </c>
      <c r="F256" s="12"/>
      <c r="G256" s="20"/>
      <c r="H256" s="20"/>
      <c r="I256" s="20"/>
      <c r="J256" s="19"/>
      <c r="K256" s="19"/>
      <c r="L256" s="12"/>
      <c r="M256" s="12"/>
      <c r="N256" s="12"/>
      <c r="O256" s="1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11"/>
      <c r="B257" s="19"/>
      <c r="C257" s="19"/>
      <c r="D257" s="12" t="str">
        <f t="shared" si="2"/>
        <v> </v>
      </c>
      <c r="E257" s="12" t="str">
        <f t="shared" si="3"/>
        <v> </v>
      </c>
      <c r="F257" s="12"/>
      <c r="G257" s="20"/>
      <c r="H257" s="20"/>
      <c r="I257" s="20"/>
      <c r="J257" s="19"/>
      <c r="K257" s="19"/>
      <c r="L257" s="12"/>
      <c r="M257" s="12"/>
      <c r="N257" s="12"/>
      <c r="O257" s="1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11"/>
      <c r="B258" s="19"/>
      <c r="C258" s="19"/>
      <c r="D258" s="12" t="str">
        <f t="shared" si="2"/>
        <v> </v>
      </c>
      <c r="E258" s="12" t="str">
        <f t="shared" si="3"/>
        <v> </v>
      </c>
      <c r="F258" s="12"/>
      <c r="G258" s="20"/>
      <c r="H258" s="20"/>
      <c r="I258" s="20"/>
      <c r="J258" s="19"/>
      <c r="K258" s="19"/>
      <c r="L258" s="12"/>
      <c r="M258" s="12"/>
      <c r="N258" s="12"/>
      <c r="O258" s="1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11"/>
      <c r="B259" s="19"/>
      <c r="C259" s="19"/>
      <c r="D259" s="12" t="str">
        <f t="shared" si="2"/>
        <v> </v>
      </c>
      <c r="E259" s="12" t="str">
        <f t="shared" si="3"/>
        <v> </v>
      </c>
      <c r="F259" s="12"/>
      <c r="G259" s="20"/>
      <c r="H259" s="20"/>
      <c r="I259" s="20"/>
      <c r="J259" s="19"/>
      <c r="K259" s="19"/>
      <c r="L259" s="12"/>
      <c r="M259" s="12"/>
      <c r="N259" s="12"/>
      <c r="O259" s="1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11"/>
      <c r="B260" s="19"/>
      <c r="C260" s="19"/>
      <c r="D260" s="12" t="str">
        <f t="shared" si="2"/>
        <v> </v>
      </c>
      <c r="E260" s="12" t="str">
        <f t="shared" si="3"/>
        <v> </v>
      </c>
      <c r="F260" s="12"/>
      <c r="G260" s="20"/>
      <c r="H260" s="20"/>
      <c r="I260" s="20"/>
      <c r="J260" s="19"/>
      <c r="K260" s="19"/>
      <c r="L260" s="12"/>
      <c r="M260" s="12"/>
      <c r="N260" s="12"/>
      <c r="O260" s="1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11"/>
      <c r="B261" s="19"/>
      <c r="C261" s="19"/>
      <c r="D261" s="12" t="str">
        <f t="shared" si="2"/>
        <v> </v>
      </c>
      <c r="E261" s="12" t="str">
        <f t="shared" si="3"/>
        <v> </v>
      </c>
      <c r="F261" s="12"/>
      <c r="G261" s="20"/>
      <c r="H261" s="20"/>
      <c r="I261" s="20"/>
      <c r="J261" s="19"/>
      <c r="K261" s="19"/>
      <c r="L261" s="12"/>
      <c r="M261" s="12"/>
      <c r="N261" s="12"/>
      <c r="O261" s="1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11"/>
      <c r="B262" s="19"/>
      <c r="C262" s="19"/>
      <c r="D262" s="12" t="str">
        <f t="shared" si="2"/>
        <v> </v>
      </c>
      <c r="E262" s="12" t="str">
        <f t="shared" si="3"/>
        <v> </v>
      </c>
      <c r="F262" s="12"/>
      <c r="G262" s="20"/>
      <c r="H262" s="20"/>
      <c r="I262" s="20"/>
      <c r="J262" s="19"/>
      <c r="K262" s="19"/>
      <c r="L262" s="12"/>
      <c r="M262" s="12"/>
      <c r="N262" s="12"/>
      <c r="O262" s="1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11"/>
      <c r="B263" s="19"/>
      <c r="C263" s="19"/>
      <c r="D263" s="12" t="str">
        <f t="shared" si="2"/>
        <v> </v>
      </c>
      <c r="E263" s="12" t="str">
        <f t="shared" si="3"/>
        <v> </v>
      </c>
      <c r="F263" s="12"/>
      <c r="G263" s="20"/>
      <c r="H263" s="20"/>
      <c r="I263" s="20"/>
      <c r="J263" s="19"/>
      <c r="K263" s="19"/>
      <c r="L263" s="12"/>
      <c r="M263" s="12"/>
      <c r="N263" s="12"/>
      <c r="O263" s="1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11"/>
      <c r="B264" s="19"/>
      <c r="C264" s="19"/>
      <c r="D264" s="12" t="str">
        <f t="shared" si="2"/>
        <v> </v>
      </c>
      <c r="E264" s="12" t="str">
        <f t="shared" si="3"/>
        <v> </v>
      </c>
      <c r="F264" s="12"/>
      <c r="G264" s="20"/>
      <c r="H264" s="20"/>
      <c r="I264" s="20"/>
      <c r="J264" s="19"/>
      <c r="K264" s="19"/>
      <c r="L264" s="12"/>
      <c r="M264" s="12"/>
      <c r="N264" s="12"/>
      <c r="O264" s="1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11"/>
      <c r="B265" s="19"/>
      <c r="C265" s="19"/>
      <c r="D265" s="12" t="str">
        <f t="shared" si="2"/>
        <v> </v>
      </c>
      <c r="E265" s="12" t="str">
        <f t="shared" si="3"/>
        <v> </v>
      </c>
      <c r="F265" s="12"/>
      <c r="G265" s="20"/>
      <c r="H265" s="20"/>
      <c r="I265" s="20"/>
      <c r="J265" s="19"/>
      <c r="K265" s="19"/>
      <c r="L265" s="12"/>
      <c r="M265" s="12"/>
      <c r="N265" s="12"/>
      <c r="O265" s="1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11"/>
      <c r="B266" s="19"/>
      <c r="C266" s="19"/>
      <c r="D266" s="12" t="str">
        <f t="shared" si="2"/>
        <v> </v>
      </c>
      <c r="E266" s="12" t="str">
        <f t="shared" si="3"/>
        <v> </v>
      </c>
      <c r="F266" s="12"/>
      <c r="G266" s="20"/>
      <c r="H266" s="20"/>
      <c r="I266" s="20"/>
      <c r="J266" s="19"/>
      <c r="K266" s="19"/>
      <c r="L266" s="12"/>
      <c r="M266" s="12"/>
      <c r="N266" s="12"/>
      <c r="O266" s="1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11"/>
      <c r="B267" s="19"/>
      <c r="C267" s="19"/>
      <c r="D267" s="12" t="str">
        <f t="shared" si="2"/>
        <v> </v>
      </c>
      <c r="E267" s="12" t="str">
        <f t="shared" si="3"/>
        <v> </v>
      </c>
      <c r="F267" s="12"/>
      <c r="G267" s="20"/>
      <c r="H267" s="20"/>
      <c r="I267" s="20"/>
      <c r="J267" s="19"/>
      <c r="K267" s="19"/>
      <c r="L267" s="12"/>
      <c r="M267" s="12"/>
      <c r="N267" s="12"/>
      <c r="O267" s="1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11"/>
      <c r="B268" s="19"/>
      <c r="C268" s="19"/>
      <c r="D268" s="12" t="str">
        <f t="shared" si="2"/>
        <v> </v>
      </c>
      <c r="E268" s="12" t="str">
        <f t="shared" si="3"/>
        <v> </v>
      </c>
      <c r="F268" s="12"/>
      <c r="G268" s="20"/>
      <c r="H268" s="20"/>
      <c r="I268" s="20"/>
      <c r="J268" s="19"/>
      <c r="K268" s="19"/>
      <c r="L268" s="12"/>
      <c r="M268" s="12"/>
      <c r="N268" s="12"/>
      <c r="O268" s="1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11"/>
      <c r="B269" s="19"/>
      <c r="C269" s="19"/>
      <c r="D269" s="12" t="str">
        <f t="shared" si="2"/>
        <v> </v>
      </c>
      <c r="E269" s="12" t="str">
        <f t="shared" si="3"/>
        <v> </v>
      </c>
      <c r="F269" s="12"/>
      <c r="G269" s="20"/>
      <c r="H269" s="20"/>
      <c r="I269" s="20"/>
      <c r="J269" s="19"/>
      <c r="K269" s="19"/>
      <c r="L269" s="12"/>
      <c r="M269" s="12"/>
      <c r="N269" s="12"/>
      <c r="O269" s="1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11"/>
      <c r="B270" s="19"/>
      <c r="C270" s="19"/>
      <c r="D270" s="12" t="str">
        <f t="shared" si="2"/>
        <v> </v>
      </c>
      <c r="E270" s="12" t="str">
        <f t="shared" si="3"/>
        <v> </v>
      </c>
      <c r="F270" s="12"/>
      <c r="G270" s="20"/>
      <c r="H270" s="20"/>
      <c r="I270" s="20"/>
      <c r="J270" s="19"/>
      <c r="K270" s="19"/>
      <c r="L270" s="12"/>
      <c r="M270" s="12"/>
      <c r="N270" s="12"/>
      <c r="O270" s="1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11"/>
      <c r="B271" s="19"/>
      <c r="C271" s="19"/>
      <c r="D271" s="12" t="str">
        <f t="shared" si="2"/>
        <v> </v>
      </c>
      <c r="E271" s="12" t="str">
        <f t="shared" si="3"/>
        <v> </v>
      </c>
      <c r="F271" s="12"/>
      <c r="G271" s="20"/>
      <c r="H271" s="20"/>
      <c r="I271" s="20"/>
      <c r="J271" s="19"/>
      <c r="K271" s="19"/>
      <c r="L271" s="12"/>
      <c r="M271" s="12"/>
      <c r="N271" s="12"/>
      <c r="O271" s="1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11"/>
      <c r="B272" s="19"/>
      <c r="C272" s="19"/>
      <c r="D272" s="12" t="str">
        <f t="shared" si="2"/>
        <v> </v>
      </c>
      <c r="E272" s="12" t="str">
        <f t="shared" si="3"/>
        <v> </v>
      </c>
      <c r="F272" s="12"/>
      <c r="G272" s="20"/>
      <c r="H272" s="20"/>
      <c r="I272" s="20"/>
      <c r="J272" s="19"/>
      <c r="K272" s="19"/>
      <c r="L272" s="12"/>
      <c r="M272" s="12"/>
      <c r="N272" s="12"/>
      <c r="O272" s="1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11"/>
      <c r="B273" s="19"/>
      <c r="C273" s="19"/>
      <c r="D273" s="12" t="str">
        <f t="shared" si="2"/>
        <v> </v>
      </c>
      <c r="E273" s="12" t="str">
        <f t="shared" si="3"/>
        <v> </v>
      </c>
      <c r="F273" s="12"/>
      <c r="G273" s="20"/>
      <c r="H273" s="20"/>
      <c r="I273" s="20"/>
      <c r="J273" s="19"/>
      <c r="K273" s="19"/>
      <c r="L273" s="12"/>
      <c r="M273" s="12"/>
      <c r="N273" s="12"/>
      <c r="O273" s="1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11"/>
      <c r="B274" s="19"/>
      <c r="C274" s="19"/>
      <c r="D274" s="12" t="str">
        <f t="shared" si="2"/>
        <v> </v>
      </c>
      <c r="E274" s="12" t="str">
        <f t="shared" si="3"/>
        <v> </v>
      </c>
      <c r="F274" s="12"/>
      <c r="G274" s="20"/>
      <c r="H274" s="20"/>
      <c r="I274" s="20"/>
      <c r="J274" s="19"/>
      <c r="K274" s="19"/>
      <c r="L274" s="12"/>
      <c r="M274" s="12"/>
      <c r="N274" s="12"/>
      <c r="O274" s="1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11"/>
      <c r="B275" s="19"/>
      <c r="C275" s="19"/>
      <c r="D275" s="12" t="str">
        <f t="shared" si="2"/>
        <v> </v>
      </c>
      <c r="E275" s="12" t="str">
        <f t="shared" si="3"/>
        <v> </v>
      </c>
      <c r="F275" s="12"/>
      <c r="G275" s="20"/>
      <c r="H275" s="20"/>
      <c r="I275" s="20"/>
      <c r="J275" s="19"/>
      <c r="K275" s="19"/>
      <c r="L275" s="12"/>
      <c r="M275" s="12"/>
      <c r="N275" s="12"/>
      <c r="O275" s="1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11"/>
      <c r="B276" s="19"/>
      <c r="C276" s="19"/>
      <c r="D276" s="12" t="str">
        <f t="shared" si="2"/>
        <v> </v>
      </c>
      <c r="E276" s="12" t="str">
        <f t="shared" si="3"/>
        <v> </v>
      </c>
      <c r="F276" s="12"/>
      <c r="G276" s="20"/>
      <c r="H276" s="20"/>
      <c r="I276" s="20"/>
      <c r="J276" s="19"/>
      <c r="K276" s="19"/>
      <c r="L276" s="12"/>
      <c r="M276" s="12"/>
      <c r="N276" s="12"/>
      <c r="O276" s="1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11"/>
      <c r="B277" s="19"/>
      <c r="C277" s="19"/>
      <c r="D277" s="12" t="str">
        <f t="shared" si="2"/>
        <v> </v>
      </c>
      <c r="E277" s="12" t="str">
        <f t="shared" si="3"/>
        <v> </v>
      </c>
      <c r="F277" s="12"/>
      <c r="G277" s="20"/>
      <c r="H277" s="20"/>
      <c r="I277" s="20"/>
      <c r="J277" s="19"/>
      <c r="K277" s="19"/>
      <c r="L277" s="12"/>
      <c r="M277" s="12"/>
      <c r="N277" s="12"/>
      <c r="O277" s="1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11"/>
      <c r="B278" s="19"/>
      <c r="C278" s="19"/>
      <c r="D278" s="12" t="str">
        <f t="shared" si="2"/>
        <v> </v>
      </c>
      <c r="E278" s="12" t="str">
        <f t="shared" si="3"/>
        <v> </v>
      </c>
      <c r="F278" s="12"/>
      <c r="G278" s="20"/>
      <c r="H278" s="20"/>
      <c r="I278" s="20"/>
      <c r="J278" s="19"/>
      <c r="K278" s="19"/>
      <c r="L278" s="12"/>
      <c r="M278" s="12"/>
      <c r="N278" s="12"/>
      <c r="O278" s="1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11"/>
      <c r="B279" s="19"/>
      <c r="C279" s="19"/>
      <c r="D279" s="12" t="str">
        <f t="shared" si="2"/>
        <v> </v>
      </c>
      <c r="E279" s="12" t="str">
        <f t="shared" si="3"/>
        <v> </v>
      </c>
      <c r="F279" s="12"/>
      <c r="G279" s="20"/>
      <c r="H279" s="20"/>
      <c r="I279" s="20"/>
      <c r="J279" s="19"/>
      <c r="K279" s="19"/>
      <c r="L279" s="12"/>
      <c r="M279" s="12"/>
      <c r="N279" s="12"/>
      <c r="O279" s="1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11"/>
      <c r="B280" s="19"/>
      <c r="C280" s="19"/>
      <c r="D280" s="12" t="str">
        <f t="shared" si="2"/>
        <v> </v>
      </c>
      <c r="E280" s="12" t="str">
        <f t="shared" si="3"/>
        <v> </v>
      </c>
      <c r="F280" s="12"/>
      <c r="G280" s="20"/>
      <c r="H280" s="20"/>
      <c r="I280" s="20"/>
      <c r="J280" s="19"/>
      <c r="K280" s="19"/>
      <c r="L280" s="12"/>
      <c r="M280" s="12"/>
      <c r="N280" s="12"/>
      <c r="O280" s="1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11"/>
      <c r="B281" s="19"/>
      <c r="C281" s="19"/>
      <c r="D281" s="12" t="str">
        <f t="shared" si="2"/>
        <v> </v>
      </c>
      <c r="E281" s="12" t="str">
        <f t="shared" si="3"/>
        <v> </v>
      </c>
      <c r="F281" s="12"/>
      <c r="G281" s="20"/>
      <c r="H281" s="20"/>
      <c r="I281" s="20"/>
      <c r="J281" s="19"/>
      <c r="K281" s="19"/>
      <c r="L281" s="12"/>
      <c r="M281" s="12"/>
      <c r="N281" s="12"/>
      <c r="O281" s="1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11"/>
      <c r="B282" s="19"/>
      <c r="C282" s="19"/>
      <c r="D282" s="12" t="str">
        <f t="shared" si="2"/>
        <v> </v>
      </c>
      <c r="E282" s="12" t="str">
        <f t="shared" si="3"/>
        <v> </v>
      </c>
      <c r="F282" s="12"/>
      <c r="G282" s="20"/>
      <c r="H282" s="20"/>
      <c r="I282" s="20"/>
      <c r="J282" s="19"/>
      <c r="K282" s="19"/>
      <c r="L282" s="12"/>
      <c r="M282" s="12"/>
      <c r="N282" s="12"/>
      <c r="O282" s="1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11"/>
      <c r="B283" s="19"/>
      <c r="C283" s="19"/>
      <c r="D283" s="12" t="str">
        <f t="shared" si="2"/>
        <v> </v>
      </c>
      <c r="E283" s="12" t="str">
        <f t="shared" si="3"/>
        <v> </v>
      </c>
      <c r="F283" s="12"/>
      <c r="G283" s="20"/>
      <c r="H283" s="20"/>
      <c r="I283" s="20"/>
      <c r="J283" s="19"/>
      <c r="K283" s="19"/>
      <c r="L283" s="12"/>
      <c r="M283" s="12"/>
      <c r="N283" s="12"/>
      <c r="O283" s="1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11"/>
      <c r="B284" s="19"/>
      <c r="C284" s="19"/>
      <c r="D284" s="12" t="str">
        <f t="shared" si="2"/>
        <v> </v>
      </c>
      <c r="E284" s="12" t="str">
        <f t="shared" si="3"/>
        <v> </v>
      </c>
      <c r="F284" s="12"/>
      <c r="G284" s="20"/>
      <c r="H284" s="20"/>
      <c r="I284" s="20"/>
      <c r="J284" s="19"/>
      <c r="K284" s="19"/>
      <c r="L284" s="12"/>
      <c r="M284" s="12"/>
      <c r="N284" s="12"/>
      <c r="O284" s="1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11"/>
      <c r="B285" s="19"/>
      <c r="C285" s="19"/>
      <c r="D285" s="12" t="str">
        <f t="shared" si="2"/>
        <v> </v>
      </c>
      <c r="E285" s="12" t="str">
        <f t="shared" si="3"/>
        <v> </v>
      </c>
      <c r="F285" s="12"/>
      <c r="G285" s="20"/>
      <c r="H285" s="20"/>
      <c r="I285" s="20"/>
      <c r="J285" s="19"/>
      <c r="K285" s="19"/>
      <c r="L285" s="12"/>
      <c r="M285" s="12"/>
      <c r="N285" s="12"/>
      <c r="O285" s="1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11"/>
      <c r="B286" s="19"/>
      <c r="C286" s="19"/>
      <c r="D286" s="12" t="str">
        <f t="shared" si="2"/>
        <v> </v>
      </c>
      <c r="E286" s="12" t="str">
        <f t="shared" si="3"/>
        <v> </v>
      </c>
      <c r="F286" s="12"/>
      <c r="G286" s="20"/>
      <c r="H286" s="20"/>
      <c r="I286" s="20"/>
      <c r="J286" s="19"/>
      <c r="K286" s="19"/>
      <c r="L286" s="12"/>
      <c r="M286" s="12"/>
      <c r="N286" s="12"/>
      <c r="O286" s="1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11"/>
      <c r="B287" s="19"/>
      <c r="C287" s="19"/>
      <c r="D287" s="12" t="str">
        <f t="shared" si="2"/>
        <v> </v>
      </c>
      <c r="E287" s="12" t="str">
        <f t="shared" si="3"/>
        <v> </v>
      </c>
      <c r="F287" s="12"/>
      <c r="G287" s="20"/>
      <c r="H287" s="20"/>
      <c r="I287" s="20"/>
      <c r="J287" s="19"/>
      <c r="K287" s="19"/>
      <c r="L287" s="12"/>
      <c r="M287" s="12"/>
      <c r="N287" s="12"/>
      <c r="O287" s="1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11"/>
      <c r="B288" s="19"/>
      <c r="C288" s="19"/>
      <c r="D288" s="12" t="str">
        <f t="shared" si="2"/>
        <v> </v>
      </c>
      <c r="E288" s="12" t="str">
        <f t="shared" si="3"/>
        <v> </v>
      </c>
      <c r="F288" s="12"/>
      <c r="G288" s="20"/>
      <c r="H288" s="20"/>
      <c r="I288" s="20"/>
      <c r="J288" s="19"/>
      <c r="K288" s="19"/>
      <c r="L288" s="12"/>
      <c r="M288" s="12"/>
      <c r="N288" s="12"/>
      <c r="O288" s="1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11"/>
      <c r="B289" s="19"/>
      <c r="C289" s="19"/>
      <c r="D289" s="12" t="str">
        <f t="shared" si="2"/>
        <v> </v>
      </c>
      <c r="E289" s="12" t="str">
        <f t="shared" si="3"/>
        <v> </v>
      </c>
      <c r="F289" s="12"/>
      <c r="G289" s="20"/>
      <c r="H289" s="20"/>
      <c r="I289" s="20"/>
      <c r="J289" s="19"/>
      <c r="K289" s="19"/>
      <c r="L289" s="12"/>
      <c r="M289" s="12"/>
      <c r="N289" s="12"/>
      <c r="O289" s="1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11"/>
      <c r="B290" s="19"/>
      <c r="C290" s="19"/>
      <c r="D290" s="12" t="str">
        <f t="shared" si="2"/>
        <v> </v>
      </c>
      <c r="E290" s="12" t="str">
        <f t="shared" si="3"/>
        <v> </v>
      </c>
      <c r="F290" s="12"/>
      <c r="G290" s="20"/>
      <c r="H290" s="20"/>
      <c r="I290" s="20"/>
      <c r="J290" s="19"/>
      <c r="K290" s="19"/>
      <c r="L290" s="12"/>
      <c r="M290" s="12"/>
      <c r="N290" s="12"/>
      <c r="O290" s="1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11"/>
      <c r="B291" s="19"/>
      <c r="C291" s="19"/>
      <c r="D291" s="12" t="str">
        <f t="shared" si="2"/>
        <v> </v>
      </c>
      <c r="E291" s="12" t="str">
        <f t="shared" si="3"/>
        <v> </v>
      </c>
      <c r="F291" s="12"/>
      <c r="G291" s="20"/>
      <c r="H291" s="20"/>
      <c r="I291" s="20"/>
      <c r="J291" s="19"/>
      <c r="K291" s="19"/>
      <c r="L291" s="12"/>
      <c r="M291" s="12"/>
      <c r="N291" s="12"/>
      <c r="O291" s="1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11"/>
      <c r="B292" s="19"/>
      <c r="C292" s="19"/>
      <c r="D292" s="12" t="str">
        <f t="shared" si="2"/>
        <v> </v>
      </c>
      <c r="E292" s="12" t="str">
        <f t="shared" si="3"/>
        <v> </v>
      </c>
      <c r="F292" s="12"/>
      <c r="G292" s="20"/>
      <c r="H292" s="20"/>
      <c r="I292" s="20"/>
      <c r="J292" s="19"/>
      <c r="K292" s="19"/>
      <c r="L292" s="12"/>
      <c r="M292" s="12"/>
      <c r="N292" s="12"/>
      <c r="O292" s="1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11"/>
      <c r="B293" s="19"/>
      <c r="C293" s="19"/>
      <c r="D293" s="12" t="str">
        <f t="shared" si="2"/>
        <v> </v>
      </c>
      <c r="E293" s="12" t="str">
        <f t="shared" si="3"/>
        <v> </v>
      </c>
      <c r="F293" s="12"/>
      <c r="G293" s="20"/>
      <c r="H293" s="20"/>
      <c r="I293" s="20"/>
      <c r="J293" s="19"/>
      <c r="K293" s="19"/>
      <c r="L293" s="12"/>
      <c r="M293" s="12"/>
      <c r="N293" s="12"/>
      <c r="O293" s="1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11"/>
      <c r="B294" s="19"/>
      <c r="C294" s="19"/>
      <c r="D294" s="12" t="str">
        <f t="shared" si="2"/>
        <v> </v>
      </c>
      <c r="E294" s="12" t="str">
        <f t="shared" si="3"/>
        <v> </v>
      </c>
      <c r="F294" s="12"/>
      <c r="G294" s="20"/>
      <c r="H294" s="20"/>
      <c r="I294" s="20"/>
      <c r="J294" s="19"/>
      <c r="K294" s="19"/>
      <c r="L294" s="12"/>
      <c r="M294" s="12"/>
      <c r="N294" s="12"/>
      <c r="O294" s="1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11"/>
      <c r="B295" s="19"/>
      <c r="C295" s="19"/>
      <c r="D295" s="12" t="str">
        <f t="shared" si="2"/>
        <v> </v>
      </c>
      <c r="E295" s="12" t="str">
        <f t="shared" si="3"/>
        <v> </v>
      </c>
      <c r="F295" s="12"/>
      <c r="G295" s="20"/>
      <c r="H295" s="20"/>
      <c r="I295" s="20"/>
      <c r="J295" s="19"/>
      <c r="K295" s="19"/>
      <c r="L295" s="12"/>
      <c r="M295" s="12"/>
      <c r="N295" s="12"/>
      <c r="O295" s="1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11"/>
      <c r="B296" s="19"/>
      <c r="C296" s="19"/>
      <c r="D296" s="12" t="str">
        <f t="shared" si="2"/>
        <v> </v>
      </c>
      <c r="E296" s="12" t="str">
        <f t="shared" si="3"/>
        <v> </v>
      </c>
      <c r="F296" s="12"/>
      <c r="G296" s="20"/>
      <c r="H296" s="20"/>
      <c r="I296" s="20"/>
      <c r="J296" s="19"/>
      <c r="K296" s="19"/>
      <c r="L296" s="12"/>
      <c r="M296" s="12"/>
      <c r="N296" s="12"/>
      <c r="O296" s="1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11"/>
      <c r="B297" s="19"/>
      <c r="C297" s="19"/>
      <c r="D297" s="12" t="str">
        <f t="shared" si="2"/>
        <v> </v>
      </c>
      <c r="E297" s="12" t="str">
        <f t="shared" si="3"/>
        <v> </v>
      </c>
      <c r="F297" s="12"/>
      <c r="G297" s="20"/>
      <c r="H297" s="20"/>
      <c r="I297" s="20"/>
      <c r="J297" s="19"/>
      <c r="K297" s="19"/>
      <c r="L297" s="12"/>
      <c r="M297" s="12"/>
      <c r="N297" s="12"/>
      <c r="O297" s="1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11"/>
      <c r="B298" s="19"/>
      <c r="C298" s="19"/>
      <c r="D298" s="12" t="str">
        <f t="shared" si="2"/>
        <v> </v>
      </c>
      <c r="E298" s="12" t="str">
        <f t="shared" si="3"/>
        <v> </v>
      </c>
      <c r="F298" s="12"/>
      <c r="G298" s="20"/>
      <c r="H298" s="20"/>
      <c r="I298" s="20"/>
      <c r="J298" s="19"/>
      <c r="K298" s="19"/>
      <c r="L298" s="12"/>
      <c r="M298" s="12"/>
      <c r="N298" s="12"/>
      <c r="O298" s="1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11"/>
      <c r="B299" s="19"/>
      <c r="C299" s="19"/>
      <c r="D299" s="12" t="str">
        <f t="shared" si="2"/>
        <v> </v>
      </c>
      <c r="E299" s="12" t="str">
        <f t="shared" si="3"/>
        <v> </v>
      </c>
      <c r="F299" s="12"/>
      <c r="G299" s="20"/>
      <c r="H299" s="20"/>
      <c r="I299" s="20"/>
      <c r="J299" s="19"/>
      <c r="K299" s="19"/>
      <c r="L299" s="12"/>
      <c r="M299" s="12"/>
      <c r="N299" s="12"/>
      <c r="O299" s="1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11"/>
      <c r="B300" s="19"/>
      <c r="C300" s="19"/>
      <c r="D300" s="12" t="str">
        <f t="shared" si="2"/>
        <v> </v>
      </c>
      <c r="E300" s="12" t="str">
        <f t="shared" si="3"/>
        <v> </v>
      </c>
      <c r="F300" s="12"/>
      <c r="G300" s="20"/>
      <c r="H300" s="20"/>
      <c r="I300" s="20"/>
      <c r="J300" s="19"/>
      <c r="K300" s="19"/>
      <c r="L300" s="12"/>
      <c r="M300" s="12"/>
      <c r="N300" s="12"/>
      <c r="O300" s="1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11"/>
      <c r="B301" s="19"/>
      <c r="C301" s="19"/>
      <c r="D301" s="12" t="str">
        <f t="shared" si="2"/>
        <v> </v>
      </c>
      <c r="E301" s="12" t="str">
        <f t="shared" si="3"/>
        <v> </v>
      </c>
      <c r="F301" s="12"/>
      <c r="G301" s="20"/>
      <c r="H301" s="20"/>
      <c r="I301" s="20"/>
      <c r="J301" s="19"/>
      <c r="K301" s="19"/>
      <c r="L301" s="12"/>
      <c r="M301" s="12"/>
      <c r="N301" s="12"/>
      <c r="O301" s="1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11"/>
      <c r="B302" s="19"/>
      <c r="C302" s="19"/>
      <c r="D302" s="12" t="str">
        <f t="shared" si="2"/>
        <v> </v>
      </c>
      <c r="E302" s="12" t="str">
        <f t="shared" si="3"/>
        <v> </v>
      </c>
      <c r="F302" s="12"/>
      <c r="G302" s="20"/>
      <c r="H302" s="20"/>
      <c r="I302" s="20"/>
      <c r="J302" s="19"/>
      <c r="K302" s="19"/>
      <c r="L302" s="12"/>
      <c r="M302" s="12"/>
      <c r="N302" s="12"/>
      <c r="O302" s="1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11"/>
      <c r="B303" s="19"/>
      <c r="C303" s="19"/>
      <c r="D303" s="12" t="str">
        <f t="shared" si="2"/>
        <v> </v>
      </c>
      <c r="E303" s="12" t="str">
        <f t="shared" si="3"/>
        <v> </v>
      </c>
      <c r="F303" s="12"/>
      <c r="G303" s="20"/>
      <c r="H303" s="20"/>
      <c r="I303" s="20"/>
      <c r="J303" s="19"/>
      <c r="K303" s="19"/>
      <c r="L303" s="12"/>
      <c r="M303" s="12"/>
      <c r="N303" s="12"/>
      <c r="O303" s="1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11"/>
      <c r="B304" s="19"/>
      <c r="C304" s="19"/>
      <c r="D304" s="12" t="str">
        <f t="shared" si="2"/>
        <v> </v>
      </c>
      <c r="E304" s="12" t="str">
        <f t="shared" si="3"/>
        <v> </v>
      </c>
      <c r="F304" s="12"/>
      <c r="G304" s="20"/>
      <c r="H304" s="20"/>
      <c r="I304" s="20"/>
      <c r="J304" s="19"/>
      <c r="K304" s="19"/>
      <c r="L304" s="12"/>
      <c r="M304" s="12"/>
      <c r="N304" s="12"/>
      <c r="O304" s="1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11"/>
      <c r="B305" s="19"/>
      <c r="C305" s="19"/>
      <c r="D305" s="12" t="str">
        <f t="shared" si="2"/>
        <v> </v>
      </c>
      <c r="E305" s="12" t="str">
        <f t="shared" si="3"/>
        <v> </v>
      </c>
      <c r="F305" s="12"/>
      <c r="G305" s="20"/>
      <c r="H305" s="20"/>
      <c r="I305" s="20"/>
      <c r="J305" s="19"/>
      <c r="K305" s="19"/>
      <c r="L305" s="12"/>
      <c r="M305" s="12"/>
      <c r="N305" s="12"/>
      <c r="O305" s="1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11"/>
      <c r="B306" s="19"/>
      <c r="C306" s="19"/>
      <c r="D306" s="12" t="str">
        <f t="shared" si="2"/>
        <v> </v>
      </c>
      <c r="E306" s="12" t="str">
        <f t="shared" si="3"/>
        <v> </v>
      </c>
      <c r="F306" s="12"/>
      <c r="G306" s="20"/>
      <c r="H306" s="20"/>
      <c r="I306" s="20"/>
      <c r="J306" s="19"/>
      <c r="K306" s="19"/>
      <c r="L306" s="12"/>
      <c r="M306" s="12"/>
      <c r="N306" s="12"/>
      <c r="O306" s="1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11"/>
      <c r="B307" s="19"/>
      <c r="C307" s="19"/>
      <c r="D307" s="12" t="str">
        <f t="shared" si="2"/>
        <v> </v>
      </c>
      <c r="E307" s="12" t="str">
        <f t="shared" si="3"/>
        <v> </v>
      </c>
      <c r="F307" s="12"/>
      <c r="G307" s="20"/>
      <c r="H307" s="20"/>
      <c r="I307" s="20"/>
      <c r="J307" s="19"/>
      <c r="K307" s="19"/>
      <c r="L307" s="12"/>
      <c r="M307" s="12"/>
      <c r="N307" s="12"/>
      <c r="O307" s="1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11"/>
      <c r="B308" s="19"/>
      <c r="C308" s="19"/>
      <c r="D308" s="12" t="str">
        <f t="shared" si="2"/>
        <v> </v>
      </c>
      <c r="E308" s="12" t="str">
        <f t="shared" si="3"/>
        <v> </v>
      </c>
      <c r="F308" s="12"/>
      <c r="G308" s="20"/>
      <c r="H308" s="20"/>
      <c r="I308" s="20"/>
      <c r="J308" s="19"/>
      <c r="K308" s="19"/>
      <c r="L308" s="12"/>
      <c r="M308" s="12"/>
      <c r="N308" s="12"/>
      <c r="O308" s="1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11"/>
      <c r="B309" s="19"/>
      <c r="C309" s="19"/>
      <c r="D309" s="12" t="str">
        <f t="shared" si="2"/>
        <v> </v>
      </c>
      <c r="E309" s="12" t="str">
        <f t="shared" si="3"/>
        <v> </v>
      </c>
      <c r="F309" s="12"/>
      <c r="G309" s="20"/>
      <c r="H309" s="20"/>
      <c r="I309" s="20"/>
      <c r="J309" s="19"/>
      <c r="K309" s="19"/>
      <c r="L309" s="12"/>
      <c r="M309" s="12"/>
      <c r="N309" s="12"/>
      <c r="O309" s="1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11"/>
      <c r="B310" s="19"/>
      <c r="C310" s="19"/>
      <c r="D310" s="12" t="str">
        <f t="shared" si="2"/>
        <v> </v>
      </c>
      <c r="E310" s="12" t="str">
        <f t="shared" si="3"/>
        <v> </v>
      </c>
      <c r="F310" s="12"/>
      <c r="G310" s="20"/>
      <c r="H310" s="20"/>
      <c r="I310" s="20"/>
      <c r="J310" s="19"/>
      <c r="K310" s="19"/>
      <c r="L310" s="12"/>
      <c r="M310" s="12"/>
      <c r="N310" s="12"/>
      <c r="O310" s="1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11"/>
      <c r="B311" s="19"/>
      <c r="C311" s="19"/>
      <c r="D311" s="12" t="str">
        <f t="shared" si="2"/>
        <v> </v>
      </c>
      <c r="E311" s="12" t="str">
        <f t="shared" si="3"/>
        <v> </v>
      </c>
      <c r="F311" s="12"/>
      <c r="G311" s="20"/>
      <c r="H311" s="20"/>
      <c r="I311" s="20"/>
      <c r="J311" s="19"/>
      <c r="K311" s="19"/>
      <c r="L311" s="12"/>
      <c r="M311" s="12"/>
      <c r="N311" s="12"/>
      <c r="O311" s="1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11"/>
      <c r="B312" s="19"/>
      <c r="C312" s="19"/>
      <c r="D312" s="12" t="str">
        <f t="shared" si="2"/>
        <v> </v>
      </c>
      <c r="E312" s="12" t="str">
        <f t="shared" si="3"/>
        <v> </v>
      </c>
      <c r="F312" s="12"/>
      <c r="G312" s="20"/>
      <c r="H312" s="20"/>
      <c r="I312" s="20"/>
      <c r="J312" s="19"/>
      <c r="K312" s="19"/>
      <c r="L312" s="12"/>
      <c r="M312" s="12"/>
      <c r="N312" s="12"/>
      <c r="O312" s="1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11"/>
      <c r="B313" s="19"/>
      <c r="C313" s="19"/>
      <c r="D313" s="12" t="str">
        <f t="shared" si="2"/>
        <v> </v>
      </c>
      <c r="E313" s="12" t="str">
        <f t="shared" si="3"/>
        <v> </v>
      </c>
      <c r="F313" s="12"/>
      <c r="G313" s="20"/>
      <c r="H313" s="20"/>
      <c r="I313" s="20"/>
      <c r="J313" s="19"/>
      <c r="K313" s="19"/>
      <c r="L313" s="12"/>
      <c r="M313" s="12"/>
      <c r="N313" s="12"/>
      <c r="O313" s="1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11"/>
      <c r="B314" s="19"/>
      <c r="C314" s="19"/>
      <c r="D314" s="12" t="str">
        <f t="shared" si="2"/>
        <v> </v>
      </c>
      <c r="E314" s="12" t="str">
        <f t="shared" si="3"/>
        <v> </v>
      </c>
      <c r="F314" s="12"/>
      <c r="G314" s="20"/>
      <c r="H314" s="20"/>
      <c r="I314" s="20"/>
      <c r="J314" s="19"/>
      <c r="K314" s="19"/>
      <c r="L314" s="12"/>
      <c r="M314" s="12"/>
      <c r="N314" s="12"/>
      <c r="O314" s="1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11"/>
      <c r="B315" s="19"/>
      <c r="C315" s="19"/>
      <c r="D315" s="12" t="str">
        <f t="shared" si="2"/>
        <v> </v>
      </c>
      <c r="E315" s="12" t="str">
        <f t="shared" si="3"/>
        <v> </v>
      </c>
      <c r="F315" s="12"/>
      <c r="G315" s="20"/>
      <c r="H315" s="20"/>
      <c r="I315" s="20"/>
      <c r="J315" s="19"/>
      <c r="K315" s="19"/>
      <c r="L315" s="12"/>
      <c r="M315" s="12"/>
      <c r="N315" s="12"/>
      <c r="O315" s="1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11"/>
      <c r="B316" s="19"/>
      <c r="C316" s="19"/>
      <c r="D316" s="12" t="str">
        <f t="shared" si="2"/>
        <v> </v>
      </c>
      <c r="E316" s="12" t="str">
        <f t="shared" si="3"/>
        <v> </v>
      </c>
      <c r="F316" s="12"/>
      <c r="G316" s="20"/>
      <c r="H316" s="20"/>
      <c r="I316" s="20"/>
      <c r="J316" s="19"/>
      <c r="K316" s="19"/>
      <c r="L316" s="12"/>
      <c r="M316" s="12"/>
      <c r="N316" s="12"/>
      <c r="O316" s="1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11"/>
      <c r="B317" s="19"/>
      <c r="C317" s="19"/>
      <c r="D317" s="12" t="str">
        <f t="shared" si="2"/>
        <v> </v>
      </c>
      <c r="E317" s="12" t="str">
        <f t="shared" si="3"/>
        <v> </v>
      </c>
      <c r="F317" s="12"/>
      <c r="G317" s="20"/>
      <c r="H317" s="20"/>
      <c r="I317" s="20"/>
      <c r="J317" s="19"/>
      <c r="K317" s="19"/>
      <c r="L317" s="12"/>
      <c r="M317" s="12"/>
      <c r="N317" s="12"/>
      <c r="O317" s="1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11"/>
      <c r="B318" s="19"/>
      <c r="C318" s="19"/>
      <c r="D318" s="12" t="str">
        <f t="shared" si="2"/>
        <v> </v>
      </c>
      <c r="E318" s="12" t="str">
        <f t="shared" si="3"/>
        <v> </v>
      </c>
      <c r="F318" s="12"/>
      <c r="G318" s="20"/>
      <c r="H318" s="20"/>
      <c r="I318" s="20"/>
      <c r="J318" s="19"/>
      <c r="K318" s="19"/>
      <c r="L318" s="12"/>
      <c r="M318" s="12"/>
      <c r="N318" s="12"/>
      <c r="O318" s="1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11"/>
      <c r="B319" s="19"/>
      <c r="C319" s="19"/>
      <c r="D319" s="12" t="str">
        <f t="shared" si="2"/>
        <v> </v>
      </c>
      <c r="E319" s="12" t="str">
        <f t="shared" si="3"/>
        <v> </v>
      </c>
      <c r="F319" s="12"/>
      <c r="G319" s="20"/>
      <c r="H319" s="20"/>
      <c r="I319" s="20"/>
      <c r="J319" s="19"/>
      <c r="K319" s="19"/>
      <c r="L319" s="12"/>
      <c r="M319" s="12"/>
      <c r="N319" s="12"/>
      <c r="O319" s="1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11"/>
      <c r="B320" s="19"/>
      <c r="C320" s="19"/>
      <c r="D320" s="12" t="str">
        <f t="shared" si="2"/>
        <v> </v>
      </c>
      <c r="E320" s="12" t="str">
        <f t="shared" si="3"/>
        <v> </v>
      </c>
      <c r="F320" s="12"/>
      <c r="G320" s="20"/>
      <c r="H320" s="20"/>
      <c r="I320" s="20"/>
      <c r="J320" s="19"/>
      <c r="K320" s="19"/>
      <c r="L320" s="12"/>
      <c r="M320" s="12"/>
      <c r="N320" s="12"/>
      <c r="O320" s="1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11"/>
      <c r="B321" s="19"/>
      <c r="C321" s="19"/>
      <c r="D321" s="12" t="str">
        <f t="shared" si="2"/>
        <v> </v>
      </c>
      <c r="E321" s="12" t="str">
        <f t="shared" si="3"/>
        <v> </v>
      </c>
      <c r="F321" s="12"/>
      <c r="G321" s="20"/>
      <c r="H321" s="20"/>
      <c r="I321" s="20"/>
      <c r="J321" s="19"/>
      <c r="K321" s="19"/>
      <c r="L321" s="12"/>
      <c r="M321" s="12"/>
      <c r="N321" s="12"/>
      <c r="O321" s="1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11"/>
      <c r="B322" s="19"/>
      <c r="C322" s="19"/>
      <c r="D322" s="12" t="str">
        <f t="shared" si="2"/>
        <v> </v>
      </c>
      <c r="E322" s="12" t="str">
        <f t="shared" si="3"/>
        <v> </v>
      </c>
      <c r="F322" s="12"/>
      <c r="G322" s="20"/>
      <c r="H322" s="20"/>
      <c r="I322" s="20"/>
      <c r="J322" s="19"/>
      <c r="K322" s="19"/>
      <c r="L322" s="12"/>
      <c r="M322" s="12"/>
      <c r="N322" s="12"/>
      <c r="O322" s="1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11"/>
      <c r="B323" s="19"/>
      <c r="C323" s="19"/>
      <c r="D323" s="12" t="str">
        <f t="shared" si="2"/>
        <v> </v>
      </c>
      <c r="E323" s="12" t="str">
        <f t="shared" si="3"/>
        <v> </v>
      </c>
      <c r="F323" s="12"/>
      <c r="G323" s="20"/>
      <c r="H323" s="20"/>
      <c r="I323" s="20"/>
      <c r="J323" s="19"/>
      <c r="K323" s="19"/>
      <c r="L323" s="12"/>
      <c r="M323" s="12"/>
      <c r="N323" s="12"/>
      <c r="O323" s="1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11"/>
      <c r="B324" s="19"/>
      <c r="C324" s="19"/>
      <c r="D324" s="12" t="str">
        <f t="shared" si="2"/>
        <v> </v>
      </c>
      <c r="E324" s="12" t="str">
        <f t="shared" si="3"/>
        <v> </v>
      </c>
      <c r="F324" s="12"/>
      <c r="G324" s="20"/>
      <c r="H324" s="20"/>
      <c r="I324" s="20"/>
      <c r="J324" s="19"/>
      <c r="K324" s="19"/>
      <c r="L324" s="12"/>
      <c r="M324" s="12"/>
      <c r="N324" s="12"/>
      <c r="O324" s="1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11"/>
      <c r="B325" s="19"/>
      <c r="C325" s="19"/>
      <c r="D325" s="12" t="str">
        <f t="shared" si="2"/>
        <v> </v>
      </c>
      <c r="E325" s="12" t="str">
        <f t="shared" si="3"/>
        <v> </v>
      </c>
      <c r="F325" s="12"/>
      <c r="G325" s="20"/>
      <c r="H325" s="20"/>
      <c r="I325" s="20"/>
      <c r="J325" s="19"/>
      <c r="K325" s="19"/>
      <c r="L325" s="12"/>
      <c r="M325" s="12"/>
      <c r="N325" s="12"/>
      <c r="O325" s="1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11"/>
      <c r="B326" s="19"/>
      <c r="C326" s="19"/>
      <c r="D326" s="12" t="str">
        <f t="shared" si="2"/>
        <v> </v>
      </c>
      <c r="E326" s="12" t="str">
        <f t="shared" si="3"/>
        <v> </v>
      </c>
      <c r="F326" s="12"/>
      <c r="G326" s="20"/>
      <c r="H326" s="20"/>
      <c r="I326" s="20"/>
      <c r="J326" s="19"/>
      <c r="K326" s="19"/>
      <c r="L326" s="12"/>
      <c r="M326" s="12"/>
      <c r="N326" s="12"/>
      <c r="O326" s="1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11"/>
      <c r="B327" s="19"/>
      <c r="C327" s="19"/>
      <c r="D327" s="12" t="str">
        <f t="shared" si="2"/>
        <v> </v>
      </c>
      <c r="E327" s="12" t="str">
        <f t="shared" si="3"/>
        <v> </v>
      </c>
      <c r="F327" s="12"/>
      <c r="G327" s="20"/>
      <c r="H327" s="20"/>
      <c r="I327" s="20"/>
      <c r="J327" s="19"/>
      <c r="K327" s="19"/>
      <c r="L327" s="12"/>
      <c r="M327" s="12"/>
      <c r="N327" s="12"/>
      <c r="O327" s="1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11"/>
      <c r="B328" s="19"/>
      <c r="C328" s="19"/>
      <c r="D328" s="12" t="str">
        <f t="shared" si="2"/>
        <v> </v>
      </c>
      <c r="E328" s="12" t="str">
        <f t="shared" si="3"/>
        <v> </v>
      </c>
      <c r="F328" s="12"/>
      <c r="G328" s="20"/>
      <c r="H328" s="20"/>
      <c r="I328" s="20"/>
      <c r="J328" s="19"/>
      <c r="K328" s="19"/>
      <c r="L328" s="12"/>
      <c r="M328" s="12"/>
      <c r="N328" s="12"/>
      <c r="O328" s="1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11"/>
      <c r="B329" s="19"/>
      <c r="C329" s="19"/>
      <c r="D329" s="12" t="str">
        <f t="shared" si="2"/>
        <v> </v>
      </c>
      <c r="E329" s="12" t="str">
        <f t="shared" si="3"/>
        <v> </v>
      </c>
      <c r="F329" s="12"/>
      <c r="G329" s="20"/>
      <c r="H329" s="20"/>
      <c r="I329" s="20"/>
      <c r="J329" s="19"/>
      <c r="K329" s="19"/>
      <c r="L329" s="12"/>
      <c r="M329" s="12"/>
      <c r="N329" s="12"/>
      <c r="O329" s="1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11"/>
      <c r="B330" s="19"/>
      <c r="C330" s="19"/>
      <c r="D330" s="12" t="str">
        <f t="shared" si="2"/>
        <v> </v>
      </c>
      <c r="E330" s="12" t="str">
        <f t="shared" si="3"/>
        <v> </v>
      </c>
      <c r="F330" s="12"/>
      <c r="G330" s="20"/>
      <c r="H330" s="20"/>
      <c r="I330" s="20"/>
      <c r="J330" s="19"/>
      <c r="K330" s="19"/>
      <c r="L330" s="12"/>
      <c r="M330" s="12"/>
      <c r="N330" s="12"/>
      <c r="O330" s="1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11"/>
      <c r="B331" s="19"/>
      <c r="C331" s="19"/>
      <c r="D331" s="12" t="str">
        <f t="shared" si="2"/>
        <v> </v>
      </c>
      <c r="E331" s="12" t="str">
        <f t="shared" si="3"/>
        <v> </v>
      </c>
      <c r="F331" s="12"/>
      <c r="G331" s="20"/>
      <c r="H331" s="20"/>
      <c r="I331" s="20"/>
      <c r="J331" s="19"/>
      <c r="K331" s="19"/>
      <c r="L331" s="12"/>
      <c r="M331" s="12"/>
      <c r="N331" s="12"/>
      <c r="O331" s="1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11"/>
      <c r="B332" s="19"/>
      <c r="C332" s="19"/>
      <c r="D332" s="12" t="str">
        <f t="shared" si="2"/>
        <v> </v>
      </c>
      <c r="E332" s="12" t="str">
        <f t="shared" si="3"/>
        <v> </v>
      </c>
      <c r="F332" s="12"/>
      <c r="G332" s="20"/>
      <c r="H332" s="20"/>
      <c r="I332" s="20"/>
      <c r="J332" s="19"/>
      <c r="K332" s="19"/>
      <c r="L332" s="12"/>
      <c r="M332" s="12"/>
      <c r="N332" s="12"/>
      <c r="O332" s="1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11"/>
      <c r="B333" s="19"/>
      <c r="C333" s="19"/>
      <c r="D333" s="12" t="str">
        <f t="shared" si="2"/>
        <v> </v>
      </c>
      <c r="E333" s="12" t="str">
        <f t="shared" si="3"/>
        <v> </v>
      </c>
      <c r="F333" s="12"/>
      <c r="G333" s="20"/>
      <c r="H333" s="20"/>
      <c r="I333" s="20"/>
      <c r="J333" s="19"/>
      <c r="K333" s="19"/>
      <c r="L333" s="12"/>
      <c r="M333" s="12"/>
      <c r="N333" s="12"/>
      <c r="O333" s="1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11"/>
      <c r="B334" s="19"/>
      <c r="C334" s="19"/>
      <c r="D334" s="12" t="str">
        <f t="shared" si="2"/>
        <v> </v>
      </c>
      <c r="E334" s="12" t="str">
        <f t="shared" si="3"/>
        <v> </v>
      </c>
      <c r="F334" s="12"/>
      <c r="G334" s="20"/>
      <c r="H334" s="20"/>
      <c r="I334" s="20"/>
      <c r="J334" s="19"/>
      <c r="K334" s="19"/>
      <c r="L334" s="12"/>
      <c r="M334" s="12"/>
      <c r="N334" s="12"/>
      <c r="O334" s="1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11"/>
      <c r="B335" s="19"/>
      <c r="C335" s="19"/>
      <c r="D335" s="12" t="str">
        <f t="shared" si="2"/>
        <v> </v>
      </c>
      <c r="E335" s="12" t="str">
        <f t="shared" si="3"/>
        <v> </v>
      </c>
      <c r="F335" s="12"/>
      <c r="G335" s="20"/>
      <c r="H335" s="20"/>
      <c r="I335" s="20"/>
      <c r="J335" s="19"/>
      <c r="K335" s="19"/>
      <c r="L335" s="12"/>
      <c r="M335" s="12"/>
      <c r="N335" s="12"/>
      <c r="O335" s="1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11"/>
      <c r="B336" s="19"/>
      <c r="C336" s="19"/>
      <c r="D336" s="12" t="str">
        <f t="shared" si="2"/>
        <v> </v>
      </c>
      <c r="E336" s="12" t="str">
        <f t="shared" si="3"/>
        <v> </v>
      </c>
      <c r="F336" s="12"/>
      <c r="G336" s="20"/>
      <c r="H336" s="20"/>
      <c r="I336" s="20"/>
      <c r="J336" s="19"/>
      <c r="K336" s="19"/>
      <c r="L336" s="12"/>
      <c r="M336" s="12"/>
      <c r="N336" s="12"/>
      <c r="O336" s="1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11"/>
      <c r="B337" s="19"/>
      <c r="C337" s="19"/>
      <c r="D337" s="12" t="str">
        <f t="shared" si="2"/>
        <v> </v>
      </c>
      <c r="E337" s="12" t="str">
        <f t="shared" si="3"/>
        <v> </v>
      </c>
      <c r="F337" s="12"/>
      <c r="G337" s="20"/>
      <c r="H337" s="20"/>
      <c r="I337" s="20"/>
      <c r="J337" s="19"/>
      <c r="K337" s="19"/>
      <c r="L337" s="12"/>
      <c r="M337" s="12"/>
      <c r="N337" s="12"/>
      <c r="O337" s="1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11"/>
      <c r="B338" s="19"/>
      <c r="C338" s="19"/>
      <c r="D338" s="12" t="str">
        <f t="shared" si="2"/>
        <v> </v>
      </c>
      <c r="E338" s="12" t="str">
        <f t="shared" si="3"/>
        <v> </v>
      </c>
      <c r="F338" s="12"/>
      <c r="G338" s="20"/>
      <c r="H338" s="20"/>
      <c r="I338" s="20"/>
      <c r="J338" s="19"/>
      <c r="K338" s="19"/>
      <c r="L338" s="12"/>
      <c r="M338" s="12"/>
      <c r="N338" s="12"/>
      <c r="O338" s="1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11"/>
      <c r="B339" s="19"/>
      <c r="C339" s="19"/>
      <c r="D339" s="12" t="str">
        <f t="shared" si="2"/>
        <v> </v>
      </c>
      <c r="E339" s="12" t="str">
        <f t="shared" si="3"/>
        <v> </v>
      </c>
      <c r="F339" s="12"/>
      <c r="G339" s="20"/>
      <c r="H339" s="20"/>
      <c r="I339" s="20"/>
      <c r="J339" s="19"/>
      <c r="K339" s="19"/>
      <c r="L339" s="12"/>
      <c r="M339" s="12"/>
      <c r="N339" s="12"/>
      <c r="O339" s="1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11"/>
      <c r="B340" s="19"/>
      <c r="C340" s="19"/>
      <c r="D340" s="12" t="str">
        <f t="shared" si="2"/>
        <v> </v>
      </c>
      <c r="E340" s="12" t="str">
        <f t="shared" si="3"/>
        <v> </v>
      </c>
      <c r="F340" s="12"/>
      <c r="G340" s="20"/>
      <c r="H340" s="20"/>
      <c r="I340" s="20"/>
      <c r="J340" s="19"/>
      <c r="K340" s="19"/>
      <c r="L340" s="12"/>
      <c r="M340" s="12"/>
      <c r="N340" s="12"/>
      <c r="O340" s="1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11"/>
      <c r="B341" s="19"/>
      <c r="C341" s="19"/>
      <c r="D341" s="12" t="str">
        <f t="shared" si="2"/>
        <v> </v>
      </c>
      <c r="E341" s="12" t="str">
        <f t="shared" si="3"/>
        <v> </v>
      </c>
      <c r="F341" s="12"/>
      <c r="G341" s="20"/>
      <c r="H341" s="20"/>
      <c r="I341" s="20"/>
      <c r="J341" s="19"/>
      <c r="K341" s="19"/>
      <c r="L341" s="12"/>
      <c r="M341" s="12"/>
      <c r="N341" s="12"/>
      <c r="O341" s="1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11"/>
      <c r="B342" s="19"/>
      <c r="C342" s="19"/>
      <c r="D342" s="12" t="str">
        <f t="shared" si="2"/>
        <v> </v>
      </c>
      <c r="E342" s="12" t="str">
        <f t="shared" si="3"/>
        <v> </v>
      </c>
      <c r="F342" s="12"/>
      <c r="G342" s="20"/>
      <c r="H342" s="20"/>
      <c r="I342" s="20"/>
      <c r="J342" s="19"/>
      <c r="K342" s="19"/>
      <c r="L342" s="12"/>
      <c r="M342" s="12"/>
      <c r="N342" s="12"/>
      <c r="O342" s="1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11"/>
      <c r="B343" s="19"/>
      <c r="C343" s="19"/>
      <c r="D343" s="12" t="str">
        <f t="shared" si="2"/>
        <v> </v>
      </c>
      <c r="E343" s="12" t="str">
        <f t="shared" si="3"/>
        <v> </v>
      </c>
      <c r="F343" s="12"/>
      <c r="G343" s="20"/>
      <c r="H343" s="20"/>
      <c r="I343" s="20"/>
      <c r="J343" s="19"/>
      <c r="K343" s="19"/>
      <c r="L343" s="12"/>
      <c r="M343" s="12"/>
      <c r="N343" s="12"/>
      <c r="O343" s="1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11"/>
      <c r="B344" s="19"/>
      <c r="C344" s="19"/>
      <c r="D344" s="12" t="str">
        <f t="shared" si="2"/>
        <v> </v>
      </c>
      <c r="E344" s="12" t="str">
        <f t="shared" si="3"/>
        <v> </v>
      </c>
      <c r="F344" s="12"/>
      <c r="G344" s="20"/>
      <c r="H344" s="20"/>
      <c r="I344" s="20"/>
      <c r="J344" s="19"/>
      <c r="K344" s="19"/>
      <c r="L344" s="12"/>
      <c r="M344" s="12"/>
      <c r="N344" s="12"/>
      <c r="O344" s="1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11"/>
      <c r="B345" s="19"/>
      <c r="C345" s="19"/>
      <c r="D345" s="12" t="str">
        <f t="shared" si="2"/>
        <v> </v>
      </c>
      <c r="E345" s="12" t="str">
        <f t="shared" si="3"/>
        <v> </v>
      </c>
      <c r="F345" s="12"/>
      <c r="G345" s="20"/>
      <c r="H345" s="20"/>
      <c r="I345" s="20"/>
      <c r="J345" s="19"/>
      <c r="K345" s="19"/>
      <c r="L345" s="12"/>
      <c r="M345" s="12"/>
      <c r="N345" s="12"/>
      <c r="O345" s="1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11"/>
      <c r="B346" s="19"/>
      <c r="C346" s="19"/>
      <c r="D346" s="12" t="str">
        <f t="shared" si="2"/>
        <v> </v>
      </c>
      <c r="E346" s="12" t="str">
        <f t="shared" si="3"/>
        <v> </v>
      </c>
      <c r="F346" s="12"/>
      <c r="G346" s="20"/>
      <c r="H346" s="20"/>
      <c r="I346" s="20"/>
      <c r="J346" s="19"/>
      <c r="K346" s="19"/>
      <c r="L346" s="12"/>
      <c r="M346" s="12"/>
      <c r="N346" s="12"/>
      <c r="O346" s="1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11"/>
      <c r="B347" s="19"/>
      <c r="C347" s="19"/>
      <c r="D347" s="12" t="str">
        <f t="shared" si="2"/>
        <v> </v>
      </c>
      <c r="E347" s="12" t="str">
        <f t="shared" si="3"/>
        <v> </v>
      </c>
      <c r="F347" s="12"/>
      <c r="G347" s="20"/>
      <c r="H347" s="20"/>
      <c r="I347" s="20"/>
      <c r="J347" s="19"/>
      <c r="K347" s="19"/>
      <c r="L347" s="12"/>
      <c r="M347" s="12"/>
      <c r="N347" s="12"/>
      <c r="O347" s="1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11"/>
      <c r="B348" s="19"/>
      <c r="C348" s="19"/>
      <c r="D348" s="12" t="str">
        <f t="shared" si="2"/>
        <v> </v>
      </c>
      <c r="E348" s="12" t="str">
        <f t="shared" si="3"/>
        <v> </v>
      </c>
      <c r="F348" s="12"/>
      <c r="G348" s="20"/>
      <c r="H348" s="20"/>
      <c r="I348" s="20"/>
      <c r="J348" s="19"/>
      <c r="K348" s="19"/>
      <c r="L348" s="12"/>
      <c r="M348" s="12"/>
      <c r="N348" s="12"/>
      <c r="O348" s="1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11"/>
      <c r="B349" s="19"/>
      <c r="C349" s="19"/>
      <c r="D349" s="12" t="str">
        <f t="shared" si="2"/>
        <v> </v>
      </c>
      <c r="E349" s="12" t="str">
        <f t="shared" si="3"/>
        <v> </v>
      </c>
      <c r="F349" s="12"/>
      <c r="G349" s="20"/>
      <c r="H349" s="20"/>
      <c r="I349" s="20"/>
      <c r="J349" s="19"/>
      <c r="K349" s="19"/>
      <c r="L349" s="12"/>
      <c r="M349" s="12"/>
      <c r="N349" s="12"/>
      <c r="O349" s="1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11"/>
      <c r="B350" s="19"/>
      <c r="C350" s="19"/>
      <c r="D350" s="12" t="str">
        <f t="shared" si="2"/>
        <v> </v>
      </c>
      <c r="E350" s="12" t="str">
        <f t="shared" si="3"/>
        <v> </v>
      </c>
      <c r="F350" s="12"/>
      <c r="G350" s="20"/>
      <c r="H350" s="20"/>
      <c r="I350" s="20"/>
      <c r="J350" s="19"/>
      <c r="K350" s="19"/>
      <c r="L350" s="12"/>
      <c r="M350" s="12"/>
      <c r="N350" s="12"/>
      <c r="O350" s="1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11"/>
      <c r="B351" s="19"/>
      <c r="C351" s="19"/>
      <c r="D351" s="12" t="str">
        <f t="shared" si="2"/>
        <v> </v>
      </c>
      <c r="E351" s="12" t="str">
        <f t="shared" si="3"/>
        <v> </v>
      </c>
      <c r="F351" s="12"/>
      <c r="G351" s="20"/>
      <c r="H351" s="20"/>
      <c r="I351" s="20"/>
      <c r="J351" s="19"/>
      <c r="K351" s="19"/>
      <c r="L351" s="12"/>
      <c r="M351" s="12"/>
      <c r="N351" s="12"/>
      <c r="O351" s="1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11"/>
      <c r="B352" s="19"/>
      <c r="C352" s="19"/>
      <c r="D352" s="12" t="str">
        <f t="shared" si="2"/>
        <v> </v>
      </c>
      <c r="E352" s="12" t="str">
        <f t="shared" si="3"/>
        <v> </v>
      </c>
      <c r="F352" s="12"/>
      <c r="G352" s="20"/>
      <c r="H352" s="20"/>
      <c r="I352" s="20"/>
      <c r="J352" s="19"/>
      <c r="K352" s="19"/>
      <c r="L352" s="12"/>
      <c r="M352" s="12"/>
      <c r="N352" s="12"/>
      <c r="O352" s="1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11"/>
      <c r="B353" s="19"/>
      <c r="C353" s="19"/>
      <c r="D353" s="12" t="str">
        <f t="shared" si="2"/>
        <v> </v>
      </c>
      <c r="E353" s="12" t="str">
        <f t="shared" si="3"/>
        <v> </v>
      </c>
      <c r="F353" s="12"/>
      <c r="G353" s="20"/>
      <c r="H353" s="20"/>
      <c r="I353" s="20"/>
      <c r="J353" s="19"/>
      <c r="K353" s="19"/>
      <c r="L353" s="12"/>
      <c r="M353" s="12"/>
      <c r="N353" s="12"/>
      <c r="O353" s="1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11"/>
      <c r="B354" s="19"/>
      <c r="C354" s="19"/>
      <c r="D354" s="12" t="str">
        <f t="shared" si="2"/>
        <v> </v>
      </c>
      <c r="E354" s="12" t="str">
        <f t="shared" si="3"/>
        <v> </v>
      </c>
      <c r="F354" s="12"/>
      <c r="G354" s="20"/>
      <c r="H354" s="20"/>
      <c r="I354" s="20"/>
      <c r="J354" s="19"/>
      <c r="K354" s="19"/>
      <c r="L354" s="12"/>
      <c r="M354" s="12"/>
      <c r="N354" s="12"/>
      <c r="O354" s="1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11"/>
      <c r="B355" s="19"/>
      <c r="C355" s="19"/>
      <c r="D355" s="12" t="str">
        <f t="shared" si="2"/>
        <v> </v>
      </c>
      <c r="E355" s="12" t="str">
        <f t="shared" si="3"/>
        <v> </v>
      </c>
      <c r="F355" s="12"/>
      <c r="G355" s="20"/>
      <c r="H355" s="20"/>
      <c r="I355" s="20"/>
      <c r="J355" s="19"/>
      <c r="K355" s="19"/>
      <c r="L355" s="12"/>
      <c r="M355" s="12"/>
      <c r="N355" s="12"/>
      <c r="O355" s="1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11"/>
      <c r="B356" s="19"/>
      <c r="C356" s="19"/>
      <c r="D356" s="12" t="str">
        <f t="shared" si="2"/>
        <v> </v>
      </c>
      <c r="E356" s="12" t="str">
        <f t="shared" si="3"/>
        <v> </v>
      </c>
      <c r="F356" s="12"/>
      <c r="G356" s="20"/>
      <c r="H356" s="20"/>
      <c r="I356" s="20"/>
      <c r="J356" s="19"/>
      <c r="K356" s="19"/>
      <c r="L356" s="12"/>
      <c r="M356" s="12"/>
      <c r="N356" s="12"/>
      <c r="O356" s="1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11"/>
      <c r="B357" s="19"/>
      <c r="C357" s="19"/>
      <c r="D357" s="12" t="str">
        <f t="shared" si="2"/>
        <v> </v>
      </c>
      <c r="E357" s="12" t="str">
        <f t="shared" si="3"/>
        <v> </v>
      </c>
      <c r="F357" s="12"/>
      <c r="G357" s="20"/>
      <c r="H357" s="20"/>
      <c r="I357" s="20"/>
      <c r="J357" s="19"/>
      <c r="K357" s="19"/>
      <c r="L357" s="12"/>
      <c r="M357" s="12"/>
      <c r="N357" s="12"/>
      <c r="O357" s="1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11"/>
      <c r="B358" s="19"/>
      <c r="C358" s="19"/>
      <c r="D358" s="12" t="str">
        <f t="shared" si="2"/>
        <v> </v>
      </c>
      <c r="E358" s="12" t="str">
        <f t="shared" si="3"/>
        <v> </v>
      </c>
      <c r="F358" s="12"/>
      <c r="G358" s="20"/>
      <c r="H358" s="20"/>
      <c r="I358" s="20"/>
      <c r="J358" s="19"/>
      <c r="K358" s="19"/>
      <c r="L358" s="12"/>
      <c r="M358" s="12"/>
      <c r="N358" s="12"/>
      <c r="O358" s="1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11"/>
      <c r="B359" s="19"/>
      <c r="C359" s="19"/>
      <c r="D359" s="12" t="str">
        <f t="shared" si="2"/>
        <v> </v>
      </c>
      <c r="E359" s="12" t="str">
        <f t="shared" si="3"/>
        <v> </v>
      </c>
      <c r="F359" s="12"/>
      <c r="G359" s="20"/>
      <c r="H359" s="20"/>
      <c r="I359" s="20"/>
      <c r="J359" s="19"/>
      <c r="K359" s="19"/>
      <c r="L359" s="12"/>
      <c r="M359" s="12"/>
      <c r="N359" s="12"/>
      <c r="O359" s="1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11"/>
      <c r="B360" s="19"/>
      <c r="C360" s="19"/>
      <c r="D360" s="12" t="str">
        <f t="shared" si="2"/>
        <v> </v>
      </c>
      <c r="E360" s="12" t="str">
        <f t="shared" si="3"/>
        <v> </v>
      </c>
      <c r="F360" s="12"/>
      <c r="G360" s="20"/>
      <c r="H360" s="20"/>
      <c r="I360" s="20"/>
      <c r="J360" s="19"/>
      <c r="K360" s="19"/>
      <c r="L360" s="12"/>
      <c r="M360" s="12"/>
      <c r="N360" s="12"/>
      <c r="O360" s="1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11"/>
      <c r="B361" s="19"/>
      <c r="C361" s="19"/>
      <c r="D361" s="12" t="str">
        <f t="shared" si="2"/>
        <v> </v>
      </c>
      <c r="E361" s="12" t="str">
        <f t="shared" si="3"/>
        <v> </v>
      </c>
      <c r="F361" s="12"/>
      <c r="G361" s="20"/>
      <c r="H361" s="20"/>
      <c r="I361" s="20"/>
      <c r="J361" s="19"/>
      <c r="K361" s="19"/>
      <c r="L361" s="12"/>
      <c r="M361" s="12"/>
      <c r="N361" s="12"/>
      <c r="O361" s="1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11"/>
      <c r="B362" s="19"/>
      <c r="C362" s="19"/>
      <c r="D362" s="12" t="str">
        <f t="shared" si="2"/>
        <v> </v>
      </c>
      <c r="E362" s="12" t="str">
        <f t="shared" si="3"/>
        <v> </v>
      </c>
      <c r="F362" s="12"/>
      <c r="G362" s="20"/>
      <c r="H362" s="20"/>
      <c r="I362" s="20"/>
      <c r="J362" s="19"/>
      <c r="K362" s="19"/>
      <c r="L362" s="12"/>
      <c r="M362" s="12"/>
      <c r="N362" s="12"/>
      <c r="O362" s="1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11"/>
      <c r="B363" s="19"/>
      <c r="C363" s="19"/>
      <c r="D363" s="12" t="str">
        <f t="shared" si="2"/>
        <v> </v>
      </c>
      <c r="E363" s="12" t="str">
        <f t="shared" si="3"/>
        <v> </v>
      </c>
      <c r="F363" s="12"/>
      <c r="G363" s="20"/>
      <c r="H363" s="20"/>
      <c r="I363" s="20"/>
      <c r="J363" s="19"/>
      <c r="K363" s="19"/>
      <c r="L363" s="12"/>
      <c r="M363" s="12"/>
      <c r="N363" s="12"/>
      <c r="O363" s="1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11"/>
      <c r="B364" s="19"/>
      <c r="C364" s="19"/>
      <c r="D364" s="12" t="str">
        <f t="shared" si="2"/>
        <v> </v>
      </c>
      <c r="E364" s="12" t="str">
        <f t="shared" si="3"/>
        <v> </v>
      </c>
      <c r="F364" s="12"/>
      <c r="G364" s="20"/>
      <c r="H364" s="20"/>
      <c r="I364" s="20"/>
      <c r="J364" s="19"/>
      <c r="K364" s="19"/>
      <c r="L364" s="12"/>
      <c r="M364" s="12"/>
      <c r="N364" s="12"/>
      <c r="O364" s="1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11"/>
      <c r="B365" s="19"/>
      <c r="C365" s="19"/>
      <c r="D365" s="12" t="str">
        <f t="shared" si="2"/>
        <v> </v>
      </c>
      <c r="E365" s="12" t="str">
        <f t="shared" si="3"/>
        <v> </v>
      </c>
      <c r="F365" s="12"/>
      <c r="G365" s="20"/>
      <c r="H365" s="20"/>
      <c r="I365" s="20"/>
      <c r="J365" s="19"/>
      <c r="K365" s="19"/>
      <c r="L365" s="12"/>
      <c r="M365" s="12"/>
      <c r="N365" s="12"/>
      <c r="O365" s="1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11"/>
      <c r="B366" s="19"/>
      <c r="C366" s="19"/>
      <c r="D366" s="12" t="str">
        <f t="shared" si="2"/>
        <v> </v>
      </c>
      <c r="E366" s="12" t="str">
        <f t="shared" si="3"/>
        <v> </v>
      </c>
      <c r="F366" s="12"/>
      <c r="G366" s="20"/>
      <c r="H366" s="20"/>
      <c r="I366" s="20"/>
      <c r="J366" s="19"/>
      <c r="K366" s="19"/>
      <c r="L366" s="12"/>
      <c r="M366" s="12"/>
      <c r="N366" s="12"/>
      <c r="O366" s="1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11"/>
      <c r="B367" s="19"/>
      <c r="C367" s="19"/>
      <c r="D367" s="12" t="str">
        <f t="shared" si="2"/>
        <v> </v>
      </c>
      <c r="E367" s="12" t="str">
        <f t="shared" si="3"/>
        <v> </v>
      </c>
      <c r="F367" s="12"/>
      <c r="G367" s="20"/>
      <c r="H367" s="20"/>
      <c r="I367" s="20"/>
      <c r="J367" s="19"/>
      <c r="K367" s="19"/>
      <c r="L367" s="12"/>
      <c r="M367" s="12"/>
      <c r="N367" s="12"/>
      <c r="O367" s="1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11"/>
      <c r="B368" s="19"/>
      <c r="C368" s="19"/>
      <c r="D368" s="12" t="str">
        <f t="shared" si="2"/>
        <v> </v>
      </c>
      <c r="E368" s="12" t="str">
        <f t="shared" si="3"/>
        <v> </v>
      </c>
      <c r="F368" s="12"/>
      <c r="G368" s="20"/>
      <c r="H368" s="20"/>
      <c r="I368" s="20"/>
      <c r="J368" s="19"/>
      <c r="K368" s="19"/>
      <c r="L368" s="12"/>
      <c r="M368" s="12"/>
      <c r="N368" s="12"/>
      <c r="O368" s="1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11"/>
      <c r="B369" s="19"/>
      <c r="C369" s="19"/>
      <c r="D369" s="12" t="str">
        <f t="shared" si="2"/>
        <v> </v>
      </c>
      <c r="E369" s="12" t="str">
        <f t="shared" si="3"/>
        <v> </v>
      </c>
      <c r="F369" s="12"/>
      <c r="G369" s="20"/>
      <c r="H369" s="20"/>
      <c r="I369" s="20"/>
      <c r="J369" s="19"/>
      <c r="K369" s="19"/>
      <c r="L369" s="12"/>
      <c r="M369" s="12"/>
      <c r="N369" s="12"/>
      <c r="O369" s="1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11"/>
      <c r="B370" s="19"/>
      <c r="C370" s="19"/>
      <c r="D370" s="12" t="str">
        <f t="shared" si="2"/>
        <v> </v>
      </c>
      <c r="E370" s="12" t="str">
        <f t="shared" si="3"/>
        <v> </v>
      </c>
      <c r="F370" s="12"/>
      <c r="G370" s="20"/>
      <c r="H370" s="20"/>
      <c r="I370" s="20"/>
      <c r="J370" s="19"/>
      <c r="K370" s="19"/>
      <c r="L370" s="12"/>
      <c r="M370" s="12"/>
      <c r="N370" s="12"/>
      <c r="O370" s="1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11"/>
      <c r="B371" s="19"/>
      <c r="C371" s="19"/>
      <c r="D371" s="12" t="str">
        <f t="shared" si="2"/>
        <v> </v>
      </c>
      <c r="E371" s="12" t="str">
        <f t="shared" si="3"/>
        <v> </v>
      </c>
      <c r="F371" s="12"/>
      <c r="G371" s="20"/>
      <c r="H371" s="20"/>
      <c r="I371" s="20"/>
      <c r="J371" s="19"/>
      <c r="K371" s="19"/>
      <c r="L371" s="12"/>
      <c r="M371" s="12"/>
      <c r="N371" s="12"/>
      <c r="O371" s="1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11"/>
      <c r="B372" s="19"/>
      <c r="C372" s="19"/>
      <c r="D372" s="12" t="str">
        <f t="shared" si="2"/>
        <v> </v>
      </c>
      <c r="E372" s="12" t="str">
        <f t="shared" si="3"/>
        <v> </v>
      </c>
      <c r="F372" s="12"/>
      <c r="G372" s="20"/>
      <c r="H372" s="20"/>
      <c r="I372" s="20"/>
      <c r="J372" s="19"/>
      <c r="K372" s="19"/>
      <c r="L372" s="12"/>
      <c r="M372" s="12"/>
      <c r="N372" s="12"/>
      <c r="O372" s="1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11"/>
      <c r="B373" s="19"/>
      <c r="C373" s="19"/>
      <c r="D373" s="12" t="str">
        <f t="shared" si="2"/>
        <v> </v>
      </c>
      <c r="E373" s="12" t="str">
        <f t="shared" si="3"/>
        <v> </v>
      </c>
      <c r="F373" s="12"/>
      <c r="G373" s="20"/>
      <c r="H373" s="20"/>
      <c r="I373" s="20"/>
      <c r="J373" s="19"/>
      <c r="K373" s="19"/>
      <c r="L373" s="12"/>
      <c r="M373" s="12"/>
      <c r="N373" s="12"/>
      <c r="O373" s="1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11"/>
      <c r="B374" s="19"/>
      <c r="C374" s="19"/>
      <c r="D374" s="12" t="str">
        <f t="shared" si="2"/>
        <v> </v>
      </c>
      <c r="E374" s="12" t="str">
        <f t="shared" si="3"/>
        <v> </v>
      </c>
      <c r="F374" s="12"/>
      <c r="G374" s="20"/>
      <c r="H374" s="20"/>
      <c r="I374" s="20"/>
      <c r="J374" s="19"/>
      <c r="K374" s="19"/>
      <c r="L374" s="12"/>
      <c r="M374" s="12"/>
      <c r="N374" s="12"/>
      <c r="O374" s="1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11"/>
      <c r="B375" s="19"/>
      <c r="C375" s="19"/>
      <c r="D375" s="12" t="str">
        <f t="shared" si="2"/>
        <v> </v>
      </c>
      <c r="E375" s="12" t="str">
        <f t="shared" si="3"/>
        <v> </v>
      </c>
      <c r="F375" s="12"/>
      <c r="G375" s="20"/>
      <c r="H375" s="20"/>
      <c r="I375" s="20"/>
      <c r="J375" s="19"/>
      <c r="K375" s="19"/>
      <c r="L375" s="12"/>
      <c r="M375" s="12"/>
      <c r="N375" s="12"/>
      <c r="O375" s="1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11"/>
      <c r="B376" s="19"/>
      <c r="C376" s="19"/>
      <c r="D376" s="12" t="str">
        <f t="shared" si="2"/>
        <v> </v>
      </c>
      <c r="E376" s="12" t="str">
        <f t="shared" si="3"/>
        <v> </v>
      </c>
      <c r="F376" s="12"/>
      <c r="G376" s="20"/>
      <c r="H376" s="20"/>
      <c r="I376" s="20"/>
      <c r="J376" s="19"/>
      <c r="K376" s="19"/>
      <c r="L376" s="12"/>
      <c r="M376" s="12"/>
      <c r="N376" s="12"/>
      <c r="O376" s="1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11"/>
      <c r="B377" s="19"/>
      <c r="C377" s="19"/>
      <c r="D377" s="12" t="str">
        <f t="shared" si="2"/>
        <v> </v>
      </c>
      <c r="E377" s="12" t="str">
        <f t="shared" si="3"/>
        <v> </v>
      </c>
      <c r="F377" s="12"/>
      <c r="G377" s="20"/>
      <c r="H377" s="20"/>
      <c r="I377" s="20"/>
      <c r="J377" s="19"/>
      <c r="K377" s="19"/>
      <c r="L377" s="12"/>
      <c r="M377" s="12"/>
      <c r="N377" s="12"/>
      <c r="O377" s="1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11"/>
      <c r="B378" s="19"/>
      <c r="C378" s="19"/>
      <c r="D378" s="12" t="str">
        <f t="shared" si="2"/>
        <v> </v>
      </c>
      <c r="E378" s="12" t="str">
        <f t="shared" si="3"/>
        <v> </v>
      </c>
      <c r="F378" s="12"/>
      <c r="G378" s="20"/>
      <c r="H378" s="20"/>
      <c r="I378" s="20"/>
      <c r="J378" s="19"/>
      <c r="K378" s="19"/>
      <c r="L378" s="12"/>
      <c r="M378" s="12"/>
      <c r="N378" s="12"/>
      <c r="O378" s="1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11"/>
      <c r="B379" s="19"/>
      <c r="C379" s="19"/>
      <c r="D379" s="12" t="str">
        <f t="shared" si="2"/>
        <v> </v>
      </c>
      <c r="E379" s="12" t="str">
        <f t="shared" si="3"/>
        <v> </v>
      </c>
      <c r="F379" s="12"/>
      <c r="G379" s="20"/>
      <c r="H379" s="20"/>
      <c r="I379" s="20"/>
      <c r="J379" s="19"/>
      <c r="K379" s="19"/>
      <c r="L379" s="12"/>
      <c r="M379" s="12"/>
      <c r="N379" s="12"/>
      <c r="O379" s="1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11"/>
      <c r="B380" s="19"/>
      <c r="C380" s="19"/>
      <c r="D380" s="12" t="str">
        <f t="shared" si="2"/>
        <v> </v>
      </c>
      <c r="E380" s="12" t="str">
        <f t="shared" si="3"/>
        <v> </v>
      </c>
      <c r="F380" s="12"/>
      <c r="G380" s="20"/>
      <c r="H380" s="20"/>
      <c r="I380" s="20"/>
      <c r="J380" s="19"/>
      <c r="K380" s="19"/>
      <c r="L380" s="12"/>
      <c r="M380" s="12"/>
      <c r="N380" s="12"/>
      <c r="O380" s="1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11"/>
      <c r="B381" s="19"/>
      <c r="C381" s="19"/>
      <c r="D381" s="12" t="str">
        <f t="shared" si="2"/>
        <v> </v>
      </c>
      <c r="E381" s="12" t="str">
        <f t="shared" si="3"/>
        <v> </v>
      </c>
      <c r="F381" s="12"/>
      <c r="G381" s="20"/>
      <c r="H381" s="20"/>
      <c r="I381" s="20"/>
      <c r="J381" s="19"/>
      <c r="K381" s="19"/>
      <c r="L381" s="12"/>
      <c r="M381" s="12"/>
      <c r="N381" s="12"/>
      <c r="O381" s="1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11"/>
      <c r="B382" s="19"/>
      <c r="C382" s="19"/>
      <c r="D382" s="12" t="str">
        <f t="shared" si="2"/>
        <v> </v>
      </c>
      <c r="E382" s="12" t="str">
        <f t="shared" si="3"/>
        <v> </v>
      </c>
      <c r="F382" s="12"/>
      <c r="G382" s="20"/>
      <c r="H382" s="20"/>
      <c r="I382" s="20"/>
      <c r="J382" s="19"/>
      <c r="K382" s="19"/>
      <c r="L382" s="12"/>
      <c r="M382" s="12"/>
      <c r="N382" s="12"/>
      <c r="O382" s="1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11"/>
      <c r="B383" s="19"/>
      <c r="C383" s="19"/>
      <c r="D383" s="12" t="str">
        <f t="shared" si="2"/>
        <v> </v>
      </c>
      <c r="E383" s="12" t="str">
        <f t="shared" si="3"/>
        <v> </v>
      </c>
      <c r="F383" s="12"/>
      <c r="G383" s="20"/>
      <c r="H383" s="20"/>
      <c r="I383" s="20"/>
      <c r="J383" s="19"/>
      <c r="K383" s="19"/>
      <c r="L383" s="12"/>
      <c r="M383" s="12"/>
      <c r="N383" s="12"/>
      <c r="O383" s="1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11"/>
      <c r="B384" s="19"/>
      <c r="C384" s="19"/>
      <c r="D384" s="12" t="str">
        <f t="shared" si="2"/>
        <v> </v>
      </c>
      <c r="E384" s="12" t="str">
        <f t="shared" si="3"/>
        <v> </v>
      </c>
      <c r="F384" s="12"/>
      <c r="G384" s="20"/>
      <c r="H384" s="20"/>
      <c r="I384" s="20"/>
      <c r="J384" s="19"/>
      <c r="K384" s="19"/>
      <c r="L384" s="12"/>
      <c r="M384" s="12"/>
      <c r="N384" s="12"/>
      <c r="O384" s="1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11"/>
      <c r="B385" s="19"/>
      <c r="C385" s="19"/>
      <c r="D385" s="12" t="str">
        <f t="shared" si="2"/>
        <v> </v>
      </c>
      <c r="E385" s="12" t="str">
        <f t="shared" si="3"/>
        <v> </v>
      </c>
      <c r="F385" s="12"/>
      <c r="G385" s="20"/>
      <c r="H385" s="20"/>
      <c r="I385" s="20"/>
      <c r="J385" s="19"/>
      <c r="K385" s="19"/>
      <c r="L385" s="12"/>
      <c r="M385" s="12"/>
      <c r="N385" s="12"/>
      <c r="O385" s="1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11"/>
      <c r="B386" s="19"/>
      <c r="C386" s="19"/>
      <c r="D386" s="12" t="str">
        <f t="shared" si="2"/>
        <v> </v>
      </c>
      <c r="E386" s="12" t="str">
        <f t="shared" si="3"/>
        <v> </v>
      </c>
      <c r="F386" s="12"/>
      <c r="G386" s="20"/>
      <c r="H386" s="20"/>
      <c r="I386" s="20"/>
      <c r="J386" s="19"/>
      <c r="K386" s="19"/>
      <c r="L386" s="12"/>
      <c r="M386" s="12"/>
      <c r="N386" s="12"/>
      <c r="O386" s="1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11"/>
      <c r="B387" s="19"/>
      <c r="C387" s="19"/>
      <c r="D387" s="12" t="str">
        <f t="shared" si="2"/>
        <v> </v>
      </c>
      <c r="E387" s="12" t="str">
        <f t="shared" si="3"/>
        <v> </v>
      </c>
      <c r="F387" s="12"/>
      <c r="G387" s="20"/>
      <c r="H387" s="20"/>
      <c r="I387" s="20"/>
      <c r="J387" s="19"/>
      <c r="K387" s="19"/>
      <c r="L387" s="12"/>
      <c r="M387" s="12"/>
      <c r="N387" s="12"/>
      <c r="O387" s="1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11"/>
      <c r="B388" s="19"/>
      <c r="C388" s="19"/>
      <c r="D388" s="12" t="str">
        <f t="shared" si="2"/>
        <v> </v>
      </c>
      <c r="E388" s="12" t="str">
        <f t="shared" si="3"/>
        <v> </v>
      </c>
      <c r="F388" s="12"/>
      <c r="G388" s="20"/>
      <c r="H388" s="20"/>
      <c r="I388" s="20"/>
      <c r="J388" s="19"/>
      <c r="K388" s="19"/>
      <c r="L388" s="12"/>
      <c r="M388" s="12"/>
      <c r="N388" s="12"/>
      <c r="O388" s="1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11"/>
      <c r="B389" s="19"/>
      <c r="C389" s="19"/>
      <c r="D389" s="12" t="str">
        <f t="shared" si="2"/>
        <v> </v>
      </c>
      <c r="E389" s="12" t="str">
        <f t="shared" si="3"/>
        <v> </v>
      </c>
      <c r="F389" s="12"/>
      <c r="G389" s="20"/>
      <c r="H389" s="20"/>
      <c r="I389" s="20"/>
      <c r="J389" s="19"/>
      <c r="K389" s="19"/>
      <c r="L389" s="12"/>
      <c r="M389" s="12"/>
      <c r="N389" s="12"/>
      <c r="O389" s="1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11"/>
      <c r="B390" s="19"/>
      <c r="C390" s="19"/>
      <c r="D390" s="12" t="str">
        <f t="shared" si="2"/>
        <v> </v>
      </c>
      <c r="E390" s="12" t="str">
        <f t="shared" si="3"/>
        <v> </v>
      </c>
      <c r="F390" s="12"/>
      <c r="G390" s="20"/>
      <c r="H390" s="20"/>
      <c r="I390" s="20"/>
      <c r="J390" s="19"/>
      <c r="K390" s="19"/>
      <c r="L390" s="12"/>
      <c r="M390" s="12"/>
      <c r="N390" s="12"/>
      <c r="O390" s="1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11"/>
      <c r="B391" s="19"/>
      <c r="C391" s="19"/>
      <c r="D391" s="12" t="str">
        <f t="shared" si="2"/>
        <v> </v>
      </c>
      <c r="E391" s="12" t="str">
        <f t="shared" si="3"/>
        <v> </v>
      </c>
      <c r="F391" s="12"/>
      <c r="G391" s="20"/>
      <c r="H391" s="20"/>
      <c r="I391" s="20"/>
      <c r="J391" s="19"/>
      <c r="K391" s="19"/>
      <c r="L391" s="12"/>
      <c r="M391" s="12"/>
      <c r="N391" s="12"/>
      <c r="O391" s="1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11"/>
      <c r="B392" s="19"/>
      <c r="C392" s="19"/>
      <c r="D392" s="12" t="str">
        <f t="shared" si="2"/>
        <v> </v>
      </c>
      <c r="E392" s="12" t="str">
        <f t="shared" si="3"/>
        <v> </v>
      </c>
      <c r="F392" s="12"/>
      <c r="G392" s="20"/>
      <c r="H392" s="20"/>
      <c r="I392" s="20"/>
      <c r="J392" s="19"/>
      <c r="K392" s="19"/>
      <c r="L392" s="12"/>
      <c r="M392" s="12"/>
      <c r="N392" s="12"/>
      <c r="O392" s="1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11"/>
      <c r="B393" s="19"/>
      <c r="C393" s="19"/>
      <c r="D393" s="12" t="str">
        <f t="shared" si="2"/>
        <v> </v>
      </c>
      <c r="E393" s="12" t="str">
        <f t="shared" si="3"/>
        <v> </v>
      </c>
      <c r="F393" s="12"/>
      <c r="G393" s="20"/>
      <c r="H393" s="20"/>
      <c r="I393" s="20"/>
      <c r="J393" s="19"/>
      <c r="K393" s="19"/>
      <c r="L393" s="12"/>
      <c r="M393" s="12"/>
      <c r="N393" s="12"/>
      <c r="O393" s="1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11"/>
      <c r="B394" s="19"/>
      <c r="C394" s="19"/>
      <c r="D394" s="12" t="str">
        <f t="shared" si="2"/>
        <v> </v>
      </c>
      <c r="E394" s="12" t="str">
        <f t="shared" si="3"/>
        <v> </v>
      </c>
      <c r="F394" s="12"/>
      <c r="G394" s="20"/>
      <c r="H394" s="20"/>
      <c r="I394" s="20"/>
      <c r="J394" s="19"/>
      <c r="K394" s="19"/>
      <c r="L394" s="12"/>
      <c r="M394" s="12"/>
      <c r="N394" s="12"/>
      <c r="O394" s="1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11"/>
      <c r="B395" s="19"/>
      <c r="C395" s="19"/>
      <c r="D395" s="12" t="str">
        <f t="shared" si="2"/>
        <v> </v>
      </c>
      <c r="E395" s="12" t="str">
        <f t="shared" si="3"/>
        <v> </v>
      </c>
      <c r="F395" s="12"/>
      <c r="G395" s="20"/>
      <c r="H395" s="20"/>
      <c r="I395" s="20"/>
      <c r="J395" s="19"/>
      <c r="K395" s="19"/>
      <c r="L395" s="12"/>
      <c r="M395" s="12"/>
      <c r="N395" s="12"/>
      <c r="O395" s="1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11"/>
      <c r="B396" s="19"/>
      <c r="C396" s="19"/>
      <c r="D396" s="12" t="str">
        <f t="shared" si="2"/>
        <v> </v>
      </c>
      <c r="E396" s="12" t="str">
        <f t="shared" si="3"/>
        <v> </v>
      </c>
      <c r="F396" s="12"/>
      <c r="G396" s="20"/>
      <c r="H396" s="20"/>
      <c r="I396" s="20"/>
      <c r="J396" s="19"/>
      <c r="K396" s="19"/>
      <c r="L396" s="12"/>
      <c r="M396" s="12"/>
      <c r="N396" s="12"/>
      <c r="O396" s="1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11"/>
      <c r="B397" s="19"/>
      <c r="C397" s="19"/>
      <c r="D397" s="12" t="str">
        <f t="shared" si="2"/>
        <v> </v>
      </c>
      <c r="E397" s="12" t="str">
        <f t="shared" si="3"/>
        <v> </v>
      </c>
      <c r="F397" s="12"/>
      <c r="G397" s="20"/>
      <c r="H397" s="20"/>
      <c r="I397" s="20"/>
      <c r="J397" s="19"/>
      <c r="K397" s="19"/>
      <c r="L397" s="12"/>
      <c r="M397" s="12"/>
      <c r="N397" s="12"/>
      <c r="O397" s="1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11"/>
      <c r="B398" s="19"/>
      <c r="C398" s="19"/>
      <c r="D398" s="12" t="str">
        <f t="shared" si="2"/>
        <v> </v>
      </c>
      <c r="E398" s="12" t="str">
        <f t="shared" si="3"/>
        <v> </v>
      </c>
      <c r="F398" s="12"/>
      <c r="G398" s="20"/>
      <c r="H398" s="20"/>
      <c r="I398" s="20"/>
      <c r="J398" s="19"/>
      <c r="K398" s="19"/>
      <c r="L398" s="12"/>
      <c r="M398" s="12"/>
      <c r="N398" s="12"/>
      <c r="O398" s="1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11"/>
      <c r="B399" s="19"/>
      <c r="C399" s="19"/>
      <c r="D399" s="12" t="str">
        <f t="shared" si="2"/>
        <v> </v>
      </c>
      <c r="E399" s="12" t="str">
        <f t="shared" si="3"/>
        <v> </v>
      </c>
      <c r="F399" s="12"/>
      <c r="G399" s="20"/>
      <c r="H399" s="20"/>
      <c r="I399" s="20"/>
      <c r="J399" s="19"/>
      <c r="K399" s="19"/>
      <c r="L399" s="12"/>
      <c r="M399" s="12"/>
      <c r="N399" s="12"/>
      <c r="O399" s="1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11"/>
      <c r="B400" s="19"/>
      <c r="C400" s="19"/>
      <c r="D400" s="12" t="str">
        <f t="shared" si="2"/>
        <v> </v>
      </c>
      <c r="E400" s="12" t="str">
        <f t="shared" si="3"/>
        <v> </v>
      </c>
      <c r="F400" s="12"/>
      <c r="G400" s="20"/>
      <c r="H400" s="20"/>
      <c r="I400" s="20"/>
      <c r="J400" s="19"/>
      <c r="K400" s="19"/>
      <c r="L400" s="12"/>
      <c r="M400" s="12"/>
      <c r="N400" s="12"/>
      <c r="O400" s="1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11"/>
      <c r="B401" s="19"/>
      <c r="C401" s="19"/>
      <c r="D401" s="12" t="str">
        <f t="shared" si="2"/>
        <v> </v>
      </c>
      <c r="E401" s="12" t="str">
        <f t="shared" si="3"/>
        <v> </v>
      </c>
      <c r="F401" s="12"/>
      <c r="G401" s="20"/>
      <c r="H401" s="20"/>
      <c r="I401" s="20"/>
      <c r="J401" s="19"/>
      <c r="K401" s="19"/>
      <c r="L401" s="12"/>
      <c r="M401" s="12"/>
      <c r="N401" s="12"/>
      <c r="O401" s="1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11"/>
      <c r="B402" s="19"/>
      <c r="C402" s="19"/>
      <c r="D402" s="12" t="str">
        <f t="shared" si="2"/>
        <v> </v>
      </c>
      <c r="E402" s="12" t="str">
        <f t="shared" si="3"/>
        <v> </v>
      </c>
      <c r="F402" s="12"/>
      <c r="G402" s="20"/>
      <c r="H402" s="20"/>
      <c r="I402" s="20"/>
      <c r="J402" s="19"/>
      <c r="K402" s="19"/>
      <c r="L402" s="12"/>
      <c r="M402" s="12"/>
      <c r="N402" s="12"/>
      <c r="O402" s="1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11"/>
      <c r="B403" s="19"/>
      <c r="C403" s="19"/>
      <c r="D403" s="12" t="str">
        <f t="shared" si="2"/>
        <v> </v>
      </c>
      <c r="E403" s="12" t="str">
        <f t="shared" si="3"/>
        <v> </v>
      </c>
      <c r="F403" s="12"/>
      <c r="G403" s="20"/>
      <c r="H403" s="20"/>
      <c r="I403" s="20"/>
      <c r="J403" s="19"/>
      <c r="K403" s="19"/>
      <c r="L403" s="12"/>
      <c r="M403" s="12"/>
      <c r="N403" s="12"/>
      <c r="O403" s="1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11"/>
      <c r="B404" s="19"/>
      <c r="C404" s="19"/>
      <c r="D404" s="12" t="str">
        <f t="shared" si="2"/>
        <v> </v>
      </c>
      <c r="E404" s="12" t="str">
        <f t="shared" si="3"/>
        <v> </v>
      </c>
      <c r="F404" s="12"/>
      <c r="G404" s="20"/>
      <c r="H404" s="20"/>
      <c r="I404" s="20"/>
      <c r="J404" s="19"/>
      <c r="K404" s="19"/>
      <c r="L404" s="12"/>
      <c r="M404" s="12"/>
      <c r="N404" s="12"/>
      <c r="O404" s="1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11"/>
      <c r="B405" s="19"/>
      <c r="C405" s="19"/>
      <c r="D405" s="12" t="str">
        <f t="shared" si="2"/>
        <v> </v>
      </c>
      <c r="E405" s="12" t="str">
        <f t="shared" si="3"/>
        <v> </v>
      </c>
      <c r="F405" s="12"/>
      <c r="G405" s="20"/>
      <c r="H405" s="20"/>
      <c r="I405" s="20"/>
      <c r="J405" s="19"/>
      <c r="K405" s="19"/>
      <c r="L405" s="12"/>
      <c r="M405" s="12"/>
      <c r="N405" s="12"/>
      <c r="O405" s="1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11"/>
      <c r="B406" s="19"/>
      <c r="C406" s="19"/>
      <c r="D406" s="12" t="str">
        <f t="shared" si="2"/>
        <v> </v>
      </c>
      <c r="E406" s="12" t="str">
        <f t="shared" si="3"/>
        <v> </v>
      </c>
      <c r="F406" s="12"/>
      <c r="G406" s="20"/>
      <c r="H406" s="20"/>
      <c r="I406" s="20"/>
      <c r="J406" s="19"/>
      <c r="K406" s="19"/>
      <c r="L406" s="12"/>
      <c r="M406" s="12"/>
      <c r="N406" s="12"/>
      <c r="O406" s="1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11"/>
      <c r="B407" s="19"/>
      <c r="C407" s="19"/>
      <c r="D407" s="12" t="str">
        <f t="shared" si="2"/>
        <v> </v>
      </c>
      <c r="E407" s="12" t="str">
        <f t="shared" si="3"/>
        <v> </v>
      </c>
      <c r="F407" s="12"/>
      <c r="G407" s="20"/>
      <c r="H407" s="20"/>
      <c r="I407" s="20"/>
      <c r="J407" s="19"/>
      <c r="K407" s="19"/>
      <c r="L407" s="12"/>
      <c r="M407" s="12"/>
      <c r="N407" s="12"/>
      <c r="O407" s="1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11"/>
      <c r="B408" s="19"/>
      <c r="C408" s="19"/>
      <c r="D408" s="12" t="str">
        <f t="shared" si="2"/>
        <v> </v>
      </c>
      <c r="E408" s="12" t="str">
        <f t="shared" si="3"/>
        <v> </v>
      </c>
      <c r="F408" s="12"/>
      <c r="G408" s="20"/>
      <c r="H408" s="20"/>
      <c r="I408" s="20"/>
      <c r="J408" s="19"/>
      <c r="K408" s="19"/>
      <c r="L408" s="12"/>
      <c r="M408" s="12"/>
      <c r="N408" s="12"/>
      <c r="O408" s="1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11"/>
      <c r="B409" s="19"/>
      <c r="C409" s="19"/>
      <c r="D409" s="12" t="str">
        <f t="shared" si="2"/>
        <v> </v>
      </c>
      <c r="E409" s="12" t="str">
        <f t="shared" si="3"/>
        <v> </v>
      </c>
      <c r="F409" s="12"/>
      <c r="G409" s="20"/>
      <c r="H409" s="20"/>
      <c r="I409" s="20"/>
      <c r="J409" s="19"/>
      <c r="K409" s="19"/>
      <c r="L409" s="12"/>
      <c r="M409" s="12"/>
      <c r="N409" s="12"/>
      <c r="O409" s="1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11"/>
      <c r="B410" s="19"/>
      <c r="C410" s="19"/>
      <c r="D410" s="12" t="str">
        <f t="shared" si="2"/>
        <v> </v>
      </c>
      <c r="E410" s="12" t="str">
        <f t="shared" si="3"/>
        <v> </v>
      </c>
      <c r="F410" s="12"/>
      <c r="G410" s="20"/>
      <c r="H410" s="20"/>
      <c r="I410" s="20"/>
      <c r="J410" s="19"/>
      <c r="K410" s="19"/>
      <c r="L410" s="12"/>
      <c r="M410" s="12"/>
      <c r="N410" s="12"/>
      <c r="O410" s="1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11"/>
      <c r="B411" s="19"/>
      <c r="C411" s="19"/>
      <c r="D411" s="12" t="str">
        <f t="shared" si="2"/>
        <v> </v>
      </c>
      <c r="E411" s="12" t="str">
        <f t="shared" si="3"/>
        <v> </v>
      </c>
      <c r="F411" s="12"/>
      <c r="G411" s="20"/>
      <c r="H411" s="20"/>
      <c r="I411" s="20"/>
      <c r="J411" s="19"/>
      <c r="K411" s="19"/>
      <c r="L411" s="12"/>
      <c r="M411" s="12"/>
      <c r="N411" s="12"/>
      <c r="O411" s="1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11"/>
      <c r="B412" s="19"/>
      <c r="C412" s="19"/>
      <c r="D412" s="12" t="str">
        <f t="shared" si="2"/>
        <v> </v>
      </c>
      <c r="E412" s="12" t="str">
        <f t="shared" si="3"/>
        <v> </v>
      </c>
      <c r="F412" s="12"/>
      <c r="G412" s="20"/>
      <c r="H412" s="20"/>
      <c r="I412" s="20"/>
      <c r="J412" s="19"/>
      <c r="K412" s="19"/>
      <c r="L412" s="12"/>
      <c r="M412" s="12"/>
      <c r="N412" s="12"/>
      <c r="O412" s="1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11"/>
      <c r="B413" s="19"/>
      <c r="C413" s="19"/>
      <c r="D413" s="12" t="str">
        <f t="shared" si="2"/>
        <v> </v>
      </c>
      <c r="E413" s="12" t="str">
        <f t="shared" si="3"/>
        <v> </v>
      </c>
      <c r="F413" s="12"/>
      <c r="G413" s="20"/>
      <c r="H413" s="20"/>
      <c r="I413" s="20"/>
      <c r="J413" s="19"/>
      <c r="K413" s="19"/>
      <c r="L413" s="12"/>
      <c r="M413" s="12"/>
      <c r="N413" s="12"/>
      <c r="O413" s="1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11"/>
      <c r="B414" s="19"/>
      <c r="C414" s="19"/>
      <c r="D414" s="12" t="str">
        <f t="shared" si="2"/>
        <v> </v>
      </c>
      <c r="E414" s="12" t="str">
        <f t="shared" si="3"/>
        <v> </v>
      </c>
      <c r="F414" s="12"/>
      <c r="G414" s="20"/>
      <c r="H414" s="20"/>
      <c r="I414" s="20"/>
      <c r="J414" s="19"/>
      <c r="K414" s="19"/>
      <c r="L414" s="12"/>
      <c r="M414" s="12"/>
      <c r="N414" s="12"/>
      <c r="O414" s="1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11"/>
      <c r="B415" s="19"/>
      <c r="C415" s="19"/>
      <c r="D415" s="12" t="str">
        <f t="shared" si="2"/>
        <v> </v>
      </c>
      <c r="E415" s="12" t="str">
        <f t="shared" si="3"/>
        <v> </v>
      </c>
      <c r="F415" s="12"/>
      <c r="G415" s="20"/>
      <c r="H415" s="20"/>
      <c r="I415" s="20"/>
      <c r="J415" s="19"/>
      <c r="K415" s="19"/>
      <c r="L415" s="12"/>
      <c r="M415" s="12"/>
      <c r="N415" s="12"/>
      <c r="O415" s="1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11"/>
      <c r="B416" s="19"/>
      <c r="C416" s="19"/>
      <c r="D416" s="12" t="str">
        <f t="shared" si="2"/>
        <v> </v>
      </c>
      <c r="E416" s="12" t="str">
        <f t="shared" si="3"/>
        <v> </v>
      </c>
      <c r="F416" s="12"/>
      <c r="G416" s="20"/>
      <c r="H416" s="20"/>
      <c r="I416" s="20"/>
      <c r="J416" s="19"/>
      <c r="K416" s="19"/>
      <c r="L416" s="12"/>
      <c r="M416" s="12"/>
      <c r="N416" s="12"/>
      <c r="O416" s="1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11"/>
      <c r="B417" s="19"/>
      <c r="C417" s="19"/>
      <c r="D417" s="12" t="str">
        <f t="shared" si="2"/>
        <v> </v>
      </c>
      <c r="E417" s="12" t="str">
        <f t="shared" si="3"/>
        <v> </v>
      </c>
      <c r="F417" s="12"/>
      <c r="G417" s="20"/>
      <c r="H417" s="20"/>
      <c r="I417" s="20"/>
      <c r="J417" s="19"/>
      <c r="K417" s="19"/>
      <c r="L417" s="12"/>
      <c r="M417" s="12"/>
      <c r="N417" s="12"/>
      <c r="O417" s="1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11"/>
      <c r="B418" s="19"/>
      <c r="C418" s="19"/>
      <c r="D418" s="12" t="str">
        <f t="shared" si="2"/>
        <v> </v>
      </c>
      <c r="E418" s="12" t="str">
        <f t="shared" si="3"/>
        <v> </v>
      </c>
      <c r="F418" s="12"/>
      <c r="G418" s="20"/>
      <c r="H418" s="20"/>
      <c r="I418" s="20"/>
      <c r="J418" s="19"/>
      <c r="K418" s="19"/>
      <c r="L418" s="12"/>
      <c r="M418" s="12"/>
      <c r="N418" s="12"/>
      <c r="O418" s="1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11"/>
      <c r="B419" s="19"/>
      <c r="C419" s="19"/>
      <c r="D419" s="12" t="str">
        <f t="shared" si="2"/>
        <v> </v>
      </c>
      <c r="E419" s="12" t="str">
        <f t="shared" si="3"/>
        <v> </v>
      </c>
      <c r="F419" s="12"/>
      <c r="G419" s="20"/>
      <c r="H419" s="20"/>
      <c r="I419" s="20"/>
      <c r="J419" s="19"/>
      <c r="K419" s="19"/>
      <c r="L419" s="12"/>
      <c r="M419" s="12"/>
      <c r="N419" s="12"/>
      <c r="O419" s="1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11"/>
      <c r="B420" s="19"/>
      <c r="C420" s="19"/>
      <c r="D420" s="12" t="str">
        <f t="shared" si="2"/>
        <v> </v>
      </c>
      <c r="E420" s="12" t="str">
        <f t="shared" si="3"/>
        <v> </v>
      </c>
      <c r="F420" s="12"/>
      <c r="G420" s="20"/>
      <c r="H420" s="20"/>
      <c r="I420" s="20"/>
      <c r="J420" s="19"/>
      <c r="K420" s="19"/>
      <c r="L420" s="12"/>
      <c r="M420" s="12"/>
      <c r="N420" s="12"/>
      <c r="O420" s="1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11"/>
      <c r="B421" s="19"/>
      <c r="C421" s="19"/>
      <c r="D421" s="12" t="str">
        <f t="shared" si="2"/>
        <v> </v>
      </c>
      <c r="E421" s="12" t="str">
        <f t="shared" si="3"/>
        <v> </v>
      </c>
      <c r="F421" s="12"/>
      <c r="G421" s="20"/>
      <c r="H421" s="20"/>
      <c r="I421" s="20"/>
      <c r="J421" s="19"/>
      <c r="K421" s="19"/>
      <c r="L421" s="12"/>
      <c r="M421" s="12"/>
      <c r="N421" s="12"/>
      <c r="O421" s="1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11"/>
      <c r="B422" s="19"/>
      <c r="C422" s="19"/>
      <c r="D422" s="12" t="str">
        <f t="shared" si="2"/>
        <v> </v>
      </c>
      <c r="E422" s="12" t="str">
        <f t="shared" si="3"/>
        <v> </v>
      </c>
      <c r="F422" s="12"/>
      <c r="G422" s="20"/>
      <c r="H422" s="20"/>
      <c r="I422" s="20"/>
      <c r="J422" s="19"/>
      <c r="K422" s="19"/>
      <c r="L422" s="12"/>
      <c r="M422" s="12"/>
      <c r="N422" s="12"/>
      <c r="O422" s="1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11"/>
      <c r="B423" s="19"/>
      <c r="C423" s="19"/>
      <c r="D423" s="12" t="str">
        <f t="shared" si="2"/>
        <v> </v>
      </c>
      <c r="E423" s="12" t="str">
        <f t="shared" si="3"/>
        <v> </v>
      </c>
      <c r="F423" s="12"/>
      <c r="G423" s="20"/>
      <c r="H423" s="20"/>
      <c r="I423" s="20"/>
      <c r="J423" s="19"/>
      <c r="K423" s="19"/>
      <c r="L423" s="12"/>
      <c r="M423" s="12"/>
      <c r="N423" s="12"/>
      <c r="O423" s="1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11"/>
      <c r="B424" s="19"/>
      <c r="C424" s="19"/>
      <c r="D424" s="12" t="str">
        <f t="shared" si="2"/>
        <v> </v>
      </c>
      <c r="E424" s="12" t="str">
        <f t="shared" si="3"/>
        <v> </v>
      </c>
      <c r="F424" s="12"/>
      <c r="G424" s="20"/>
      <c r="H424" s="20"/>
      <c r="I424" s="20"/>
      <c r="J424" s="19"/>
      <c r="K424" s="19"/>
      <c r="L424" s="12"/>
      <c r="M424" s="12"/>
      <c r="N424" s="12"/>
      <c r="O424" s="1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11"/>
      <c r="B425" s="19"/>
      <c r="C425" s="19"/>
      <c r="D425" s="12" t="str">
        <f t="shared" si="2"/>
        <v> </v>
      </c>
      <c r="E425" s="12" t="str">
        <f t="shared" si="3"/>
        <v> </v>
      </c>
      <c r="F425" s="12"/>
      <c r="G425" s="20"/>
      <c r="H425" s="20"/>
      <c r="I425" s="20"/>
      <c r="J425" s="19"/>
      <c r="K425" s="19"/>
      <c r="L425" s="12"/>
      <c r="M425" s="12"/>
      <c r="N425" s="12"/>
      <c r="O425" s="1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11"/>
      <c r="B426" s="19"/>
      <c r="C426" s="19"/>
      <c r="D426" s="12" t="str">
        <f t="shared" si="2"/>
        <v> </v>
      </c>
      <c r="E426" s="12" t="str">
        <f t="shared" si="3"/>
        <v> </v>
      </c>
      <c r="F426" s="12"/>
      <c r="G426" s="20"/>
      <c r="H426" s="20"/>
      <c r="I426" s="20"/>
      <c r="J426" s="19"/>
      <c r="K426" s="19"/>
      <c r="L426" s="12"/>
      <c r="M426" s="12"/>
      <c r="N426" s="12"/>
      <c r="O426" s="1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11"/>
      <c r="B427" s="19"/>
      <c r="C427" s="19"/>
      <c r="D427" s="12" t="str">
        <f t="shared" si="2"/>
        <v> </v>
      </c>
      <c r="E427" s="12" t="str">
        <f t="shared" si="3"/>
        <v> </v>
      </c>
      <c r="F427" s="12"/>
      <c r="G427" s="20"/>
      <c r="H427" s="20"/>
      <c r="I427" s="20"/>
      <c r="J427" s="19"/>
      <c r="K427" s="19"/>
      <c r="L427" s="12"/>
      <c r="M427" s="12"/>
      <c r="N427" s="12"/>
      <c r="O427" s="1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11"/>
      <c r="B428" s="19"/>
      <c r="C428" s="19"/>
      <c r="D428" s="12" t="str">
        <f t="shared" si="2"/>
        <v> </v>
      </c>
      <c r="E428" s="12" t="str">
        <f t="shared" si="3"/>
        <v> </v>
      </c>
      <c r="F428" s="12"/>
      <c r="G428" s="20"/>
      <c r="H428" s="20"/>
      <c r="I428" s="20"/>
      <c r="J428" s="19"/>
      <c r="K428" s="19"/>
      <c r="L428" s="12"/>
      <c r="M428" s="12"/>
      <c r="N428" s="12"/>
      <c r="O428" s="1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11"/>
      <c r="B429" s="19"/>
      <c r="C429" s="19"/>
      <c r="D429" s="12" t="str">
        <f t="shared" si="2"/>
        <v> </v>
      </c>
      <c r="E429" s="12" t="str">
        <f t="shared" si="3"/>
        <v> </v>
      </c>
      <c r="F429" s="12"/>
      <c r="G429" s="20"/>
      <c r="H429" s="20"/>
      <c r="I429" s="20"/>
      <c r="J429" s="19"/>
      <c r="K429" s="19"/>
      <c r="L429" s="12"/>
      <c r="M429" s="12"/>
      <c r="N429" s="12"/>
      <c r="O429" s="1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11"/>
      <c r="B430" s="19"/>
      <c r="C430" s="19"/>
      <c r="D430" s="12" t="str">
        <f t="shared" si="2"/>
        <v> </v>
      </c>
      <c r="E430" s="12" t="str">
        <f t="shared" si="3"/>
        <v> </v>
      </c>
      <c r="F430" s="12"/>
      <c r="G430" s="20"/>
      <c r="H430" s="20"/>
      <c r="I430" s="20"/>
      <c r="J430" s="19"/>
      <c r="K430" s="19"/>
      <c r="L430" s="12"/>
      <c r="M430" s="12"/>
      <c r="N430" s="12"/>
      <c r="O430" s="1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11"/>
      <c r="B431" s="19"/>
      <c r="C431" s="19"/>
      <c r="D431" s="12" t="str">
        <f t="shared" si="2"/>
        <v> </v>
      </c>
      <c r="E431" s="12" t="str">
        <f t="shared" si="3"/>
        <v> </v>
      </c>
      <c r="F431" s="12"/>
      <c r="G431" s="20"/>
      <c r="H431" s="20"/>
      <c r="I431" s="20"/>
      <c r="J431" s="19"/>
      <c r="K431" s="19"/>
      <c r="L431" s="12"/>
      <c r="M431" s="12"/>
      <c r="N431" s="12"/>
      <c r="O431" s="1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11"/>
      <c r="B432" s="19"/>
      <c r="C432" s="19"/>
      <c r="D432" s="12" t="str">
        <f t="shared" si="2"/>
        <v> </v>
      </c>
      <c r="E432" s="12" t="str">
        <f t="shared" si="3"/>
        <v> </v>
      </c>
      <c r="F432" s="12"/>
      <c r="G432" s="20"/>
      <c r="H432" s="20"/>
      <c r="I432" s="20"/>
      <c r="J432" s="19"/>
      <c r="K432" s="19"/>
      <c r="L432" s="12"/>
      <c r="M432" s="12"/>
      <c r="N432" s="12"/>
      <c r="O432" s="1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11"/>
      <c r="B433" s="19"/>
      <c r="C433" s="19"/>
      <c r="D433" s="12" t="str">
        <f t="shared" si="2"/>
        <v> </v>
      </c>
      <c r="E433" s="12" t="str">
        <f t="shared" si="3"/>
        <v> </v>
      </c>
      <c r="F433" s="12"/>
      <c r="G433" s="20"/>
      <c r="H433" s="20"/>
      <c r="I433" s="20"/>
      <c r="J433" s="19"/>
      <c r="K433" s="19"/>
      <c r="L433" s="12"/>
      <c r="M433" s="12"/>
      <c r="N433" s="12"/>
      <c r="O433" s="1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11"/>
      <c r="B434" s="19"/>
      <c r="C434" s="19"/>
      <c r="D434" s="12" t="str">
        <f t="shared" si="2"/>
        <v> </v>
      </c>
      <c r="E434" s="12" t="str">
        <f t="shared" si="3"/>
        <v> </v>
      </c>
      <c r="F434" s="12"/>
      <c r="G434" s="20"/>
      <c r="H434" s="20"/>
      <c r="I434" s="20"/>
      <c r="J434" s="19"/>
      <c r="K434" s="19"/>
      <c r="L434" s="12"/>
      <c r="M434" s="12"/>
      <c r="N434" s="12"/>
      <c r="O434" s="1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11"/>
      <c r="B435" s="19"/>
      <c r="C435" s="19"/>
      <c r="D435" s="12" t="str">
        <f t="shared" si="2"/>
        <v> </v>
      </c>
      <c r="E435" s="12" t="str">
        <f t="shared" si="3"/>
        <v> </v>
      </c>
      <c r="F435" s="12"/>
      <c r="G435" s="20"/>
      <c r="H435" s="20"/>
      <c r="I435" s="20"/>
      <c r="J435" s="19"/>
      <c r="K435" s="19"/>
      <c r="L435" s="12"/>
      <c r="M435" s="12"/>
      <c r="N435" s="12"/>
      <c r="O435" s="1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11"/>
      <c r="B436" s="19"/>
      <c r="C436" s="19"/>
      <c r="D436" s="12" t="str">
        <f t="shared" si="2"/>
        <v> </v>
      </c>
      <c r="E436" s="12" t="str">
        <f t="shared" si="3"/>
        <v> </v>
      </c>
      <c r="F436" s="12"/>
      <c r="G436" s="20"/>
      <c r="H436" s="20"/>
      <c r="I436" s="20"/>
      <c r="J436" s="19"/>
      <c r="K436" s="19"/>
      <c r="L436" s="12"/>
      <c r="M436" s="12"/>
      <c r="N436" s="12"/>
      <c r="O436" s="1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11"/>
      <c r="B437" s="19"/>
      <c r="C437" s="19"/>
      <c r="D437" s="12" t="str">
        <f t="shared" si="2"/>
        <v> </v>
      </c>
      <c r="E437" s="12" t="str">
        <f t="shared" si="3"/>
        <v> </v>
      </c>
      <c r="F437" s="12"/>
      <c r="G437" s="20"/>
      <c r="H437" s="20"/>
      <c r="I437" s="20"/>
      <c r="J437" s="19"/>
      <c r="K437" s="19"/>
      <c r="L437" s="12"/>
      <c r="M437" s="12"/>
      <c r="N437" s="12"/>
      <c r="O437" s="1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11"/>
      <c r="B438" s="19"/>
      <c r="C438" s="19"/>
      <c r="D438" s="12" t="str">
        <f t="shared" si="2"/>
        <v> </v>
      </c>
      <c r="E438" s="12" t="str">
        <f t="shared" si="3"/>
        <v> </v>
      </c>
      <c r="F438" s="12"/>
      <c r="G438" s="20"/>
      <c r="H438" s="20"/>
      <c r="I438" s="20"/>
      <c r="J438" s="19"/>
      <c r="K438" s="19"/>
      <c r="L438" s="12"/>
      <c r="M438" s="12"/>
      <c r="N438" s="12"/>
      <c r="O438" s="1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11"/>
      <c r="B439" s="19"/>
      <c r="C439" s="19"/>
      <c r="D439" s="12" t="str">
        <f t="shared" si="2"/>
        <v> </v>
      </c>
      <c r="E439" s="12" t="str">
        <f t="shared" si="3"/>
        <v> </v>
      </c>
      <c r="F439" s="12"/>
      <c r="G439" s="20"/>
      <c r="H439" s="20"/>
      <c r="I439" s="20"/>
      <c r="J439" s="19"/>
      <c r="K439" s="19"/>
      <c r="L439" s="12"/>
      <c r="M439" s="12"/>
      <c r="N439" s="12"/>
      <c r="O439" s="1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11"/>
      <c r="B440" s="19"/>
      <c r="C440" s="19"/>
      <c r="D440" s="12" t="str">
        <f t="shared" si="2"/>
        <v> </v>
      </c>
      <c r="E440" s="12" t="str">
        <f t="shared" si="3"/>
        <v> </v>
      </c>
      <c r="F440" s="12"/>
      <c r="G440" s="20"/>
      <c r="H440" s="20"/>
      <c r="I440" s="20"/>
      <c r="J440" s="19"/>
      <c r="K440" s="19"/>
      <c r="L440" s="12"/>
      <c r="M440" s="12"/>
      <c r="N440" s="12"/>
      <c r="O440" s="1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11"/>
      <c r="B441" s="19"/>
      <c r="C441" s="19"/>
      <c r="D441" s="12" t="str">
        <f t="shared" si="2"/>
        <v> </v>
      </c>
      <c r="E441" s="12" t="str">
        <f t="shared" si="3"/>
        <v> </v>
      </c>
      <c r="F441" s="12"/>
      <c r="G441" s="20"/>
      <c r="H441" s="20"/>
      <c r="I441" s="20"/>
      <c r="J441" s="19"/>
      <c r="K441" s="19"/>
      <c r="L441" s="12"/>
      <c r="M441" s="12"/>
      <c r="N441" s="12"/>
      <c r="O441" s="1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11"/>
      <c r="B442" s="19"/>
      <c r="C442" s="19"/>
      <c r="D442" s="12" t="str">
        <f t="shared" si="2"/>
        <v> </v>
      </c>
      <c r="E442" s="12" t="str">
        <f t="shared" si="3"/>
        <v> </v>
      </c>
      <c r="F442" s="12"/>
      <c r="G442" s="20"/>
      <c r="H442" s="20"/>
      <c r="I442" s="20"/>
      <c r="J442" s="19"/>
      <c r="K442" s="19"/>
      <c r="L442" s="12"/>
      <c r="M442" s="12"/>
      <c r="N442" s="12"/>
      <c r="O442" s="1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11"/>
      <c r="B443" s="19"/>
      <c r="C443" s="19"/>
      <c r="D443" s="12" t="str">
        <f t="shared" si="2"/>
        <v> </v>
      </c>
      <c r="E443" s="12" t="str">
        <f t="shared" si="3"/>
        <v> </v>
      </c>
      <c r="F443" s="12"/>
      <c r="G443" s="20"/>
      <c r="H443" s="20"/>
      <c r="I443" s="20"/>
      <c r="J443" s="19"/>
      <c r="K443" s="19"/>
      <c r="L443" s="12"/>
      <c r="M443" s="12"/>
      <c r="N443" s="12"/>
      <c r="O443" s="1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11"/>
      <c r="B444" s="19"/>
      <c r="C444" s="19"/>
      <c r="D444" s="12" t="str">
        <f t="shared" si="2"/>
        <v> </v>
      </c>
      <c r="E444" s="12" t="str">
        <f t="shared" si="3"/>
        <v> </v>
      </c>
      <c r="F444" s="12"/>
      <c r="G444" s="20"/>
      <c r="H444" s="20"/>
      <c r="I444" s="20"/>
      <c r="J444" s="19"/>
      <c r="K444" s="19"/>
      <c r="L444" s="12"/>
      <c r="M444" s="12"/>
      <c r="N444" s="12"/>
      <c r="O444" s="1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11"/>
      <c r="B445" s="19"/>
      <c r="C445" s="19"/>
      <c r="D445" s="12" t="str">
        <f t="shared" si="2"/>
        <v> </v>
      </c>
      <c r="E445" s="12" t="str">
        <f t="shared" si="3"/>
        <v> </v>
      </c>
      <c r="F445" s="12"/>
      <c r="G445" s="20"/>
      <c r="H445" s="20"/>
      <c r="I445" s="20"/>
      <c r="J445" s="19"/>
      <c r="K445" s="19"/>
      <c r="L445" s="12"/>
      <c r="M445" s="12"/>
      <c r="N445" s="12"/>
      <c r="O445" s="1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11"/>
      <c r="B446" s="19"/>
      <c r="C446" s="19"/>
      <c r="D446" s="12" t="str">
        <f t="shared" si="2"/>
        <v> </v>
      </c>
      <c r="E446" s="12" t="str">
        <f t="shared" si="3"/>
        <v> </v>
      </c>
      <c r="F446" s="12"/>
      <c r="G446" s="20"/>
      <c r="H446" s="20"/>
      <c r="I446" s="20"/>
      <c r="J446" s="19"/>
      <c r="K446" s="19"/>
      <c r="L446" s="12"/>
      <c r="M446" s="12"/>
      <c r="N446" s="12"/>
      <c r="O446" s="1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11"/>
      <c r="B447" s="19"/>
      <c r="C447" s="19"/>
      <c r="D447" s="12" t="str">
        <f t="shared" si="2"/>
        <v> </v>
      </c>
      <c r="E447" s="12" t="str">
        <f t="shared" si="3"/>
        <v> </v>
      </c>
      <c r="F447" s="12"/>
      <c r="G447" s="20"/>
      <c r="H447" s="20"/>
      <c r="I447" s="20"/>
      <c r="J447" s="19"/>
      <c r="K447" s="19"/>
      <c r="L447" s="12"/>
      <c r="M447" s="12"/>
      <c r="N447" s="12"/>
      <c r="O447" s="1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11"/>
      <c r="B448" s="19"/>
      <c r="C448" s="19"/>
      <c r="D448" s="12" t="str">
        <f t="shared" si="2"/>
        <v> </v>
      </c>
      <c r="E448" s="12" t="str">
        <f t="shared" si="3"/>
        <v> </v>
      </c>
      <c r="F448" s="12"/>
      <c r="G448" s="20"/>
      <c r="H448" s="20"/>
      <c r="I448" s="20"/>
      <c r="J448" s="19"/>
      <c r="K448" s="19"/>
      <c r="L448" s="12"/>
      <c r="M448" s="12"/>
      <c r="N448" s="12"/>
      <c r="O448" s="1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11"/>
      <c r="B449" s="19"/>
      <c r="C449" s="19"/>
      <c r="D449" s="12" t="str">
        <f t="shared" si="2"/>
        <v> </v>
      </c>
      <c r="E449" s="12" t="str">
        <f t="shared" si="3"/>
        <v> </v>
      </c>
      <c r="F449" s="12"/>
      <c r="G449" s="20"/>
      <c r="H449" s="20"/>
      <c r="I449" s="20"/>
      <c r="J449" s="19"/>
      <c r="K449" s="19"/>
      <c r="L449" s="12"/>
      <c r="M449" s="12"/>
      <c r="N449" s="12"/>
      <c r="O449" s="1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11"/>
      <c r="B450" s="19"/>
      <c r="C450" s="19"/>
      <c r="D450" s="12" t="str">
        <f t="shared" si="2"/>
        <v> </v>
      </c>
      <c r="E450" s="12" t="str">
        <f t="shared" si="3"/>
        <v> </v>
      </c>
      <c r="F450" s="12"/>
      <c r="G450" s="20"/>
      <c r="H450" s="20"/>
      <c r="I450" s="20"/>
      <c r="J450" s="19"/>
      <c r="K450" s="19"/>
      <c r="L450" s="12"/>
      <c r="M450" s="12"/>
      <c r="N450" s="12"/>
      <c r="O450" s="1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11"/>
      <c r="B451" s="19"/>
      <c r="C451" s="19"/>
      <c r="D451" s="12" t="str">
        <f t="shared" si="2"/>
        <v> </v>
      </c>
      <c r="E451" s="12" t="str">
        <f t="shared" si="3"/>
        <v> </v>
      </c>
      <c r="F451" s="12"/>
      <c r="G451" s="20"/>
      <c r="H451" s="20"/>
      <c r="I451" s="20"/>
      <c r="J451" s="19"/>
      <c r="K451" s="19"/>
      <c r="L451" s="12"/>
      <c r="M451" s="12"/>
      <c r="N451" s="12"/>
      <c r="O451" s="1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11"/>
      <c r="B452" s="19"/>
      <c r="C452" s="19"/>
      <c r="D452" s="12" t="str">
        <f t="shared" si="2"/>
        <v> </v>
      </c>
      <c r="E452" s="12" t="str">
        <f t="shared" si="3"/>
        <v> </v>
      </c>
      <c r="F452" s="12"/>
      <c r="G452" s="20"/>
      <c r="H452" s="20"/>
      <c r="I452" s="20"/>
      <c r="J452" s="19"/>
      <c r="K452" s="19"/>
      <c r="L452" s="12"/>
      <c r="M452" s="12"/>
      <c r="N452" s="12"/>
      <c r="O452" s="1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11"/>
      <c r="B453" s="19"/>
      <c r="C453" s="19"/>
      <c r="D453" s="12" t="str">
        <f t="shared" si="2"/>
        <v> </v>
      </c>
      <c r="E453" s="12" t="str">
        <f t="shared" si="3"/>
        <v> </v>
      </c>
      <c r="F453" s="12"/>
      <c r="G453" s="20"/>
      <c r="H453" s="20"/>
      <c r="I453" s="20"/>
      <c r="J453" s="19"/>
      <c r="K453" s="19"/>
      <c r="L453" s="12"/>
      <c r="M453" s="12"/>
      <c r="N453" s="12"/>
      <c r="O453" s="1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11"/>
      <c r="B454" s="19"/>
      <c r="C454" s="19"/>
      <c r="D454" s="12" t="str">
        <f t="shared" si="2"/>
        <v> </v>
      </c>
      <c r="E454" s="12" t="str">
        <f t="shared" si="3"/>
        <v> </v>
      </c>
      <c r="F454" s="12"/>
      <c r="G454" s="20"/>
      <c r="H454" s="20"/>
      <c r="I454" s="20"/>
      <c r="J454" s="19"/>
      <c r="K454" s="19"/>
      <c r="L454" s="12"/>
      <c r="M454" s="12"/>
      <c r="N454" s="12"/>
      <c r="O454" s="1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11"/>
      <c r="B455" s="19"/>
      <c r="C455" s="19"/>
      <c r="D455" s="12" t="str">
        <f t="shared" si="2"/>
        <v> </v>
      </c>
      <c r="E455" s="12" t="str">
        <f t="shared" si="3"/>
        <v> </v>
      </c>
      <c r="F455" s="12"/>
      <c r="G455" s="20"/>
      <c r="H455" s="20"/>
      <c r="I455" s="20"/>
      <c r="J455" s="19"/>
      <c r="K455" s="19"/>
      <c r="L455" s="12"/>
      <c r="M455" s="12"/>
      <c r="N455" s="12"/>
      <c r="O455" s="1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11"/>
      <c r="B456" s="19"/>
      <c r="C456" s="19"/>
      <c r="D456" s="12" t="str">
        <f t="shared" si="2"/>
        <v> </v>
      </c>
      <c r="E456" s="12" t="str">
        <f t="shared" si="3"/>
        <v> </v>
      </c>
      <c r="F456" s="12"/>
      <c r="G456" s="20"/>
      <c r="H456" s="20"/>
      <c r="I456" s="20"/>
      <c r="J456" s="19"/>
      <c r="K456" s="19"/>
      <c r="L456" s="12"/>
      <c r="M456" s="12"/>
      <c r="N456" s="12"/>
      <c r="O456" s="1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11"/>
      <c r="B457" s="19"/>
      <c r="C457" s="19"/>
      <c r="D457" s="12" t="str">
        <f t="shared" si="2"/>
        <v> </v>
      </c>
      <c r="E457" s="12" t="str">
        <f t="shared" si="3"/>
        <v> </v>
      </c>
      <c r="F457" s="12"/>
      <c r="G457" s="20"/>
      <c r="H457" s="20"/>
      <c r="I457" s="20"/>
      <c r="J457" s="19"/>
      <c r="K457" s="19"/>
      <c r="L457" s="12"/>
      <c r="M457" s="12"/>
      <c r="N457" s="12"/>
      <c r="O457" s="1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11"/>
      <c r="B458" s="19"/>
      <c r="C458" s="19"/>
      <c r="D458" s="12" t="str">
        <f t="shared" si="2"/>
        <v> </v>
      </c>
      <c r="E458" s="12" t="str">
        <f t="shared" si="3"/>
        <v> </v>
      </c>
      <c r="F458" s="12"/>
      <c r="G458" s="20"/>
      <c r="H458" s="20"/>
      <c r="I458" s="20"/>
      <c r="J458" s="19"/>
      <c r="K458" s="19"/>
      <c r="L458" s="12"/>
      <c r="M458" s="12"/>
      <c r="N458" s="12"/>
      <c r="O458" s="1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11"/>
      <c r="B459" s="19"/>
      <c r="C459" s="19"/>
      <c r="D459" s="12" t="str">
        <f t="shared" si="2"/>
        <v> </v>
      </c>
      <c r="E459" s="12" t="str">
        <f t="shared" si="3"/>
        <v> </v>
      </c>
      <c r="F459" s="12"/>
      <c r="G459" s="20"/>
      <c r="H459" s="20"/>
      <c r="I459" s="20"/>
      <c r="J459" s="19"/>
      <c r="K459" s="19"/>
      <c r="L459" s="12"/>
      <c r="M459" s="12"/>
      <c r="N459" s="12"/>
      <c r="O459" s="1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11"/>
      <c r="B460" s="19"/>
      <c r="C460" s="19"/>
      <c r="D460" s="12" t="str">
        <f t="shared" si="2"/>
        <v> </v>
      </c>
      <c r="E460" s="12" t="str">
        <f t="shared" si="3"/>
        <v> </v>
      </c>
      <c r="F460" s="12"/>
      <c r="G460" s="20"/>
      <c r="H460" s="20"/>
      <c r="I460" s="20"/>
      <c r="J460" s="19"/>
      <c r="K460" s="19"/>
      <c r="L460" s="12"/>
      <c r="M460" s="12"/>
      <c r="N460" s="12"/>
      <c r="O460" s="1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11"/>
      <c r="B461" s="19"/>
      <c r="C461" s="19"/>
      <c r="D461" s="12" t="str">
        <f t="shared" si="2"/>
        <v> </v>
      </c>
      <c r="E461" s="12" t="str">
        <f t="shared" si="3"/>
        <v> </v>
      </c>
      <c r="F461" s="12"/>
      <c r="G461" s="20"/>
      <c r="H461" s="20"/>
      <c r="I461" s="20"/>
      <c r="J461" s="19"/>
      <c r="K461" s="19"/>
      <c r="L461" s="12"/>
      <c r="M461" s="12"/>
      <c r="N461" s="12"/>
      <c r="O461" s="1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11"/>
      <c r="B462" s="19"/>
      <c r="C462" s="19"/>
      <c r="D462" s="12" t="str">
        <f t="shared" si="2"/>
        <v> </v>
      </c>
      <c r="E462" s="12" t="str">
        <f t="shared" si="3"/>
        <v> </v>
      </c>
      <c r="F462" s="12"/>
      <c r="G462" s="20"/>
      <c r="H462" s="20"/>
      <c r="I462" s="20"/>
      <c r="J462" s="19"/>
      <c r="K462" s="19"/>
      <c r="L462" s="12"/>
      <c r="M462" s="12"/>
      <c r="N462" s="12"/>
      <c r="O462" s="1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11"/>
      <c r="B463" s="19"/>
      <c r="C463" s="19"/>
      <c r="D463" s="12" t="str">
        <f t="shared" si="2"/>
        <v> </v>
      </c>
      <c r="E463" s="12" t="str">
        <f t="shared" si="3"/>
        <v> </v>
      </c>
      <c r="F463" s="12"/>
      <c r="G463" s="20"/>
      <c r="H463" s="20"/>
      <c r="I463" s="20"/>
      <c r="J463" s="19"/>
      <c r="K463" s="19"/>
      <c r="L463" s="12"/>
      <c r="M463" s="12"/>
      <c r="N463" s="12"/>
      <c r="O463" s="1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11"/>
      <c r="B464" s="19"/>
      <c r="C464" s="19"/>
      <c r="D464" s="12" t="str">
        <f t="shared" si="2"/>
        <v> </v>
      </c>
      <c r="E464" s="12" t="str">
        <f t="shared" si="3"/>
        <v> </v>
      </c>
      <c r="F464" s="12"/>
      <c r="G464" s="20"/>
      <c r="H464" s="20"/>
      <c r="I464" s="20"/>
      <c r="J464" s="19"/>
      <c r="K464" s="19"/>
      <c r="L464" s="12"/>
      <c r="M464" s="12"/>
      <c r="N464" s="12"/>
      <c r="O464" s="1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11"/>
      <c r="B465" s="19"/>
      <c r="C465" s="19"/>
      <c r="D465" s="12" t="str">
        <f t="shared" si="2"/>
        <v> </v>
      </c>
      <c r="E465" s="12" t="str">
        <f t="shared" si="3"/>
        <v> </v>
      </c>
      <c r="F465" s="12"/>
      <c r="G465" s="20"/>
      <c r="H465" s="20"/>
      <c r="I465" s="20"/>
      <c r="J465" s="19"/>
      <c r="K465" s="19"/>
      <c r="L465" s="12"/>
      <c r="M465" s="12"/>
      <c r="N465" s="12"/>
      <c r="O465" s="1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11"/>
      <c r="B466" s="19"/>
      <c r="C466" s="19"/>
      <c r="D466" s="12" t="str">
        <f t="shared" si="2"/>
        <v> </v>
      </c>
      <c r="E466" s="12" t="str">
        <f t="shared" si="3"/>
        <v> </v>
      </c>
      <c r="F466" s="12"/>
      <c r="G466" s="20"/>
      <c r="H466" s="20"/>
      <c r="I466" s="20"/>
      <c r="J466" s="19"/>
      <c r="K466" s="19"/>
      <c r="L466" s="12"/>
      <c r="M466" s="12"/>
      <c r="N466" s="12"/>
      <c r="O466" s="1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11"/>
      <c r="B467" s="19"/>
      <c r="C467" s="19"/>
      <c r="D467" s="12" t="str">
        <f t="shared" si="2"/>
        <v> </v>
      </c>
      <c r="E467" s="12" t="str">
        <f t="shared" si="3"/>
        <v> </v>
      </c>
      <c r="F467" s="12"/>
      <c r="G467" s="20"/>
      <c r="H467" s="20"/>
      <c r="I467" s="20"/>
      <c r="J467" s="19"/>
      <c r="K467" s="19"/>
      <c r="L467" s="12"/>
      <c r="M467" s="12"/>
      <c r="N467" s="12"/>
      <c r="O467" s="1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11"/>
      <c r="B468" s="19"/>
      <c r="C468" s="19"/>
      <c r="D468" s="12" t="str">
        <f t="shared" si="2"/>
        <v> </v>
      </c>
      <c r="E468" s="12" t="str">
        <f t="shared" si="3"/>
        <v> </v>
      </c>
      <c r="F468" s="12"/>
      <c r="G468" s="20"/>
      <c r="H468" s="20"/>
      <c r="I468" s="20"/>
      <c r="J468" s="19"/>
      <c r="K468" s="19"/>
      <c r="L468" s="12"/>
      <c r="M468" s="12"/>
      <c r="N468" s="12"/>
      <c r="O468" s="1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11"/>
      <c r="B469" s="19"/>
      <c r="C469" s="19"/>
      <c r="D469" s="12" t="str">
        <f t="shared" si="2"/>
        <v> </v>
      </c>
      <c r="E469" s="12" t="str">
        <f t="shared" si="3"/>
        <v> </v>
      </c>
      <c r="F469" s="12"/>
      <c r="G469" s="20"/>
      <c r="H469" s="20"/>
      <c r="I469" s="20"/>
      <c r="J469" s="19"/>
      <c r="K469" s="19"/>
      <c r="L469" s="12"/>
      <c r="M469" s="12"/>
      <c r="N469" s="12"/>
      <c r="O469" s="1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11"/>
      <c r="B470" s="19"/>
      <c r="C470" s="19"/>
      <c r="D470" s="12" t="str">
        <f t="shared" si="2"/>
        <v> </v>
      </c>
      <c r="E470" s="12" t="str">
        <f t="shared" si="3"/>
        <v> </v>
      </c>
      <c r="F470" s="12"/>
      <c r="G470" s="20"/>
      <c r="H470" s="20"/>
      <c r="I470" s="20"/>
      <c r="J470" s="19"/>
      <c r="K470" s="19"/>
      <c r="L470" s="12"/>
      <c r="M470" s="12"/>
      <c r="N470" s="12"/>
      <c r="O470" s="1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11"/>
      <c r="B471" s="19"/>
      <c r="C471" s="19"/>
      <c r="D471" s="12" t="str">
        <f t="shared" si="2"/>
        <v> </v>
      </c>
      <c r="E471" s="12" t="str">
        <f t="shared" si="3"/>
        <v> </v>
      </c>
      <c r="F471" s="12"/>
      <c r="G471" s="20"/>
      <c r="H471" s="20"/>
      <c r="I471" s="20"/>
      <c r="J471" s="19"/>
      <c r="K471" s="19"/>
      <c r="L471" s="12"/>
      <c r="M471" s="12"/>
      <c r="N471" s="12"/>
      <c r="O471" s="1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11"/>
      <c r="B472" s="19"/>
      <c r="C472" s="19"/>
      <c r="D472" s="12" t="str">
        <f t="shared" si="2"/>
        <v> </v>
      </c>
      <c r="E472" s="12" t="str">
        <f t="shared" si="3"/>
        <v> </v>
      </c>
      <c r="F472" s="12"/>
      <c r="G472" s="20"/>
      <c r="H472" s="20"/>
      <c r="I472" s="20"/>
      <c r="J472" s="19"/>
      <c r="K472" s="19"/>
      <c r="L472" s="12"/>
      <c r="M472" s="12"/>
      <c r="N472" s="12"/>
      <c r="O472" s="1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11"/>
      <c r="B473" s="19"/>
      <c r="C473" s="19"/>
      <c r="D473" s="12" t="str">
        <f t="shared" si="2"/>
        <v> </v>
      </c>
      <c r="E473" s="12" t="str">
        <f t="shared" si="3"/>
        <v> </v>
      </c>
      <c r="F473" s="12"/>
      <c r="G473" s="20"/>
      <c r="H473" s="20"/>
      <c r="I473" s="20"/>
      <c r="J473" s="19"/>
      <c r="K473" s="19"/>
      <c r="L473" s="12"/>
      <c r="M473" s="12"/>
      <c r="N473" s="12"/>
      <c r="O473" s="1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11"/>
      <c r="B474" s="19"/>
      <c r="C474" s="19"/>
      <c r="D474" s="12" t="str">
        <f t="shared" si="2"/>
        <v> </v>
      </c>
      <c r="E474" s="12" t="str">
        <f t="shared" si="3"/>
        <v> </v>
      </c>
      <c r="F474" s="12"/>
      <c r="G474" s="20"/>
      <c r="H474" s="20"/>
      <c r="I474" s="20"/>
      <c r="J474" s="19"/>
      <c r="K474" s="19"/>
      <c r="L474" s="12"/>
      <c r="M474" s="12"/>
      <c r="N474" s="12"/>
      <c r="O474" s="1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11"/>
      <c r="B475" s="19"/>
      <c r="C475" s="19"/>
      <c r="D475" s="12" t="str">
        <f t="shared" si="2"/>
        <v> </v>
      </c>
      <c r="E475" s="12" t="str">
        <f t="shared" si="3"/>
        <v> </v>
      </c>
      <c r="F475" s="12"/>
      <c r="G475" s="20"/>
      <c r="H475" s="20"/>
      <c r="I475" s="20"/>
      <c r="J475" s="19"/>
      <c r="K475" s="19"/>
      <c r="L475" s="12"/>
      <c r="M475" s="12"/>
      <c r="N475" s="12"/>
      <c r="O475" s="1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11"/>
      <c r="B476" s="19"/>
      <c r="C476" s="19"/>
      <c r="D476" s="12" t="str">
        <f t="shared" si="2"/>
        <v> </v>
      </c>
      <c r="E476" s="12" t="str">
        <f t="shared" si="3"/>
        <v> </v>
      </c>
      <c r="F476" s="12"/>
      <c r="G476" s="20"/>
      <c r="H476" s="20"/>
      <c r="I476" s="20"/>
      <c r="J476" s="19"/>
      <c r="K476" s="19"/>
      <c r="L476" s="12"/>
      <c r="M476" s="12"/>
      <c r="N476" s="12"/>
      <c r="O476" s="1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11"/>
      <c r="B477" s="19"/>
      <c r="C477" s="19"/>
      <c r="D477" s="12" t="str">
        <f t="shared" si="2"/>
        <v> </v>
      </c>
      <c r="E477" s="12" t="str">
        <f t="shared" si="3"/>
        <v> </v>
      </c>
      <c r="F477" s="12"/>
      <c r="G477" s="20"/>
      <c r="H477" s="20"/>
      <c r="I477" s="20"/>
      <c r="J477" s="19"/>
      <c r="K477" s="19"/>
      <c r="L477" s="12"/>
      <c r="M477" s="12"/>
      <c r="N477" s="12"/>
      <c r="O477" s="1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11"/>
      <c r="B478" s="19"/>
      <c r="C478" s="19"/>
      <c r="D478" s="12" t="str">
        <f t="shared" si="2"/>
        <v> </v>
      </c>
      <c r="E478" s="12" t="str">
        <f t="shared" si="3"/>
        <v> </v>
      </c>
      <c r="F478" s="12"/>
      <c r="G478" s="20"/>
      <c r="H478" s="20"/>
      <c r="I478" s="20"/>
      <c r="J478" s="19"/>
      <c r="K478" s="19"/>
      <c r="L478" s="12"/>
      <c r="M478" s="12"/>
      <c r="N478" s="12"/>
      <c r="O478" s="1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11"/>
      <c r="B479" s="19"/>
      <c r="C479" s="19"/>
      <c r="D479" s="12" t="str">
        <f t="shared" si="2"/>
        <v> </v>
      </c>
      <c r="E479" s="12" t="str">
        <f t="shared" si="3"/>
        <v> </v>
      </c>
      <c r="F479" s="12"/>
      <c r="G479" s="20"/>
      <c r="H479" s="20"/>
      <c r="I479" s="20"/>
      <c r="J479" s="19"/>
      <c r="K479" s="19"/>
      <c r="L479" s="12"/>
      <c r="M479" s="12"/>
      <c r="N479" s="12"/>
      <c r="O479" s="1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11"/>
      <c r="B480" s="19"/>
      <c r="C480" s="19"/>
      <c r="D480" s="12" t="str">
        <f t="shared" si="2"/>
        <v> </v>
      </c>
      <c r="E480" s="12" t="str">
        <f t="shared" si="3"/>
        <v> </v>
      </c>
      <c r="F480" s="12"/>
      <c r="G480" s="20"/>
      <c r="H480" s="20"/>
      <c r="I480" s="20"/>
      <c r="J480" s="19"/>
      <c r="K480" s="19"/>
      <c r="L480" s="12"/>
      <c r="M480" s="12"/>
      <c r="N480" s="12"/>
      <c r="O480" s="1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11"/>
      <c r="B481" s="19"/>
      <c r="C481" s="19"/>
      <c r="D481" s="12" t="str">
        <f t="shared" si="2"/>
        <v> </v>
      </c>
      <c r="E481" s="12" t="str">
        <f t="shared" si="3"/>
        <v> </v>
      </c>
      <c r="F481" s="12"/>
      <c r="G481" s="20"/>
      <c r="H481" s="20"/>
      <c r="I481" s="20"/>
      <c r="J481" s="19"/>
      <c r="K481" s="19"/>
      <c r="L481" s="12"/>
      <c r="M481" s="12"/>
      <c r="N481" s="12"/>
      <c r="O481" s="1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11"/>
      <c r="B482" s="19"/>
      <c r="C482" s="19"/>
      <c r="D482" s="12" t="str">
        <f t="shared" si="2"/>
        <v> </v>
      </c>
      <c r="E482" s="12" t="str">
        <f t="shared" si="3"/>
        <v> </v>
      </c>
      <c r="F482" s="12"/>
      <c r="G482" s="20"/>
      <c r="H482" s="20"/>
      <c r="I482" s="20"/>
      <c r="J482" s="19"/>
      <c r="K482" s="19"/>
      <c r="L482" s="12"/>
      <c r="M482" s="12"/>
      <c r="N482" s="12"/>
      <c r="O482" s="1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11"/>
      <c r="B483" s="19"/>
      <c r="C483" s="19"/>
      <c r="D483" s="12" t="str">
        <f t="shared" si="2"/>
        <v> </v>
      </c>
      <c r="E483" s="12" t="str">
        <f t="shared" si="3"/>
        <v> </v>
      </c>
      <c r="F483" s="12"/>
      <c r="G483" s="20"/>
      <c r="H483" s="20"/>
      <c r="I483" s="20"/>
      <c r="J483" s="19"/>
      <c r="K483" s="19"/>
      <c r="L483" s="12"/>
      <c r="M483" s="12"/>
      <c r="N483" s="12"/>
      <c r="O483" s="1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11"/>
      <c r="B484" s="19"/>
      <c r="C484" s="19"/>
      <c r="D484" s="12" t="str">
        <f t="shared" si="2"/>
        <v> </v>
      </c>
      <c r="E484" s="12" t="str">
        <f t="shared" si="3"/>
        <v> </v>
      </c>
      <c r="F484" s="12"/>
      <c r="G484" s="20"/>
      <c r="H484" s="20"/>
      <c r="I484" s="20"/>
      <c r="J484" s="19"/>
      <c r="K484" s="19"/>
      <c r="L484" s="12"/>
      <c r="M484" s="12"/>
      <c r="N484" s="12"/>
      <c r="O484" s="1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11"/>
      <c r="B485" s="19"/>
      <c r="C485" s="19"/>
      <c r="D485" s="12" t="str">
        <f t="shared" si="2"/>
        <v> </v>
      </c>
      <c r="E485" s="12" t="str">
        <f t="shared" si="3"/>
        <v> </v>
      </c>
      <c r="F485" s="12"/>
      <c r="G485" s="20"/>
      <c r="H485" s="20"/>
      <c r="I485" s="20"/>
      <c r="J485" s="19"/>
      <c r="K485" s="19"/>
      <c r="L485" s="12"/>
      <c r="M485" s="12"/>
      <c r="N485" s="12"/>
      <c r="O485" s="1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11"/>
      <c r="B486" s="19"/>
      <c r="C486" s="19"/>
      <c r="D486" s="12" t="str">
        <f t="shared" si="2"/>
        <v> </v>
      </c>
      <c r="E486" s="12" t="str">
        <f t="shared" si="3"/>
        <v> </v>
      </c>
      <c r="F486" s="12"/>
      <c r="G486" s="20"/>
      <c r="H486" s="20"/>
      <c r="I486" s="20"/>
      <c r="J486" s="19"/>
      <c r="K486" s="19"/>
      <c r="L486" s="12"/>
      <c r="M486" s="12"/>
      <c r="N486" s="12"/>
      <c r="O486" s="1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11"/>
      <c r="B487" s="19"/>
      <c r="C487" s="19"/>
      <c r="D487" s="12" t="str">
        <f t="shared" si="2"/>
        <v> </v>
      </c>
      <c r="E487" s="12" t="str">
        <f t="shared" si="3"/>
        <v> </v>
      </c>
      <c r="F487" s="12"/>
      <c r="G487" s="20"/>
      <c r="H487" s="20"/>
      <c r="I487" s="20"/>
      <c r="J487" s="19"/>
      <c r="K487" s="19"/>
      <c r="L487" s="12"/>
      <c r="M487" s="12"/>
      <c r="N487" s="12"/>
      <c r="O487" s="1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11"/>
      <c r="B488" s="19"/>
      <c r="C488" s="19"/>
      <c r="D488" s="12" t="str">
        <f t="shared" si="2"/>
        <v> </v>
      </c>
      <c r="E488" s="12" t="str">
        <f t="shared" si="3"/>
        <v> </v>
      </c>
      <c r="F488" s="12"/>
      <c r="G488" s="20"/>
      <c r="H488" s="20"/>
      <c r="I488" s="20"/>
      <c r="J488" s="19"/>
      <c r="K488" s="19"/>
      <c r="L488" s="12"/>
      <c r="M488" s="12"/>
      <c r="N488" s="12"/>
      <c r="O488" s="1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11"/>
      <c r="B489" s="19"/>
      <c r="C489" s="19"/>
      <c r="D489" s="12" t="str">
        <f t="shared" si="2"/>
        <v> </v>
      </c>
      <c r="E489" s="12" t="str">
        <f t="shared" si="3"/>
        <v> </v>
      </c>
      <c r="F489" s="12"/>
      <c r="G489" s="20"/>
      <c r="H489" s="20"/>
      <c r="I489" s="20"/>
      <c r="J489" s="19"/>
      <c r="K489" s="19"/>
      <c r="L489" s="12"/>
      <c r="M489" s="12"/>
      <c r="N489" s="12"/>
      <c r="O489" s="1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11"/>
      <c r="B490" s="19"/>
      <c r="C490" s="19"/>
      <c r="D490" s="12" t="str">
        <f t="shared" si="2"/>
        <v> </v>
      </c>
      <c r="E490" s="12" t="str">
        <f t="shared" si="3"/>
        <v> </v>
      </c>
      <c r="F490" s="12"/>
      <c r="G490" s="20"/>
      <c r="H490" s="20"/>
      <c r="I490" s="20"/>
      <c r="J490" s="19"/>
      <c r="K490" s="19"/>
      <c r="L490" s="12"/>
      <c r="M490" s="12"/>
      <c r="N490" s="12"/>
      <c r="O490" s="1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11"/>
      <c r="B491" s="19"/>
      <c r="C491" s="19"/>
      <c r="D491" s="12" t="str">
        <f t="shared" si="2"/>
        <v> </v>
      </c>
      <c r="E491" s="12" t="str">
        <f t="shared" si="3"/>
        <v> </v>
      </c>
      <c r="F491" s="12"/>
      <c r="G491" s="20"/>
      <c r="H491" s="20"/>
      <c r="I491" s="20"/>
      <c r="J491" s="19"/>
      <c r="K491" s="19"/>
      <c r="L491" s="12"/>
      <c r="M491" s="12"/>
      <c r="N491" s="12"/>
      <c r="O491" s="1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11"/>
      <c r="B492" s="19"/>
      <c r="C492" s="19"/>
      <c r="D492" s="12" t="str">
        <f t="shared" si="2"/>
        <v> </v>
      </c>
      <c r="E492" s="12" t="str">
        <f t="shared" si="3"/>
        <v> </v>
      </c>
      <c r="F492" s="12"/>
      <c r="G492" s="20"/>
      <c r="H492" s="20"/>
      <c r="I492" s="20"/>
      <c r="J492" s="19"/>
      <c r="K492" s="19"/>
      <c r="L492" s="12"/>
      <c r="M492" s="12"/>
      <c r="N492" s="12"/>
      <c r="O492" s="1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11"/>
      <c r="B493" s="19"/>
      <c r="C493" s="19"/>
      <c r="D493" s="12" t="str">
        <f t="shared" si="2"/>
        <v> </v>
      </c>
      <c r="E493" s="12" t="str">
        <f t="shared" si="3"/>
        <v> </v>
      </c>
      <c r="F493" s="12"/>
      <c r="G493" s="20"/>
      <c r="H493" s="20"/>
      <c r="I493" s="20"/>
      <c r="J493" s="19"/>
      <c r="K493" s="19"/>
      <c r="L493" s="12"/>
      <c r="M493" s="12"/>
      <c r="N493" s="12"/>
      <c r="O493" s="1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11"/>
      <c r="B494" s="19"/>
      <c r="C494" s="19"/>
      <c r="D494" s="12" t="str">
        <f t="shared" si="2"/>
        <v> </v>
      </c>
      <c r="E494" s="12" t="str">
        <f t="shared" si="3"/>
        <v> </v>
      </c>
      <c r="F494" s="12"/>
      <c r="G494" s="20"/>
      <c r="H494" s="20"/>
      <c r="I494" s="20"/>
      <c r="J494" s="19"/>
      <c r="K494" s="19"/>
      <c r="L494" s="12"/>
      <c r="M494" s="12"/>
      <c r="N494" s="12"/>
      <c r="O494" s="1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11"/>
      <c r="B495" s="19"/>
      <c r="C495" s="19"/>
      <c r="D495" s="12" t="str">
        <f t="shared" si="2"/>
        <v> </v>
      </c>
      <c r="E495" s="12" t="str">
        <f t="shared" si="3"/>
        <v> </v>
      </c>
      <c r="F495" s="12"/>
      <c r="G495" s="20"/>
      <c r="H495" s="20"/>
      <c r="I495" s="20"/>
      <c r="J495" s="19"/>
      <c r="K495" s="19"/>
      <c r="L495" s="12"/>
      <c r="M495" s="12"/>
      <c r="N495" s="12"/>
      <c r="O495" s="1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11"/>
      <c r="B496" s="19"/>
      <c r="C496" s="19"/>
      <c r="D496" s="12" t="str">
        <f t="shared" si="2"/>
        <v> </v>
      </c>
      <c r="E496" s="12" t="str">
        <f t="shared" si="3"/>
        <v> </v>
      </c>
      <c r="F496" s="12"/>
      <c r="G496" s="20"/>
      <c r="H496" s="20"/>
      <c r="I496" s="20"/>
      <c r="J496" s="19"/>
      <c r="K496" s="19"/>
      <c r="L496" s="12"/>
      <c r="M496" s="12"/>
      <c r="N496" s="12"/>
      <c r="O496" s="1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11"/>
      <c r="B497" s="19"/>
      <c r="C497" s="19"/>
      <c r="D497" s="12" t="str">
        <f t="shared" si="2"/>
        <v> </v>
      </c>
      <c r="E497" s="12" t="str">
        <f t="shared" si="3"/>
        <v> </v>
      </c>
      <c r="F497" s="12"/>
      <c r="G497" s="20"/>
      <c r="H497" s="20"/>
      <c r="I497" s="20"/>
      <c r="J497" s="19"/>
      <c r="K497" s="19"/>
      <c r="L497" s="12"/>
      <c r="M497" s="12"/>
      <c r="N497" s="12"/>
      <c r="O497" s="1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11"/>
      <c r="B498" s="19"/>
      <c r="C498" s="19"/>
      <c r="D498" s="12" t="str">
        <f t="shared" si="2"/>
        <v> </v>
      </c>
      <c r="E498" s="12" t="str">
        <f t="shared" si="3"/>
        <v> </v>
      </c>
      <c r="F498" s="12"/>
      <c r="G498" s="20"/>
      <c r="H498" s="20"/>
      <c r="I498" s="20"/>
      <c r="J498" s="19"/>
      <c r="K498" s="19"/>
      <c r="L498" s="12"/>
      <c r="M498" s="12"/>
      <c r="N498" s="12"/>
      <c r="O498" s="1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11"/>
      <c r="B499" s="19"/>
      <c r="C499" s="19"/>
      <c r="D499" s="12" t="str">
        <f t="shared" si="2"/>
        <v> </v>
      </c>
      <c r="E499" s="12" t="str">
        <f t="shared" si="3"/>
        <v> </v>
      </c>
      <c r="F499" s="12"/>
      <c r="G499" s="20"/>
      <c r="H499" s="20"/>
      <c r="I499" s="20"/>
      <c r="J499" s="19"/>
      <c r="K499" s="19"/>
      <c r="L499" s="12"/>
      <c r="M499" s="12"/>
      <c r="N499" s="12"/>
      <c r="O499" s="1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11"/>
      <c r="B500" s="19"/>
      <c r="C500" s="19"/>
      <c r="D500" s="12" t="str">
        <f t="shared" si="2"/>
        <v> </v>
      </c>
      <c r="E500" s="12" t="str">
        <f t="shared" si="3"/>
        <v> </v>
      </c>
      <c r="F500" s="12"/>
      <c r="G500" s="20"/>
      <c r="H500" s="20"/>
      <c r="I500" s="20"/>
      <c r="J500" s="19"/>
      <c r="K500" s="19"/>
      <c r="L500" s="12"/>
      <c r="M500" s="12"/>
      <c r="N500" s="12"/>
      <c r="O500" s="1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11"/>
      <c r="B501" s="19"/>
      <c r="C501" s="19"/>
      <c r="D501" s="12" t="str">
        <f t="shared" si="2"/>
        <v> </v>
      </c>
      <c r="E501" s="12" t="str">
        <f t="shared" si="3"/>
        <v> </v>
      </c>
      <c r="F501" s="12"/>
      <c r="G501" s="20"/>
      <c r="H501" s="20"/>
      <c r="I501" s="20"/>
      <c r="J501" s="19"/>
      <c r="K501" s="19"/>
      <c r="L501" s="12"/>
      <c r="M501" s="12"/>
      <c r="N501" s="12"/>
      <c r="O501" s="1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11"/>
      <c r="B502" s="19"/>
      <c r="C502" s="19"/>
      <c r="D502" s="12" t="str">
        <f t="shared" si="2"/>
        <v> </v>
      </c>
      <c r="E502" s="12" t="str">
        <f t="shared" si="3"/>
        <v> </v>
      </c>
      <c r="F502" s="12"/>
      <c r="G502" s="20"/>
      <c r="H502" s="20"/>
      <c r="I502" s="20"/>
      <c r="J502" s="19"/>
      <c r="K502" s="19"/>
      <c r="L502" s="12"/>
      <c r="M502" s="12"/>
      <c r="N502" s="12"/>
      <c r="O502" s="1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11"/>
      <c r="B503" s="19"/>
      <c r="C503" s="19"/>
      <c r="D503" s="12" t="str">
        <f t="shared" si="2"/>
        <v> </v>
      </c>
      <c r="E503" s="12" t="str">
        <f t="shared" si="3"/>
        <v> </v>
      </c>
      <c r="F503" s="12"/>
      <c r="G503" s="20"/>
      <c r="H503" s="20"/>
      <c r="I503" s="20"/>
      <c r="J503" s="19"/>
      <c r="K503" s="19"/>
      <c r="L503" s="12"/>
      <c r="M503" s="12"/>
      <c r="N503" s="12"/>
      <c r="O503" s="1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11"/>
      <c r="B504" s="19"/>
      <c r="C504" s="19"/>
      <c r="D504" s="12" t="str">
        <f t="shared" si="2"/>
        <v> </v>
      </c>
      <c r="E504" s="12" t="str">
        <f t="shared" si="3"/>
        <v> </v>
      </c>
      <c r="F504" s="12"/>
      <c r="G504" s="20"/>
      <c r="H504" s="20"/>
      <c r="I504" s="20"/>
      <c r="J504" s="19"/>
      <c r="K504" s="19"/>
      <c r="L504" s="12"/>
      <c r="M504" s="12"/>
      <c r="N504" s="12"/>
      <c r="O504" s="1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11"/>
      <c r="B505" s="19"/>
      <c r="C505" s="19"/>
      <c r="D505" s="12" t="str">
        <f t="shared" si="2"/>
        <v> </v>
      </c>
      <c r="E505" s="12" t="str">
        <f t="shared" si="3"/>
        <v> </v>
      </c>
      <c r="F505" s="12"/>
      <c r="G505" s="20"/>
      <c r="H505" s="20"/>
      <c r="I505" s="20"/>
      <c r="J505" s="19"/>
      <c r="K505" s="19"/>
      <c r="L505" s="12"/>
      <c r="M505" s="12"/>
      <c r="N505" s="12"/>
      <c r="O505" s="1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11"/>
      <c r="B506" s="19"/>
      <c r="C506" s="19"/>
      <c r="D506" s="12" t="str">
        <f t="shared" si="2"/>
        <v> </v>
      </c>
      <c r="E506" s="12" t="str">
        <f t="shared" si="3"/>
        <v> </v>
      </c>
      <c r="F506" s="12"/>
      <c r="G506" s="20"/>
      <c r="H506" s="20"/>
      <c r="I506" s="20"/>
      <c r="J506" s="19"/>
      <c r="K506" s="19"/>
      <c r="L506" s="12"/>
      <c r="M506" s="12"/>
      <c r="N506" s="12"/>
      <c r="O506" s="1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11"/>
      <c r="B507" s="19"/>
      <c r="C507" s="19"/>
      <c r="D507" s="12" t="str">
        <f t="shared" si="2"/>
        <v> </v>
      </c>
      <c r="E507" s="12" t="str">
        <f t="shared" si="3"/>
        <v> </v>
      </c>
      <c r="F507" s="12"/>
      <c r="G507" s="20"/>
      <c r="H507" s="20"/>
      <c r="I507" s="20"/>
      <c r="J507" s="19"/>
      <c r="K507" s="19"/>
      <c r="L507" s="12"/>
      <c r="M507" s="12"/>
      <c r="N507" s="12"/>
      <c r="O507" s="1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11"/>
      <c r="B508" s="19"/>
      <c r="C508" s="19"/>
      <c r="D508" s="12" t="str">
        <f t="shared" si="2"/>
        <v> </v>
      </c>
      <c r="E508" s="12" t="str">
        <f t="shared" si="3"/>
        <v> </v>
      </c>
      <c r="F508" s="12"/>
      <c r="G508" s="20"/>
      <c r="H508" s="20"/>
      <c r="I508" s="20"/>
      <c r="J508" s="19"/>
      <c r="K508" s="19"/>
      <c r="L508" s="12"/>
      <c r="M508" s="12"/>
      <c r="N508" s="12"/>
      <c r="O508" s="1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11"/>
      <c r="B509" s="19"/>
      <c r="C509" s="19"/>
      <c r="D509" s="12" t="str">
        <f t="shared" si="2"/>
        <v> </v>
      </c>
      <c r="E509" s="12" t="str">
        <f t="shared" si="3"/>
        <v> </v>
      </c>
      <c r="F509" s="12"/>
      <c r="G509" s="20"/>
      <c r="H509" s="20"/>
      <c r="I509" s="20"/>
      <c r="J509" s="19"/>
      <c r="K509" s="19"/>
      <c r="L509" s="12"/>
      <c r="M509" s="12"/>
      <c r="N509" s="12"/>
      <c r="O509" s="1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11"/>
      <c r="B510" s="19"/>
      <c r="C510" s="19"/>
      <c r="D510" s="12" t="str">
        <f t="shared" si="2"/>
        <v> </v>
      </c>
      <c r="E510" s="12" t="str">
        <f t="shared" si="3"/>
        <v> </v>
      </c>
      <c r="F510" s="12"/>
      <c r="G510" s="20"/>
      <c r="H510" s="20"/>
      <c r="I510" s="20"/>
      <c r="J510" s="19"/>
      <c r="K510" s="19"/>
      <c r="L510" s="12"/>
      <c r="M510" s="12"/>
      <c r="N510" s="12"/>
      <c r="O510" s="1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11"/>
      <c r="B511" s="19"/>
      <c r="C511" s="19"/>
      <c r="D511" s="12" t="str">
        <f t="shared" si="2"/>
        <v> </v>
      </c>
      <c r="E511" s="12" t="str">
        <f t="shared" si="3"/>
        <v> </v>
      </c>
      <c r="F511" s="12"/>
      <c r="G511" s="20"/>
      <c r="H511" s="20"/>
      <c r="I511" s="20"/>
      <c r="J511" s="19"/>
      <c r="K511" s="19"/>
      <c r="L511" s="12"/>
      <c r="M511" s="12"/>
      <c r="N511" s="12"/>
      <c r="O511" s="1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11"/>
      <c r="B512" s="19"/>
      <c r="C512" s="19"/>
      <c r="D512" s="12" t="str">
        <f t="shared" si="2"/>
        <v> </v>
      </c>
      <c r="E512" s="12" t="str">
        <f t="shared" si="3"/>
        <v> </v>
      </c>
      <c r="F512" s="12"/>
      <c r="G512" s="20"/>
      <c r="H512" s="20"/>
      <c r="I512" s="20"/>
      <c r="J512" s="19"/>
      <c r="K512" s="19"/>
      <c r="L512" s="12"/>
      <c r="M512" s="12"/>
      <c r="N512" s="12"/>
      <c r="O512" s="1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11"/>
      <c r="B513" s="19"/>
      <c r="C513" s="19"/>
      <c r="D513" s="12" t="str">
        <f t="shared" si="2"/>
        <v> </v>
      </c>
      <c r="E513" s="12" t="str">
        <f t="shared" si="3"/>
        <v> </v>
      </c>
      <c r="F513" s="12"/>
      <c r="G513" s="20"/>
      <c r="H513" s="20"/>
      <c r="I513" s="20"/>
      <c r="J513" s="19"/>
      <c r="K513" s="19"/>
      <c r="L513" s="12"/>
      <c r="M513" s="12"/>
      <c r="N513" s="12"/>
      <c r="O513" s="1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11"/>
      <c r="B514" s="19"/>
      <c r="C514" s="19"/>
      <c r="D514" s="12" t="str">
        <f t="shared" si="2"/>
        <v> </v>
      </c>
      <c r="E514" s="12" t="str">
        <f t="shared" si="3"/>
        <v> </v>
      </c>
      <c r="F514" s="12"/>
      <c r="G514" s="20"/>
      <c r="H514" s="20"/>
      <c r="I514" s="20"/>
      <c r="J514" s="19"/>
      <c r="K514" s="19"/>
      <c r="L514" s="12"/>
      <c r="M514" s="12"/>
      <c r="N514" s="12"/>
      <c r="O514" s="1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11"/>
      <c r="B515" s="19"/>
      <c r="C515" s="19"/>
      <c r="D515" s="12" t="str">
        <f t="shared" si="2"/>
        <v> </v>
      </c>
      <c r="E515" s="12" t="str">
        <f t="shared" si="3"/>
        <v> </v>
      </c>
      <c r="F515" s="12"/>
      <c r="G515" s="20"/>
      <c r="H515" s="20"/>
      <c r="I515" s="20"/>
      <c r="J515" s="19"/>
      <c r="K515" s="19"/>
      <c r="L515" s="12"/>
      <c r="M515" s="12"/>
      <c r="N515" s="12"/>
      <c r="O515" s="1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11"/>
      <c r="B516" s="19"/>
      <c r="C516" s="19"/>
      <c r="D516" s="12" t="str">
        <f t="shared" si="2"/>
        <v> </v>
      </c>
      <c r="E516" s="12" t="str">
        <f t="shared" si="3"/>
        <v> </v>
      </c>
      <c r="F516" s="12"/>
      <c r="G516" s="20"/>
      <c r="H516" s="20"/>
      <c r="I516" s="20"/>
      <c r="J516" s="19"/>
      <c r="K516" s="19"/>
      <c r="L516" s="12"/>
      <c r="M516" s="12"/>
      <c r="N516" s="12"/>
      <c r="O516" s="1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11"/>
      <c r="B517" s="19"/>
      <c r="C517" s="19"/>
      <c r="D517" s="12" t="str">
        <f t="shared" si="2"/>
        <v> </v>
      </c>
      <c r="E517" s="12" t="str">
        <f t="shared" si="3"/>
        <v> </v>
      </c>
      <c r="F517" s="12"/>
      <c r="G517" s="20"/>
      <c r="H517" s="20"/>
      <c r="I517" s="20"/>
      <c r="J517" s="19"/>
      <c r="K517" s="19"/>
      <c r="L517" s="12"/>
      <c r="M517" s="12"/>
      <c r="N517" s="12"/>
      <c r="O517" s="1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11"/>
      <c r="B518" s="19"/>
      <c r="C518" s="19"/>
      <c r="D518" s="12" t="str">
        <f t="shared" si="2"/>
        <v> </v>
      </c>
      <c r="E518" s="12" t="str">
        <f t="shared" si="3"/>
        <v> </v>
      </c>
      <c r="F518" s="12"/>
      <c r="G518" s="20"/>
      <c r="H518" s="20"/>
      <c r="I518" s="20"/>
      <c r="J518" s="19"/>
      <c r="K518" s="19"/>
      <c r="L518" s="12"/>
      <c r="M518" s="12"/>
      <c r="N518" s="12"/>
      <c r="O518" s="1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11"/>
      <c r="B519" s="19"/>
      <c r="C519" s="19"/>
      <c r="D519" s="12" t="str">
        <f t="shared" si="2"/>
        <v> </v>
      </c>
      <c r="E519" s="12" t="str">
        <f t="shared" si="3"/>
        <v> </v>
      </c>
      <c r="F519" s="12"/>
      <c r="G519" s="20"/>
      <c r="H519" s="20"/>
      <c r="I519" s="20"/>
      <c r="J519" s="19"/>
      <c r="K519" s="19"/>
      <c r="L519" s="12"/>
      <c r="M519" s="12"/>
      <c r="N519" s="12"/>
      <c r="O519" s="1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11"/>
      <c r="B520" s="19"/>
      <c r="C520" s="19"/>
      <c r="D520" s="12" t="str">
        <f t="shared" si="2"/>
        <v> </v>
      </c>
      <c r="E520" s="12" t="str">
        <f t="shared" si="3"/>
        <v> </v>
      </c>
      <c r="F520" s="12"/>
      <c r="G520" s="20"/>
      <c r="H520" s="20"/>
      <c r="I520" s="20"/>
      <c r="J520" s="19"/>
      <c r="K520" s="19"/>
      <c r="L520" s="12"/>
      <c r="M520" s="12"/>
      <c r="N520" s="12"/>
      <c r="O520" s="1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11"/>
      <c r="B521" s="19"/>
      <c r="C521" s="19"/>
      <c r="D521" s="12" t="str">
        <f t="shared" si="2"/>
        <v> </v>
      </c>
      <c r="E521" s="12" t="str">
        <f t="shared" si="3"/>
        <v> </v>
      </c>
      <c r="F521" s="12"/>
      <c r="G521" s="20"/>
      <c r="H521" s="20"/>
      <c r="I521" s="20"/>
      <c r="J521" s="19"/>
      <c r="K521" s="19"/>
      <c r="L521" s="12"/>
      <c r="M521" s="12"/>
      <c r="N521" s="12"/>
      <c r="O521" s="1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11"/>
      <c r="B522" s="19"/>
      <c r="C522" s="19"/>
      <c r="D522" s="12" t="str">
        <f t="shared" si="2"/>
        <v> </v>
      </c>
      <c r="E522" s="12" t="str">
        <f t="shared" si="3"/>
        <v> </v>
      </c>
      <c r="F522" s="12"/>
      <c r="G522" s="20"/>
      <c r="H522" s="20"/>
      <c r="I522" s="20"/>
      <c r="J522" s="19"/>
      <c r="K522" s="19"/>
      <c r="L522" s="12"/>
      <c r="M522" s="12"/>
      <c r="N522" s="12"/>
      <c r="O522" s="1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11"/>
      <c r="B523" s="19"/>
      <c r="C523" s="19"/>
      <c r="D523" s="12" t="str">
        <f t="shared" si="2"/>
        <v> </v>
      </c>
      <c r="E523" s="12" t="str">
        <f t="shared" si="3"/>
        <v> </v>
      </c>
      <c r="F523" s="12"/>
      <c r="G523" s="20"/>
      <c r="H523" s="20"/>
      <c r="I523" s="20"/>
      <c r="J523" s="19"/>
      <c r="K523" s="19"/>
      <c r="L523" s="12"/>
      <c r="M523" s="12"/>
      <c r="N523" s="12"/>
      <c r="O523" s="1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11"/>
      <c r="B524" s="19"/>
      <c r="C524" s="19"/>
      <c r="D524" s="12" t="str">
        <f t="shared" si="2"/>
        <v> </v>
      </c>
      <c r="E524" s="12" t="str">
        <f t="shared" si="3"/>
        <v> </v>
      </c>
      <c r="F524" s="12"/>
      <c r="G524" s="20"/>
      <c r="H524" s="20"/>
      <c r="I524" s="20"/>
      <c r="J524" s="19"/>
      <c r="K524" s="19"/>
      <c r="L524" s="12"/>
      <c r="M524" s="12"/>
      <c r="N524" s="12"/>
      <c r="O524" s="1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11"/>
      <c r="B525" s="19"/>
      <c r="C525" s="19"/>
      <c r="D525" s="12" t="str">
        <f t="shared" si="2"/>
        <v> </v>
      </c>
      <c r="E525" s="12" t="str">
        <f t="shared" si="3"/>
        <v> </v>
      </c>
      <c r="F525" s="12"/>
      <c r="G525" s="20"/>
      <c r="H525" s="20"/>
      <c r="I525" s="20"/>
      <c r="J525" s="19"/>
      <c r="K525" s="19"/>
      <c r="L525" s="12"/>
      <c r="M525" s="12"/>
      <c r="N525" s="12"/>
      <c r="O525" s="1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11"/>
      <c r="B526" s="19"/>
      <c r="C526" s="19"/>
      <c r="D526" s="12" t="str">
        <f t="shared" si="2"/>
        <v> </v>
      </c>
      <c r="E526" s="12" t="str">
        <f t="shared" si="3"/>
        <v> </v>
      </c>
      <c r="F526" s="12"/>
      <c r="G526" s="20"/>
      <c r="H526" s="20"/>
      <c r="I526" s="20"/>
      <c r="J526" s="19"/>
      <c r="K526" s="19"/>
      <c r="L526" s="12"/>
      <c r="M526" s="12"/>
      <c r="N526" s="12"/>
      <c r="O526" s="1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11"/>
      <c r="B527" s="19"/>
      <c r="C527" s="19"/>
      <c r="D527" s="12" t="str">
        <f t="shared" si="2"/>
        <v> </v>
      </c>
      <c r="E527" s="12" t="str">
        <f t="shared" si="3"/>
        <v> </v>
      </c>
      <c r="F527" s="12"/>
      <c r="G527" s="20"/>
      <c r="H527" s="20"/>
      <c r="I527" s="20"/>
      <c r="J527" s="19"/>
      <c r="K527" s="19"/>
      <c r="L527" s="12"/>
      <c r="M527" s="12"/>
      <c r="N527" s="12"/>
      <c r="O527" s="1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11"/>
      <c r="B528" s="19"/>
      <c r="C528" s="19"/>
      <c r="D528" s="12" t="str">
        <f t="shared" si="2"/>
        <v> </v>
      </c>
      <c r="E528" s="12" t="str">
        <f t="shared" si="3"/>
        <v> </v>
      </c>
      <c r="F528" s="12"/>
      <c r="G528" s="20"/>
      <c r="H528" s="20"/>
      <c r="I528" s="20"/>
      <c r="J528" s="19"/>
      <c r="K528" s="19"/>
      <c r="L528" s="12"/>
      <c r="M528" s="12"/>
      <c r="N528" s="12"/>
      <c r="O528" s="1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11"/>
      <c r="B529" s="19"/>
      <c r="C529" s="19"/>
      <c r="D529" s="12" t="str">
        <f t="shared" si="2"/>
        <v> </v>
      </c>
      <c r="E529" s="12" t="str">
        <f t="shared" si="3"/>
        <v> </v>
      </c>
      <c r="F529" s="12"/>
      <c r="G529" s="20"/>
      <c r="H529" s="20"/>
      <c r="I529" s="20"/>
      <c r="J529" s="19"/>
      <c r="K529" s="19"/>
      <c r="L529" s="12"/>
      <c r="M529" s="12"/>
      <c r="N529" s="12"/>
      <c r="O529" s="1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11"/>
      <c r="B530" s="19"/>
      <c r="C530" s="19"/>
      <c r="D530" s="12" t="str">
        <f t="shared" si="2"/>
        <v> </v>
      </c>
      <c r="E530" s="12" t="str">
        <f t="shared" si="3"/>
        <v> </v>
      </c>
      <c r="F530" s="12"/>
      <c r="G530" s="20"/>
      <c r="H530" s="20"/>
      <c r="I530" s="20"/>
      <c r="J530" s="19"/>
      <c r="K530" s="19"/>
      <c r="L530" s="12"/>
      <c r="M530" s="12"/>
      <c r="N530" s="12"/>
      <c r="O530" s="1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11"/>
      <c r="B531" s="19"/>
      <c r="C531" s="19"/>
      <c r="D531" s="12" t="str">
        <f t="shared" si="2"/>
        <v> </v>
      </c>
      <c r="E531" s="12" t="str">
        <f t="shared" si="3"/>
        <v> </v>
      </c>
      <c r="F531" s="12"/>
      <c r="G531" s="20"/>
      <c r="H531" s="20"/>
      <c r="I531" s="20"/>
      <c r="J531" s="19"/>
      <c r="K531" s="19"/>
      <c r="L531" s="12"/>
      <c r="M531" s="12"/>
      <c r="N531" s="12"/>
      <c r="O531" s="1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11"/>
      <c r="B532" s="19"/>
      <c r="C532" s="19"/>
      <c r="D532" s="12" t="str">
        <f t="shared" si="2"/>
        <v> </v>
      </c>
      <c r="E532" s="12" t="str">
        <f t="shared" si="3"/>
        <v> </v>
      </c>
      <c r="F532" s="12"/>
      <c r="G532" s="20"/>
      <c r="H532" s="20"/>
      <c r="I532" s="20"/>
      <c r="J532" s="19"/>
      <c r="K532" s="19"/>
      <c r="L532" s="12"/>
      <c r="M532" s="12"/>
      <c r="N532" s="12"/>
      <c r="O532" s="1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11"/>
      <c r="B533" s="19"/>
      <c r="C533" s="19"/>
      <c r="D533" s="12" t="str">
        <f t="shared" si="2"/>
        <v> </v>
      </c>
      <c r="E533" s="12" t="str">
        <f t="shared" si="3"/>
        <v> </v>
      </c>
      <c r="F533" s="12"/>
      <c r="G533" s="20"/>
      <c r="H533" s="20"/>
      <c r="I533" s="20"/>
      <c r="J533" s="19"/>
      <c r="K533" s="19"/>
      <c r="L533" s="12"/>
      <c r="M533" s="12"/>
      <c r="N533" s="12"/>
      <c r="O533" s="1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11"/>
      <c r="B534" s="19"/>
      <c r="C534" s="19"/>
      <c r="D534" s="12" t="str">
        <f t="shared" si="2"/>
        <v> </v>
      </c>
      <c r="E534" s="12" t="str">
        <f t="shared" si="3"/>
        <v> </v>
      </c>
      <c r="F534" s="12"/>
      <c r="G534" s="20"/>
      <c r="H534" s="20"/>
      <c r="I534" s="20"/>
      <c r="J534" s="19"/>
      <c r="K534" s="19"/>
      <c r="L534" s="12"/>
      <c r="M534" s="12"/>
      <c r="N534" s="12"/>
      <c r="O534" s="1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11"/>
      <c r="B535" s="19"/>
      <c r="C535" s="19"/>
      <c r="D535" s="12" t="str">
        <f t="shared" si="2"/>
        <v> </v>
      </c>
      <c r="E535" s="12" t="str">
        <f t="shared" si="3"/>
        <v> </v>
      </c>
      <c r="F535" s="12"/>
      <c r="G535" s="20"/>
      <c r="H535" s="20"/>
      <c r="I535" s="20"/>
      <c r="J535" s="19"/>
      <c r="K535" s="19"/>
      <c r="L535" s="12"/>
      <c r="M535" s="12"/>
      <c r="N535" s="12"/>
      <c r="O535" s="1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11"/>
      <c r="B536" s="19"/>
      <c r="C536" s="19"/>
      <c r="D536" s="12" t="str">
        <f t="shared" si="2"/>
        <v> </v>
      </c>
      <c r="E536" s="12" t="str">
        <f t="shared" si="3"/>
        <v> </v>
      </c>
      <c r="F536" s="12"/>
      <c r="G536" s="20"/>
      <c r="H536" s="20"/>
      <c r="I536" s="20"/>
      <c r="J536" s="19"/>
      <c r="K536" s="19"/>
      <c r="L536" s="12"/>
      <c r="M536" s="12"/>
      <c r="N536" s="12"/>
      <c r="O536" s="1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11"/>
      <c r="B537" s="19"/>
      <c r="C537" s="19"/>
      <c r="D537" s="12" t="str">
        <f t="shared" si="2"/>
        <v> </v>
      </c>
      <c r="E537" s="12" t="str">
        <f t="shared" si="3"/>
        <v> </v>
      </c>
      <c r="F537" s="12"/>
      <c r="G537" s="20"/>
      <c r="H537" s="20"/>
      <c r="I537" s="20"/>
      <c r="J537" s="19"/>
      <c r="K537" s="19"/>
      <c r="L537" s="12"/>
      <c r="M537" s="12"/>
      <c r="N537" s="12"/>
      <c r="O537" s="1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11"/>
      <c r="B538" s="19"/>
      <c r="C538" s="19"/>
      <c r="D538" s="12" t="str">
        <f t="shared" si="2"/>
        <v> </v>
      </c>
      <c r="E538" s="12" t="str">
        <f t="shared" si="3"/>
        <v> </v>
      </c>
      <c r="F538" s="12"/>
      <c r="G538" s="20"/>
      <c r="H538" s="20"/>
      <c r="I538" s="20"/>
      <c r="J538" s="19"/>
      <c r="K538" s="19"/>
      <c r="L538" s="12"/>
      <c r="M538" s="12"/>
      <c r="N538" s="12"/>
      <c r="O538" s="1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11"/>
      <c r="B539" s="19"/>
      <c r="C539" s="19"/>
      <c r="D539" s="12" t="str">
        <f t="shared" si="2"/>
        <v> </v>
      </c>
      <c r="E539" s="12" t="str">
        <f t="shared" si="3"/>
        <v> </v>
      </c>
      <c r="F539" s="12"/>
      <c r="G539" s="20"/>
      <c r="H539" s="20"/>
      <c r="I539" s="20"/>
      <c r="J539" s="19"/>
      <c r="K539" s="19"/>
      <c r="L539" s="12"/>
      <c r="M539" s="12"/>
      <c r="N539" s="12"/>
      <c r="O539" s="1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11"/>
      <c r="B540" s="19"/>
      <c r="C540" s="19"/>
      <c r="D540" s="12" t="str">
        <f t="shared" si="2"/>
        <v> </v>
      </c>
      <c r="E540" s="12" t="str">
        <f t="shared" si="3"/>
        <v> </v>
      </c>
      <c r="F540" s="12"/>
      <c r="G540" s="20"/>
      <c r="H540" s="20"/>
      <c r="I540" s="20"/>
      <c r="J540" s="19"/>
      <c r="K540" s="19"/>
      <c r="L540" s="12"/>
      <c r="M540" s="12"/>
      <c r="N540" s="12"/>
      <c r="O540" s="1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11"/>
      <c r="B541" s="19"/>
      <c r="C541" s="19"/>
      <c r="D541" s="12" t="str">
        <f t="shared" si="2"/>
        <v> </v>
      </c>
      <c r="E541" s="12" t="str">
        <f t="shared" si="3"/>
        <v> </v>
      </c>
      <c r="F541" s="12"/>
      <c r="G541" s="20"/>
      <c r="H541" s="20"/>
      <c r="I541" s="20"/>
      <c r="J541" s="19"/>
      <c r="K541" s="19"/>
      <c r="L541" s="12"/>
      <c r="M541" s="12"/>
      <c r="N541" s="12"/>
      <c r="O541" s="1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11"/>
      <c r="B542" s="19"/>
      <c r="C542" s="19"/>
      <c r="D542" s="12" t="str">
        <f t="shared" si="2"/>
        <v> </v>
      </c>
      <c r="E542" s="12" t="str">
        <f t="shared" si="3"/>
        <v> </v>
      </c>
      <c r="F542" s="12"/>
      <c r="G542" s="20"/>
      <c r="H542" s="20"/>
      <c r="I542" s="20"/>
      <c r="J542" s="19"/>
      <c r="K542" s="19"/>
      <c r="L542" s="12"/>
      <c r="M542" s="12"/>
      <c r="N542" s="12"/>
      <c r="O542" s="1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11"/>
      <c r="B543" s="19"/>
      <c r="C543" s="19"/>
      <c r="D543" s="12" t="str">
        <f t="shared" si="2"/>
        <v> </v>
      </c>
      <c r="E543" s="12" t="str">
        <f t="shared" si="3"/>
        <v> </v>
      </c>
      <c r="F543" s="12"/>
      <c r="G543" s="20"/>
      <c r="H543" s="20"/>
      <c r="I543" s="20"/>
      <c r="J543" s="19"/>
      <c r="K543" s="19"/>
      <c r="L543" s="12"/>
      <c r="M543" s="12"/>
      <c r="N543" s="12"/>
      <c r="O543" s="1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11"/>
      <c r="B544" s="19"/>
      <c r="C544" s="19"/>
      <c r="D544" s="12" t="str">
        <f t="shared" si="2"/>
        <v> </v>
      </c>
      <c r="E544" s="12" t="str">
        <f t="shared" si="3"/>
        <v> </v>
      </c>
      <c r="F544" s="12"/>
      <c r="G544" s="20"/>
      <c r="H544" s="20"/>
      <c r="I544" s="20"/>
      <c r="J544" s="19"/>
      <c r="K544" s="19"/>
      <c r="L544" s="12"/>
      <c r="M544" s="12"/>
      <c r="N544" s="12"/>
      <c r="O544" s="1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11"/>
      <c r="B545" s="19"/>
      <c r="C545" s="19"/>
      <c r="D545" s="12" t="str">
        <f t="shared" si="2"/>
        <v> </v>
      </c>
      <c r="E545" s="12" t="str">
        <f t="shared" si="3"/>
        <v> </v>
      </c>
      <c r="F545" s="12"/>
      <c r="G545" s="20"/>
      <c r="H545" s="20"/>
      <c r="I545" s="20"/>
      <c r="J545" s="19"/>
      <c r="K545" s="19"/>
      <c r="L545" s="12"/>
      <c r="M545" s="12"/>
      <c r="N545" s="12"/>
      <c r="O545" s="1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11"/>
      <c r="B546" s="19"/>
      <c r="C546" s="19"/>
      <c r="D546" s="12" t="str">
        <f t="shared" si="2"/>
        <v> </v>
      </c>
      <c r="E546" s="12" t="str">
        <f t="shared" si="3"/>
        <v> </v>
      </c>
      <c r="F546" s="12"/>
      <c r="G546" s="20"/>
      <c r="H546" s="20"/>
      <c r="I546" s="20"/>
      <c r="J546" s="19"/>
      <c r="K546" s="19"/>
      <c r="L546" s="12"/>
      <c r="M546" s="12"/>
      <c r="N546" s="12"/>
      <c r="O546" s="1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11"/>
      <c r="B547" s="19"/>
      <c r="C547" s="19"/>
      <c r="D547" s="12" t="str">
        <f t="shared" si="2"/>
        <v> </v>
      </c>
      <c r="E547" s="12" t="str">
        <f t="shared" si="3"/>
        <v> </v>
      </c>
      <c r="F547" s="12"/>
      <c r="G547" s="20"/>
      <c r="H547" s="20"/>
      <c r="I547" s="20"/>
      <c r="J547" s="19"/>
      <c r="K547" s="19"/>
      <c r="L547" s="12"/>
      <c r="M547" s="12"/>
      <c r="N547" s="12"/>
      <c r="O547" s="1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11"/>
      <c r="B548" s="19"/>
      <c r="C548" s="19"/>
      <c r="D548" s="12" t="str">
        <f t="shared" si="2"/>
        <v> </v>
      </c>
      <c r="E548" s="12" t="str">
        <f t="shared" si="3"/>
        <v> </v>
      </c>
      <c r="F548" s="12"/>
      <c r="G548" s="20"/>
      <c r="H548" s="20"/>
      <c r="I548" s="20"/>
      <c r="J548" s="19"/>
      <c r="K548" s="19"/>
      <c r="L548" s="12"/>
      <c r="M548" s="12"/>
      <c r="N548" s="12"/>
      <c r="O548" s="1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11"/>
      <c r="B549" s="19"/>
      <c r="C549" s="19"/>
      <c r="D549" s="12" t="str">
        <f t="shared" si="2"/>
        <v> </v>
      </c>
      <c r="E549" s="12" t="str">
        <f t="shared" si="3"/>
        <v> </v>
      </c>
      <c r="F549" s="12"/>
      <c r="G549" s="20"/>
      <c r="H549" s="20"/>
      <c r="I549" s="20"/>
      <c r="J549" s="19"/>
      <c r="K549" s="19"/>
      <c r="L549" s="12"/>
      <c r="M549" s="12"/>
      <c r="N549" s="12"/>
      <c r="O549" s="1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11"/>
      <c r="B550" s="19"/>
      <c r="C550" s="19"/>
      <c r="D550" s="12" t="str">
        <f t="shared" si="2"/>
        <v> </v>
      </c>
      <c r="E550" s="12" t="str">
        <f t="shared" si="3"/>
        <v> </v>
      </c>
      <c r="F550" s="12"/>
      <c r="G550" s="20"/>
      <c r="H550" s="20"/>
      <c r="I550" s="20"/>
      <c r="J550" s="19"/>
      <c r="K550" s="19"/>
      <c r="L550" s="12"/>
      <c r="M550" s="12"/>
      <c r="N550" s="12"/>
      <c r="O550" s="1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11"/>
      <c r="B551" s="19"/>
      <c r="C551" s="19"/>
      <c r="D551" s="12" t="str">
        <f t="shared" si="2"/>
        <v> </v>
      </c>
      <c r="E551" s="12" t="str">
        <f t="shared" si="3"/>
        <v> </v>
      </c>
      <c r="F551" s="12"/>
      <c r="G551" s="20"/>
      <c r="H551" s="20"/>
      <c r="I551" s="20"/>
      <c r="J551" s="19"/>
      <c r="K551" s="19"/>
      <c r="L551" s="12"/>
      <c r="M551" s="12"/>
      <c r="N551" s="12"/>
      <c r="O551" s="1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11"/>
      <c r="B552" s="19"/>
      <c r="C552" s="19"/>
      <c r="D552" s="12" t="str">
        <f t="shared" si="2"/>
        <v> </v>
      </c>
      <c r="E552" s="12" t="str">
        <f t="shared" si="3"/>
        <v> </v>
      </c>
      <c r="F552" s="12"/>
      <c r="G552" s="20"/>
      <c r="H552" s="20"/>
      <c r="I552" s="20"/>
      <c r="J552" s="19"/>
      <c r="K552" s="19"/>
      <c r="L552" s="12"/>
      <c r="M552" s="12"/>
      <c r="N552" s="12"/>
      <c r="O552" s="1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11"/>
      <c r="B553" s="19"/>
      <c r="C553" s="19"/>
      <c r="D553" s="12" t="str">
        <f t="shared" si="2"/>
        <v> </v>
      </c>
      <c r="E553" s="12" t="str">
        <f t="shared" si="3"/>
        <v> </v>
      </c>
      <c r="F553" s="12"/>
      <c r="G553" s="20"/>
      <c r="H553" s="20"/>
      <c r="I553" s="20"/>
      <c r="J553" s="19"/>
      <c r="K553" s="19"/>
      <c r="L553" s="12"/>
      <c r="M553" s="12"/>
      <c r="N553" s="12"/>
      <c r="O553" s="1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11"/>
      <c r="B554" s="19"/>
      <c r="C554" s="19"/>
      <c r="D554" s="12" t="str">
        <f t="shared" si="2"/>
        <v> </v>
      </c>
      <c r="E554" s="12" t="str">
        <f t="shared" si="3"/>
        <v> </v>
      </c>
      <c r="F554" s="12"/>
      <c r="G554" s="20"/>
      <c r="H554" s="20"/>
      <c r="I554" s="20"/>
      <c r="J554" s="19"/>
      <c r="K554" s="19"/>
      <c r="L554" s="12"/>
      <c r="M554" s="12"/>
      <c r="N554" s="12"/>
      <c r="O554" s="1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11"/>
      <c r="B555" s="19"/>
      <c r="C555" s="19"/>
      <c r="D555" s="12" t="str">
        <f t="shared" si="2"/>
        <v> </v>
      </c>
      <c r="E555" s="12" t="str">
        <f t="shared" si="3"/>
        <v> </v>
      </c>
      <c r="F555" s="12"/>
      <c r="G555" s="20"/>
      <c r="H555" s="20"/>
      <c r="I555" s="20"/>
      <c r="J555" s="19"/>
      <c r="K555" s="19"/>
      <c r="L555" s="12"/>
      <c r="M555" s="12"/>
      <c r="N555" s="12"/>
      <c r="O555" s="1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11"/>
      <c r="B556" s="19"/>
      <c r="C556" s="19"/>
      <c r="D556" s="12" t="str">
        <f t="shared" si="2"/>
        <v> </v>
      </c>
      <c r="E556" s="12" t="str">
        <f t="shared" si="3"/>
        <v> </v>
      </c>
      <c r="F556" s="12"/>
      <c r="G556" s="20"/>
      <c r="H556" s="20"/>
      <c r="I556" s="20"/>
      <c r="J556" s="19"/>
      <c r="K556" s="19"/>
      <c r="L556" s="12"/>
      <c r="M556" s="12"/>
      <c r="N556" s="12"/>
      <c r="O556" s="1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11"/>
      <c r="B557" s="19"/>
      <c r="C557" s="19"/>
      <c r="D557" s="12" t="str">
        <f t="shared" si="2"/>
        <v> </v>
      </c>
      <c r="E557" s="12" t="str">
        <f t="shared" si="3"/>
        <v> </v>
      </c>
      <c r="F557" s="12"/>
      <c r="G557" s="20"/>
      <c r="H557" s="20"/>
      <c r="I557" s="20"/>
      <c r="J557" s="19"/>
      <c r="K557" s="19"/>
      <c r="L557" s="12"/>
      <c r="M557" s="12"/>
      <c r="N557" s="12"/>
      <c r="O557" s="1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11"/>
      <c r="B558" s="19"/>
      <c r="C558" s="19"/>
      <c r="D558" s="12" t="str">
        <f t="shared" si="2"/>
        <v> </v>
      </c>
      <c r="E558" s="12" t="str">
        <f t="shared" si="3"/>
        <v> </v>
      </c>
      <c r="F558" s="12"/>
      <c r="G558" s="20"/>
      <c r="H558" s="20"/>
      <c r="I558" s="20"/>
      <c r="J558" s="19"/>
      <c r="K558" s="19"/>
      <c r="L558" s="12"/>
      <c r="M558" s="12"/>
      <c r="N558" s="12"/>
      <c r="O558" s="1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11"/>
      <c r="B559" s="19"/>
      <c r="C559" s="19"/>
      <c r="D559" s="12" t="str">
        <f t="shared" si="2"/>
        <v> </v>
      </c>
      <c r="E559" s="12" t="str">
        <f t="shared" si="3"/>
        <v> </v>
      </c>
      <c r="F559" s="12"/>
      <c r="G559" s="20"/>
      <c r="H559" s="20"/>
      <c r="I559" s="20"/>
      <c r="J559" s="19"/>
      <c r="K559" s="19"/>
      <c r="L559" s="12"/>
      <c r="M559" s="12"/>
      <c r="N559" s="12"/>
      <c r="O559" s="1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11"/>
      <c r="B560" s="19"/>
      <c r="C560" s="19"/>
      <c r="D560" s="12" t="str">
        <f t="shared" si="2"/>
        <v> </v>
      </c>
      <c r="E560" s="12" t="str">
        <f t="shared" si="3"/>
        <v> </v>
      </c>
      <c r="F560" s="12"/>
      <c r="G560" s="20"/>
      <c r="H560" s="20"/>
      <c r="I560" s="20"/>
      <c r="J560" s="19"/>
      <c r="K560" s="19"/>
      <c r="L560" s="12"/>
      <c r="M560" s="12"/>
      <c r="N560" s="12"/>
      <c r="O560" s="1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11"/>
      <c r="B561" s="19"/>
      <c r="C561" s="19"/>
      <c r="D561" s="12" t="str">
        <f t="shared" si="2"/>
        <v> </v>
      </c>
      <c r="E561" s="12" t="str">
        <f t="shared" si="3"/>
        <v> </v>
      </c>
      <c r="F561" s="12"/>
      <c r="G561" s="20"/>
      <c r="H561" s="20"/>
      <c r="I561" s="20"/>
      <c r="J561" s="19"/>
      <c r="K561" s="19"/>
      <c r="L561" s="12"/>
      <c r="M561" s="12"/>
      <c r="N561" s="12"/>
      <c r="O561" s="1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11"/>
      <c r="B562" s="19"/>
      <c r="C562" s="19"/>
      <c r="D562" s="12" t="str">
        <f t="shared" si="2"/>
        <v> </v>
      </c>
      <c r="E562" s="12" t="str">
        <f t="shared" si="3"/>
        <v> </v>
      </c>
      <c r="F562" s="12"/>
      <c r="G562" s="20"/>
      <c r="H562" s="20"/>
      <c r="I562" s="20"/>
      <c r="J562" s="19"/>
      <c r="K562" s="19"/>
      <c r="L562" s="12"/>
      <c r="M562" s="12"/>
      <c r="N562" s="12"/>
      <c r="O562" s="1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11"/>
      <c r="B563" s="19"/>
      <c r="C563" s="19"/>
      <c r="D563" s="12" t="str">
        <f t="shared" si="2"/>
        <v> </v>
      </c>
      <c r="E563" s="12" t="str">
        <f t="shared" si="3"/>
        <v> </v>
      </c>
      <c r="F563" s="12"/>
      <c r="G563" s="20"/>
      <c r="H563" s="20"/>
      <c r="I563" s="20"/>
      <c r="J563" s="19"/>
      <c r="K563" s="19"/>
      <c r="L563" s="12"/>
      <c r="M563" s="12"/>
      <c r="N563" s="12"/>
      <c r="O563" s="1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11"/>
      <c r="B564" s="19"/>
      <c r="C564" s="19"/>
      <c r="D564" s="12" t="str">
        <f t="shared" si="2"/>
        <v> </v>
      </c>
      <c r="E564" s="12" t="str">
        <f t="shared" si="3"/>
        <v> </v>
      </c>
      <c r="F564" s="12"/>
      <c r="G564" s="20"/>
      <c r="H564" s="20"/>
      <c r="I564" s="20"/>
      <c r="J564" s="19"/>
      <c r="K564" s="19"/>
      <c r="L564" s="12"/>
      <c r="M564" s="12"/>
      <c r="N564" s="12"/>
      <c r="O564" s="1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11"/>
      <c r="B565" s="19"/>
      <c r="C565" s="19"/>
      <c r="D565" s="12" t="str">
        <f t="shared" si="2"/>
        <v> </v>
      </c>
      <c r="E565" s="12" t="str">
        <f t="shared" si="3"/>
        <v> </v>
      </c>
      <c r="F565" s="12"/>
      <c r="G565" s="20"/>
      <c r="H565" s="20"/>
      <c r="I565" s="20"/>
      <c r="J565" s="19"/>
      <c r="K565" s="19"/>
      <c r="L565" s="12"/>
      <c r="M565" s="12"/>
      <c r="N565" s="12"/>
      <c r="O565" s="1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11"/>
      <c r="B566" s="19"/>
      <c r="C566" s="19"/>
      <c r="D566" s="12" t="str">
        <f t="shared" si="2"/>
        <v> </v>
      </c>
      <c r="E566" s="12" t="str">
        <f t="shared" si="3"/>
        <v> </v>
      </c>
      <c r="F566" s="12"/>
      <c r="G566" s="20"/>
      <c r="H566" s="20"/>
      <c r="I566" s="20"/>
      <c r="J566" s="19"/>
      <c r="K566" s="19"/>
      <c r="L566" s="12"/>
      <c r="M566" s="12"/>
      <c r="N566" s="12"/>
      <c r="O566" s="1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11"/>
      <c r="B567" s="19"/>
      <c r="C567" s="19"/>
      <c r="D567" s="12" t="str">
        <f t="shared" si="2"/>
        <v> </v>
      </c>
      <c r="E567" s="12" t="str">
        <f t="shared" si="3"/>
        <v> </v>
      </c>
      <c r="F567" s="12"/>
      <c r="G567" s="20"/>
      <c r="H567" s="20"/>
      <c r="I567" s="20"/>
      <c r="J567" s="19"/>
      <c r="K567" s="19"/>
      <c r="L567" s="12"/>
      <c r="M567" s="12"/>
      <c r="N567" s="12"/>
      <c r="O567" s="1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11"/>
      <c r="B568" s="19"/>
      <c r="C568" s="19"/>
      <c r="D568" s="12" t="str">
        <f t="shared" si="2"/>
        <v> </v>
      </c>
      <c r="E568" s="12" t="str">
        <f t="shared" si="3"/>
        <v> </v>
      </c>
      <c r="F568" s="12"/>
      <c r="G568" s="20"/>
      <c r="H568" s="20"/>
      <c r="I568" s="20"/>
      <c r="J568" s="19"/>
      <c r="K568" s="19"/>
      <c r="L568" s="12"/>
      <c r="M568" s="12"/>
      <c r="N568" s="12"/>
      <c r="O568" s="1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11"/>
      <c r="B569" s="19"/>
      <c r="C569" s="19"/>
      <c r="D569" s="12" t="str">
        <f t="shared" si="2"/>
        <v> </v>
      </c>
      <c r="E569" s="12" t="str">
        <f t="shared" si="3"/>
        <v> </v>
      </c>
      <c r="F569" s="12"/>
      <c r="G569" s="20"/>
      <c r="H569" s="20"/>
      <c r="I569" s="20"/>
      <c r="J569" s="19"/>
      <c r="K569" s="19"/>
      <c r="L569" s="12"/>
      <c r="M569" s="12"/>
      <c r="N569" s="12"/>
      <c r="O569" s="1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11"/>
      <c r="B570" s="19"/>
      <c r="C570" s="19"/>
      <c r="D570" s="12" t="str">
        <f t="shared" si="2"/>
        <v> </v>
      </c>
      <c r="E570" s="12" t="str">
        <f t="shared" si="3"/>
        <v> </v>
      </c>
      <c r="F570" s="12"/>
      <c r="G570" s="20"/>
      <c r="H570" s="20"/>
      <c r="I570" s="20"/>
      <c r="J570" s="19"/>
      <c r="K570" s="19"/>
      <c r="L570" s="12"/>
      <c r="M570" s="12"/>
      <c r="N570" s="12"/>
      <c r="O570" s="1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11"/>
      <c r="B571" s="19"/>
      <c r="C571" s="19"/>
      <c r="D571" s="12" t="str">
        <f t="shared" si="2"/>
        <v> </v>
      </c>
      <c r="E571" s="12" t="str">
        <f t="shared" si="3"/>
        <v> </v>
      </c>
      <c r="F571" s="12"/>
      <c r="G571" s="20"/>
      <c r="H571" s="20"/>
      <c r="I571" s="20"/>
      <c r="J571" s="19"/>
      <c r="K571" s="19"/>
      <c r="L571" s="12"/>
      <c r="M571" s="12"/>
      <c r="N571" s="12"/>
      <c r="O571" s="1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11"/>
      <c r="B572" s="19"/>
      <c r="C572" s="19"/>
      <c r="D572" s="12" t="str">
        <f t="shared" si="2"/>
        <v> </v>
      </c>
      <c r="E572" s="12" t="str">
        <f t="shared" si="3"/>
        <v> </v>
      </c>
      <c r="F572" s="12"/>
      <c r="G572" s="20"/>
      <c r="H572" s="20"/>
      <c r="I572" s="20"/>
      <c r="J572" s="19"/>
      <c r="K572" s="19"/>
      <c r="L572" s="12"/>
      <c r="M572" s="12"/>
      <c r="N572" s="12"/>
      <c r="O572" s="1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11"/>
      <c r="B573" s="19"/>
      <c r="C573" s="19"/>
      <c r="D573" s="12" t="str">
        <f t="shared" si="2"/>
        <v> </v>
      </c>
      <c r="E573" s="12" t="str">
        <f t="shared" si="3"/>
        <v> </v>
      </c>
      <c r="F573" s="12"/>
      <c r="G573" s="20"/>
      <c r="H573" s="20"/>
      <c r="I573" s="20"/>
      <c r="J573" s="19"/>
      <c r="K573" s="19"/>
      <c r="L573" s="12"/>
      <c r="M573" s="12"/>
      <c r="N573" s="12"/>
      <c r="O573" s="1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11"/>
      <c r="B574" s="19"/>
      <c r="C574" s="19"/>
      <c r="D574" s="12" t="str">
        <f t="shared" si="2"/>
        <v> </v>
      </c>
      <c r="E574" s="12" t="str">
        <f t="shared" si="3"/>
        <v> </v>
      </c>
      <c r="F574" s="12"/>
      <c r="G574" s="20"/>
      <c r="H574" s="20"/>
      <c r="I574" s="20"/>
      <c r="J574" s="19"/>
      <c r="K574" s="19"/>
      <c r="L574" s="12"/>
      <c r="M574" s="12"/>
      <c r="N574" s="12"/>
      <c r="O574" s="1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11"/>
      <c r="B575" s="19"/>
      <c r="C575" s="19"/>
      <c r="D575" s="12" t="str">
        <f t="shared" si="2"/>
        <v> </v>
      </c>
      <c r="E575" s="12" t="str">
        <f t="shared" si="3"/>
        <v> </v>
      </c>
      <c r="F575" s="12"/>
      <c r="G575" s="20"/>
      <c r="H575" s="20"/>
      <c r="I575" s="20"/>
      <c r="J575" s="19"/>
      <c r="K575" s="19"/>
      <c r="L575" s="12"/>
      <c r="M575" s="12"/>
      <c r="N575" s="12"/>
      <c r="O575" s="1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11"/>
      <c r="B576" s="19"/>
      <c r="C576" s="19"/>
      <c r="D576" s="12" t="str">
        <f t="shared" si="2"/>
        <v> </v>
      </c>
      <c r="E576" s="12" t="str">
        <f t="shared" si="3"/>
        <v> </v>
      </c>
      <c r="F576" s="12"/>
      <c r="G576" s="20"/>
      <c r="H576" s="20"/>
      <c r="I576" s="20"/>
      <c r="J576" s="19"/>
      <c r="K576" s="19"/>
      <c r="L576" s="12"/>
      <c r="M576" s="12"/>
      <c r="N576" s="12"/>
      <c r="O576" s="1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11"/>
      <c r="B577" s="19"/>
      <c r="C577" s="19"/>
      <c r="D577" s="12" t="str">
        <f t="shared" si="2"/>
        <v> </v>
      </c>
      <c r="E577" s="12" t="str">
        <f t="shared" si="3"/>
        <v> </v>
      </c>
      <c r="F577" s="12"/>
      <c r="G577" s="20"/>
      <c r="H577" s="20"/>
      <c r="I577" s="20"/>
      <c r="J577" s="19"/>
      <c r="K577" s="19"/>
      <c r="L577" s="12"/>
      <c r="M577" s="12"/>
      <c r="N577" s="12"/>
      <c r="O577" s="1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11"/>
      <c r="B578" s="19"/>
      <c r="C578" s="19"/>
      <c r="D578" s="12" t="str">
        <f t="shared" si="2"/>
        <v> </v>
      </c>
      <c r="E578" s="12" t="str">
        <f t="shared" si="3"/>
        <v> </v>
      </c>
      <c r="F578" s="12"/>
      <c r="G578" s="20"/>
      <c r="H578" s="20"/>
      <c r="I578" s="20"/>
      <c r="J578" s="19"/>
      <c r="K578" s="19"/>
      <c r="L578" s="12"/>
      <c r="M578" s="12"/>
      <c r="N578" s="12"/>
      <c r="O578" s="1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11"/>
      <c r="B579" s="19"/>
      <c r="C579" s="19"/>
      <c r="D579" s="12" t="str">
        <f t="shared" si="2"/>
        <v> </v>
      </c>
      <c r="E579" s="12" t="str">
        <f t="shared" si="3"/>
        <v> </v>
      </c>
      <c r="F579" s="12"/>
      <c r="G579" s="20"/>
      <c r="H579" s="20"/>
      <c r="I579" s="20"/>
      <c r="J579" s="19"/>
      <c r="K579" s="19"/>
      <c r="L579" s="12"/>
      <c r="M579" s="12"/>
      <c r="N579" s="12"/>
      <c r="O579" s="1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11"/>
      <c r="B580" s="19"/>
      <c r="C580" s="19"/>
      <c r="D580" s="12" t="str">
        <f t="shared" si="2"/>
        <v> </v>
      </c>
      <c r="E580" s="12" t="str">
        <f t="shared" si="3"/>
        <v> </v>
      </c>
      <c r="F580" s="12"/>
      <c r="G580" s="20"/>
      <c r="H580" s="20"/>
      <c r="I580" s="20"/>
      <c r="J580" s="19"/>
      <c r="K580" s="19"/>
      <c r="L580" s="12"/>
      <c r="M580" s="12"/>
      <c r="N580" s="12"/>
      <c r="O580" s="1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11"/>
      <c r="B581" s="19"/>
      <c r="C581" s="19"/>
      <c r="D581" s="12" t="str">
        <f t="shared" si="2"/>
        <v> </v>
      </c>
      <c r="E581" s="12" t="str">
        <f t="shared" si="3"/>
        <v> </v>
      </c>
      <c r="F581" s="12"/>
      <c r="G581" s="20"/>
      <c r="H581" s="20"/>
      <c r="I581" s="20"/>
      <c r="J581" s="19"/>
      <c r="K581" s="19"/>
      <c r="L581" s="12"/>
      <c r="M581" s="12"/>
      <c r="N581" s="12"/>
      <c r="O581" s="1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11"/>
      <c r="B582" s="19"/>
      <c r="C582" s="19"/>
      <c r="D582" s="12" t="str">
        <f t="shared" si="2"/>
        <v> </v>
      </c>
      <c r="E582" s="12" t="str">
        <f t="shared" si="3"/>
        <v> </v>
      </c>
      <c r="F582" s="12"/>
      <c r="G582" s="20"/>
      <c r="H582" s="20"/>
      <c r="I582" s="20"/>
      <c r="J582" s="19"/>
      <c r="K582" s="19"/>
      <c r="L582" s="12"/>
      <c r="M582" s="12"/>
      <c r="N582" s="12"/>
      <c r="O582" s="1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11"/>
      <c r="B583" s="19"/>
      <c r="C583" s="19"/>
      <c r="D583" s="12" t="str">
        <f t="shared" si="2"/>
        <v> </v>
      </c>
      <c r="E583" s="12" t="str">
        <f t="shared" si="3"/>
        <v> </v>
      </c>
      <c r="F583" s="12"/>
      <c r="G583" s="20"/>
      <c r="H583" s="20"/>
      <c r="I583" s="20"/>
      <c r="J583" s="19"/>
      <c r="K583" s="19"/>
      <c r="L583" s="12"/>
      <c r="M583" s="12"/>
      <c r="N583" s="12"/>
      <c r="O583" s="1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11"/>
      <c r="B584" s="19"/>
      <c r="C584" s="19"/>
      <c r="D584" s="12" t="str">
        <f t="shared" si="2"/>
        <v> </v>
      </c>
      <c r="E584" s="12" t="str">
        <f t="shared" si="3"/>
        <v> </v>
      </c>
      <c r="F584" s="12"/>
      <c r="G584" s="20"/>
      <c r="H584" s="20"/>
      <c r="I584" s="20"/>
      <c r="J584" s="19"/>
      <c r="K584" s="19"/>
      <c r="L584" s="12"/>
      <c r="M584" s="12"/>
      <c r="N584" s="12"/>
      <c r="O584" s="1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11"/>
      <c r="B585" s="19"/>
      <c r="C585" s="19"/>
      <c r="D585" s="12" t="str">
        <f t="shared" si="2"/>
        <v> </v>
      </c>
      <c r="E585" s="12" t="str">
        <f t="shared" si="3"/>
        <v> </v>
      </c>
      <c r="F585" s="12"/>
      <c r="G585" s="20"/>
      <c r="H585" s="20"/>
      <c r="I585" s="20"/>
      <c r="J585" s="19"/>
      <c r="K585" s="19"/>
      <c r="L585" s="12"/>
      <c r="M585" s="12"/>
      <c r="N585" s="12"/>
      <c r="O585" s="1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11"/>
      <c r="B586" s="19"/>
      <c r="C586" s="19"/>
      <c r="D586" s="12" t="str">
        <f t="shared" si="2"/>
        <v> </v>
      </c>
      <c r="E586" s="12" t="str">
        <f t="shared" si="3"/>
        <v> </v>
      </c>
      <c r="F586" s="12"/>
      <c r="G586" s="20"/>
      <c r="H586" s="20"/>
      <c r="I586" s="20"/>
      <c r="J586" s="19"/>
      <c r="K586" s="19"/>
      <c r="L586" s="12"/>
      <c r="M586" s="12"/>
      <c r="N586" s="12"/>
      <c r="O586" s="1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11"/>
      <c r="B587" s="19"/>
      <c r="C587" s="19"/>
      <c r="D587" s="12" t="str">
        <f t="shared" si="2"/>
        <v> </v>
      </c>
      <c r="E587" s="12" t="str">
        <f t="shared" si="3"/>
        <v> </v>
      </c>
      <c r="F587" s="12"/>
      <c r="G587" s="20"/>
      <c r="H587" s="20"/>
      <c r="I587" s="20"/>
      <c r="J587" s="19"/>
      <c r="K587" s="19"/>
      <c r="L587" s="12"/>
      <c r="M587" s="12"/>
      <c r="N587" s="12"/>
      <c r="O587" s="1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11"/>
      <c r="B588" s="19"/>
      <c r="C588" s="19"/>
      <c r="D588" s="12" t="str">
        <f t="shared" si="2"/>
        <v> </v>
      </c>
      <c r="E588" s="12" t="str">
        <f t="shared" si="3"/>
        <v> </v>
      </c>
      <c r="F588" s="12"/>
      <c r="G588" s="20"/>
      <c r="H588" s="20"/>
      <c r="I588" s="20"/>
      <c r="J588" s="19"/>
      <c r="K588" s="19"/>
      <c r="L588" s="12"/>
      <c r="M588" s="12"/>
      <c r="N588" s="12"/>
      <c r="O588" s="1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11"/>
      <c r="B589" s="19"/>
      <c r="C589" s="19"/>
      <c r="D589" s="12" t="str">
        <f t="shared" si="2"/>
        <v> </v>
      </c>
      <c r="E589" s="12" t="str">
        <f t="shared" si="3"/>
        <v> </v>
      </c>
      <c r="F589" s="12"/>
      <c r="G589" s="20"/>
      <c r="H589" s="20"/>
      <c r="I589" s="20"/>
      <c r="J589" s="19"/>
      <c r="K589" s="19"/>
      <c r="L589" s="12"/>
      <c r="M589" s="12"/>
      <c r="N589" s="12"/>
      <c r="O589" s="1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11"/>
      <c r="B590" s="19"/>
      <c r="C590" s="19"/>
      <c r="D590" s="12" t="str">
        <f t="shared" si="2"/>
        <v> </v>
      </c>
      <c r="E590" s="12" t="str">
        <f t="shared" si="3"/>
        <v> </v>
      </c>
      <c r="F590" s="12"/>
      <c r="G590" s="20"/>
      <c r="H590" s="20"/>
      <c r="I590" s="20"/>
      <c r="J590" s="19"/>
      <c r="K590" s="19"/>
      <c r="L590" s="12"/>
      <c r="M590" s="12"/>
      <c r="N590" s="12"/>
      <c r="O590" s="1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11"/>
      <c r="B591" s="19"/>
      <c r="C591" s="19"/>
      <c r="D591" s="12" t="str">
        <f t="shared" si="2"/>
        <v> </v>
      </c>
      <c r="E591" s="12" t="str">
        <f t="shared" si="3"/>
        <v> </v>
      </c>
      <c r="F591" s="12"/>
      <c r="G591" s="20"/>
      <c r="H591" s="20"/>
      <c r="I591" s="20"/>
      <c r="J591" s="19"/>
      <c r="K591" s="19"/>
      <c r="L591" s="12"/>
      <c r="M591" s="12"/>
      <c r="N591" s="12"/>
      <c r="O591" s="1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11"/>
      <c r="B592" s="19"/>
      <c r="C592" s="19"/>
      <c r="D592" s="12" t="str">
        <f t="shared" si="2"/>
        <v> </v>
      </c>
      <c r="E592" s="12" t="str">
        <f t="shared" si="3"/>
        <v> </v>
      </c>
      <c r="F592" s="12"/>
      <c r="G592" s="20"/>
      <c r="H592" s="20"/>
      <c r="I592" s="20"/>
      <c r="J592" s="19"/>
      <c r="K592" s="19"/>
      <c r="L592" s="12"/>
      <c r="M592" s="12"/>
      <c r="N592" s="12"/>
      <c r="O592" s="1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11"/>
      <c r="B593" s="19"/>
      <c r="C593" s="19"/>
      <c r="D593" s="12" t="str">
        <f t="shared" si="2"/>
        <v> </v>
      </c>
      <c r="E593" s="12" t="str">
        <f t="shared" si="3"/>
        <v> </v>
      </c>
      <c r="F593" s="12"/>
      <c r="G593" s="20"/>
      <c r="H593" s="20"/>
      <c r="I593" s="20"/>
      <c r="J593" s="19"/>
      <c r="K593" s="19"/>
      <c r="L593" s="12"/>
      <c r="M593" s="12"/>
      <c r="N593" s="12"/>
      <c r="O593" s="1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11"/>
      <c r="B594" s="19"/>
      <c r="C594" s="19"/>
      <c r="D594" s="12" t="str">
        <f t="shared" si="2"/>
        <v> </v>
      </c>
      <c r="E594" s="12" t="str">
        <f t="shared" si="3"/>
        <v> </v>
      </c>
      <c r="F594" s="12"/>
      <c r="G594" s="20"/>
      <c r="H594" s="20"/>
      <c r="I594" s="20"/>
      <c r="J594" s="19"/>
      <c r="K594" s="19"/>
      <c r="L594" s="12"/>
      <c r="M594" s="12"/>
      <c r="N594" s="12"/>
      <c r="O594" s="1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11"/>
      <c r="B595" s="19"/>
      <c r="C595" s="19"/>
      <c r="D595" s="12" t="str">
        <f t="shared" si="2"/>
        <v> </v>
      </c>
      <c r="E595" s="12" t="str">
        <f t="shared" si="3"/>
        <v> </v>
      </c>
      <c r="F595" s="12"/>
      <c r="G595" s="20"/>
      <c r="H595" s="20"/>
      <c r="I595" s="20"/>
      <c r="J595" s="19"/>
      <c r="K595" s="19"/>
      <c r="L595" s="12"/>
      <c r="M595" s="12"/>
      <c r="N595" s="12"/>
      <c r="O595" s="1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11"/>
      <c r="B596" s="19"/>
      <c r="C596" s="19"/>
      <c r="D596" s="12" t="str">
        <f t="shared" si="2"/>
        <v> </v>
      </c>
      <c r="E596" s="12" t="str">
        <f t="shared" si="3"/>
        <v> </v>
      </c>
      <c r="F596" s="12"/>
      <c r="G596" s="20"/>
      <c r="H596" s="20"/>
      <c r="I596" s="20"/>
      <c r="J596" s="19"/>
      <c r="K596" s="19"/>
      <c r="L596" s="12"/>
      <c r="M596" s="12"/>
      <c r="N596" s="12"/>
      <c r="O596" s="1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11"/>
      <c r="B597" s="19"/>
      <c r="C597" s="19"/>
      <c r="D597" s="12" t="str">
        <f t="shared" si="2"/>
        <v> </v>
      </c>
      <c r="E597" s="12" t="str">
        <f t="shared" si="3"/>
        <v> </v>
      </c>
      <c r="F597" s="12"/>
      <c r="G597" s="20"/>
      <c r="H597" s="20"/>
      <c r="I597" s="20"/>
      <c r="J597" s="19"/>
      <c r="K597" s="19"/>
      <c r="L597" s="12"/>
      <c r="M597" s="12"/>
      <c r="N597" s="12"/>
      <c r="O597" s="1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11"/>
      <c r="B598" s="19"/>
      <c r="C598" s="19"/>
      <c r="D598" s="12" t="str">
        <f t="shared" si="2"/>
        <v> </v>
      </c>
      <c r="E598" s="12" t="str">
        <f t="shared" si="3"/>
        <v> </v>
      </c>
      <c r="F598" s="12"/>
      <c r="G598" s="20"/>
      <c r="H598" s="20"/>
      <c r="I598" s="20"/>
      <c r="J598" s="19"/>
      <c r="K598" s="19"/>
      <c r="L598" s="12"/>
      <c r="M598" s="12"/>
      <c r="N598" s="12"/>
      <c r="O598" s="1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11"/>
      <c r="B599" s="19"/>
      <c r="C599" s="19"/>
      <c r="D599" s="12" t="str">
        <f t="shared" si="2"/>
        <v> </v>
      </c>
      <c r="E599" s="12" t="str">
        <f t="shared" si="3"/>
        <v> </v>
      </c>
      <c r="F599" s="12"/>
      <c r="G599" s="20"/>
      <c r="H599" s="20"/>
      <c r="I599" s="20"/>
      <c r="J599" s="19"/>
      <c r="K599" s="19"/>
      <c r="L599" s="12"/>
      <c r="M599" s="12"/>
      <c r="N599" s="12"/>
      <c r="O599" s="1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11"/>
      <c r="B600" s="19"/>
      <c r="C600" s="19"/>
      <c r="D600" s="12" t="str">
        <f t="shared" si="2"/>
        <v> </v>
      </c>
      <c r="E600" s="12" t="str">
        <f t="shared" si="3"/>
        <v> </v>
      </c>
      <c r="F600" s="12"/>
      <c r="G600" s="20"/>
      <c r="H600" s="20"/>
      <c r="I600" s="20"/>
      <c r="J600" s="19"/>
      <c r="K600" s="19"/>
      <c r="L600" s="12"/>
      <c r="M600" s="12"/>
      <c r="N600" s="12"/>
      <c r="O600" s="1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11"/>
      <c r="B601" s="19"/>
      <c r="C601" s="19"/>
      <c r="D601" s="12" t="str">
        <f t="shared" si="2"/>
        <v> </v>
      </c>
      <c r="E601" s="12" t="str">
        <f t="shared" si="3"/>
        <v> </v>
      </c>
      <c r="F601" s="12"/>
      <c r="G601" s="20"/>
      <c r="H601" s="20"/>
      <c r="I601" s="20"/>
      <c r="J601" s="19"/>
      <c r="K601" s="19"/>
      <c r="L601" s="12"/>
      <c r="M601" s="12"/>
      <c r="N601" s="12"/>
      <c r="O601" s="1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11"/>
      <c r="B602" s="19"/>
      <c r="C602" s="19"/>
      <c r="D602" s="12" t="str">
        <f t="shared" si="2"/>
        <v> </v>
      </c>
      <c r="E602" s="12" t="str">
        <f t="shared" si="3"/>
        <v> </v>
      </c>
      <c r="F602" s="12"/>
      <c r="G602" s="20"/>
      <c r="H602" s="20"/>
      <c r="I602" s="20"/>
      <c r="J602" s="19"/>
      <c r="K602" s="19"/>
      <c r="L602" s="12"/>
      <c r="M602" s="12"/>
      <c r="N602" s="12"/>
      <c r="O602" s="1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11"/>
      <c r="B603" s="19"/>
      <c r="C603" s="19"/>
      <c r="D603" s="12" t="str">
        <f t="shared" si="2"/>
        <v> </v>
      </c>
      <c r="E603" s="12" t="str">
        <f t="shared" si="3"/>
        <v> </v>
      </c>
      <c r="F603" s="12"/>
      <c r="G603" s="20"/>
      <c r="H603" s="20"/>
      <c r="I603" s="20"/>
      <c r="J603" s="19"/>
      <c r="K603" s="19"/>
      <c r="L603" s="12"/>
      <c r="M603" s="12"/>
      <c r="N603" s="12"/>
      <c r="O603" s="1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11"/>
      <c r="B604" s="19"/>
      <c r="C604" s="19"/>
      <c r="D604" s="12" t="str">
        <f t="shared" si="2"/>
        <v> </v>
      </c>
      <c r="E604" s="12" t="str">
        <f t="shared" si="3"/>
        <v> </v>
      </c>
      <c r="F604" s="12"/>
      <c r="G604" s="20"/>
      <c r="H604" s="20"/>
      <c r="I604" s="20"/>
      <c r="J604" s="19"/>
      <c r="K604" s="19"/>
      <c r="L604" s="12"/>
      <c r="M604" s="12"/>
      <c r="N604" s="12"/>
      <c r="O604" s="1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11"/>
      <c r="B605" s="19"/>
      <c r="C605" s="19"/>
      <c r="D605" s="12" t="str">
        <f t="shared" si="2"/>
        <v> </v>
      </c>
      <c r="E605" s="12" t="str">
        <f t="shared" si="3"/>
        <v> </v>
      </c>
      <c r="F605" s="12"/>
      <c r="G605" s="20"/>
      <c r="H605" s="20"/>
      <c r="I605" s="20"/>
      <c r="J605" s="19"/>
      <c r="K605" s="19"/>
      <c r="L605" s="12"/>
      <c r="M605" s="12"/>
      <c r="N605" s="12"/>
      <c r="O605" s="1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11"/>
      <c r="B606" s="19"/>
      <c r="C606" s="19"/>
      <c r="D606" s="12" t="str">
        <f t="shared" si="2"/>
        <v> </v>
      </c>
      <c r="E606" s="12" t="str">
        <f t="shared" si="3"/>
        <v> </v>
      </c>
      <c r="F606" s="12"/>
      <c r="G606" s="20"/>
      <c r="H606" s="20"/>
      <c r="I606" s="20"/>
      <c r="J606" s="19"/>
      <c r="K606" s="19"/>
      <c r="L606" s="12"/>
      <c r="M606" s="12"/>
      <c r="N606" s="12"/>
      <c r="O606" s="1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11"/>
      <c r="B607" s="19"/>
      <c r="C607" s="19"/>
      <c r="D607" s="12" t="str">
        <f t="shared" si="2"/>
        <v> </v>
      </c>
      <c r="E607" s="12" t="str">
        <f t="shared" si="3"/>
        <v> </v>
      </c>
      <c r="F607" s="12"/>
      <c r="G607" s="20"/>
      <c r="H607" s="20"/>
      <c r="I607" s="20"/>
      <c r="J607" s="19"/>
      <c r="K607" s="19"/>
      <c r="L607" s="12"/>
      <c r="M607" s="12"/>
      <c r="N607" s="12"/>
      <c r="O607" s="1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11"/>
      <c r="B608" s="19"/>
      <c r="C608" s="19"/>
      <c r="D608" s="12" t="str">
        <f t="shared" si="2"/>
        <v> </v>
      </c>
      <c r="E608" s="12" t="str">
        <f t="shared" si="3"/>
        <v> </v>
      </c>
      <c r="F608" s="12"/>
      <c r="G608" s="20"/>
      <c r="H608" s="20"/>
      <c r="I608" s="20"/>
      <c r="J608" s="19"/>
      <c r="K608" s="19"/>
      <c r="L608" s="12"/>
      <c r="M608" s="12"/>
      <c r="N608" s="12"/>
      <c r="O608" s="1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11"/>
      <c r="B609" s="19"/>
      <c r="C609" s="19"/>
      <c r="D609" s="12" t="str">
        <f t="shared" si="2"/>
        <v> </v>
      </c>
      <c r="E609" s="12" t="str">
        <f t="shared" si="3"/>
        <v> </v>
      </c>
      <c r="F609" s="12"/>
      <c r="G609" s="20"/>
      <c r="H609" s="20"/>
      <c r="I609" s="20"/>
      <c r="J609" s="19"/>
      <c r="K609" s="19"/>
      <c r="L609" s="12"/>
      <c r="M609" s="12"/>
      <c r="N609" s="12"/>
      <c r="O609" s="1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11"/>
      <c r="B610" s="19"/>
      <c r="C610" s="19"/>
      <c r="D610" s="12" t="str">
        <f t="shared" si="2"/>
        <v> </v>
      </c>
      <c r="E610" s="12" t="str">
        <f t="shared" si="3"/>
        <v> </v>
      </c>
      <c r="F610" s="12"/>
      <c r="G610" s="20"/>
      <c r="H610" s="20"/>
      <c r="I610" s="20"/>
      <c r="J610" s="19"/>
      <c r="K610" s="19"/>
      <c r="L610" s="12"/>
      <c r="M610" s="12"/>
      <c r="N610" s="12"/>
      <c r="O610" s="1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11"/>
      <c r="B611" s="19"/>
      <c r="C611" s="19"/>
      <c r="D611" s="12" t="str">
        <f t="shared" si="2"/>
        <v> </v>
      </c>
      <c r="E611" s="12" t="str">
        <f t="shared" si="3"/>
        <v> </v>
      </c>
      <c r="F611" s="12"/>
      <c r="G611" s="20"/>
      <c r="H611" s="20"/>
      <c r="I611" s="20"/>
      <c r="J611" s="19"/>
      <c r="K611" s="19"/>
      <c r="L611" s="12"/>
      <c r="M611" s="12"/>
      <c r="N611" s="12"/>
      <c r="O611" s="1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11"/>
      <c r="B612" s="19"/>
      <c r="C612" s="19"/>
      <c r="D612" s="12" t="str">
        <f t="shared" si="2"/>
        <v> </v>
      </c>
      <c r="E612" s="12" t="str">
        <f t="shared" si="3"/>
        <v> </v>
      </c>
      <c r="F612" s="12"/>
      <c r="G612" s="20"/>
      <c r="H612" s="20"/>
      <c r="I612" s="20"/>
      <c r="J612" s="19"/>
      <c r="K612" s="19"/>
      <c r="L612" s="12"/>
      <c r="M612" s="12"/>
      <c r="N612" s="12"/>
      <c r="O612" s="1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11"/>
      <c r="B613" s="19"/>
      <c r="C613" s="19"/>
      <c r="D613" s="12" t="str">
        <f t="shared" si="2"/>
        <v> </v>
      </c>
      <c r="E613" s="12" t="str">
        <f t="shared" si="3"/>
        <v> </v>
      </c>
      <c r="F613" s="12"/>
      <c r="G613" s="20"/>
      <c r="H613" s="20"/>
      <c r="I613" s="20"/>
      <c r="J613" s="19"/>
      <c r="K613" s="19"/>
      <c r="L613" s="12"/>
      <c r="M613" s="12"/>
      <c r="N613" s="12"/>
      <c r="O613" s="1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11"/>
      <c r="B614" s="19"/>
      <c r="C614" s="19"/>
      <c r="D614" s="12" t="str">
        <f t="shared" si="2"/>
        <v> </v>
      </c>
      <c r="E614" s="12" t="str">
        <f t="shared" si="3"/>
        <v> </v>
      </c>
      <c r="F614" s="12"/>
      <c r="G614" s="20"/>
      <c r="H614" s="20"/>
      <c r="I614" s="20"/>
      <c r="J614" s="19"/>
      <c r="K614" s="19"/>
      <c r="L614" s="12"/>
      <c r="M614" s="12"/>
      <c r="N614" s="12"/>
      <c r="O614" s="1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11"/>
      <c r="B615" s="19"/>
      <c r="C615" s="19"/>
      <c r="D615" s="12" t="str">
        <f t="shared" si="2"/>
        <v> </v>
      </c>
      <c r="E615" s="12" t="str">
        <f t="shared" si="3"/>
        <v> </v>
      </c>
      <c r="F615" s="12"/>
      <c r="G615" s="20"/>
      <c r="H615" s="20"/>
      <c r="I615" s="20"/>
      <c r="J615" s="19"/>
      <c r="K615" s="19"/>
      <c r="L615" s="12"/>
      <c r="M615" s="12"/>
      <c r="N615" s="12"/>
      <c r="O615" s="1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11"/>
      <c r="B616" s="19"/>
      <c r="C616" s="19"/>
      <c r="D616" s="12" t="str">
        <f t="shared" si="2"/>
        <v> </v>
      </c>
      <c r="E616" s="12" t="str">
        <f t="shared" si="3"/>
        <v> </v>
      </c>
      <c r="F616" s="12"/>
      <c r="G616" s="20"/>
      <c r="H616" s="20"/>
      <c r="I616" s="20"/>
      <c r="J616" s="19"/>
      <c r="K616" s="19"/>
      <c r="L616" s="12"/>
      <c r="M616" s="12"/>
      <c r="N616" s="12"/>
      <c r="O616" s="1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11"/>
      <c r="B617" s="19"/>
      <c r="C617" s="19"/>
      <c r="D617" s="12" t="str">
        <f t="shared" si="2"/>
        <v> </v>
      </c>
      <c r="E617" s="12" t="str">
        <f t="shared" si="3"/>
        <v> </v>
      </c>
      <c r="F617" s="12"/>
      <c r="G617" s="20"/>
      <c r="H617" s="20"/>
      <c r="I617" s="20"/>
      <c r="J617" s="19"/>
      <c r="K617" s="19"/>
      <c r="L617" s="12"/>
      <c r="M617" s="12"/>
      <c r="N617" s="12"/>
      <c r="O617" s="1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11"/>
      <c r="B618" s="19"/>
      <c r="C618" s="19"/>
      <c r="D618" s="12" t="str">
        <f t="shared" si="2"/>
        <v> </v>
      </c>
      <c r="E618" s="12" t="str">
        <f t="shared" si="3"/>
        <v> </v>
      </c>
      <c r="F618" s="12"/>
      <c r="G618" s="20"/>
      <c r="H618" s="20"/>
      <c r="I618" s="20"/>
      <c r="J618" s="19"/>
      <c r="K618" s="19"/>
      <c r="L618" s="12"/>
      <c r="M618" s="12"/>
      <c r="N618" s="12"/>
      <c r="O618" s="1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11"/>
      <c r="B619" s="19"/>
      <c r="C619" s="19"/>
      <c r="D619" s="12" t="str">
        <f t="shared" si="2"/>
        <v> </v>
      </c>
      <c r="E619" s="12" t="str">
        <f t="shared" si="3"/>
        <v> </v>
      </c>
      <c r="F619" s="12"/>
      <c r="G619" s="20"/>
      <c r="H619" s="20"/>
      <c r="I619" s="20"/>
      <c r="J619" s="19"/>
      <c r="K619" s="19"/>
      <c r="L619" s="12"/>
      <c r="M619" s="12"/>
      <c r="N619" s="12"/>
      <c r="O619" s="1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11"/>
      <c r="B620" s="19"/>
      <c r="C620" s="19"/>
      <c r="D620" s="12" t="str">
        <f t="shared" si="2"/>
        <v> </v>
      </c>
      <c r="E620" s="12" t="str">
        <f t="shared" si="3"/>
        <v> </v>
      </c>
      <c r="F620" s="12"/>
      <c r="G620" s="20"/>
      <c r="H620" s="20"/>
      <c r="I620" s="20"/>
      <c r="J620" s="19"/>
      <c r="K620" s="19"/>
      <c r="L620" s="12"/>
      <c r="M620" s="12"/>
      <c r="N620" s="12"/>
      <c r="O620" s="1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11"/>
      <c r="B621" s="19"/>
      <c r="C621" s="19"/>
      <c r="D621" s="12" t="str">
        <f t="shared" si="2"/>
        <v> </v>
      </c>
      <c r="E621" s="12" t="str">
        <f t="shared" si="3"/>
        <v> </v>
      </c>
      <c r="F621" s="12"/>
      <c r="G621" s="20"/>
      <c r="H621" s="20"/>
      <c r="I621" s="20"/>
      <c r="J621" s="19"/>
      <c r="K621" s="19"/>
      <c r="L621" s="12"/>
      <c r="M621" s="12"/>
      <c r="N621" s="12"/>
      <c r="O621" s="1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11"/>
      <c r="B622" s="19"/>
      <c r="C622" s="19"/>
      <c r="D622" s="12" t="str">
        <f t="shared" si="2"/>
        <v> </v>
      </c>
      <c r="E622" s="12" t="str">
        <f t="shared" si="3"/>
        <v> </v>
      </c>
      <c r="F622" s="12"/>
      <c r="G622" s="20"/>
      <c r="H622" s="20"/>
      <c r="I622" s="20"/>
      <c r="J622" s="19"/>
      <c r="K622" s="19"/>
      <c r="L622" s="12"/>
      <c r="M622" s="12"/>
      <c r="N622" s="12"/>
      <c r="O622" s="1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11"/>
      <c r="B623" s="19"/>
      <c r="C623" s="19"/>
      <c r="D623" s="12" t="str">
        <f t="shared" si="2"/>
        <v> </v>
      </c>
      <c r="E623" s="12" t="str">
        <f t="shared" si="3"/>
        <v> </v>
      </c>
      <c r="F623" s="12"/>
      <c r="G623" s="20"/>
      <c r="H623" s="20"/>
      <c r="I623" s="20"/>
      <c r="J623" s="19"/>
      <c r="K623" s="19"/>
      <c r="L623" s="12"/>
      <c r="M623" s="12"/>
      <c r="N623" s="12"/>
      <c r="O623" s="1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11"/>
      <c r="B624" s="19"/>
      <c r="C624" s="19"/>
      <c r="D624" s="12" t="str">
        <f t="shared" si="2"/>
        <v> </v>
      </c>
      <c r="E624" s="12" t="str">
        <f t="shared" si="3"/>
        <v> </v>
      </c>
      <c r="F624" s="12"/>
      <c r="G624" s="20"/>
      <c r="H624" s="20"/>
      <c r="I624" s="20"/>
      <c r="J624" s="19"/>
      <c r="K624" s="19"/>
      <c r="L624" s="12"/>
      <c r="M624" s="12"/>
      <c r="N624" s="12"/>
      <c r="O624" s="1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11"/>
      <c r="B625" s="19"/>
      <c r="C625" s="19"/>
      <c r="D625" s="12" t="str">
        <f t="shared" si="2"/>
        <v> </v>
      </c>
      <c r="E625" s="12" t="str">
        <f t="shared" si="3"/>
        <v> </v>
      </c>
      <c r="F625" s="12"/>
      <c r="G625" s="20"/>
      <c r="H625" s="20"/>
      <c r="I625" s="20"/>
      <c r="J625" s="19"/>
      <c r="K625" s="19"/>
      <c r="L625" s="12"/>
      <c r="M625" s="12"/>
      <c r="N625" s="12"/>
      <c r="O625" s="1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11"/>
      <c r="B626" s="19"/>
      <c r="C626" s="19"/>
      <c r="D626" s="12" t="str">
        <f t="shared" si="2"/>
        <v> </v>
      </c>
      <c r="E626" s="12" t="str">
        <f t="shared" si="3"/>
        <v> </v>
      </c>
      <c r="F626" s="12"/>
      <c r="G626" s="20"/>
      <c r="H626" s="20"/>
      <c r="I626" s="20"/>
      <c r="J626" s="19"/>
      <c r="K626" s="19"/>
      <c r="L626" s="12"/>
      <c r="M626" s="12"/>
      <c r="N626" s="12"/>
      <c r="O626" s="1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11"/>
      <c r="B627" s="19"/>
      <c r="C627" s="19"/>
      <c r="D627" s="12" t="str">
        <f t="shared" si="2"/>
        <v> </v>
      </c>
      <c r="E627" s="12" t="str">
        <f t="shared" si="3"/>
        <v> </v>
      </c>
      <c r="F627" s="12"/>
      <c r="G627" s="20"/>
      <c r="H627" s="20"/>
      <c r="I627" s="20"/>
      <c r="J627" s="19"/>
      <c r="K627" s="19"/>
      <c r="L627" s="12"/>
      <c r="M627" s="12"/>
      <c r="N627" s="12"/>
      <c r="O627" s="1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11"/>
      <c r="B628" s="19"/>
      <c r="C628" s="19"/>
      <c r="D628" s="12" t="str">
        <f t="shared" si="2"/>
        <v> </v>
      </c>
      <c r="E628" s="12" t="str">
        <f t="shared" si="3"/>
        <v> </v>
      </c>
      <c r="F628" s="12"/>
      <c r="G628" s="20"/>
      <c r="H628" s="20"/>
      <c r="I628" s="20"/>
      <c r="J628" s="19"/>
      <c r="K628" s="19"/>
      <c r="L628" s="12"/>
      <c r="M628" s="12"/>
      <c r="N628" s="12"/>
      <c r="O628" s="1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11"/>
      <c r="B629" s="19"/>
      <c r="C629" s="19"/>
      <c r="D629" s="12" t="str">
        <f t="shared" si="2"/>
        <v> </v>
      </c>
      <c r="E629" s="12" t="str">
        <f t="shared" si="3"/>
        <v> </v>
      </c>
      <c r="F629" s="12"/>
      <c r="G629" s="20"/>
      <c r="H629" s="20"/>
      <c r="I629" s="20"/>
      <c r="J629" s="19"/>
      <c r="K629" s="19"/>
      <c r="L629" s="12"/>
      <c r="M629" s="12"/>
      <c r="N629" s="12"/>
      <c r="O629" s="1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11"/>
      <c r="B630" s="19"/>
      <c r="C630" s="19"/>
      <c r="D630" s="12" t="str">
        <f t="shared" si="2"/>
        <v> </v>
      </c>
      <c r="E630" s="12" t="str">
        <f t="shared" si="3"/>
        <v> </v>
      </c>
      <c r="F630" s="12"/>
      <c r="G630" s="20"/>
      <c r="H630" s="20"/>
      <c r="I630" s="20"/>
      <c r="J630" s="19"/>
      <c r="K630" s="19"/>
      <c r="L630" s="12"/>
      <c r="M630" s="12"/>
      <c r="N630" s="12"/>
      <c r="O630" s="1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11"/>
      <c r="B631" s="19"/>
      <c r="C631" s="19"/>
      <c r="D631" s="12" t="str">
        <f t="shared" si="2"/>
        <v> </v>
      </c>
      <c r="E631" s="12" t="str">
        <f t="shared" si="3"/>
        <v> </v>
      </c>
      <c r="F631" s="12"/>
      <c r="G631" s="20"/>
      <c r="H631" s="20"/>
      <c r="I631" s="20"/>
      <c r="J631" s="19"/>
      <c r="K631" s="19"/>
      <c r="L631" s="12"/>
      <c r="M631" s="12"/>
      <c r="N631" s="12"/>
      <c r="O631" s="1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11"/>
      <c r="B632" s="19"/>
      <c r="C632" s="19"/>
      <c r="D632" s="12" t="str">
        <f t="shared" si="2"/>
        <v> </v>
      </c>
      <c r="E632" s="12" t="str">
        <f t="shared" si="3"/>
        <v> </v>
      </c>
      <c r="F632" s="12"/>
      <c r="G632" s="20"/>
      <c r="H632" s="20"/>
      <c r="I632" s="20"/>
      <c r="J632" s="19"/>
      <c r="K632" s="19"/>
      <c r="L632" s="12"/>
      <c r="M632" s="12"/>
      <c r="N632" s="12"/>
      <c r="O632" s="1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11"/>
      <c r="B633" s="19"/>
      <c r="C633" s="19"/>
      <c r="D633" s="12" t="str">
        <f t="shared" si="2"/>
        <v> </v>
      </c>
      <c r="E633" s="12" t="str">
        <f t="shared" si="3"/>
        <v> </v>
      </c>
      <c r="F633" s="12"/>
      <c r="G633" s="20"/>
      <c r="H633" s="20"/>
      <c r="I633" s="20"/>
      <c r="J633" s="19"/>
      <c r="K633" s="19"/>
      <c r="L633" s="12"/>
      <c r="M633" s="12"/>
      <c r="N633" s="12"/>
      <c r="O633" s="1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11"/>
      <c r="B634" s="19"/>
      <c r="C634" s="19"/>
      <c r="D634" s="12" t="str">
        <f t="shared" si="2"/>
        <v> </v>
      </c>
      <c r="E634" s="12" t="str">
        <f t="shared" si="3"/>
        <v> </v>
      </c>
      <c r="F634" s="12"/>
      <c r="G634" s="20"/>
      <c r="H634" s="20"/>
      <c r="I634" s="20"/>
      <c r="J634" s="19"/>
      <c r="K634" s="19"/>
      <c r="L634" s="12"/>
      <c r="M634" s="12"/>
      <c r="N634" s="12"/>
      <c r="O634" s="1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11"/>
      <c r="B635" s="19"/>
      <c r="C635" s="19"/>
      <c r="D635" s="12" t="str">
        <f t="shared" si="2"/>
        <v> </v>
      </c>
      <c r="E635" s="12" t="str">
        <f t="shared" si="3"/>
        <v> </v>
      </c>
      <c r="F635" s="12"/>
      <c r="G635" s="20"/>
      <c r="H635" s="20"/>
      <c r="I635" s="20"/>
      <c r="J635" s="19"/>
      <c r="K635" s="19"/>
      <c r="L635" s="12"/>
      <c r="M635" s="12"/>
      <c r="N635" s="12"/>
      <c r="O635" s="1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11"/>
      <c r="B636" s="19"/>
      <c r="C636" s="19"/>
      <c r="D636" s="12" t="str">
        <f t="shared" si="2"/>
        <v> </v>
      </c>
      <c r="E636" s="12" t="str">
        <f t="shared" si="3"/>
        <v> </v>
      </c>
      <c r="F636" s="12"/>
      <c r="G636" s="20"/>
      <c r="H636" s="20"/>
      <c r="I636" s="20"/>
      <c r="J636" s="19"/>
      <c r="K636" s="19"/>
      <c r="L636" s="12"/>
      <c r="M636" s="12"/>
      <c r="N636" s="12"/>
      <c r="O636" s="1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11"/>
      <c r="B637" s="19"/>
      <c r="C637" s="19"/>
      <c r="D637" s="12" t="str">
        <f t="shared" si="2"/>
        <v> </v>
      </c>
      <c r="E637" s="12" t="str">
        <f t="shared" si="3"/>
        <v> </v>
      </c>
      <c r="F637" s="12"/>
      <c r="G637" s="20"/>
      <c r="H637" s="20"/>
      <c r="I637" s="20"/>
      <c r="J637" s="19"/>
      <c r="K637" s="19"/>
      <c r="L637" s="12"/>
      <c r="M637" s="12"/>
      <c r="N637" s="12"/>
      <c r="O637" s="1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11"/>
      <c r="B638" s="19"/>
      <c r="C638" s="19"/>
      <c r="D638" s="12" t="str">
        <f t="shared" si="2"/>
        <v> </v>
      </c>
      <c r="E638" s="12" t="str">
        <f t="shared" si="3"/>
        <v> </v>
      </c>
      <c r="F638" s="12"/>
      <c r="G638" s="20"/>
      <c r="H638" s="20"/>
      <c r="I638" s="20"/>
      <c r="J638" s="19"/>
      <c r="K638" s="19"/>
      <c r="L638" s="12"/>
      <c r="M638" s="12"/>
      <c r="N638" s="12"/>
      <c r="O638" s="1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11"/>
      <c r="B639" s="19"/>
      <c r="C639" s="19"/>
      <c r="D639" s="12" t="str">
        <f t="shared" si="2"/>
        <v> </v>
      </c>
      <c r="E639" s="12" t="str">
        <f t="shared" si="3"/>
        <v> </v>
      </c>
      <c r="F639" s="12"/>
      <c r="G639" s="20"/>
      <c r="H639" s="20"/>
      <c r="I639" s="20"/>
      <c r="J639" s="19"/>
      <c r="K639" s="19"/>
      <c r="L639" s="12"/>
      <c r="M639" s="12"/>
      <c r="N639" s="12"/>
      <c r="O639" s="1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11"/>
      <c r="B640" s="19"/>
      <c r="C640" s="19"/>
      <c r="D640" s="12" t="str">
        <f t="shared" si="2"/>
        <v> </v>
      </c>
      <c r="E640" s="12" t="str">
        <f t="shared" si="3"/>
        <v> </v>
      </c>
      <c r="F640" s="12"/>
      <c r="G640" s="20"/>
      <c r="H640" s="20"/>
      <c r="I640" s="20"/>
      <c r="J640" s="19"/>
      <c r="K640" s="19"/>
      <c r="L640" s="12"/>
      <c r="M640" s="12"/>
      <c r="N640" s="12"/>
      <c r="O640" s="1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11"/>
      <c r="B641" s="19"/>
      <c r="C641" s="19"/>
      <c r="D641" s="12" t="str">
        <f t="shared" si="2"/>
        <v> </v>
      </c>
      <c r="E641" s="12" t="str">
        <f t="shared" si="3"/>
        <v> </v>
      </c>
      <c r="F641" s="12"/>
      <c r="G641" s="20"/>
      <c r="H641" s="20"/>
      <c r="I641" s="20"/>
      <c r="J641" s="19"/>
      <c r="K641" s="19"/>
      <c r="L641" s="12"/>
      <c r="M641" s="12"/>
      <c r="N641" s="12"/>
      <c r="O641" s="1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11"/>
      <c r="B642" s="19"/>
      <c r="C642" s="19"/>
      <c r="D642" s="12" t="str">
        <f t="shared" si="2"/>
        <v> </v>
      </c>
      <c r="E642" s="12" t="str">
        <f t="shared" si="3"/>
        <v> </v>
      </c>
      <c r="F642" s="12"/>
      <c r="G642" s="20"/>
      <c r="H642" s="20"/>
      <c r="I642" s="20"/>
      <c r="J642" s="19"/>
      <c r="K642" s="19"/>
      <c r="L642" s="12"/>
      <c r="M642" s="12"/>
      <c r="N642" s="12"/>
      <c r="O642" s="1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11"/>
      <c r="B643" s="19"/>
      <c r="C643" s="19"/>
      <c r="D643" s="12" t="str">
        <f t="shared" si="2"/>
        <v> </v>
      </c>
      <c r="E643" s="12" t="str">
        <f t="shared" si="3"/>
        <v> </v>
      </c>
      <c r="F643" s="12"/>
      <c r="G643" s="20"/>
      <c r="H643" s="20"/>
      <c r="I643" s="20"/>
      <c r="J643" s="19"/>
      <c r="K643" s="19"/>
      <c r="L643" s="12"/>
      <c r="M643" s="12"/>
      <c r="N643" s="12"/>
      <c r="O643" s="1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11"/>
      <c r="B644" s="19"/>
      <c r="C644" s="19"/>
      <c r="D644" s="12" t="str">
        <f t="shared" si="2"/>
        <v> </v>
      </c>
      <c r="E644" s="12" t="str">
        <f t="shared" si="3"/>
        <v> </v>
      </c>
      <c r="F644" s="12"/>
      <c r="G644" s="20"/>
      <c r="H644" s="20"/>
      <c r="I644" s="20"/>
      <c r="J644" s="19"/>
      <c r="K644" s="19"/>
      <c r="L644" s="12"/>
      <c r="M644" s="12"/>
      <c r="N644" s="12"/>
      <c r="O644" s="1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11"/>
      <c r="B645" s="19"/>
      <c r="C645" s="19"/>
      <c r="D645" s="12" t="str">
        <f t="shared" si="2"/>
        <v> </v>
      </c>
      <c r="E645" s="12" t="str">
        <f t="shared" si="3"/>
        <v> </v>
      </c>
      <c r="F645" s="12"/>
      <c r="G645" s="20"/>
      <c r="H645" s="20"/>
      <c r="I645" s="20"/>
      <c r="J645" s="19"/>
      <c r="K645" s="19"/>
      <c r="L645" s="12"/>
      <c r="M645" s="12"/>
      <c r="N645" s="12"/>
      <c r="O645" s="1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11"/>
      <c r="B646" s="19"/>
      <c r="C646" s="19"/>
      <c r="D646" s="12" t="str">
        <f t="shared" si="2"/>
        <v> </v>
      </c>
      <c r="E646" s="12" t="str">
        <f t="shared" si="3"/>
        <v> </v>
      </c>
      <c r="F646" s="12"/>
      <c r="G646" s="20"/>
      <c r="H646" s="20"/>
      <c r="I646" s="20"/>
      <c r="J646" s="19"/>
      <c r="K646" s="19"/>
      <c r="L646" s="12"/>
      <c r="M646" s="12"/>
      <c r="N646" s="12"/>
      <c r="O646" s="1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11"/>
      <c r="B647" s="19"/>
      <c r="C647" s="19"/>
      <c r="D647" s="12" t="str">
        <f t="shared" si="2"/>
        <v> </v>
      </c>
      <c r="E647" s="12" t="str">
        <f t="shared" si="3"/>
        <v> </v>
      </c>
      <c r="F647" s="12"/>
      <c r="G647" s="20"/>
      <c r="H647" s="20"/>
      <c r="I647" s="20"/>
      <c r="J647" s="19"/>
      <c r="K647" s="19"/>
      <c r="L647" s="12"/>
      <c r="M647" s="12"/>
      <c r="N647" s="12"/>
      <c r="O647" s="1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11"/>
      <c r="B648" s="19"/>
      <c r="C648" s="19"/>
      <c r="D648" s="12" t="str">
        <f t="shared" si="2"/>
        <v> </v>
      </c>
      <c r="E648" s="12" t="str">
        <f t="shared" si="3"/>
        <v> </v>
      </c>
      <c r="F648" s="12"/>
      <c r="G648" s="20"/>
      <c r="H648" s="20"/>
      <c r="I648" s="20"/>
      <c r="J648" s="19"/>
      <c r="K648" s="19"/>
      <c r="L648" s="12"/>
      <c r="M648" s="12"/>
      <c r="N648" s="12"/>
      <c r="O648" s="1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11"/>
      <c r="B649" s="19"/>
      <c r="C649" s="19"/>
      <c r="D649" s="12" t="str">
        <f t="shared" si="2"/>
        <v> </v>
      </c>
      <c r="E649" s="12" t="str">
        <f t="shared" si="3"/>
        <v> </v>
      </c>
      <c r="F649" s="12"/>
      <c r="G649" s="20"/>
      <c r="H649" s="20"/>
      <c r="I649" s="20"/>
      <c r="J649" s="19"/>
      <c r="K649" s="19"/>
      <c r="L649" s="12"/>
      <c r="M649" s="12"/>
      <c r="N649" s="12"/>
      <c r="O649" s="1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11"/>
      <c r="B650" s="19"/>
      <c r="C650" s="19"/>
      <c r="D650" s="12" t="str">
        <f t="shared" si="2"/>
        <v> </v>
      </c>
      <c r="E650" s="12" t="str">
        <f t="shared" si="3"/>
        <v> </v>
      </c>
      <c r="F650" s="12"/>
      <c r="G650" s="20"/>
      <c r="H650" s="20"/>
      <c r="I650" s="20"/>
      <c r="J650" s="19"/>
      <c r="K650" s="19"/>
      <c r="L650" s="12"/>
      <c r="M650" s="12"/>
      <c r="N650" s="12"/>
      <c r="O650" s="1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11"/>
      <c r="B651" s="19"/>
      <c r="C651" s="19"/>
      <c r="D651" s="12" t="str">
        <f t="shared" si="2"/>
        <v> </v>
      </c>
      <c r="E651" s="12" t="str">
        <f t="shared" si="3"/>
        <v> </v>
      </c>
      <c r="F651" s="12"/>
      <c r="G651" s="20"/>
      <c r="H651" s="20"/>
      <c r="I651" s="20"/>
      <c r="J651" s="19"/>
      <c r="K651" s="19"/>
      <c r="L651" s="12"/>
      <c r="M651" s="12"/>
      <c r="N651" s="12"/>
      <c r="O651" s="1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11"/>
      <c r="B652" s="19"/>
      <c r="C652" s="19"/>
      <c r="D652" s="12" t="str">
        <f t="shared" si="2"/>
        <v> </v>
      </c>
      <c r="E652" s="12" t="str">
        <f t="shared" si="3"/>
        <v> </v>
      </c>
      <c r="F652" s="12"/>
      <c r="G652" s="20"/>
      <c r="H652" s="20"/>
      <c r="I652" s="20"/>
      <c r="J652" s="19"/>
      <c r="K652" s="19"/>
      <c r="L652" s="12"/>
      <c r="M652" s="12"/>
      <c r="N652" s="12"/>
      <c r="O652" s="1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11"/>
      <c r="B653" s="19"/>
      <c r="C653" s="19"/>
      <c r="D653" s="12" t="str">
        <f t="shared" si="2"/>
        <v> </v>
      </c>
      <c r="E653" s="12" t="str">
        <f t="shared" si="3"/>
        <v> </v>
      </c>
      <c r="F653" s="12"/>
      <c r="G653" s="20"/>
      <c r="H653" s="20"/>
      <c r="I653" s="20"/>
      <c r="J653" s="19"/>
      <c r="K653" s="19"/>
      <c r="L653" s="12"/>
      <c r="M653" s="12"/>
      <c r="N653" s="12"/>
      <c r="O653" s="1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11"/>
      <c r="B654" s="19"/>
      <c r="C654" s="19"/>
      <c r="D654" s="12" t="str">
        <f t="shared" si="2"/>
        <v> </v>
      </c>
      <c r="E654" s="12" t="str">
        <f t="shared" si="3"/>
        <v> </v>
      </c>
      <c r="F654" s="12"/>
      <c r="G654" s="20"/>
      <c r="H654" s="20"/>
      <c r="I654" s="20"/>
      <c r="J654" s="19"/>
      <c r="K654" s="19"/>
      <c r="L654" s="12"/>
      <c r="M654" s="12"/>
      <c r="N654" s="12"/>
      <c r="O654" s="1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11"/>
      <c r="B655" s="19"/>
      <c r="C655" s="19"/>
      <c r="D655" s="12" t="str">
        <f t="shared" si="2"/>
        <v> </v>
      </c>
      <c r="E655" s="12" t="str">
        <f t="shared" si="3"/>
        <v> </v>
      </c>
      <c r="F655" s="12"/>
      <c r="G655" s="20"/>
      <c r="H655" s="20"/>
      <c r="I655" s="20"/>
      <c r="J655" s="19"/>
      <c r="K655" s="19"/>
      <c r="L655" s="12"/>
      <c r="M655" s="12"/>
      <c r="N655" s="12"/>
      <c r="O655" s="1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11"/>
      <c r="B656" s="19"/>
      <c r="C656" s="19"/>
      <c r="D656" s="12" t="str">
        <f t="shared" si="2"/>
        <v> </v>
      </c>
      <c r="E656" s="12" t="str">
        <f t="shared" si="3"/>
        <v> </v>
      </c>
      <c r="F656" s="12"/>
      <c r="G656" s="20"/>
      <c r="H656" s="20"/>
      <c r="I656" s="20"/>
      <c r="J656" s="19"/>
      <c r="K656" s="19"/>
      <c r="L656" s="12"/>
      <c r="M656" s="12"/>
      <c r="N656" s="12"/>
      <c r="O656" s="1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11"/>
      <c r="B657" s="19"/>
      <c r="C657" s="19"/>
      <c r="D657" s="12" t="str">
        <f t="shared" si="2"/>
        <v> </v>
      </c>
      <c r="E657" s="12" t="str">
        <f t="shared" si="3"/>
        <v> </v>
      </c>
      <c r="F657" s="12"/>
      <c r="G657" s="20"/>
      <c r="H657" s="20"/>
      <c r="I657" s="20"/>
      <c r="J657" s="19"/>
      <c r="K657" s="19"/>
      <c r="L657" s="12"/>
      <c r="M657" s="12"/>
      <c r="N657" s="12"/>
      <c r="O657" s="1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11"/>
      <c r="B658" s="19"/>
      <c r="C658" s="19"/>
      <c r="D658" s="12" t="str">
        <f t="shared" si="2"/>
        <v> </v>
      </c>
      <c r="E658" s="12" t="str">
        <f t="shared" si="3"/>
        <v> </v>
      </c>
      <c r="F658" s="12"/>
      <c r="G658" s="20"/>
      <c r="H658" s="20"/>
      <c r="I658" s="20"/>
      <c r="J658" s="19"/>
      <c r="K658" s="19"/>
      <c r="L658" s="12"/>
      <c r="M658" s="12"/>
      <c r="N658" s="12"/>
      <c r="O658" s="1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11"/>
      <c r="B659" s="19"/>
      <c r="C659" s="19"/>
      <c r="D659" s="12" t="str">
        <f t="shared" si="2"/>
        <v> </v>
      </c>
      <c r="E659" s="12" t="str">
        <f t="shared" si="3"/>
        <v> </v>
      </c>
      <c r="F659" s="12"/>
      <c r="G659" s="20"/>
      <c r="H659" s="20"/>
      <c r="I659" s="20"/>
      <c r="J659" s="19"/>
      <c r="K659" s="19"/>
      <c r="L659" s="12"/>
      <c r="M659" s="12"/>
      <c r="N659" s="12"/>
      <c r="O659" s="1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11"/>
      <c r="B660" s="19"/>
      <c r="C660" s="19"/>
      <c r="D660" s="12" t="str">
        <f t="shared" si="2"/>
        <v> </v>
      </c>
      <c r="E660" s="12" t="str">
        <f t="shared" si="3"/>
        <v> </v>
      </c>
      <c r="F660" s="12"/>
      <c r="G660" s="20"/>
      <c r="H660" s="20"/>
      <c r="I660" s="20"/>
      <c r="J660" s="19"/>
      <c r="K660" s="19"/>
      <c r="L660" s="12"/>
      <c r="M660" s="12"/>
      <c r="N660" s="12"/>
      <c r="O660" s="1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11"/>
      <c r="B661" s="19"/>
      <c r="C661" s="19"/>
      <c r="D661" s="12" t="str">
        <f t="shared" si="2"/>
        <v> </v>
      </c>
      <c r="E661" s="12" t="str">
        <f t="shared" si="3"/>
        <v> </v>
      </c>
      <c r="F661" s="12"/>
      <c r="G661" s="20"/>
      <c r="H661" s="20"/>
      <c r="I661" s="20"/>
      <c r="J661" s="19"/>
      <c r="K661" s="19"/>
      <c r="L661" s="12"/>
      <c r="M661" s="12"/>
      <c r="N661" s="12"/>
      <c r="O661" s="1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11"/>
      <c r="B662" s="19"/>
      <c r="C662" s="19"/>
      <c r="D662" s="12" t="str">
        <f t="shared" si="2"/>
        <v> </v>
      </c>
      <c r="E662" s="12" t="str">
        <f t="shared" si="3"/>
        <v> </v>
      </c>
      <c r="F662" s="12"/>
      <c r="G662" s="20"/>
      <c r="H662" s="20"/>
      <c r="I662" s="20"/>
      <c r="J662" s="19"/>
      <c r="K662" s="19"/>
      <c r="L662" s="12"/>
      <c r="M662" s="12"/>
      <c r="N662" s="12"/>
      <c r="O662" s="1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11"/>
      <c r="B663" s="19"/>
      <c r="C663" s="19"/>
      <c r="D663" s="12" t="str">
        <f t="shared" si="2"/>
        <v> </v>
      </c>
      <c r="E663" s="12" t="str">
        <f t="shared" si="3"/>
        <v> </v>
      </c>
      <c r="F663" s="12"/>
      <c r="G663" s="20"/>
      <c r="H663" s="20"/>
      <c r="I663" s="20"/>
      <c r="J663" s="19"/>
      <c r="K663" s="19"/>
      <c r="L663" s="12"/>
      <c r="M663" s="12"/>
      <c r="N663" s="12"/>
      <c r="O663" s="1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11"/>
      <c r="B664" s="19"/>
      <c r="C664" s="19"/>
      <c r="D664" s="12" t="str">
        <f t="shared" si="2"/>
        <v> </v>
      </c>
      <c r="E664" s="12" t="str">
        <f t="shared" si="3"/>
        <v> </v>
      </c>
      <c r="F664" s="12"/>
      <c r="G664" s="20"/>
      <c r="H664" s="20"/>
      <c r="I664" s="20"/>
      <c r="J664" s="19"/>
      <c r="K664" s="19"/>
      <c r="L664" s="12"/>
      <c r="M664" s="12"/>
      <c r="N664" s="12"/>
      <c r="O664" s="1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11"/>
      <c r="B665" s="19"/>
      <c r="C665" s="19"/>
      <c r="D665" s="12" t="str">
        <f t="shared" si="2"/>
        <v> </v>
      </c>
      <c r="E665" s="12" t="str">
        <f t="shared" si="3"/>
        <v> </v>
      </c>
      <c r="F665" s="12"/>
      <c r="G665" s="20"/>
      <c r="H665" s="20"/>
      <c r="I665" s="20"/>
      <c r="J665" s="19"/>
      <c r="K665" s="19"/>
      <c r="L665" s="12"/>
      <c r="M665" s="12"/>
      <c r="N665" s="12"/>
      <c r="O665" s="1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11"/>
      <c r="B666" s="19"/>
      <c r="C666" s="19"/>
      <c r="D666" s="12" t="str">
        <f t="shared" si="2"/>
        <v> </v>
      </c>
      <c r="E666" s="12" t="str">
        <f t="shared" si="3"/>
        <v> </v>
      </c>
      <c r="F666" s="12"/>
      <c r="G666" s="20"/>
      <c r="H666" s="20"/>
      <c r="I666" s="20"/>
      <c r="J666" s="19"/>
      <c r="K666" s="19"/>
      <c r="L666" s="12"/>
      <c r="M666" s="12"/>
      <c r="N666" s="12"/>
      <c r="O666" s="1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11"/>
      <c r="B667" s="19"/>
      <c r="C667" s="19"/>
      <c r="D667" s="12" t="str">
        <f t="shared" si="2"/>
        <v> </v>
      </c>
      <c r="E667" s="12" t="str">
        <f t="shared" si="3"/>
        <v> </v>
      </c>
      <c r="F667" s="12"/>
      <c r="G667" s="20"/>
      <c r="H667" s="20"/>
      <c r="I667" s="20"/>
      <c r="J667" s="19"/>
      <c r="K667" s="19"/>
      <c r="L667" s="12"/>
      <c r="M667" s="12"/>
      <c r="N667" s="12"/>
      <c r="O667" s="1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11"/>
      <c r="B668" s="19"/>
      <c r="C668" s="19"/>
      <c r="D668" s="12" t="str">
        <f t="shared" si="2"/>
        <v> </v>
      </c>
      <c r="E668" s="12" t="str">
        <f t="shared" si="3"/>
        <v> </v>
      </c>
      <c r="F668" s="12"/>
      <c r="G668" s="20"/>
      <c r="H668" s="20"/>
      <c r="I668" s="20"/>
      <c r="J668" s="19"/>
      <c r="K668" s="19"/>
      <c r="L668" s="12"/>
      <c r="M668" s="12"/>
      <c r="N668" s="12"/>
      <c r="O668" s="1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11"/>
      <c r="B669" s="19"/>
      <c r="C669" s="19"/>
      <c r="D669" s="12" t="str">
        <f t="shared" si="2"/>
        <v> </v>
      </c>
      <c r="E669" s="12" t="str">
        <f t="shared" si="3"/>
        <v> </v>
      </c>
      <c r="F669" s="12"/>
      <c r="G669" s="20"/>
      <c r="H669" s="20"/>
      <c r="I669" s="20"/>
      <c r="J669" s="19"/>
      <c r="K669" s="19"/>
      <c r="L669" s="12"/>
      <c r="M669" s="12"/>
      <c r="N669" s="12"/>
      <c r="O669" s="1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11"/>
      <c r="B670" s="19"/>
      <c r="C670" s="19"/>
      <c r="D670" s="12" t="str">
        <f t="shared" si="2"/>
        <v> </v>
      </c>
      <c r="E670" s="12" t="str">
        <f t="shared" si="3"/>
        <v> </v>
      </c>
      <c r="F670" s="12"/>
      <c r="G670" s="20"/>
      <c r="H670" s="20"/>
      <c r="I670" s="20"/>
      <c r="J670" s="19"/>
      <c r="K670" s="19"/>
      <c r="L670" s="12"/>
      <c r="M670" s="12"/>
      <c r="N670" s="12"/>
      <c r="O670" s="1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11"/>
      <c r="B671" s="19"/>
      <c r="C671" s="19"/>
      <c r="D671" s="12" t="str">
        <f t="shared" si="2"/>
        <v> </v>
      </c>
      <c r="E671" s="12" t="str">
        <f t="shared" si="3"/>
        <v> </v>
      </c>
      <c r="F671" s="12"/>
      <c r="G671" s="20"/>
      <c r="H671" s="20"/>
      <c r="I671" s="20"/>
      <c r="J671" s="19"/>
      <c r="K671" s="19"/>
      <c r="L671" s="12"/>
      <c r="M671" s="12"/>
      <c r="N671" s="12"/>
      <c r="O671" s="1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11"/>
      <c r="B672" s="19"/>
      <c r="C672" s="19"/>
      <c r="D672" s="12" t="str">
        <f t="shared" si="2"/>
        <v> </v>
      </c>
      <c r="E672" s="12" t="str">
        <f t="shared" si="3"/>
        <v> </v>
      </c>
      <c r="F672" s="12"/>
      <c r="G672" s="20"/>
      <c r="H672" s="20"/>
      <c r="I672" s="20"/>
      <c r="J672" s="19"/>
      <c r="K672" s="19"/>
      <c r="L672" s="12"/>
      <c r="M672" s="12"/>
      <c r="N672" s="12"/>
      <c r="O672" s="1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11"/>
      <c r="B673" s="19"/>
      <c r="C673" s="19"/>
      <c r="D673" s="12" t="str">
        <f t="shared" si="2"/>
        <v> </v>
      </c>
      <c r="E673" s="12" t="str">
        <f t="shared" si="3"/>
        <v> </v>
      </c>
      <c r="F673" s="12"/>
      <c r="G673" s="20"/>
      <c r="H673" s="20"/>
      <c r="I673" s="20"/>
      <c r="J673" s="19"/>
      <c r="K673" s="19"/>
      <c r="L673" s="12"/>
      <c r="M673" s="12"/>
      <c r="N673" s="12"/>
      <c r="O673" s="1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11"/>
      <c r="B674" s="19"/>
      <c r="C674" s="19"/>
      <c r="D674" s="12" t="str">
        <f t="shared" si="2"/>
        <v> </v>
      </c>
      <c r="E674" s="12" t="str">
        <f t="shared" si="3"/>
        <v> </v>
      </c>
      <c r="F674" s="12"/>
      <c r="G674" s="20"/>
      <c r="H674" s="20"/>
      <c r="I674" s="20"/>
      <c r="J674" s="19"/>
      <c r="K674" s="19"/>
      <c r="L674" s="12"/>
      <c r="M674" s="12"/>
      <c r="N674" s="12"/>
      <c r="O674" s="1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11"/>
      <c r="B675" s="19"/>
      <c r="C675" s="19"/>
      <c r="D675" s="12" t="str">
        <f t="shared" si="2"/>
        <v> </v>
      </c>
      <c r="E675" s="12" t="str">
        <f t="shared" si="3"/>
        <v> </v>
      </c>
      <c r="F675" s="12"/>
      <c r="G675" s="20"/>
      <c r="H675" s="20"/>
      <c r="I675" s="20"/>
      <c r="J675" s="19"/>
      <c r="K675" s="19"/>
      <c r="L675" s="12"/>
      <c r="M675" s="12"/>
      <c r="N675" s="12"/>
      <c r="O675" s="1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11"/>
      <c r="B676" s="19"/>
      <c r="C676" s="19"/>
      <c r="D676" s="12" t="str">
        <f t="shared" si="2"/>
        <v> </v>
      </c>
      <c r="E676" s="12" t="str">
        <f t="shared" si="3"/>
        <v> </v>
      </c>
      <c r="F676" s="12"/>
      <c r="G676" s="20"/>
      <c r="H676" s="20"/>
      <c r="I676" s="20"/>
      <c r="J676" s="19"/>
      <c r="K676" s="19"/>
      <c r="L676" s="12"/>
      <c r="M676" s="12"/>
      <c r="N676" s="12"/>
      <c r="O676" s="1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11"/>
      <c r="B677" s="19"/>
      <c r="C677" s="19"/>
      <c r="D677" s="12" t="str">
        <f t="shared" si="2"/>
        <v> </v>
      </c>
      <c r="E677" s="12" t="str">
        <f t="shared" si="3"/>
        <v> </v>
      </c>
      <c r="F677" s="12"/>
      <c r="G677" s="20"/>
      <c r="H677" s="20"/>
      <c r="I677" s="20"/>
      <c r="J677" s="19"/>
      <c r="K677" s="19"/>
      <c r="L677" s="12"/>
      <c r="M677" s="12"/>
      <c r="N677" s="12"/>
      <c r="O677" s="1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11"/>
      <c r="B678" s="19"/>
      <c r="C678" s="19"/>
      <c r="D678" s="12" t="str">
        <f t="shared" si="2"/>
        <v> </v>
      </c>
      <c r="E678" s="12" t="str">
        <f t="shared" si="3"/>
        <v> </v>
      </c>
      <c r="F678" s="12"/>
      <c r="G678" s="20"/>
      <c r="H678" s="20"/>
      <c r="I678" s="20"/>
      <c r="J678" s="19"/>
      <c r="K678" s="19"/>
      <c r="L678" s="12"/>
      <c r="M678" s="12"/>
      <c r="N678" s="12"/>
      <c r="O678" s="1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11"/>
      <c r="B679" s="19"/>
      <c r="C679" s="19"/>
      <c r="D679" s="12" t="str">
        <f t="shared" si="2"/>
        <v> </v>
      </c>
      <c r="E679" s="12" t="str">
        <f t="shared" si="3"/>
        <v> </v>
      </c>
      <c r="F679" s="12"/>
      <c r="G679" s="20"/>
      <c r="H679" s="20"/>
      <c r="I679" s="20"/>
      <c r="J679" s="19"/>
      <c r="K679" s="19"/>
      <c r="L679" s="12"/>
      <c r="M679" s="12"/>
      <c r="N679" s="12"/>
      <c r="O679" s="1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11"/>
      <c r="B680" s="19"/>
      <c r="C680" s="19"/>
      <c r="D680" s="12" t="str">
        <f t="shared" si="2"/>
        <v> </v>
      </c>
      <c r="E680" s="12" t="str">
        <f t="shared" si="3"/>
        <v> </v>
      </c>
      <c r="F680" s="12"/>
      <c r="G680" s="20"/>
      <c r="H680" s="20"/>
      <c r="I680" s="20"/>
      <c r="J680" s="19"/>
      <c r="K680" s="19"/>
      <c r="L680" s="12"/>
      <c r="M680" s="12"/>
      <c r="N680" s="12"/>
      <c r="O680" s="1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11"/>
      <c r="B681" s="19"/>
      <c r="C681" s="19"/>
      <c r="D681" s="12" t="str">
        <f t="shared" si="2"/>
        <v> </v>
      </c>
      <c r="E681" s="12" t="str">
        <f t="shared" si="3"/>
        <v> </v>
      </c>
      <c r="F681" s="12"/>
      <c r="G681" s="20"/>
      <c r="H681" s="20"/>
      <c r="I681" s="20"/>
      <c r="J681" s="19"/>
      <c r="K681" s="19"/>
      <c r="L681" s="12"/>
      <c r="M681" s="12"/>
      <c r="N681" s="12"/>
      <c r="O681" s="1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11"/>
      <c r="B682" s="19"/>
      <c r="C682" s="19"/>
      <c r="D682" s="12" t="str">
        <f t="shared" si="2"/>
        <v> </v>
      </c>
      <c r="E682" s="12" t="str">
        <f t="shared" si="3"/>
        <v> </v>
      </c>
      <c r="F682" s="12"/>
      <c r="G682" s="20"/>
      <c r="H682" s="20"/>
      <c r="I682" s="20"/>
      <c r="J682" s="19"/>
      <c r="K682" s="19"/>
      <c r="L682" s="12"/>
      <c r="M682" s="12"/>
      <c r="N682" s="12"/>
      <c r="O682" s="1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11"/>
      <c r="B683" s="19"/>
      <c r="C683" s="19"/>
      <c r="D683" s="12" t="str">
        <f t="shared" si="2"/>
        <v> </v>
      </c>
      <c r="E683" s="12" t="str">
        <f t="shared" si="3"/>
        <v> </v>
      </c>
      <c r="F683" s="12"/>
      <c r="G683" s="20"/>
      <c r="H683" s="20"/>
      <c r="I683" s="20"/>
      <c r="J683" s="19"/>
      <c r="K683" s="19"/>
      <c r="L683" s="12"/>
      <c r="M683" s="12"/>
      <c r="N683" s="12"/>
      <c r="O683" s="1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11"/>
      <c r="B684" s="19"/>
      <c r="C684" s="19"/>
      <c r="D684" s="12" t="str">
        <f t="shared" si="2"/>
        <v> </v>
      </c>
      <c r="E684" s="12" t="str">
        <f t="shared" si="3"/>
        <v> </v>
      </c>
      <c r="F684" s="12"/>
      <c r="G684" s="20"/>
      <c r="H684" s="20"/>
      <c r="I684" s="20"/>
      <c r="J684" s="19"/>
      <c r="K684" s="19"/>
      <c r="L684" s="12"/>
      <c r="M684" s="12"/>
      <c r="N684" s="12"/>
      <c r="O684" s="1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11"/>
      <c r="B685" s="19"/>
      <c r="C685" s="19"/>
      <c r="D685" s="12" t="str">
        <f t="shared" si="2"/>
        <v> </v>
      </c>
      <c r="E685" s="12" t="str">
        <f t="shared" si="3"/>
        <v> </v>
      </c>
      <c r="F685" s="12"/>
      <c r="G685" s="20"/>
      <c r="H685" s="20"/>
      <c r="I685" s="20"/>
      <c r="J685" s="19"/>
      <c r="K685" s="19"/>
      <c r="L685" s="12"/>
      <c r="M685" s="12"/>
      <c r="N685" s="12"/>
      <c r="O685" s="1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11"/>
      <c r="B686" s="19"/>
      <c r="C686" s="19"/>
      <c r="D686" s="12" t="str">
        <f t="shared" si="2"/>
        <v> </v>
      </c>
      <c r="E686" s="12" t="str">
        <f t="shared" si="3"/>
        <v> </v>
      </c>
      <c r="F686" s="12"/>
      <c r="G686" s="20"/>
      <c r="H686" s="20"/>
      <c r="I686" s="20"/>
      <c r="J686" s="19"/>
      <c r="K686" s="19"/>
      <c r="L686" s="12"/>
      <c r="M686" s="12"/>
      <c r="N686" s="12"/>
      <c r="O686" s="1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11"/>
      <c r="B687" s="19"/>
      <c r="C687" s="19"/>
      <c r="D687" s="12" t="str">
        <f t="shared" si="2"/>
        <v> </v>
      </c>
      <c r="E687" s="12" t="str">
        <f t="shared" si="3"/>
        <v> </v>
      </c>
      <c r="F687" s="12"/>
      <c r="G687" s="20"/>
      <c r="H687" s="20"/>
      <c r="I687" s="20"/>
      <c r="J687" s="19"/>
      <c r="K687" s="19"/>
      <c r="L687" s="12"/>
      <c r="M687" s="12"/>
      <c r="N687" s="12"/>
      <c r="O687" s="1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11"/>
      <c r="B688" s="19"/>
      <c r="C688" s="19"/>
      <c r="D688" s="12" t="str">
        <f t="shared" si="2"/>
        <v> </v>
      </c>
      <c r="E688" s="12" t="str">
        <f t="shared" si="3"/>
        <v> </v>
      </c>
      <c r="F688" s="12"/>
      <c r="G688" s="20"/>
      <c r="H688" s="20"/>
      <c r="I688" s="20"/>
      <c r="J688" s="19"/>
      <c r="K688" s="19"/>
      <c r="L688" s="12"/>
      <c r="M688" s="12"/>
      <c r="N688" s="12"/>
      <c r="O688" s="1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11"/>
      <c r="B689" s="19"/>
      <c r="C689" s="19"/>
      <c r="D689" s="12" t="str">
        <f t="shared" si="2"/>
        <v> </v>
      </c>
      <c r="E689" s="12" t="str">
        <f t="shared" si="3"/>
        <v> </v>
      </c>
      <c r="F689" s="12"/>
      <c r="G689" s="20"/>
      <c r="H689" s="20"/>
      <c r="I689" s="20"/>
      <c r="J689" s="19"/>
      <c r="K689" s="19"/>
      <c r="L689" s="12"/>
      <c r="M689" s="12"/>
      <c r="N689" s="12"/>
      <c r="O689" s="1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11"/>
      <c r="B690" s="19"/>
      <c r="C690" s="19"/>
      <c r="D690" s="12" t="str">
        <f t="shared" si="2"/>
        <v> </v>
      </c>
      <c r="E690" s="12" t="str">
        <f t="shared" si="3"/>
        <v> </v>
      </c>
      <c r="F690" s="12"/>
      <c r="G690" s="20"/>
      <c r="H690" s="20"/>
      <c r="I690" s="20"/>
      <c r="J690" s="19"/>
      <c r="K690" s="19"/>
      <c r="L690" s="12"/>
      <c r="M690" s="12"/>
      <c r="N690" s="12"/>
      <c r="O690" s="1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11"/>
      <c r="B691" s="19"/>
      <c r="C691" s="19"/>
      <c r="D691" s="12" t="str">
        <f t="shared" si="2"/>
        <v> </v>
      </c>
      <c r="E691" s="12" t="str">
        <f t="shared" si="3"/>
        <v> </v>
      </c>
      <c r="F691" s="12"/>
      <c r="G691" s="20"/>
      <c r="H691" s="20"/>
      <c r="I691" s="20"/>
      <c r="J691" s="19"/>
      <c r="K691" s="19"/>
      <c r="L691" s="12"/>
      <c r="M691" s="12"/>
      <c r="N691" s="12"/>
      <c r="O691" s="1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11"/>
      <c r="B692" s="19"/>
      <c r="C692" s="19"/>
      <c r="D692" s="12" t="str">
        <f t="shared" si="2"/>
        <v> </v>
      </c>
      <c r="E692" s="12" t="str">
        <f t="shared" si="3"/>
        <v> </v>
      </c>
      <c r="F692" s="12"/>
      <c r="G692" s="20"/>
      <c r="H692" s="20"/>
      <c r="I692" s="20"/>
      <c r="J692" s="19"/>
      <c r="K692" s="19"/>
      <c r="L692" s="12"/>
      <c r="M692" s="12"/>
      <c r="N692" s="12"/>
      <c r="O692" s="1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11"/>
      <c r="B693" s="19"/>
      <c r="C693" s="19"/>
      <c r="D693" s="12" t="str">
        <f t="shared" si="2"/>
        <v> </v>
      </c>
      <c r="E693" s="12" t="str">
        <f t="shared" si="3"/>
        <v> </v>
      </c>
      <c r="F693" s="12"/>
      <c r="G693" s="20"/>
      <c r="H693" s="20"/>
      <c r="I693" s="20"/>
      <c r="J693" s="19"/>
      <c r="K693" s="19"/>
      <c r="L693" s="12"/>
      <c r="M693" s="12"/>
      <c r="N693" s="12"/>
      <c r="O693" s="1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11"/>
      <c r="B694" s="19"/>
      <c r="C694" s="19"/>
      <c r="D694" s="12" t="str">
        <f t="shared" si="2"/>
        <v> </v>
      </c>
      <c r="E694" s="12" t="str">
        <f t="shared" si="3"/>
        <v> </v>
      </c>
      <c r="F694" s="12"/>
      <c r="G694" s="20"/>
      <c r="H694" s="20"/>
      <c r="I694" s="20"/>
      <c r="J694" s="19"/>
      <c r="K694" s="19"/>
      <c r="L694" s="12"/>
      <c r="M694" s="12"/>
      <c r="N694" s="12"/>
      <c r="O694" s="1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11"/>
      <c r="B695" s="19"/>
      <c r="C695" s="19"/>
      <c r="D695" s="12" t="str">
        <f t="shared" si="2"/>
        <v> </v>
      </c>
      <c r="E695" s="12" t="str">
        <f t="shared" si="3"/>
        <v> </v>
      </c>
      <c r="F695" s="12"/>
      <c r="G695" s="20"/>
      <c r="H695" s="20"/>
      <c r="I695" s="20"/>
      <c r="J695" s="19"/>
      <c r="K695" s="19"/>
      <c r="L695" s="12"/>
      <c r="M695" s="12"/>
      <c r="N695" s="12"/>
      <c r="O695" s="1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11"/>
      <c r="B696" s="19"/>
      <c r="C696" s="19"/>
      <c r="D696" s="12" t="str">
        <f t="shared" si="2"/>
        <v> </v>
      </c>
      <c r="E696" s="12" t="str">
        <f t="shared" si="3"/>
        <v> </v>
      </c>
      <c r="F696" s="12"/>
      <c r="G696" s="20"/>
      <c r="H696" s="20"/>
      <c r="I696" s="20"/>
      <c r="J696" s="19"/>
      <c r="K696" s="19"/>
      <c r="L696" s="12"/>
      <c r="M696" s="12"/>
      <c r="N696" s="12"/>
      <c r="O696" s="1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11"/>
      <c r="B697" s="19"/>
      <c r="C697" s="19"/>
      <c r="D697" s="12" t="str">
        <f t="shared" si="2"/>
        <v> </v>
      </c>
      <c r="E697" s="12" t="str">
        <f t="shared" si="3"/>
        <v> </v>
      </c>
      <c r="F697" s="12"/>
      <c r="G697" s="20"/>
      <c r="H697" s="20"/>
      <c r="I697" s="20"/>
      <c r="J697" s="19"/>
      <c r="K697" s="19"/>
      <c r="L697" s="12"/>
      <c r="M697" s="12"/>
      <c r="N697" s="12"/>
      <c r="O697" s="1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11"/>
      <c r="B698" s="19"/>
      <c r="C698" s="19"/>
      <c r="D698" s="12" t="str">
        <f t="shared" si="2"/>
        <v> </v>
      </c>
      <c r="E698" s="12" t="str">
        <f t="shared" si="3"/>
        <v> </v>
      </c>
      <c r="F698" s="12"/>
      <c r="G698" s="20"/>
      <c r="H698" s="20"/>
      <c r="I698" s="20"/>
      <c r="J698" s="19"/>
      <c r="K698" s="19"/>
      <c r="L698" s="12"/>
      <c r="M698" s="12"/>
      <c r="N698" s="12"/>
      <c r="O698" s="1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11"/>
      <c r="B699" s="19"/>
      <c r="C699" s="19"/>
      <c r="D699" s="12" t="str">
        <f t="shared" si="2"/>
        <v> </v>
      </c>
      <c r="E699" s="12" t="str">
        <f t="shared" si="3"/>
        <v> </v>
      </c>
      <c r="F699" s="12"/>
      <c r="G699" s="20"/>
      <c r="H699" s="20"/>
      <c r="I699" s="20"/>
      <c r="J699" s="19"/>
      <c r="K699" s="19"/>
      <c r="L699" s="12"/>
      <c r="M699" s="12"/>
      <c r="N699" s="12"/>
      <c r="O699" s="1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11"/>
      <c r="B700" s="19"/>
      <c r="C700" s="19"/>
      <c r="D700" s="12" t="str">
        <f t="shared" si="2"/>
        <v> </v>
      </c>
      <c r="E700" s="12" t="str">
        <f t="shared" si="3"/>
        <v> </v>
      </c>
      <c r="F700" s="12"/>
      <c r="G700" s="20"/>
      <c r="H700" s="20"/>
      <c r="I700" s="20"/>
      <c r="J700" s="19"/>
      <c r="K700" s="19"/>
      <c r="L700" s="12"/>
      <c r="M700" s="12"/>
      <c r="N700" s="12"/>
      <c r="O700" s="1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11"/>
      <c r="B701" s="19"/>
      <c r="C701" s="19"/>
      <c r="D701" s="12" t="str">
        <f t="shared" si="2"/>
        <v> </v>
      </c>
      <c r="E701" s="12" t="str">
        <f t="shared" si="3"/>
        <v> </v>
      </c>
      <c r="F701" s="12"/>
      <c r="G701" s="20"/>
      <c r="H701" s="20"/>
      <c r="I701" s="20"/>
      <c r="J701" s="19"/>
      <c r="K701" s="19"/>
      <c r="L701" s="12"/>
      <c r="M701" s="12"/>
      <c r="N701" s="12"/>
      <c r="O701" s="1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11"/>
      <c r="B702" s="19"/>
      <c r="C702" s="19"/>
      <c r="D702" s="12" t="str">
        <f t="shared" si="2"/>
        <v> </v>
      </c>
      <c r="E702" s="12" t="str">
        <f t="shared" si="3"/>
        <v> </v>
      </c>
      <c r="F702" s="12"/>
      <c r="G702" s="20"/>
      <c r="H702" s="20"/>
      <c r="I702" s="20"/>
      <c r="J702" s="19"/>
      <c r="K702" s="19"/>
      <c r="L702" s="12"/>
      <c r="M702" s="12"/>
      <c r="N702" s="12"/>
      <c r="O702" s="1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11"/>
      <c r="B703" s="19"/>
      <c r="C703" s="19"/>
      <c r="D703" s="12" t="str">
        <f t="shared" si="2"/>
        <v> </v>
      </c>
      <c r="E703" s="12" t="str">
        <f t="shared" si="3"/>
        <v> </v>
      </c>
      <c r="F703" s="12"/>
      <c r="G703" s="20"/>
      <c r="H703" s="20"/>
      <c r="I703" s="20"/>
      <c r="J703" s="19"/>
      <c r="K703" s="19"/>
      <c r="L703" s="12"/>
      <c r="M703" s="12"/>
      <c r="N703" s="12"/>
      <c r="O703" s="1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11"/>
      <c r="B704" s="19"/>
      <c r="C704" s="19"/>
      <c r="D704" s="12" t="str">
        <f t="shared" si="2"/>
        <v> </v>
      </c>
      <c r="E704" s="12" t="str">
        <f t="shared" si="3"/>
        <v> </v>
      </c>
      <c r="F704" s="12"/>
      <c r="G704" s="20"/>
      <c r="H704" s="20"/>
      <c r="I704" s="20"/>
      <c r="J704" s="19"/>
      <c r="K704" s="19"/>
      <c r="L704" s="12"/>
      <c r="M704" s="12"/>
      <c r="N704" s="12"/>
      <c r="O704" s="1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11"/>
      <c r="B705" s="19"/>
      <c r="C705" s="19"/>
      <c r="D705" s="12" t="str">
        <f t="shared" si="2"/>
        <v> </v>
      </c>
      <c r="E705" s="12" t="str">
        <f t="shared" si="3"/>
        <v> </v>
      </c>
      <c r="F705" s="12"/>
      <c r="G705" s="20"/>
      <c r="H705" s="20"/>
      <c r="I705" s="20"/>
      <c r="J705" s="19"/>
      <c r="K705" s="19"/>
      <c r="L705" s="12"/>
      <c r="M705" s="12"/>
      <c r="N705" s="12"/>
      <c r="O705" s="1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11"/>
      <c r="B706" s="19"/>
      <c r="C706" s="19"/>
      <c r="D706" s="12" t="str">
        <f t="shared" si="2"/>
        <v> </v>
      </c>
      <c r="E706" s="12" t="str">
        <f t="shared" si="3"/>
        <v> </v>
      </c>
      <c r="F706" s="12"/>
      <c r="G706" s="20"/>
      <c r="H706" s="20"/>
      <c r="I706" s="20"/>
      <c r="J706" s="19"/>
      <c r="K706" s="19"/>
      <c r="L706" s="12"/>
      <c r="M706" s="12"/>
      <c r="N706" s="12"/>
      <c r="O706" s="1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11"/>
      <c r="B707" s="19"/>
      <c r="C707" s="19"/>
      <c r="D707" s="12" t="str">
        <f t="shared" si="2"/>
        <v> </v>
      </c>
      <c r="E707" s="12" t="str">
        <f t="shared" si="3"/>
        <v> </v>
      </c>
      <c r="F707" s="12"/>
      <c r="G707" s="20"/>
      <c r="H707" s="20"/>
      <c r="I707" s="20"/>
      <c r="J707" s="19"/>
      <c r="K707" s="19"/>
      <c r="L707" s="12"/>
      <c r="M707" s="12"/>
      <c r="N707" s="12"/>
      <c r="O707" s="1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11"/>
      <c r="B708" s="19"/>
      <c r="C708" s="19"/>
      <c r="D708" s="12" t="str">
        <f t="shared" si="2"/>
        <v> </v>
      </c>
      <c r="E708" s="12" t="str">
        <f t="shared" si="3"/>
        <v> </v>
      </c>
      <c r="F708" s="12"/>
      <c r="G708" s="20"/>
      <c r="H708" s="20"/>
      <c r="I708" s="20"/>
      <c r="J708" s="19"/>
      <c r="K708" s="19"/>
      <c r="L708" s="12"/>
      <c r="M708" s="12"/>
      <c r="N708" s="12"/>
      <c r="O708" s="1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11"/>
      <c r="B709" s="19"/>
      <c r="C709" s="19"/>
      <c r="D709" s="12" t="str">
        <f t="shared" si="2"/>
        <v> </v>
      </c>
      <c r="E709" s="12" t="str">
        <f t="shared" si="3"/>
        <v> </v>
      </c>
      <c r="F709" s="12"/>
      <c r="G709" s="20"/>
      <c r="H709" s="20"/>
      <c r="I709" s="20"/>
      <c r="J709" s="19"/>
      <c r="K709" s="19"/>
      <c r="L709" s="12"/>
      <c r="M709" s="12"/>
      <c r="N709" s="12"/>
      <c r="O709" s="1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11"/>
      <c r="B710" s="19"/>
      <c r="C710" s="19"/>
      <c r="D710" s="12" t="str">
        <f t="shared" si="2"/>
        <v> </v>
      </c>
      <c r="E710" s="12" t="str">
        <f t="shared" si="3"/>
        <v> </v>
      </c>
      <c r="F710" s="12"/>
      <c r="G710" s="20"/>
      <c r="H710" s="20"/>
      <c r="I710" s="20"/>
      <c r="J710" s="19"/>
      <c r="K710" s="19"/>
      <c r="L710" s="12"/>
      <c r="M710" s="12"/>
      <c r="N710" s="12"/>
      <c r="O710" s="1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11"/>
      <c r="B711" s="19"/>
      <c r="C711" s="19"/>
      <c r="D711" s="12" t="str">
        <f t="shared" si="2"/>
        <v> </v>
      </c>
      <c r="E711" s="12" t="str">
        <f t="shared" si="3"/>
        <v> </v>
      </c>
      <c r="F711" s="12"/>
      <c r="G711" s="20"/>
      <c r="H711" s="20"/>
      <c r="I711" s="20"/>
      <c r="J711" s="19"/>
      <c r="K711" s="19"/>
      <c r="L711" s="12"/>
      <c r="M711" s="12"/>
      <c r="N711" s="12"/>
      <c r="O711" s="1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11"/>
      <c r="B712" s="19"/>
      <c r="C712" s="19"/>
      <c r="D712" s="12" t="str">
        <f t="shared" si="2"/>
        <v> </v>
      </c>
      <c r="E712" s="12" t="str">
        <f t="shared" si="3"/>
        <v> </v>
      </c>
      <c r="F712" s="12"/>
      <c r="G712" s="20"/>
      <c r="H712" s="20"/>
      <c r="I712" s="20"/>
      <c r="J712" s="19"/>
      <c r="K712" s="19"/>
      <c r="L712" s="12"/>
      <c r="M712" s="12"/>
      <c r="N712" s="12"/>
      <c r="O712" s="1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11"/>
      <c r="B713" s="19"/>
      <c r="C713" s="19"/>
      <c r="D713" s="12" t="str">
        <f t="shared" si="2"/>
        <v> </v>
      </c>
      <c r="E713" s="12" t="str">
        <f t="shared" si="3"/>
        <v> </v>
      </c>
      <c r="F713" s="12"/>
      <c r="G713" s="20"/>
      <c r="H713" s="20"/>
      <c r="I713" s="20"/>
      <c r="J713" s="19"/>
      <c r="K713" s="19"/>
      <c r="L713" s="12"/>
      <c r="M713" s="12"/>
      <c r="N713" s="12"/>
      <c r="O713" s="1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11"/>
      <c r="B714" s="19"/>
      <c r="C714" s="19"/>
      <c r="D714" s="12" t="str">
        <f t="shared" si="2"/>
        <v> </v>
      </c>
      <c r="E714" s="12" t="str">
        <f t="shared" si="3"/>
        <v> </v>
      </c>
      <c r="F714" s="12"/>
      <c r="G714" s="20"/>
      <c r="H714" s="20"/>
      <c r="I714" s="20"/>
      <c r="J714" s="19"/>
      <c r="K714" s="19"/>
      <c r="L714" s="12"/>
      <c r="M714" s="12"/>
      <c r="N714" s="12"/>
      <c r="O714" s="1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11"/>
      <c r="B715" s="19"/>
      <c r="C715" s="19"/>
      <c r="D715" s="12" t="str">
        <f t="shared" si="2"/>
        <v> </v>
      </c>
      <c r="E715" s="12" t="str">
        <f t="shared" si="3"/>
        <v> </v>
      </c>
      <c r="F715" s="12"/>
      <c r="G715" s="20"/>
      <c r="H715" s="20"/>
      <c r="I715" s="20"/>
      <c r="J715" s="19"/>
      <c r="K715" s="19"/>
      <c r="L715" s="12"/>
      <c r="M715" s="12"/>
      <c r="N715" s="12"/>
      <c r="O715" s="1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11"/>
      <c r="B716" s="19"/>
      <c r="C716" s="19"/>
      <c r="D716" s="12" t="str">
        <f t="shared" si="2"/>
        <v> </v>
      </c>
      <c r="E716" s="12" t="str">
        <f t="shared" si="3"/>
        <v> </v>
      </c>
      <c r="F716" s="12"/>
      <c r="G716" s="20"/>
      <c r="H716" s="20"/>
      <c r="I716" s="20"/>
      <c r="J716" s="19"/>
      <c r="K716" s="19"/>
      <c r="L716" s="12"/>
      <c r="M716" s="12"/>
      <c r="N716" s="12"/>
      <c r="O716" s="1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11"/>
      <c r="B717" s="19"/>
      <c r="C717" s="19"/>
      <c r="D717" s="12" t="str">
        <f t="shared" si="2"/>
        <v> </v>
      </c>
      <c r="E717" s="12" t="str">
        <f t="shared" si="3"/>
        <v> </v>
      </c>
      <c r="F717" s="12"/>
      <c r="G717" s="20"/>
      <c r="H717" s="20"/>
      <c r="I717" s="20"/>
      <c r="J717" s="19"/>
      <c r="K717" s="19"/>
      <c r="L717" s="12"/>
      <c r="M717" s="12"/>
      <c r="N717" s="12"/>
      <c r="O717" s="1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11"/>
      <c r="B718" s="19"/>
      <c r="C718" s="19"/>
      <c r="D718" s="12" t="str">
        <f t="shared" si="2"/>
        <v> </v>
      </c>
      <c r="E718" s="12" t="str">
        <f t="shared" si="3"/>
        <v> </v>
      </c>
      <c r="F718" s="12"/>
      <c r="G718" s="20"/>
      <c r="H718" s="20"/>
      <c r="I718" s="20"/>
      <c r="J718" s="19"/>
      <c r="K718" s="19"/>
      <c r="L718" s="12"/>
      <c r="M718" s="12"/>
      <c r="N718" s="12"/>
      <c r="O718" s="1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11"/>
      <c r="B719" s="19"/>
      <c r="C719" s="19"/>
      <c r="D719" s="12" t="str">
        <f t="shared" si="2"/>
        <v> </v>
      </c>
      <c r="E719" s="12" t="str">
        <f t="shared" si="3"/>
        <v> </v>
      </c>
      <c r="F719" s="12"/>
      <c r="G719" s="20"/>
      <c r="H719" s="20"/>
      <c r="I719" s="20"/>
      <c r="J719" s="19"/>
      <c r="K719" s="19"/>
      <c r="L719" s="12"/>
      <c r="M719" s="12"/>
      <c r="N719" s="12"/>
      <c r="O719" s="1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11"/>
      <c r="B720" s="19"/>
      <c r="C720" s="19"/>
      <c r="D720" s="12" t="str">
        <f t="shared" si="2"/>
        <v> </v>
      </c>
      <c r="E720" s="12" t="str">
        <f t="shared" si="3"/>
        <v> </v>
      </c>
      <c r="F720" s="12"/>
      <c r="G720" s="20"/>
      <c r="H720" s="20"/>
      <c r="I720" s="20"/>
      <c r="J720" s="19"/>
      <c r="K720" s="19"/>
      <c r="L720" s="12"/>
      <c r="M720" s="12"/>
      <c r="N720" s="12"/>
      <c r="O720" s="1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11"/>
      <c r="B721" s="19"/>
      <c r="C721" s="19"/>
      <c r="D721" s="12" t="str">
        <f t="shared" si="2"/>
        <v> </v>
      </c>
      <c r="E721" s="12" t="str">
        <f t="shared" si="3"/>
        <v> </v>
      </c>
      <c r="F721" s="12"/>
      <c r="G721" s="20"/>
      <c r="H721" s="20"/>
      <c r="I721" s="20"/>
      <c r="J721" s="19"/>
      <c r="K721" s="19"/>
      <c r="L721" s="12"/>
      <c r="M721" s="12"/>
      <c r="N721" s="12"/>
      <c r="O721" s="1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11"/>
      <c r="B722" s="19"/>
      <c r="C722" s="19"/>
      <c r="D722" s="12" t="str">
        <f t="shared" si="2"/>
        <v> </v>
      </c>
      <c r="E722" s="12" t="str">
        <f t="shared" si="3"/>
        <v> </v>
      </c>
      <c r="F722" s="12"/>
      <c r="G722" s="20"/>
      <c r="H722" s="20"/>
      <c r="I722" s="20"/>
      <c r="J722" s="19"/>
      <c r="K722" s="19"/>
      <c r="L722" s="12"/>
      <c r="M722" s="12"/>
      <c r="N722" s="12"/>
      <c r="O722" s="1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11"/>
      <c r="B723" s="19"/>
      <c r="C723" s="19"/>
      <c r="D723" s="12" t="str">
        <f t="shared" si="2"/>
        <v> </v>
      </c>
      <c r="E723" s="12" t="str">
        <f t="shared" si="3"/>
        <v> </v>
      </c>
      <c r="F723" s="12"/>
      <c r="G723" s="20"/>
      <c r="H723" s="20"/>
      <c r="I723" s="20"/>
      <c r="J723" s="19"/>
      <c r="K723" s="19"/>
      <c r="L723" s="12"/>
      <c r="M723" s="12"/>
      <c r="N723" s="12"/>
      <c r="O723" s="1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11"/>
      <c r="B724" s="19"/>
      <c r="C724" s="19"/>
      <c r="D724" s="12" t="str">
        <f t="shared" si="2"/>
        <v> </v>
      </c>
      <c r="E724" s="12" t="str">
        <f t="shared" si="3"/>
        <v> </v>
      </c>
      <c r="F724" s="12"/>
      <c r="G724" s="20"/>
      <c r="H724" s="20"/>
      <c r="I724" s="20"/>
      <c r="J724" s="19"/>
      <c r="K724" s="19"/>
      <c r="L724" s="12"/>
      <c r="M724" s="12"/>
      <c r="N724" s="12"/>
      <c r="O724" s="1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11"/>
      <c r="B725" s="19"/>
      <c r="C725" s="19"/>
      <c r="D725" s="12" t="str">
        <f t="shared" si="2"/>
        <v> </v>
      </c>
      <c r="E725" s="12" t="str">
        <f t="shared" si="3"/>
        <v> </v>
      </c>
      <c r="F725" s="12"/>
      <c r="G725" s="20"/>
      <c r="H725" s="20"/>
      <c r="I725" s="20"/>
      <c r="J725" s="19"/>
      <c r="K725" s="19"/>
      <c r="L725" s="12"/>
      <c r="M725" s="12"/>
      <c r="N725" s="12"/>
      <c r="O725" s="1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11"/>
      <c r="B726" s="19"/>
      <c r="C726" s="19"/>
      <c r="D726" s="12" t="str">
        <f t="shared" si="2"/>
        <v> </v>
      </c>
      <c r="E726" s="12" t="str">
        <f t="shared" si="3"/>
        <v> </v>
      </c>
      <c r="F726" s="12"/>
      <c r="G726" s="20"/>
      <c r="H726" s="20"/>
      <c r="I726" s="20"/>
      <c r="J726" s="19"/>
      <c r="K726" s="19"/>
      <c r="L726" s="12"/>
      <c r="M726" s="12"/>
      <c r="N726" s="12"/>
      <c r="O726" s="1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11"/>
      <c r="B727" s="19"/>
      <c r="C727" s="19"/>
      <c r="D727" s="12" t="str">
        <f t="shared" si="2"/>
        <v> </v>
      </c>
      <c r="E727" s="12" t="str">
        <f t="shared" si="3"/>
        <v> </v>
      </c>
      <c r="F727" s="12"/>
      <c r="G727" s="20"/>
      <c r="H727" s="20"/>
      <c r="I727" s="20"/>
      <c r="J727" s="19"/>
      <c r="K727" s="19"/>
      <c r="L727" s="12"/>
      <c r="M727" s="12"/>
      <c r="N727" s="12"/>
      <c r="O727" s="1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11"/>
      <c r="B728" s="19"/>
      <c r="C728" s="19"/>
      <c r="D728" s="12" t="str">
        <f t="shared" si="2"/>
        <v> </v>
      </c>
      <c r="E728" s="12" t="str">
        <f t="shared" si="3"/>
        <v> </v>
      </c>
      <c r="F728" s="12"/>
      <c r="G728" s="20"/>
      <c r="H728" s="20"/>
      <c r="I728" s="20"/>
      <c r="J728" s="19"/>
      <c r="K728" s="19"/>
      <c r="L728" s="12"/>
      <c r="M728" s="12"/>
      <c r="N728" s="12"/>
      <c r="O728" s="1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11"/>
      <c r="B729" s="19"/>
      <c r="C729" s="19"/>
      <c r="D729" s="12" t="str">
        <f t="shared" si="2"/>
        <v> </v>
      </c>
      <c r="E729" s="12" t="str">
        <f t="shared" si="3"/>
        <v> </v>
      </c>
      <c r="F729" s="12"/>
      <c r="G729" s="20"/>
      <c r="H729" s="20"/>
      <c r="I729" s="20"/>
      <c r="J729" s="19"/>
      <c r="K729" s="19"/>
      <c r="L729" s="12"/>
      <c r="M729" s="12"/>
      <c r="N729" s="12"/>
      <c r="O729" s="1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11"/>
      <c r="B730" s="19"/>
      <c r="C730" s="19"/>
      <c r="D730" s="12" t="str">
        <f t="shared" si="2"/>
        <v> </v>
      </c>
      <c r="E730" s="12" t="str">
        <f t="shared" si="3"/>
        <v> </v>
      </c>
      <c r="F730" s="12"/>
      <c r="G730" s="20"/>
      <c r="H730" s="20"/>
      <c r="I730" s="20"/>
      <c r="J730" s="19"/>
      <c r="K730" s="19"/>
      <c r="L730" s="12"/>
      <c r="M730" s="12"/>
      <c r="N730" s="12"/>
      <c r="O730" s="1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11"/>
      <c r="B731" s="19"/>
      <c r="C731" s="19"/>
      <c r="D731" s="12" t="str">
        <f t="shared" si="2"/>
        <v> </v>
      </c>
      <c r="E731" s="12" t="str">
        <f t="shared" si="3"/>
        <v> </v>
      </c>
      <c r="F731" s="12"/>
      <c r="G731" s="20"/>
      <c r="H731" s="20"/>
      <c r="I731" s="20"/>
      <c r="J731" s="19"/>
      <c r="K731" s="19"/>
      <c r="L731" s="12"/>
      <c r="M731" s="12"/>
      <c r="N731" s="12"/>
      <c r="O731" s="1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11"/>
      <c r="B732" s="19"/>
      <c r="C732" s="19"/>
      <c r="D732" s="12" t="str">
        <f t="shared" si="2"/>
        <v> </v>
      </c>
      <c r="E732" s="12" t="str">
        <f t="shared" si="3"/>
        <v> </v>
      </c>
      <c r="F732" s="12"/>
      <c r="G732" s="20"/>
      <c r="H732" s="20"/>
      <c r="I732" s="20"/>
      <c r="J732" s="19"/>
      <c r="K732" s="19"/>
      <c r="L732" s="12"/>
      <c r="M732" s="12"/>
      <c r="N732" s="12"/>
      <c r="O732" s="1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11"/>
      <c r="B733" s="19"/>
      <c r="C733" s="19"/>
      <c r="D733" s="12" t="str">
        <f t="shared" si="2"/>
        <v> </v>
      </c>
      <c r="E733" s="12" t="str">
        <f t="shared" si="3"/>
        <v> </v>
      </c>
      <c r="F733" s="12"/>
      <c r="G733" s="20"/>
      <c r="H733" s="20"/>
      <c r="I733" s="20"/>
      <c r="J733" s="19"/>
      <c r="K733" s="19"/>
      <c r="L733" s="12"/>
      <c r="M733" s="12"/>
      <c r="N733" s="12"/>
      <c r="O733" s="1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11"/>
      <c r="B734" s="19"/>
      <c r="C734" s="19"/>
      <c r="D734" s="12" t="str">
        <f t="shared" si="2"/>
        <v> </v>
      </c>
      <c r="E734" s="12" t="str">
        <f t="shared" si="3"/>
        <v> </v>
      </c>
      <c r="F734" s="12"/>
      <c r="G734" s="20"/>
      <c r="H734" s="20"/>
      <c r="I734" s="20"/>
      <c r="J734" s="19"/>
      <c r="K734" s="19"/>
      <c r="L734" s="12"/>
      <c r="M734" s="12"/>
      <c r="N734" s="12"/>
      <c r="O734" s="1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11"/>
      <c r="B735" s="19"/>
      <c r="C735" s="19"/>
      <c r="D735" s="12" t="str">
        <f t="shared" si="2"/>
        <v> </v>
      </c>
      <c r="E735" s="12" t="str">
        <f t="shared" si="3"/>
        <v> </v>
      </c>
      <c r="F735" s="12"/>
      <c r="G735" s="20"/>
      <c r="H735" s="20"/>
      <c r="I735" s="20"/>
      <c r="J735" s="19"/>
      <c r="K735" s="19"/>
      <c r="L735" s="12"/>
      <c r="M735" s="12"/>
      <c r="N735" s="12"/>
      <c r="O735" s="1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11"/>
      <c r="B736" s="19"/>
      <c r="C736" s="19"/>
      <c r="D736" s="12" t="str">
        <f t="shared" si="2"/>
        <v> </v>
      </c>
      <c r="E736" s="12" t="str">
        <f t="shared" si="3"/>
        <v> </v>
      </c>
      <c r="F736" s="12"/>
      <c r="G736" s="20"/>
      <c r="H736" s="20"/>
      <c r="I736" s="20"/>
      <c r="J736" s="19"/>
      <c r="K736" s="19"/>
      <c r="L736" s="12"/>
      <c r="M736" s="12"/>
      <c r="N736" s="12"/>
      <c r="O736" s="1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11"/>
      <c r="B737" s="19"/>
      <c r="C737" s="19"/>
      <c r="D737" s="12" t="str">
        <f t="shared" si="2"/>
        <v> </v>
      </c>
      <c r="E737" s="12" t="str">
        <f t="shared" si="3"/>
        <v> </v>
      </c>
      <c r="F737" s="12"/>
      <c r="G737" s="20"/>
      <c r="H737" s="20"/>
      <c r="I737" s="20"/>
      <c r="J737" s="19"/>
      <c r="K737" s="19"/>
      <c r="L737" s="12"/>
      <c r="M737" s="12"/>
      <c r="N737" s="12"/>
      <c r="O737" s="1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11"/>
      <c r="B738" s="19"/>
      <c r="C738" s="19"/>
      <c r="D738" s="12" t="str">
        <f t="shared" si="2"/>
        <v> </v>
      </c>
      <c r="E738" s="12" t="str">
        <f t="shared" si="3"/>
        <v> </v>
      </c>
      <c r="F738" s="12"/>
      <c r="G738" s="20"/>
      <c r="H738" s="20"/>
      <c r="I738" s="20"/>
      <c r="J738" s="19"/>
      <c r="K738" s="19"/>
      <c r="L738" s="12"/>
      <c r="M738" s="12"/>
      <c r="N738" s="12"/>
      <c r="O738" s="1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11"/>
      <c r="B739" s="19"/>
      <c r="C739" s="19"/>
      <c r="D739" s="12" t="str">
        <f t="shared" si="2"/>
        <v> </v>
      </c>
      <c r="E739" s="12" t="str">
        <f t="shared" si="3"/>
        <v> </v>
      </c>
      <c r="F739" s="12"/>
      <c r="G739" s="20"/>
      <c r="H739" s="20"/>
      <c r="I739" s="20"/>
      <c r="J739" s="19"/>
      <c r="K739" s="19"/>
      <c r="L739" s="12"/>
      <c r="M739" s="12"/>
      <c r="N739" s="12"/>
      <c r="O739" s="1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11"/>
      <c r="B740" s="19"/>
      <c r="C740" s="19"/>
      <c r="D740" s="12" t="str">
        <f t="shared" si="2"/>
        <v> </v>
      </c>
      <c r="E740" s="12" t="str">
        <f t="shared" si="3"/>
        <v> </v>
      </c>
      <c r="F740" s="12"/>
      <c r="G740" s="20"/>
      <c r="H740" s="20"/>
      <c r="I740" s="20"/>
      <c r="J740" s="19"/>
      <c r="K740" s="19"/>
      <c r="L740" s="12"/>
      <c r="M740" s="12"/>
      <c r="N740" s="12"/>
      <c r="O740" s="1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11"/>
      <c r="B741" s="19"/>
      <c r="C741" s="19"/>
      <c r="D741" s="12" t="str">
        <f t="shared" si="2"/>
        <v> </v>
      </c>
      <c r="E741" s="12" t="str">
        <f t="shared" si="3"/>
        <v> </v>
      </c>
      <c r="F741" s="12"/>
      <c r="G741" s="20"/>
      <c r="H741" s="20"/>
      <c r="I741" s="20"/>
      <c r="J741" s="19"/>
      <c r="K741" s="19"/>
      <c r="L741" s="12"/>
      <c r="M741" s="12"/>
      <c r="N741" s="12"/>
      <c r="O741" s="1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11"/>
      <c r="B742" s="19"/>
      <c r="C742" s="19"/>
      <c r="D742" s="12" t="str">
        <f t="shared" si="2"/>
        <v> </v>
      </c>
      <c r="E742" s="12" t="str">
        <f t="shared" si="3"/>
        <v> </v>
      </c>
      <c r="F742" s="12"/>
      <c r="G742" s="20"/>
      <c r="H742" s="20"/>
      <c r="I742" s="20"/>
      <c r="J742" s="19"/>
      <c r="K742" s="19"/>
      <c r="L742" s="12"/>
      <c r="M742" s="12"/>
      <c r="N742" s="12"/>
      <c r="O742" s="1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11"/>
      <c r="B743" s="19"/>
      <c r="C743" s="19"/>
      <c r="D743" s="12" t="str">
        <f t="shared" si="2"/>
        <v> </v>
      </c>
      <c r="E743" s="12" t="str">
        <f t="shared" si="3"/>
        <v> </v>
      </c>
      <c r="F743" s="12"/>
      <c r="G743" s="20"/>
      <c r="H743" s="20"/>
      <c r="I743" s="20"/>
      <c r="J743" s="19"/>
      <c r="K743" s="19"/>
      <c r="L743" s="12"/>
      <c r="M743" s="12"/>
      <c r="N743" s="12"/>
      <c r="O743" s="1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11"/>
      <c r="B744" s="19"/>
      <c r="C744" s="19"/>
      <c r="D744" s="12" t="str">
        <f t="shared" si="2"/>
        <v> </v>
      </c>
      <c r="E744" s="12" t="str">
        <f t="shared" si="3"/>
        <v> </v>
      </c>
      <c r="F744" s="12"/>
      <c r="G744" s="20"/>
      <c r="H744" s="20"/>
      <c r="I744" s="20"/>
      <c r="J744" s="19"/>
      <c r="K744" s="19"/>
      <c r="L744" s="12"/>
      <c r="M744" s="12"/>
      <c r="N744" s="12"/>
      <c r="O744" s="1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11"/>
      <c r="B745" s="19"/>
      <c r="C745" s="19"/>
      <c r="D745" s="12" t="str">
        <f t="shared" si="2"/>
        <v> </v>
      </c>
      <c r="E745" s="12" t="str">
        <f t="shared" si="3"/>
        <v> </v>
      </c>
      <c r="F745" s="12"/>
      <c r="G745" s="20"/>
      <c r="H745" s="20"/>
      <c r="I745" s="20"/>
      <c r="J745" s="19"/>
      <c r="K745" s="19"/>
      <c r="L745" s="12"/>
      <c r="M745" s="12"/>
      <c r="N745" s="12"/>
      <c r="O745" s="1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11"/>
      <c r="B746" s="19"/>
      <c r="C746" s="19"/>
      <c r="D746" s="12" t="str">
        <f t="shared" si="2"/>
        <v> </v>
      </c>
      <c r="E746" s="12" t="str">
        <f t="shared" si="3"/>
        <v> </v>
      </c>
      <c r="F746" s="12"/>
      <c r="G746" s="20"/>
      <c r="H746" s="20"/>
      <c r="I746" s="20"/>
      <c r="J746" s="19"/>
      <c r="K746" s="19"/>
      <c r="L746" s="12"/>
      <c r="M746" s="12"/>
      <c r="N746" s="12"/>
      <c r="O746" s="1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11"/>
      <c r="B747" s="19"/>
      <c r="C747" s="19"/>
      <c r="D747" s="12" t="str">
        <f t="shared" si="2"/>
        <v> </v>
      </c>
      <c r="E747" s="12" t="str">
        <f t="shared" si="3"/>
        <v> </v>
      </c>
      <c r="F747" s="12"/>
      <c r="G747" s="20"/>
      <c r="H747" s="20"/>
      <c r="I747" s="20"/>
      <c r="J747" s="19"/>
      <c r="K747" s="19"/>
      <c r="L747" s="12"/>
      <c r="M747" s="12"/>
      <c r="N747" s="12"/>
      <c r="O747" s="1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11"/>
      <c r="B748" s="19"/>
      <c r="C748" s="19"/>
      <c r="D748" s="12" t="str">
        <f t="shared" si="2"/>
        <v> </v>
      </c>
      <c r="E748" s="12" t="str">
        <f t="shared" si="3"/>
        <v> </v>
      </c>
      <c r="F748" s="12"/>
      <c r="G748" s="20"/>
      <c r="H748" s="20"/>
      <c r="I748" s="20"/>
      <c r="J748" s="19"/>
      <c r="K748" s="19"/>
      <c r="L748" s="12"/>
      <c r="M748" s="12"/>
      <c r="N748" s="12"/>
      <c r="O748" s="1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11"/>
      <c r="B749" s="19"/>
      <c r="C749" s="19"/>
      <c r="D749" s="12" t="str">
        <f t="shared" si="2"/>
        <v> </v>
      </c>
      <c r="E749" s="12" t="str">
        <f t="shared" si="3"/>
        <v> </v>
      </c>
      <c r="F749" s="12"/>
      <c r="G749" s="20"/>
      <c r="H749" s="20"/>
      <c r="I749" s="20"/>
      <c r="J749" s="19"/>
      <c r="K749" s="19"/>
      <c r="L749" s="12"/>
      <c r="M749" s="12"/>
      <c r="N749" s="12"/>
      <c r="O749" s="1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11"/>
      <c r="B750" s="19"/>
      <c r="C750" s="19"/>
      <c r="D750" s="12" t="str">
        <f t="shared" si="2"/>
        <v> </v>
      </c>
      <c r="E750" s="12" t="str">
        <f t="shared" si="3"/>
        <v> </v>
      </c>
      <c r="F750" s="12"/>
      <c r="G750" s="20"/>
      <c r="H750" s="20"/>
      <c r="I750" s="20"/>
      <c r="J750" s="19"/>
      <c r="K750" s="19"/>
      <c r="L750" s="12"/>
      <c r="M750" s="12"/>
      <c r="N750" s="12"/>
      <c r="O750" s="1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11"/>
      <c r="B751" s="19"/>
      <c r="C751" s="19"/>
      <c r="D751" s="12" t="str">
        <f t="shared" si="2"/>
        <v> </v>
      </c>
      <c r="E751" s="12" t="str">
        <f t="shared" si="3"/>
        <v> </v>
      </c>
      <c r="F751" s="12"/>
      <c r="G751" s="20"/>
      <c r="H751" s="20"/>
      <c r="I751" s="20"/>
      <c r="J751" s="19"/>
      <c r="K751" s="19"/>
      <c r="L751" s="12"/>
      <c r="M751" s="12"/>
      <c r="N751" s="12"/>
      <c r="O751" s="1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11"/>
      <c r="B752" s="19"/>
      <c r="C752" s="19"/>
      <c r="D752" s="12" t="str">
        <f t="shared" si="2"/>
        <v> </v>
      </c>
      <c r="E752" s="12" t="str">
        <f t="shared" si="3"/>
        <v> </v>
      </c>
      <c r="F752" s="12"/>
      <c r="G752" s="20"/>
      <c r="H752" s="20"/>
      <c r="I752" s="20"/>
      <c r="J752" s="19"/>
      <c r="K752" s="19"/>
      <c r="L752" s="12"/>
      <c r="M752" s="12"/>
      <c r="N752" s="12"/>
      <c r="O752" s="1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11"/>
      <c r="B753" s="19"/>
      <c r="C753" s="19"/>
      <c r="D753" s="12" t="str">
        <f t="shared" si="2"/>
        <v> </v>
      </c>
      <c r="E753" s="12" t="str">
        <f t="shared" si="3"/>
        <v> </v>
      </c>
      <c r="F753" s="12"/>
      <c r="G753" s="20"/>
      <c r="H753" s="20"/>
      <c r="I753" s="20"/>
      <c r="J753" s="19"/>
      <c r="K753" s="19"/>
      <c r="L753" s="12"/>
      <c r="M753" s="12"/>
      <c r="N753" s="12"/>
      <c r="O753" s="1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11"/>
      <c r="B754" s="19"/>
      <c r="C754" s="19"/>
      <c r="D754" s="12" t="str">
        <f t="shared" si="2"/>
        <v> </v>
      </c>
      <c r="E754" s="12" t="str">
        <f t="shared" si="3"/>
        <v> </v>
      </c>
      <c r="F754" s="12"/>
      <c r="G754" s="20"/>
      <c r="H754" s="20"/>
      <c r="I754" s="20"/>
      <c r="J754" s="19"/>
      <c r="K754" s="19"/>
      <c r="L754" s="12"/>
      <c r="M754" s="12"/>
      <c r="N754" s="12"/>
      <c r="O754" s="1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11"/>
      <c r="B755" s="19"/>
      <c r="C755" s="19"/>
      <c r="D755" s="12" t="str">
        <f t="shared" si="2"/>
        <v> </v>
      </c>
      <c r="E755" s="12" t="str">
        <f t="shared" si="3"/>
        <v> </v>
      </c>
      <c r="F755" s="12"/>
      <c r="G755" s="20"/>
      <c r="H755" s="20"/>
      <c r="I755" s="20"/>
      <c r="J755" s="19"/>
      <c r="K755" s="19"/>
      <c r="L755" s="12"/>
      <c r="M755" s="12"/>
      <c r="N755" s="12"/>
      <c r="O755" s="1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11"/>
      <c r="B756" s="19"/>
      <c r="C756" s="19"/>
      <c r="D756" s="12" t="str">
        <f t="shared" si="2"/>
        <v> </v>
      </c>
      <c r="E756" s="12" t="str">
        <f t="shared" si="3"/>
        <v> </v>
      </c>
      <c r="F756" s="12"/>
      <c r="G756" s="20"/>
      <c r="H756" s="20"/>
      <c r="I756" s="20"/>
      <c r="J756" s="19"/>
      <c r="K756" s="19"/>
      <c r="L756" s="12"/>
      <c r="M756" s="12"/>
      <c r="N756" s="12"/>
      <c r="O756" s="1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11"/>
      <c r="B757" s="19"/>
      <c r="C757" s="19"/>
      <c r="D757" s="12" t="str">
        <f t="shared" si="2"/>
        <v> </v>
      </c>
      <c r="E757" s="12" t="str">
        <f t="shared" si="3"/>
        <v> </v>
      </c>
      <c r="F757" s="12"/>
      <c r="G757" s="20"/>
      <c r="H757" s="20"/>
      <c r="I757" s="20"/>
      <c r="J757" s="19"/>
      <c r="K757" s="19"/>
      <c r="L757" s="12"/>
      <c r="M757" s="12"/>
      <c r="N757" s="12"/>
      <c r="O757" s="1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11"/>
      <c r="B758" s="19"/>
      <c r="C758" s="19"/>
      <c r="D758" s="12" t="str">
        <f t="shared" si="2"/>
        <v> </v>
      </c>
      <c r="E758" s="12" t="str">
        <f t="shared" si="3"/>
        <v> </v>
      </c>
      <c r="F758" s="12"/>
      <c r="G758" s="20"/>
      <c r="H758" s="20"/>
      <c r="I758" s="20"/>
      <c r="J758" s="19"/>
      <c r="K758" s="19"/>
      <c r="L758" s="12"/>
      <c r="M758" s="12"/>
      <c r="N758" s="12"/>
      <c r="O758" s="1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11"/>
      <c r="B759" s="19"/>
      <c r="C759" s="19"/>
      <c r="D759" s="12" t="str">
        <f t="shared" si="2"/>
        <v> </v>
      </c>
      <c r="E759" s="12" t="str">
        <f t="shared" si="3"/>
        <v> </v>
      </c>
      <c r="F759" s="12"/>
      <c r="G759" s="20"/>
      <c r="H759" s="20"/>
      <c r="I759" s="20"/>
      <c r="J759" s="19"/>
      <c r="K759" s="19"/>
      <c r="L759" s="12"/>
      <c r="M759" s="12"/>
      <c r="N759" s="12"/>
      <c r="O759" s="1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11"/>
      <c r="B760" s="19"/>
      <c r="C760" s="19"/>
      <c r="D760" s="12" t="str">
        <f t="shared" si="2"/>
        <v> </v>
      </c>
      <c r="E760" s="12" t="str">
        <f t="shared" si="3"/>
        <v> </v>
      </c>
      <c r="F760" s="12"/>
      <c r="G760" s="20"/>
      <c r="H760" s="20"/>
      <c r="I760" s="20"/>
      <c r="J760" s="19"/>
      <c r="K760" s="19"/>
      <c r="L760" s="12"/>
      <c r="M760" s="12"/>
      <c r="N760" s="12"/>
      <c r="O760" s="1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11"/>
      <c r="B761" s="19"/>
      <c r="C761" s="19"/>
      <c r="D761" s="12" t="str">
        <f t="shared" si="2"/>
        <v> </v>
      </c>
      <c r="E761" s="12" t="str">
        <f t="shared" si="3"/>
        <v> </v>
      </c>
      <c r="F761" s="12"/>
      <c r="G761" s="20"/>
      <c r="H761" s="20"/>
      <c r="I761" s="20"/>
      <c r="J761" s="19"/>
      <c r="K761" s="19"/>
      <c r="L761" s="12"/>
      <c r="M761" s="12"/>
      <c r="N761" s="12"/>
      <c r="O761" s="1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11"/>
      <c r="B762" s="19"/>
      <c r="C762" s="19"/>
      <c r="D762" s="12" t="str">
        <f t="shared" si="2"/>
        <v> </v>
      </c>
      <c r="E762" s="12" t="str">
        <f t="shared" si="3"/>
        <v> </v>
      </c>
      <c r="F762" s="12"/>
      <c r="G762" s="20"/>
      <c r="H762" s="20"/>
      <c r="I762" s="20"/>
      <c r="J762" s="19"/>
      <c r="K762" s="19"/>
      <c r="L762" s="12"/>
      <c r="M762" s="12"/>
      <c r="N762" s="12"/>
      <c r="O762" s="1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11"/>
      <c r="B763" s="19"/>
      <c r="C763" s="19"/>
      <c r="D763" s="12" t="str">
        <f t="shared" si="2"/>
        <v> </v>
      </c>
      <c r="E763" s="12" t="str">
        <f t="shared" si="3"/>
        <v> </v>
      </c>
      <c r="F763" s="12"/>
      <c r="G763" s="20"/>
      <c r="H763" s="20"/>
      <c r="I763" s="20"/>
      <c r="J763" s="19"/>
      <c r="K763" s="19"/>
      <c r="L763" s="12"/>
      <c r="M763" s="12"/>
      <c r="N763" s="12"/>
      <c r="O763" s="1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11"/>
      <c r="B764" s="19"/>
      <c r="C764" s="19"/>
      <c r="D764" s="12" t="str">
        <f t="shared" si="2"/>
        <v> </v>
      </c>
      <c r="E764" s="12" t="str">
        <f t="shared" si="3"/>
        <v> </v>
      </c>
      <c r="F764" s="12"/>
      <c r="G764" s="20"/>
      <c r="H764" s="20"/>
      <c r="I764" s="20"/>
      <c r="J764" s="19"/>
      <c r="K764" s="19"/>
      <c r="L764" s="12"/>
      <c r="M764" s="12"/>
      <c r="N764" s="12"/>
      <c r="O764" s="1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11"/>
      <c r="B765" s="19"/>
      <c r="C765" s="19"/>
      <c r="D765" s="12" t="str">
        <f t="shared" si="2"/>
        <v> </v>
      </c>
      <c r="E765" s="12" t="str">
        <f t="shared" si="3"/>
        <v> </v>
      </c>
      <c r="F765" s="12"/>
      <c r="G765" s="20"/>
      <c r="H765" s="20"/>
      <c r="I765" s="20"/>
      <c r="J765" s="19"/>
      <c r="K765" s="19"/>
      <c r="L765" s="12"/>
      <c r="M765" s="12"/>
      <c r="N765" s="12"/>
      <c r="O765" s="1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11"/>
      <c r="B766" s="19"/>
      <c r="C766" s="19"/>
      <c r="D766" s="12" t="str">
        <f t="shared" si="2"/>
        <v> </v>
      </c>
      <c r="E766" s="12" t="str">
        <f t="shared" si="3"/>
        <v> </v>
      </c>
      <c r="F766" s="12"/>
      <c r="G766" s="20"/>
      <c r="H766" s="20"/>
      <c r="I766" s="20"/>
      <c r="J766" s="19"/>
      <c r="K766" s="19"/>
      <c r="L766" s="12"/>
      <c r="M766" s="12"/>
      <c r="N766" s="12"/>
      <c r="O766" s="1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11"/>
      <c r="B767" s="19"/>
      <c r="C767" s="19"/>
      <c r="D767" s="12" t="str">
        <f t="shared" si="2"/>
        <v> </v>
      </c>
      <c r="E767" s="12" t="str">
        <f t="shared" si="3"/>
        <v> </v>
      </c>
      <c r="F767" s="12"/>
      <c r="G767" s="20"/>
      <c r="H767" s="20"/>
      <c r="I767" s="20"/>
      <c r="J767" s="19"/>
      <c r="K767" s="19"/>
      <c r="L767" s="12"/>
      <c r="M767" s="12"/>
      <c r="N767" s="12"/>
      <c r="O767" s="1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11"/>
      <c r="B768" s="19"/>
      <c r="C768" s="19"/>
      <c r="D768" s="12" t="str">
        <f t="shared" si="2"/>
        <v> </v>
      </c>
      <c r="E768" s="12" t="str">
        <f t="shared" si="3"/>
        <v> </v>
      </c>
      <c r="F768" s="12"/>
      <c r="G768" s="20"/>
      <c r="H768" s="20"/>
      <c r="I768" s="20"/>
      <c r="J768" s="19"/>
      <c r="K768" s="19"/>
      <c r="L768" s="12"/>
      <c r="M768" s="12"/>
      <c r="N768" s="12"/>
      <c r="O768" s="1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11"/>
      <c r="B769" s="19"/>
      <c r="C769" s="19"/>
      <c r="D769" s="12" t="str">
        <f t="shared" si="2"/>
        <v> </v>
      </c>
      <c r="E769" s="12" t="str">
        <f t="shared" si="3"/>
        <v> </v>
      </c>
      <c r="F769" s="12"/>
      <c r="G769" s="20"/>
      <c r="H769" s="20"/>
      <c r="I769" s="20"/>
      <c r="J769" s="19"/>
      <c r="K769" s="19"/>
      <c r="L769" s="12"/>
      <c r="M769" s="12"/>
      <c r="N769" s="12"/>
      <c r="O769" s="1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11"/>
      <c r="B770" s="19"/>
      <c r="C770" s="19"/>
      <c r="D770" s="12" t="str">
        <f t="shared" si="2"/>
        <v> </v>
      </c>
      <c r="E770" s="12" t="str">
        <f t="shared" si="3"/>
        <v> </v>
      </c>
      <c r="F770" s="12"/>
      <c r="G770" s="20"/>
      <c r="H770" s="20"/>
      <c r="I770" s="20"/>
      <c r="J770" s="19"/>
      <c r="K770" s="19"/>
      <c r="L770" s="12"/>
      <c r="M770" s="12"/>
      <c r="N770" s="12"/>
      <c r="O770" s="1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11"/>
      <c r="B771" s="19"/>
      <c r="C771" s="19"/>
      <c r="D771" s="12" t="str">
        <f t="shared" si="2"/>
        <v> </v>
      </c>
      <c r="E771" s="12" t="str">
        <f t="shared" si="3"/>
        <v> </v>
      </c>
      <c r="F771" s="12"/>
      <c r="G771" s="20"/>
      <c r="H771" s="20"/>
      <c r="I771" s="20"/>
      <c r="J771" s="19"/>
      <c r="K771" s="19"/>
      <c r="L771" s="12"/>
      <c r="M771" s="12"/>
      <c r="N771" s="12"/>
      <c r="O771" s="1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11"/>
      <c r="B772" s="19"/>
      <c r="C772" s="19"/>
      <c r="D772" s="12" t="str">
        <f t="shared" si="2"/>
        <v> </v>
      </c>
      <c r="E772" s="12" t="str">
        <f t="shared" si="3"/>
        <v> </v>
      </c>
      <c r="F772" s="12"/>
      <c r="G772" s="20"/>
      <c r="H772" s="20"/>
      <c r="I772" s="20"/>
      <c r="J772" s="19"/>
      <c r="K772" s="19"/>
      <c r="L772" s="12"/>
      <c r="M772" s="12"/>
      <c r="N772" s="12"/>
      <c r="O772" s="1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11"/>
      <c r="B773" s="19"/>
      <c r="C773" s="19"/>
      <c r="D773" s="12" t="str">
        <f t="shared" si="2"/>
        <v> </v>
      </c>
      <c r="E773" s="12" t="str">
        <f t="shared" si="3"/>
        <v> </v>
      </c>
      <c r="F773" s="12"/>
      <c r="G773" s="20"/>
      <c r="H773" s="20"/>
      <c r="I773" s="20"/>
      <c r="J773" s="19"/>
      <c r="K773" s="19"/>
      <c r="L773" s="12"/>
      <c r="M773" s="12"/>
      <c r="N773" s="12"/>
      <c r="O773" s="1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11"/>
      <c r="B774" s="19"/>
      <c r="C774" s="19"/>
      <c r="D774" s="12" t="str">
        <f t="shared" si="2"/>
        <v> </v>
      </c>
      <c r="E774" s="12" t="str">
        <f t="shared" si="3"/>
        <v> </v>
      </c>
      <c r="F774" s="12"/>
      <c r="G774" s="20"/>
      <c r="H774" s="20"/>
      <c r="I774" s="20"/>
      <c r="J774" s="19"/>
      <c r="K774" s="19"/>
      <c r="L774" s="12"/>
      <c r="M774" s="12"/>
      <c r="N774" s="12"/>
      <c r="O774" s="1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11"/>
      <c r="B775" s="19"/>
      <c r="C775" s="19"/>
      <c r="D775" s="12" t="str">
        <f t="shared" si="2"/>
        <v> </v>
      </c>
      <c r="E775" s="12" t="str">
        <f t="shared" si="3"/>
        <v> </v>
      </c>
      <c r="F775" s="12"/>
      <c r="G775" s="20"/>
      <c r="H775" s="20"/>
      <c r="I775" s="20"/>
      <c r="J775" s="19"/>
      <c r="K775" s="19"/>
      <c r="L775" s="12"/>
      <c r="M775" s="12"/>
      <c r="N775" s="12"/>
      <c r="O775" s="1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11"/>
      <c r="B776" s="19"/>
      <c r="C776" s="19"/>
      <c r="D776" s="12" t="str">
        <f t="shared" si="2"/>
        <v> </v>
      </c>
      <c r="E776" s="12" t="str">
        <f t="shared" si="3"/>
        <v> </v>
      </c>
      <c r="F776" s="12"/>
      <c r="G776" s="20"/>
      <c r="H776" s="20"/>
      <c r="I776" s="20"/>
      <c r="J776" s="19"/>
      <c r="K776" s="19"/>
      <c r="L776" s="12"/>
      <c r="M776" s="12"/>
      <c r="N776" s="12"/>
      <c r="O776" s="1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11"/>
      <c r="B777" s="19"/>
      <c r="C777" s="19"/>
      <c r="D777" s="12" t="str">
        <f t="shared" si="2"/>
        <v> </v>
      </c>
      <c r="E777" s="12" t="str">
        <f t="shared" si="3"/>
        <v> </v>
      </c>
      <c r="F777" s="12"/>
      <c r="G777" s="20"/>
      <c r="H777" s="20"/>
      <c r="I777" s="20"/>
      <c r="J777" s="19"/>
      <c r="K777" s="19"/>
      <c r="L777" s="12"/>
      <c r="M777" s="12"/>
      <c r="N777" s="12"/>
      <c r="O777" s="1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11"/>
      <c r="B778" s="19"/>
      <c r="C778" s="19"/>
      <c r="D778" s="12" t="str">
        <f t="shared" si="2"/>
        <v> </v>
      </c>
      <c r="E778" s="12" t="str">
        <f t="shared" si="3"/>
        <v> </v>
      </c>
      <c r="F778" s="12"/>
      <c r="G778" s="20"/>
      <c r="H778" s="20"/>
      <c r="I778" s="20"/>
      <c r="J778" s="19"/>
      <c r="K778" s="19"/>
      <c r="L778" s="12"/>
      <c r="M778" s="12"/>
      <c r="N778" s="12"/>
      <c r="O778" s="1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11"/>
      <c r="B779" s="19"/>
      <c r="C779" s="19"/>
      <c r="D779" s="12" t="str">
        <f t="shared" si="2"/>
        <v> </v>
      </c>
      <c r="E779" s="12" t="str">
        <f t="shared" si="3"/>
        <v> </v>
      </c>
      <c r="F779" s="12"/>
      <c r="G779" s="20"/>
      <c r="H779" s="20"/>
      <c r="I779" s="20"/>
      <c r="J779" s="19"/>
      <c r="K779" s="19"/>
      <c r="L779" s="12"/>
      <c r="M779" s="12"/>
      <c r="N779" s="12"/>
      <c r="O779" s="1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11"/>
      <c r="B780" s="19"/>
      <c r="C780" s="19"/>
      <c r="D780" s="12" t="str">
        <f t="shared" si="2"/>
        <v> </v>
      </c>
      <c r="E780" s="12" t="str">
        <f t="shared" si="3"/>
        <v> </v>
      </c>
      <c r="F780" s="12"/>
      <c r="G780" s="20"/>
      <c r="H780" s="20"/>
      <c r="I780" s="20"/>
      <c r="J780" s="19"/>
      <c r="K780" s="19"/>
      <c r="L780" s="12"/>
      <c r="M780" s="12"/>
      <c r="N780" s="12"/>
      <c r="O780" s="1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11"/>
      <c r="B781" s="19"/>
      <c r="C781" s="19"/>
      <c r="D781" s="12" t="str">
        <f t="shared" si="2"/>
        <v> </v>
      </c>
      <c r="E781" s="12" t="str">
        <f t="shared" si="3"/>
        <v> </v>
      </c>
      <c r="F781" s="12"/>
      <c r="G781" s="20"/>
      <c r="H781" s="20"/>
      <c r="I781" s="20"/>
      <c r="J781" s="19"/>
      <c r="K781" s="19"/>
      <c r="L781" s="12"/>
      <c r="M781" s="12"/>
      <c r="N781" s="12"/>
      <c r="O781" s="1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11"/>
      <c r="B782" s="19"/>
      <c r="C782" s="19"/>
      <c r="D782" s="12" t="str">
        <f t="shared" si="2"/>
        <v> </v>
      </c>
      <c r="E782" s="12" t="str">
        <f t="shared" si="3"/>
        <v> </v>
      </c>
      <c r="F782" s="12"/>
      <c r="G782" s="20"/>
      <c r="H782" s="20"/>
      <c r="I782" s="20"/>
      <c r="J782" s="19"/>
      <c r="K782" s="19"/>
      <c r="L782" s="12"/>
      <c r="M782" s="12"/>
      <c r="N782" s="12"/>
      <c r="O782" s="1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11"/>
      <c r="B783" s="19"/>
      <c r="C783" s="19"/>
      <c r="D783" s="12" t="str">
        <f t="shared" si="2"/>
        <v> </v>
      </c>
      <c r="E783" s="12" t="str">
        <f t="shared" si="3"/>
        <v> </v>
      </c>
      <c r="F783" s="12"/>
      <c r="G783" s="20"/>
      <c r="H783" s="20"/>
      <c r="I783" s="20"/>
      <c r="J783" s="19"/>
      <c r="K783" s="19"/>
      <c r="L783" s="12"/>
      <c r="M783" s="12"/>
      <c r="N783" s="12"/>
      <c r="O783" s="1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11"/>
      <c r="B784" s="19"/>
      <c r="C784" s="19"/>
      <c r="D784" s="12" t="str">
        <f t="shared" si="2"/>
        <v> </v>
      </c>
      <c r="E784" s="12" t="str">
        <f t="shared" si="3"/>
        <v> </v>
      </c>
      <c r="F784" s="12"/>
      <c r="G784" s="20"/>
      <c r="H784" s="20"/>
      <c r="I784" s="20"/>
      <c r="J784" s="19"/>
      <c r="K784" s="19"/>
      <c r="L784" s="12"/>
      <c r="M784" s="12"/>
      <c r="N784" s="12"/>
      <c r="O784" s="1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11"/>
      <c r="B785" s="19"/>
      <c r="C785" s="19"/>
      <c r="D785" s="12" t="str">
        <f t="shared" si="2"/>
        <v> </v>
      </c>
      <c r="E785" s="12" t="str">
        <f t="shared" si="3"/>
        <v> </v>
      </c>
      <c r="F785" s="12"/>
      <c r="G785" s="20"/>
      <c r="H785" s="20"/>
      <c r="I785" s="20"/>
      <c r="J785" s="19"/>
      <c r="K785" s="19"/>
      <c r="L785" s="12"/>
      <c r="M785" s="12"/>
      <c r="N785" s="12"/>
      <c r="O785" s="1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11"/>
      <c r="B786" s="19"/>
      <c r="C786" s="19"/>
      <c r="D786" s="12" t="str">
        <f t="shared" si="2"/>
        <v> </v>
      </c>
      <c r="E786" s="12" t="str">
        <f t="shared" si="3"/>
        <v> </v>
      </c>
      <c r="F786" s="12"/>
      <c r="G786" s="20"/>
      <c r="H786" s="20"/>
      <c r="I786" s="20"/>
      <c r="J786" s="19"/>
      <c r="K786" s="19"/>
      <c r="L786" s="12"/>
      <c r="M786" s="12"/>
      <c r="N786" s="12"/>
      <c r="O786" s="1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11"/>
      <c r="B787" s="19"/>
      <c r="C787" s="19"/>
      <c r="D787" s="12" t="str">
        <f t="shared" si="2"/>
        <v> </v>
      </c>
      <c r="E787" s="12" t="str">
        <f t="shared" si="3"/>
        <v> </v>
      </c>
      <c r="F787" s="12"/>
      <c r="G787" s="20"/>
      <c r="H787" s="20"/>
      <c r="I787" s="20"/>
      <c r="J787" s="19"/>
      <c r="K787" s="19"/>
      <c r="L787" s="12"/>
      <c r="M787" s="12"/>
      <c r="N787" s="12"/>
      <c r="O787" s="1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11"/>
      <c r="B788" s="19"/>
      <c r="C788" s="19"/>
      <c r="D788" s="12" t="str">
        <f t="shared" si="2"/>
        <v> </v>
      </c>
      <c r="E788" s="12" t="str">
        <f t="shared" si="3"/>
        <v> </v>
      </c>
      <c r="F788" s="12"/>
      <c r="G788" s="20"/>
      <c r="H788" s="20"/>
      <c r="I788" s="20"/>
      <c r="J788" s="19"/>
      <c r="K788" s="19"/>
      <c r="L788" s="12"/>
      <c r="M788" s="12"/>
      <c r="N788" s="12"/>
      <c r="O788" s="1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11"/>
      <c r="B789" s="19"/>
      <c r="C789" s="19"/>
      <c r="D789" s="12" t="str">
        <f t="shared" si="2"/>
        <v> </v>
      </c>
      <c r="E789" s="12" t="str">
        <f t="shared" si="3"/>
        <v> </v>
      </c>
      <c r="F789" s="12"/>
      <c r="G789" s="20"/>
      <c r="H789" s="20"/>
      <c r="I789" s="20"/>
      <c r="J789" s="19"/>
      <c r="K789" s="19"/>
      <c r="L789" s="12"/>
      <c r="M789" s="12"/>
      <c r="N789" s="12"/>
      <c r="O789" s="1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11"/>
      <c r="B790" s="19"/>
      <c r="C790" s="19"/>
      <c r="D790" s="12" t="str">
        <f t="shared" si="2"/>
        <v> </v>
      </c>
      <c r="E790" s="12" t="str">
        <f t="shared" si="3"/>
        <v> </v>
      </c>
      <c r="F790" s="12"/>
      <c r="G790" s="20"/>
      <c r="H790" s="20"/>
      <c r="I790" s="20"/>
      <c r="J790" s="19"/>
      <c r="K790" s="19"/>
      <c r="L790" s="12"/>
      <c r="M790" s="12"/>
      <c r="N790" s="12"/>
      <c r="O790" s="1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11"/>
      <c r="B791" s="19"/>
      <c r="C791" s="19"/>
      <c r="D791" s="12" t="str">
        <f t="shared" si="2"/>
        <v> </v>
      </c>
      <c r="E791" s="12" t="str">
        <f t="shared" si="3"/>
        <v> </v>
      </c>
      <c r="F791" s="12"/>
      <c r="G791" s="20"/>
      <c r="H791" s="20"/>
      <c r="I791" s="20"/>
      <c r="J791" s="19"/>
      <c r="K791" s="19"/>
      <c r="L791" s="12"/>
      <c r="M791" s="12"/>
      <c r="N791" s="12"/>
      <c r="O791" s="1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11"/>
      <c r="B792" s="19"/>
      <c r="C792" s="19"/>
      <c r="D792" s="12" t="str">
        <f t="shared" si="2"/>
        <v> </v>
      </c>
      <c r="E792" s="12" t="str">
        <f t="shared" si="3"/>
        <v> </v>
      </c>
      <c r="F792" s="12"/>
      <c r="G792" s="20"/>
      <c r="H792" s="20"/>
      <c r="I792" s="20"/>
      <c r="J792" s="19"/>
      <c r="K792" s="19"/>
      <c r="L792" s="12"/>
      <c r="M792" s="12"/>
      <c r="N792" s="12"/>
      <c r="O792" s="1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11"/>
      <c r="B793" s="19"/>
      <c r="C793" s="19"/>
      <c r="D793" s="12" t="str">
        <f t="shared" si="2"/>
        <v> </v>
      </c>
      <c r="E793" s="12" t="str">
        <f t="shared" si="3"/>
        <v> </v>
      </c>
      <c r="F793" s="12"/>
      <c r="G793" s="20"/>
      <c r="H793" s="20"/>
      <c r="I793" s="20"/>
      <c r="J793" s="19"/>
      <c r="K793" s="19"/>
      <c r="L793" s="12"/>
      <c r="M793" s="12"/>
      <c r="N793" s="12"/>
      <c r="O793" s="1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11"/>
      <c r="B794" s="19"/>
      <c r="C794" s="19"/>
      <c r="D794" s="12" t="str">
        <f t="shared" si="2"/>
        <v> </v>
      </c>
      <c r="E794" s="12" t="str">
        <f t="shared" si="3"/>
        <v> </v>
      </c>
      <c r="F794" s="12"/>
      <c r="G794" s="20"/>
      <c r="H794" s="20"/>
      <c r="I794" s="20"/>
      <c r="J794" s="19"/>
      <c r="K794" s="19"/>
      <c r="L794" s="12"/>
      <c r="M794" s="12"/>
      <c r="N794" s="12"/>
      <c r="O794" s="1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11"/>
      <c r="B795" s="19"/>
      <c r="C795" s="19"/>
      <c r="D795" s="12" t="str">
        <f t="shared" si="2"/>
        <v> </v>
      </c>
      <c r="E795" s="12" t="str">
        <f t="shared" si="3"/>
        <v> </v>
      </c>
      <c r="F795" s="12"/>
      <c r="G795" s="20"/>
      <c r="H795" s="20"/>
      <c r="I795" s="20"/>
      <c r="J795" s="19"/>
      <c r="K795" s="19"/>
      <c r="L795" s="12"/>
      <c r="M795" s="12"/>
      <c r="N795" s="12"/>
      <c r="O795" s="1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11"/>
      <c r="B796" s="19"/>
      <c r="C796" s="19"/>
      <c r="D796" s="12" t="str">
        <f t="shared" si="2"/>
        <v> </v>
      </c>
      <c r="E796" s="12" t="str">
        <f t="shared" si="3"/>
        <v> </v>
      </c>
      <c r="F796" s="12"/>
      <c r="G796" s="20"/>
      <c r="H796" s="20"/>
      <c r="I796" s="20"/>
      <c r="J796" s="19"/>
      <c r="K796" s="19"/>
      <c r="L796" s="12"/>
      <c r="M796" s="12"/>
      <c r="N796" s="12"/>
      <c r="O796" s="1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11"/>
      <c r="B797" s="19"/>
      <c r="C797" s="19"/>
      <c r="D797" s="12" t="str">
        <f t="shared" si="2"/>
        <v> </v>
      </c>
      <c r="E797" s="12" t="str">
        <f t="shared" si="3"/>
        <v> </v>
      </c>
      <c r="F797" s="12"/>
      <c r="G797" s="20"/>
      <c r="H797" s="20"/>
      <c r="I797" s="20"/>
      <c r="J797" s="19"/>
      <c r="K797" s="19"/>
      <c r="L797" s="12"/>
      <c r="M797" s="12"/>
      <c r="N797" s="12"/>
      <c r="O797" s="1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11"/>
      <c r="B798" s="19"/>
      <c r="C798" s="19"/>
      <c r="D798" s="12" t="str">
        <f t="shared" si="2"/>
        <v> </v>
      </c>
      <c r="E798" s="12" t="str">
        <f t="shared" si="3"/>
        <v> </v>
      </c>
      <c r="F798" s="12"/>
      <c r="G798" s="20"/>
      <c r="H798" s="20"/>
      <c r="I798" s="20"/>
      <c r="J798" s="19"/>
      <c r="K798" s="19"/>
      <c r="L798" s="12"/>
      <c r="M798" s="12"/>
      <c r="N798" s="12"/>
      <c r="O798" s="1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11"/>
      <c r="B799" s="19"/>
      <c r="C799" s="19"/>
      <c r="D799" s="12" t="str">
        <f t="shared" si="2"/>
        <v> </v>
      </c>
      <c r="E799" s="12" t="str">
        <f t="shared" si="3"/>
        <v> </v>
      </c>
      <c r="F799" s="12"/>
      <c r="G799" s="20"/>
      <c r="H799" s="20"/>
      <c r="I799" s="20"/>
      <c r="J799" s="19"/>
      <c r="K799" s="19"/>
      <c r="L799" s="12"/>
      <c r="M799" s="12"/>
      <c r="N799" s="12"/>
      <c r="O799" s="1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11"/>
      <c r="B800" s="19"/>
      <c r="C800" s="19"/>
      <c r="D800" s="12" t="str">
        <f t="shared" si="2"/>
        <v> </v>
      </c>
      <c r="E800" s="12" t="str">
        <f t="shared" si="3"/>
        <v> </v>
      </c>
      <c r="F800" s="12"/>
      <c r="G800" s="20"/>
      <c r="H800" s="20"/>
      <c r="I800" s="20"/>
      <c r="J800" s="19"/>
      <c r="K800" s="19"/>
      <c r="L800" s="12"/>
      <c r="M800" s="12"/>
      <c r="N800" s="12"/>
      <c r="O800" s="1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11"/>
      <c r="B801" s="19"/>
      <c r="C801" s="19"/>
      <c r="D801" s="12" t="str">
        <f t="shared" si="2"/>
        <v> </v>
      </c>
      <c r="E801" s="12" t="str">
        <f t="shared" si="3"/>
        <v> </v>
      </c>
      <c r="F801" s="12"/>
      <c r="G801" s="20"/>
      <c r="H801" s="20"/>
      <c r="I801" s="20"/>
      <c r="J801" s="19"/>
      <c r="K801" s="19"/>
      <c r="L801" s="12"/>
      <c r="M801" s="12"/>
      <c r="N801" s="12"/>
      <c r="O801" s="1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11"/>
      <c r="B802" s="19"/>
      <c r="C802" s="19"/>
      <c r="D802" s="12" t="str">
        <f t="shared" si="2"/>
        <v> </v>
      </c>
      <c r="E802" s="12" t="str">
        <f t="shared" si="3"/>
        <v> </v>
      </c>
      <c r="F802" s="12"/>
      <c r="G802" s="20"/>
      <c r="H802" s="20"/>
      <c r="I802" s="20"/>
      <c r="J802" s="19"/>
      <c r="K802" s="19"/>
      <c r="L802" s="12"/>
      <c r="M802" s="12"/>
      <c r="N802" s="12"/>
      <c r="O802" s="1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11"/>
      <c r="B803" s="19"/>
      <c r="C803" s="19"/>
      <c r="D803" s="12" t="str">
        <f t="shared" si="2"/>
        <v> </v>
      </c>
      <c r="E803" s="12" t="str">
        <f t="shared" si="3"/>
        <v> </v>
      </c>
      <c r="F803" s="12"/>
      <c r="G803" s="20"/>
      <c r="H803" s="20"/>
      <c r="I803" s="20"/>
      <c r="J803" s="19"/>
      <c r="K803" s="19"/>
      <c r="L803" s="12"/>
      <c r="M803" s="12"/>
      <c r="N803" s="12"/>
      <c r="O803" s="1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11"/>
      <c r="B804" s="19"/>
      <c r="C804" s="19"/>
      <c r="D804" s="12" t="str">
        <f t="shared" si="2"/>
        <v> </v>
      </c>
      <c r="E804" s="12" t="str">
        <f t="shared" si="3"/>
        <v> </v>
      </c>
      <c r="F804" s="12"/>
      <c r="G804" s="20"/>
      <c r="H804" s="20"/>
      <c r="I804" s="20"/>
      <c r="J804" s="19"/>
      <c r="K804" s="19"/>
      <c r="L804" s="12"/>
      <c r="M804" s="12"/>
      <c r="N804" s="12"/>
      <c r="O804" s="1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11"/>
      <c r="B805" s="19"/>
      <c r="C805" s="19"/>
      <c r="D805" s="12" t="str">
        <f t="shared" si="2"/>
        <v> </v>
      </c>
      <c r="E805" s="12" t="str">
        <f t="shared" si="3"/>
        <v> </v>
      </c>
      <c r="F805" s="12"/>
      <c r="G805" s="20"/>
      <c r="H805" s="20"/>
      <c r="I805" s="20"/>
      <c r="J805" s="19"/>
      <c r="K805" s="19"/>
      <c r="L805" s="12"/>
      <c r="M805" s="12"/>
      <c r="N805" s="12"/>
      <c r="O805" s="1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11"/>
      <c r="B806" s="19"/>
      <c r="C806" s="19"/>
      <c r="D806" s="12" t="str">
        <f t="shared" si="2"/>
        <v> </v>
      </c>
      <c r="E806" s="12" t="str">
        <f t="shared" si="3"/>
        <v> </v>
      </c>
      <c r="F806" s="12"/>
      <c r="G806" s="20"/>
      <c r="H806" s="20"/>
      <c r="I806" s="20"/>
      <c r="J806" s="19"/>
      <c r="K806" s="19"/>
      <c r="L806" s="12"/>
      <c r="M806" s="12"/>
      <c r="N806" s="12"/>
      <c r="O806" s="1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11"/>
      <c r="B807" s="19"/>
      <c r="C807" s="19"/>
      <c r="D807" s="12" t="str">
        <f t="shared" si="2"/>
        <v> </v>
      </c>
      <c r="E807" s="12" t="str">
        <f t="shared" si="3"/>
        <v> </v>
      </c>
      <c r="F807" s="12"/>
      <c r="G807" s="20"/>
      <c r="H807" s="20"/>
      <c r="I807" s="20"/>
      <c r="J807" s="19"/>
      <c r="K807" s="19"/>
      <c r="L807" s="12"/>
      <c r="M807" s="12"/>
      <c r="N807" s="12"/>
      <c r="O807" s="1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11"/>
      <c r="B808" s="19"/>
      <c r="C808" s="19"/>
      <c r="D808" s="12" t="str">
        <f t="shared" si="2"/>
        <v> </v>
      </c>
      <c r="E808" s="12" t="str">
        <f t="shared" si="3"/>
        <v> </v>
      </c>
      <c r="F808" s="12"/>
      <c r="G808" s="20"/>
      <c r="H808" s="20"/>
      <c r="I808" s="20"/>
      <c r="J808" s="19"/>
      <c r="K808" s="19"/>
      <c r="L808" s="12"/>
      <c r="M808" s="12"/>
      <c r="N808" s="12"/>
      <c r="O808" s="1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11"/>
      <c r="B809" s="19"/>
      <c r="C809" s="19"/>
      <c r="D809" s="12" t="str">
        <f t="shared" si="2"/>
        <v> </v>
      </c>
      <c r="E809" s="12" t="str">
        <f t="shared" si="3"/>
        <v> </v>
      </c>
      <c r="F809" s="12"/>
      <c r="G809" s="20"/>
      <c r="H809" s="20"/>
      <c r="I809" s="20"/>
      <c r="J809" s="19"/>
      <c r="K809" s="19"/>
      <c r="L809" s="12"/>
      <c r="M809" s="12"/>
      <c r="N809" s="12"/>
      <c r="O809" s="1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11"/>
      <c r="B810" s="19"/>
      <c r="C810" s="19"/>
      <c r="D810" s="12" t="str">
        <f t="shared" si="2"/>
        <v> </v>
      </c>
      <c r="E810" s="12" t="str">
        <f t="shared" si="3"/>
        <v> </v>
      </c>
      <c r="F810" s="12"/>
      <c r="G810" s="20"/>
      <c r="H810" s="20"/>
      <c r="I810" s="20"/>
      <c r="J810" s="19"/>
      <c r="K810" s="19"/>
      <c r="L810" s="12"/>
      <c r="M810" s="12"/>
      <c r="N810" s="12"/>
      <c r="O810" s="1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11"/>
      <c r="B811" s="19"/>
      <c r="C811" s="19"/>
      <c r="D811" s="12" t="str">
        <f t="shared" si="2"/>
        <v> </v>
      </c>
      <c r="E811" s="12" t="str">
        <f t="shared" si="3"/>
        <v> </v>
      </c>
      <c r="F811" s="12"/>
      <c r="G811" s="20"/>
      <c r="H811" s="20"/>
      <c r="I811" s="20"/>
      <c r="J811" s="19"/>
      <c r="K811" s="19"/>
      <c r="L811" s="12"/>
      <c r="M811" s="12"/>
      <c r="N811" s="12"/>
      <c r="O811" s="1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11"/>
      <c r="B812" s="19"/>
      <c r="C812" s="19"/>
      <c r="D812" s="12" t="str">
        <f t="shared" si="2"/>
        <v> </v>
      </c>
      <c r="E812" s="12" t="str">
        <f t="shared" si="3"/>
        <v> </v>
      </c>
      <c r="F812" s="12"/>
      <c r="G812" s="20"/>
      <c r="H812" s="20"/>
      <c r="I812" s="20"/>
      <c r="J812" s="19"/>
      <c r="K812" s="19"/>
      <c r="L812" s="12"/>
      <c r="M812" s="12"/>
      <c r="N812" s="12"/>
      <c r="O812" s="1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11"/>
      <c r="B813" s="19"/>
      <c r="C813" s="19"/>
      <c r="D813" s="12" t="str">
        <f t="shared" si="2"/>
        <v> </v>
      </c>
      <c r="E813" s="12" t="str">
        <f t="shared" si="3"/>
        <v> </v>
      </c>
      <c r="F813" s="12"/>
      <c r="G813" s="20"/>
      <c r="H813" s="20"/>
      <c r="I813" s="20"/>
      <c r="J813" s="19"/>
      <c r="K813" s="19"/>
      <c r="L813" s="12"/>
      <c r="M813" s="12"/>
      <c r="N813" s="12"/>
      <c r="O813" s="1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11"/>
      <c r="B814" s="19"/>
      <c r="C814" s="19"/>
      <c r="D814" s="12" t="str">
        <f t="shared" si="2"/>
        <v> </v>
      </c>
      <c r="E814" s="12" t="str">
        <f t="shared" si="3"/>
        <v> </v>
      </c>
      <c r="F814" s="12"/>
      <c r="G814" s="20"/>
      <c r="H814" s="20"/>
      <c r="I814" s="20"/>
      <c r="J814" s="19"/>
      <c r="K814" s="19"/>
      <c r="L814" s="12"/>
      <c r="M814" s="12"/>
      <c r="N814" s="12"/>
      <c r="O814" s="1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11"/>
      <c r="B815" s="19"/>
      <c r="C815" s="19"/>
      <c r="D815" s="12" t="str">
        <f t="shared" si="2"/>
        <v> </v>
      </c>
      <c r="E815" s="12" t="str">
        <f t="shared" si="3"/>
        <v> </v>
      </c>
      <c r="F815" s="12"/>
      <c r="G815" s="20"/>
      <c r="H815" s="20"/>
      <c r="I815" s="20"/>
      <c r="J815" s="19"/>
      <c r="K815" s="19"/>
      <c r="L815" s="12"/>
      <c r="M815" s="12"/>
      <c r="N815" s="12"/>
      <c r="O815" s="1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11"/>
      <c r="B816" s="19"/>
      <c r="C816" s="19"/>
      <c r="D816" s="12" t="str">
        <f t="shared" si="2"/>
        <v> </v>
      </c>
      <c r="E816" s="12" t="str">
        <f t="shared" si="3"/>
        <v> </v>
      </c>
      <c r="F816" s="12"/>
      <c r="G816" s="20"/>
      <c r="H816" s="20"/>
      <c r="I816" s="20"/>
      <c r="J816" s="19"/>
      <c r="K816" s="19"/>
      <c r="L816" s="12"/>
      <c r="M816" s="12"/>
      <c r="N816" s="12"/>
      <c r="O816" s="1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11"/>
      <c r="B817" s="19"/>
      <c r="C817" s="19"/>
      <c r="D817" s="12" t="str">
        <f t="shared" si="2"/>
        <v> </v>
      </c>
      <c r="E817" s="12" t="str">
        <f t="shared" si="3"/>
        <v> </v>
      </c>
      <c r="F817" s="12"/>
      <c r="G817" s="20"/>
      <c r="H817" s="20"/>
      <c r="I817" s="20"/>
      <c r="J817" s="19"/>
      <c r="K817" s="19"/>
      <c r="L817" s="12"/>
      <c r="M817" s="12"/>
      <c r="N817" s="12"/>
      <c r="O817" s="1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11"/>
      <c r="B818" s="19"/>
      <c r="C818" s="19"/>
      <c r="D818" s="12" t="str">
        <f t="shared" si="2"/>
        <v> </v>
      </c>
      <c r="E818" s="12" t="str">
        <f t="shared" si="3"/>
        <v> </v>
      </c>
      <c r="F818" s="12"/>
      <c r="G818" s="20"/>
      <c r="H818" s="20"/>
      <c r="I818" s="20"/>
      <c r="J818" s="19"/>
      <c r="K818" s="19"/>
      <c r="L818" s="12"/>
      <c r="M818" s="12"/>
      <c r="N818" s="12"/>
      <c r="O818" s="1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11"/>
      <c r="B819" s="19"/>
      <c r="C819" s="19"/>
      <c r="D819" s="12" t="str">
        <f t="shared" si="2"/>
        <v> </v>
      </c>
      <c r="E819" s="12" t="str">
        <f t="shared" si="3"/>
        <v> </v>
      </c>
      <c r="F819" s="12"/>
      <c r="G819" s="20"/>
      <c r="H819" s="20"/>
      <c r="I819" s="20"/>
      <c r="J819" s="19"/>
      <c r="K819" s="19"/>
      <c r="L819" s="12"/>
      <c r="M819" s="12"/>
      <c r="N819" s="12"/>
      <c r="O819" s="1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11"/>
      <c r="B820" s="19"/>
      <c r="C820" s="19"/>
      <c r="D820" s="12" t="str">
        <f t="shared" si="2"/>
        <v> </v>
      </c>
      <c r="E820" s="12" t="str">
        <f t="shared" si="3"/>
        <v> </v>
      </c>
      <c r="F820" s="12"/>
      <c r="G820" s="20"/>
      <c r="H820" s="20"/>
      <c r="I820" s="20"/>
      <c r="J820" s="19"/>
      <c r="K820" s="19"/>
      <c r="L820" s="12"/>
      <c r="M820" s="12"/>
      <c r="N820" s="12"/>
      <c r="O820" s="1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11"/>
      <c r="B821" s="19"/>
      <c r="C821" s="19"/>
      <c r="D821" s="12" t="str">
        <f t="shared" si="2"/>
        <v> </v>
      </c>
      <c r="E821" s="12" t="str">
        <f t="shared" si="3"/>
        <v> </v>
      </c>
      <c r="F821" s="12"/>
      <c r="G821" s="20"/>
      <c r="H821" s="20"/>
      <c r="I821" s="20"/>
      <c r="J821" s="19"/>
      <c r="K821" s="19"/>
      <c r="L821" s="12"/>
      <c r="M821" s="12"/>
      <c r="N821" s="12"/>
      <c r="O821" s="1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11"/>
      <c r="B822" s="19"/>
      <c r="C822" s="19"/>
      <c r="D822" s="12" t="str">
        <f t="shared" si="2"/>
        <v> </v>
      </c>
      <c r="E822" s="12" t="str">
        <f t="shared" si="3"/>
        <v> </v>
      </c>
      <c r="F822" s="12"/>
      <c r="G822" s="20"/>
      <c r="H822" s="20"/>
      <c r="I822" s="20"/>
      <c r="J822" s="19"/>
      <c r="K822" s="19"/>
      <c r="L822" s="12"/>
      <c r="M822" s="12"/>
      <c r="N822" s="12"/>
      <c r="O822" s="1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11"/>
      <c r="B823" s="19"/>
      <c r="C823" s="19"/>
      <c r="D823" s="12" t="str">
        <f t="shared" si="2"/>
        <v> </v>
      </c>
      <c r="E823" s="12" t="str">
        <f t="shared" si="3"/>
        <v> </v>
      </c>
      <c r="F823" s="12"/>
      <c r="G823" s="20"/>
      <c r="H823" s="20"/>
      <c r="I823" s="20"/>
      <c r="J823" s="19"/>
      <c r="K823" s="19"/>
      <c r="L823" s="12"/>
      <c r="M823" s="12"/>
      <c r="N823" s="12"/>
      <c r="O823" s="1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11"/>
      <c r="B824" s="19"/>
      <c r="C824" s="19"/>
      <c r="D824" s="12" t="str">
        <f t="shared" si="2"/>
        <v> </v>
      </c>
      <c r="E824" s="12" t="str">
        <f t="shared" si="3"/>
        <v> </v>
      </c>
      <c r="F824" s="12"/>
      <c r="G824" s="20"/>
      <c r="H824" s="20"/>
      <c r="I824" s="20"/>
      <c r="J824" s="19"/>
      <c r="K824" s="19"/>
      <c r="L824" s="12"/>
      <c r="M824" s="12"/>
      <c r="N824" s="12"/>
      <c r="O824" s="1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11"/>
      <c r="B825" s="19"/>
      <c r="C825" s="19"/>
      <c r="D825" s="12" t="str">
        <f t="shared" si="2"/>
        <v> </v>
      </c>
      <c r="E825" s="12" t="str">
        <f t="shared" si="3"/>
        <v> </v>
      </c>
      <c r="F825" s="12"/>
      <c r="G825" s="20"/>
      <c r="H825" s="20"/>
      <c r="I825" s="20"/>
      <c r="J825" s="19"/>
      <c r="K825" s="19"/>
      <c r="L825" s="12"/>
      <c r="M825" s="12"/>
      <c r="N825" s="12"/>
      <c r="O825" s="1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11"/>
      <c r="B826" s="19"/>
      <c r="C826" s="19"/>
      <c r="D826" s="12" t="str">
        <f t="shared" si="2"/>
        <v> </v>
      </c>
      <c r="E826" s="12" t="str">
        <f t="shared" si="3"/>
        <v> </v>
      </c>
      <c r="F826" s="12"/>
      <c r="G826" s="20"/>
      <c r="H826" s="20"/>
      <c r="I826" s="20"/>
      <c r="J826" s="19"/>
      <c r="K826" s="19"/>
      <c r="L826" s="12"/>
      <c r="M826" s="12"/>
      <c r="N826" s="12"/>
      <c r="O826" s="1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11"/>
      <c r="B827" s="19"/>
      <c r="C827" s="19"/>
      <c r="D827" s="12" t="str">
        <f t="shared" si="2"/>
        <v> </v>
      </c>
      <c r="E827" s="12" t="str">
        <f t="shared" si="3"/>
        <v> </v>
      </c>
      <c r="F827" s="12"/>
      <c r="G827" s="20"/>
      <c r="H827" s="20"/>
      <c r="I827" s="20"/>
      <c r="J827" s="19"/>
      <c r="K827" s="19"/>
      <c r="L827" s="12"/>
      <c r="M827" s="12"/>
      <c r="N827" s="12"/>
      <c r="O827" s="1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11"/>
      <c r="B828" s="19"/>
      <c r="C828" s="19"/>
      <c r="D828" s="12" t="str">
        <f t="shared" si="2"/>
        <v> </v>
      </c>
      <c r="E828" s="12" t="str">
        <f t="shared" si="3"/>
        <v> </v>
      </c>
      <c r="F828" s="12"/>
      <c r="G828" s="20"/>
      <c r="H828" s="20"/>
      <c r="I828" s="20"/>
      <c r="J828" s="19"/>
      <c r="K828" s="19"/>
      <c r="L828" s="12"/>
      <c r="M828" s="12"/>
      <c r="N828" s="12"/>
      <c r="O828" s="1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11"/>
      <c r="B829" s="19"/>
      <c r="C829" s="19"/>
      <c r="D829" s="12" t="str">
        <f t="shared" si="2"/>
        <v> </v>
      </c>
      <c r="E829" s="12" t="str">
        <f t="shared" si="3"/>
        <v> </v>
      </c>
      <c r="F829" s="12"/>
      <c r="G829" s="20"/>
      <c r="H829" s="20"/>
      <c r="I829" s="20"/>
      <c r="J829" s="19"/>
      <c r="K829" s="19"/>
      <c r="L829" s="12"/>
      <c r="M829" s="12"/>
      <c r="N829" s="12"/>
      <c r="O829" s="1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11"/>
      <c r="B830" s="19"/>
      <c r="C830" s="19"/>
      <c r="D830" s="12" t="str">
        <f t="shared" si="2"/>
        <v> </v>
      </c>
      <c r="E830" s="12" t="str">
        <f t="shared" si="3"/>
        <v> </v>
      </c>
      <c r="F830" s="12"/>
      <c r="G830" s="20"/>
      <c r="H830" s="20"/>
      <c r="I830" s="20"/>
      <c r="J830" s="19"/>
      <c r="K830" s="19"/>
      <c r="L830" s="12"/>
      <c r="M830" s="12"/>
      <c r="N830" s="12"/>
      <c r="O830" s="1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11"/>
      <c r="B831" s="19"/>
      <c r="C831" s="19"/>
      <c r="D831" s="12" t="str">
        <f t="shared" si="2"/>
        <v> </v>
      </c>
      <c r="E831" s="12" t="str">
        <f t="shared" si="3"/>
        <v> </v>
      </c>
      <c r="F831" s="12"/>
      <c r="G831" s="20"/>
      <c r="H831" s="20"/>
      <c r="I831" s="20"/>
      <c r="J831" s="19"/>
      <c r="K831" s="19"/>
      <c r="L831" s="12"/>
      <c r="M831" s="12"/>
      <c r="N831" s="12"/>
      <c r="O831" s="1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11"/>
      <c r="B832" s="19"/>
      <c r="C832" s="19"/>
      <c r="D832" s="12" t="str">
        <f t="shared" si="2"/>
        <v> </v>
      </c>
      <c r="E832" s="12" t="str">
        <f t="shared" si="3"/>
        <v> </v>
      </c>
      <c r="F832" s="12"/>
      <c r="G832" s="20"/>
      <c r="H832" s="20"/>
      <c r="I832" s="20"/>
      <c r="J832" s="19"/>
      <c r="K832" s="19"/>
      <c r="L832" s="12"/>
      <c r="M832" s="12"/>
      <c r="N832" s="12"/>
      <c r="O832" s="1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11"/>
      <c r="B833" s="19"/>
      <c r="C833" s="19"/>
      <c r="D833" s="12" t="str">
        <f t="shared" si="2"/>
        <v> </v>
      </c>
      <c r="E833" s="12" t="str">
        <f t="shared" si="3"/>
        <v> </v>
      </c>
      <c r="F833" s="12"/>
      <c r="G833" s="20"/>
      <c r="H833" s="20"/>
      <c r="I833" s="20"/>
      <c r="J833" s="19"/>
      <c r="K833" s="19"/>
      <c r="L833" s="12"/>
      <c r="M833" s="12"/>
      <c r="N833" s="12"/>
      <c r="O833" s="1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11"/>
      <c r="B834" s="19"/>
      <c r="C834" s="19"/>
      <c r="D834" s="12" t="str">
        <f t="shared" si="2"/>
        <v> </v>
      </c>
      <c r="E834" s="12" t="str">
        <f t="shared" si="3"/>
        <v> </v>
      </c>
      <c r="F834" s="12"/>
      <c r="G834" s="20"/>
      <c r="H834" s="20"/>
      <c r="I834" s="20"/>
      <c r="J834" s="19"/>
      <c r="K834" s="19"/>
      <c r="L834" s="12"/>
      <c r="M834" s="12"/>
      <c r="N834" s="12"/>
      <c r="O834" s="1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11"/>
      <c r="B835" s="19"/>
      <c r="C835" s="19"/>
      <c r="D835" s="12" t="str">
        <f t="shared" si="2"/>
        <v> </v>
      </c>
      <c r="E835" s="12" t="str">
        <f t="shared" si="3"/>
        <v> </v>
      </c>
      <c r="F835" s="12"/>
      <c r="G835" s="20"/>
      <c r="H835" s="20"/>
      <c r="I835" s="20"/>
      <c r="J835" s="19"/>
      <c r="K835" s="19"/>
      <c r="L835" s="12"/>
      <c r="M835" s="12"/>
      <c r="N835" s="12"/>
      <c r="O835" s="1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11"/>
      <c r="B836" s="19"/>
      <c r="C836" s="19"/>
      <c r="D836" s="12" t="str">
        <f t="shared" si="2"/>
        <v> </v>
      </c>
      <c r="E836" s="12" t="str">
        <f t="shared" si="3"/>
        <v> </v>
      </c>
      <c r="F836" s="12"/>
      <c r="G836" s="20"/>
      <c r="H836" s="20"/>
      <c r="I836" s="20"/>
      <c r="J836" s="19"/>
      <c r="K836" s="19"/>
      <c r="L836" s="12"/>
      <c r="M836" s="12"/>
      <c r="N836" s="12"/>
      <c r="O836" s="1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11"/>
      <c r="B837" s="19"/>
      <c r="C837" s="19"/>
      <c r="D837" s="12" t="str">
        <f t="shared" si="2"/>
        <v> </v>
      </c>
      <c r="E837" s="12" t="str">
        <f t="shared" si="3"/>
        <v> </v>
      </c>
      <c r="F837" s="12"/>
      <c r="G837" s="20"/>
      <c r="H837" s="20"/>
      <c r="I837" s="20"/>
      <c r="J837" s="19"/>
      <c r="K837" s="19"/>
      <c r="L837" s="12"/>
      <c r="M837" s="12"/>
      <c r="N837" s="12"/>
      <c r="O837" s="1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11"/>
      <c r="B838" s="19"/>
      <c r="C838" s="19"/>
      <c r="D838" s="12" t="str">
        <f t="shared" si="2"/>
        <v> </v>
      </c>
      <c r="E838" s="12" t="str">
        <f t="shared" si="3"/>
        <v> </v>
      </c>
      <c r="F838" s="12"/>
      <c r="G838" s="20"/>
      <c r="H838" s="20"/>
      <c r="I838" s="20"/>
      <c r="J838" s="19"/>
      <c r="K838" s="19"/>
      <c r="L838" s="12"/>
      <c r="M838" s="12"/>
      <c r="N838" s="12"/>
      <c r="O838" s="1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11"/>
      <c r="B839" s="19"/>
      <c r="C839" s="19"/>
      <c r="D839" s="12" t="str">
        <f t="shared" si="2"/>
        <v> </v>
      </c>
      <c r="E839" s="12" t="str">
        <f t="shared" si="3"/>
        <v> </v>
      </c>
      <c r="F839" s="12"/>
      <c r="G839" s="20"/>
      <c r="H839" s="20"/>
      <c r="I839" s="20"/>
      <c r="J839" s="19"/>
      <c r="K839" s="19"/>
      <c r="L839" s="12"/>
      <c r="M839" s="12"/>
      <c r="N839" s="12"/>
      <c r="O839" s="1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11"/>
      <c r="B840" s="19"/>
      <c r="C840" s="19"/>
      <c r="D840" s="12" t="str">
        <f t="shared" si="2"/>
        <v> </v>
      </c>
      <c r="E840" s="12" t="str">
        <f t="shared" si="3"/>
        <v> </v>
      </c>
      <c r="F840" s="12"/>
      <c r="G840" s="20"/>
      <c r="H840" s="20"/>
      <c r="I840" s="20"/>
      <c r="J840" s="19"/>
      <c r="K840" s="19"/>
      <c r="L840" s="12"/>
      <c r="M840" s="12"/>
      <c r="N840" s="12"/>
      <c r="O840" s="1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11"/>
      <c r="B841" s="19"/>
      <c r="C841" s="19"/>
      <c r="D841" s="12" t="str">
        <f t="shared" si="2"/>
        <v> </v>
      </c>
      <c r="E841" s="12" t="str">
        <f t="shared" si="3"/>
        <v> </v>
      </c>
      <c r="F841" s="12"/>
      <c r="G841" s="20"/>
      <c r="H841" s="20"/>
      <c r="I841" s="20"/>
      <c r="J841" s="19"/>
      <c r="K841" s="19"/>
      <c r="L841" s="12"/>
      <c r="M841" s="12"/>
      <c r="N841" s="12"/>
      <c r="O841" s="1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11"/>
      <c r="B842" s="19"/>
      <c r="C842" s="19"/>
      <c r="D842" s="12" t="str">
        <f t="shared" si="2"/>
        <v> </v>
      </c>
      <c r="E842" s="12" t="str">
        <f t="shared" si="3"/>
        <v> </v>
      </c>
      <c r="F842" s="12"/>
      <c r="G842" s="20"/>
      <c r="H842" s="20"/>
      <c r="I842" s="20"/>
      <c r="J842" s="19"/>
      <c r="K842" s="19"/>
      <c r="L842" s="12"/>
      <c r="M842" s="12"/>
      <c r="N842" s="12"/>
      <c r="O842" s="1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11"/>
      <c r="B843" s="19"/>
      <c r="C843" s="19"/>
      <c r="D843" s="12" t="str">
        <f t="shared" si="2"/>
        <v> </v>
      </c>
      <c r="E843" s="12" t="str">
        <f t="shared" si="3"/>
        <v> </v>
      </c>
      <c r="F843" s="12"/>
      <c r="G843" s="20"/>
      <c r="H843" s="20"/>
      <c r="I843" s="20"/>
      <c r="J843" s="19"/>
      <c r="K843" s="19"/>
      <c r="L843" s="12"/>
      <c r="M843" s="12"/>
      <c r="N843" s="12"/>
      <c r="O843" s="1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11"/>
      <c r="B844" s="19"/>
      <c r="C844" s="19"/>
      <c r="D844" s="12" t="str">
        <f t="shared" si="2"/>
        <v> </v>
      </c>
      <c r="E844" s="12" t="str">
        <f t="shared" si="3"/>
        <v> </v>
      </c>
      <c r="F844" s="12"/>
      <c r="G844" s="20"/>
      <c r="H844" s="20"/>
      <c r="I844" s="20"/>
      <c r="J844" s="19"/>
      <c r="K844" s="19"/>
      <c r="L844" s="12"/>
      <c r="M844" s="12"/>
      <c r="N844" s="12"/>
      <c r="O844" s="1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11"/>
      <c r="B845" s="19"/>
      <c r="C845" s="19"/>
      <c r="D845" s="12" t="str">
        <f t="shared" si="2"/>
        <v> </v>
      </c>
      <c r="E845" s="12" t="str">
        <f t="shared" si="3"/>
        <v> </v>
      </c>
      <c r="F845" s="12"/>
      <c r="G845" s="20"/>
      <c r="H845" s="20"/>
      <c r="I845" s="20"/>
      <c r="J845" s="19"/>
      <c r="K845" s="19"/>
      <c r="L845" s="12"/>
      <c r="M845" s="12"/>
      <c r="N845" s="12"/>
      <c r="O845" s="1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11"/>
      <c r="B846" s="19"/>
      <c r="C846" s="19"/>
      <c r="D846" s="12" t="str">
        <f t="shared" si="2"/>
        <v> </v>
      </c>
      <c r="E846" s="12" t="str">
        <f t="shared" si="3"/>
        <v> </v>
      </c>
      <c r="F846" s="12"/>
      <c r="G846" s="20"/>
      <c r="H846" s="20"/>
      <c r="I846" s="20"/>
      <c r="J846" s="19"/>
      <c r="K846" s="19"/>
      <c r="L846" s="12"/>
      <c r="M846" s="12"/>
      <c r="N846" s="12"/>
      <c r="O846" s="1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11"/>
      <c r="B847" s="19"/>
      <c r="C847" s="19"/>
      <c r="D847" s="12" t="str">
        <f t="shared" si="2"/>
        <v> </v>
      </c>
      <c r="E847" s="12" t="str">
        <f t="shared" si="3"/>
        <v> </v>
      </c>
      <c r="F847" s="12"/>
      <c r="G847" s="20"/>
      <c r="H847" s="20"/>
      <c r="I847" s="20"/>
      <c r="J847" s="19"/>
      <c r="K847" s="19"/>
      <c r="L847" s="12"/>
      <c r="M847" s="12"/>
      <c r="N847" s="12"/>
      <c r="O847" s="1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11"/>
      <c r="B848" s="19"/>
      <c r="C848" s="19"/>
      <c r="D848" s="12" t="str">
        <f t="shared" si="2"/>
        <v> </v>
      </c>
      <c r="E848" s="12" t="str">
        <f t="shared" si="3"/>
        <v> </v>
      </c>
      <c r="F848" s="12"/>
      <c r="G848" s="20"/>
      <c r="H848" s="20"/>
      <c r="I848" s="20"/>
      <c r="J848" s="19"/>
      <c r="K848" s="19"/>
      <c r="L848" s="12"/>
      <c r="M848" s="12"/>
      <c r="N848" s="12"/>
      <c r="O848" s="1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11"/>
      <c r="B849" s="19"/>
      <c r="C849" s="19"/>
      <c r="D849" s="12" t="str">
        <f t="shared" si="2"/>
        <v> </v>
      </c>
      <c r="E849" s="12" t="str">
        <f t="shared" si="3"/>
        <v> </v>
      </c>
      <c r="F849" s="12"/>
      <c r="G849" s="20"/>
      <c r="H849" s="20"/>
      <c r="I849" s="20"/>
      <c r="J849" s="19"/>
      <c r="K849" s="19"/>
      <c r="L849" s="12"/>
      <c r="M849" s="12"/>
      <c r="N849" s="12"/>
      <c r="O849" s="1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11"/>
      <c r="B850" s="19"/>
      <c r="C850" s="19"/>
      <c r="D850" s="12" t="str">
        <f t="shared" si="2"/>
        <v> </v>
      </c>
      <c r="E850" s="12" t="str">
        <f t="shared" si="3"/>
        <v> </v>
      </c>
      <c r="F850" s="12"/>
      <c r="G850" s="20"/>
      <c r="H850" s="20"/>
      <c r="I850" s="20"/>
      <c r="J850" s="19"/>
      <c r="K850" s="19"/>
      <c r="L850" s="12"/>
      <c r="M850" s="12"/>
      <c r="N850" s="12"/>
      <c r="O850" s="1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11"/>
      <c r="B851" s="19"/>
      <c r="C851" s="19"/>
      <c r="D851" s="12" t="str">
        <f t="shared" si="2"/>
        <v> </v>
      </c>
      <c r="E851" s="12" t="str">
        <f t="shared" si="3"/>
        <v> </v>
      </c>
      <c r="F851" s="12"/>
      <c r="G851" s="20"/>
      <c r="H851" s="20"/>
      <c r="I851" s="20"/>
      <c r="J851" s="19"/>
      <c r="K851" s="19"/>
      <c r="L851" s="12"/>
      <c r="M851" s="12"/>
      <c r="N851" s="12"/>
      <c r="O851" s="1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11"/>
      <c r="B852" s="19"/>
      <c r="C852" s="19"/>
      <c r="D852" s="12" t="str">
        <f t="shared" si="2"/>
        <v> </v>
      </c>
      <c r="E852" s="12" t="str">
        <f t="shared" si="3"/>
        <v> </v>
      </c>
      <c r="F852" s="12"/>
      <c r="G852" s="20"/>
      <c r="H852" s="20"/>
      <c r="I852" s="20"/>
      <c r="J852" s="19"/>
      <c r="K852" s="19"/>
      <c r="L852" s="12"/>
      <c r="M852" s="12"/>
      <c r="N852" s="12"/>
      <c r="O852" s="1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11"/>
      <c r="B853" s="19"/>
      <c r="C853" s="19"/>
      <c r="D853" s="12" t="str">
        <f t="shared" si="2"/>
        <v> </v>
      </c>
      <c r="E853" s="12" t="str">
        <f t="shared" si="3"/>
        <v> </v>
      </c>
      <c r="F853" s="12"/>
      <c r="G853" s="20"/>
      <c r="H853" s="20"/>
      <c r="I853" s="20"/>
      <c r="J853" s="19"/>
      <c r="K853" s="19"/>
      <c r="L853" s="12"/>
      <c r="M853" s="12"/>
      <c r="N853" s="12"/>
      <c r="O853" s="1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11"/>
      <c r="B854" s="19"/>
      <c r="C854" s="19"/>
      <c r="D854" s="12" t="str">
        <f t="shared" si="2"/>
        <v> </v>
      </c>
      <c r="E854" s="12" t="str">
        <f t="shared" si="3"/>
        <v> </v>
      </c>
      <c r="F854" s="12"/>
      <c r="G854" s="20"/>
      <c r="H854" s="20"/>
      <c r="I854" s="20"/>
      <c r="J854" s="19"/>
      <c r="K854" s="19"/>
      <c r="L854" s="12"/>
      <c r="M854" s="12"/>
      <c r="N854" s="12"/>
      <c r="O854" s="1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11"/>
      <c r="B855" s="19"/>
      <c r="C855" s="19"/>
      <c r="D855" s="12" t="str">
        <f t="shared" si="2"/>
        <v> </v>
      </c>
      <c r="E855" s="12" t="str">
        <f t="shared" si="3"/>
        <v> </v>
      </c>
      <c r="F855" s="12"/>
      <c r="G855" s="20"/>
      <c r="H855" s="20"/>
      <c r="I855" s="20"/>
      <c r="J855" s="19"/>
      <c r="K855" s="19"/>
      <c r="L855" s="12"/>
      <c r="M855" s="12"/>
      <c r="N855" s="12"/>
      <c r="O855" s="1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11"/>
      <c r="B856" s="19"/>
      <c r="C856" s="19"/>
      <c r="D856" s="12" t="str">
        <f t="shared" si="2"/>
        <v> </v>
      </c>
      <c r="E856" s="12" t="str">
        <f t="shared" si="3"/>
        <v> </v>
      </c>
      <c r="F856" s="12"/>
      <c r="G856" s="20"/>
      <c r="H856" s="20"/>
      <c r="I856" s="20"/>
      <c r="J856" s="19"/>
      <c r="K856" s="19"/>
      <c r="L856" s="12"/>
      <c r="M856" s="12"/>
      <c r="N856" s="12"/>
      <c r="O856" s="1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11"/>
      <c r="B857" s="19"/>
      <c r="C857" s="19"/>
      <c r="D857" s="12" t="str">
        <f t="shared" si="2"/>
        <v> </v>
      </c>
      <c r="E857" s="12" t="str">
        <f t="shared" si="3"/>
        <v> </v>
      </c>
      <c r="F857" s="12"/>
      <c r="G857" s="20"/>
      <c r="H857" s="20"/>
      <c r="I857" s="20"/>
      <c r="J857" s="19"/>
      <c r="K857" s="19"/>
      <c r="L857" s="12"/>
      <c r="M857" s="12"/>
      <c r="N857" s="12"/>
      <c r="O857" s="1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11"/>
      <c r="B858" s="19"/>
      <c r="C858" s="19"/>
      <c r="D858" s="12" t="str">
        <f t="shared" si="2"/>
        <v> </v>
      </c>
      <c r="E858" s="12" t="str">
        <f t="shared" si="3"/>
        <v> </v>
      </c>
      <c r="F858" s="12"/>
      <c r="G858" s="20"/>
      <c r="H858" s="20"/>
      <c r="I858" s="20"/>
      <c r="J858" s="19"/>
      <c r="K858" s="19"/>
      <c r="L858" s="12"/>
      <c r="M858" s="12"/>
      <c r="N858" s="12"/>
      <c r="O858" s="1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11"/>
      <c r="B859" s="19"/>
      <c r="C859" s="19"/>
      <c r="D859" s="12" t="str">
        <f t="shared" si="2"/>
        <v> </v>
      </c>
      <c r="E859" s="12" t="str">
        <f t="shared" si="3"/>
        <v> </v>
      </c>
      <c r="F859" s="12"/>
      <c r="G859" s="20"/>
      <c r="H859" s="20"/>
      <c r="I859" s="20"/>
      <c r="J859" s="19"/>
      <c r="K859" s="19"/>
      <c r="L859" s="12"/>
      <c r="M859" s="12"/>
      <c r="N859" s="12"/>
      <c r="O859" s="1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11"/>
      <c r="B860" s="19"/>
      <c r="C860" s="19"/>
      <c r="D860" s="12" t="str">
        <f t="shared" si="2"/>
        <v> </v>
      </c>
      <c r="E860" s="12" t="str">
        <f t="shared" si="3"/>
        <v> </v>
      </c>
      <c r="F860" s="12"/>
      <c r="G860" s="20"/>
      <c r="H860" s="20"/>
      <c r="I860" s="20"/>
      <c r="J860" s="19"/>
      <c r="K860" s="19"/>
      <c r="L860" s="12"/>
      <c r="M860" s="12"/>
      <c r="N860" s="12"/>
      <c r="O860" s="1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11"/>
      <c r="B861" s="19"/>
      <c r="C861" s="19"/>
      <c r="D861" s="12" t="str">
        <f t="shared" si="2"/>
        <v> </v>
      </c>
      <c r="E861" s="12" t="str">
        <f t="shared" si="3"/>
        <v> </v>
      </c>
      <c r="F861" s="12"/>
      <c r="G861" s="20"/>
      <c r="H861" s="20"/>
      <c r="I861" s="20"/>
      <c r="J861" s="19"/>
      <c r="K861" s="19"/>
      <c r="L861" s="12"/>
      <c r="M861" s="12"/>
      <c r="N861" s="12"/>
      <c r="O861" s="1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11"/>
      <c r="B862" s="19"/>
      <c r="C862" s="19"/>
      <c r="D862" s="12" t="str">
        <f t="shared" si="2"/>
        <v> </v>
      </c>
      <c r="E862" s="12" t="str">
        <f t="shared" si="3"/>
        <v> </v>
      </c>
      <c r="F862" s="12"/>
      <c r="G862" s="20"/>
      <c r="H862" s="20"/>
      <c r="I862" s="20"/>
      <c r="J862" s="19"/>
      <c r="K862" s="19"/>
      <c r="L862" s="12"/>
      <c r="M862" s="12"/>
      <c r="N862" s="12"/>
      <c r="O862" s="1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11"/>
      <c r="B863" s="19"/>
      <c r="C863" s="19"/>
      <c r="D863" s="12" t="str">
        <f t="shared" si="2"/>
        <v> </v>
      </c>
      <c r="E863" s="12" t="str">
        <f t="shared" si="3"/>
        <v> </v>
      </c>
      <c r="F863" s="12"/>
      <c r="G863" s="20"/>
      <c r="H863" s="20"/>
      <c r="I863" s="20"/>
      <c r="J863" s="19"/>
      <c r="K863" s="19"/>
      <c r="L863" s="12"/>
      <c r="M863" s="12"/>
      <c r="N863" s="12"/>
      <c r="O863" s="1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11"/>
      <c r="B864" s="19"/>
      <c r="C864" s="19"/>
      <c r="D864" s="12" t="str">
        <f t="shared" si="2"/>
        <v> </v>
      </c>
      <c r="E864" s="12" t="str">
        <f t="shared" si="3"/>
        <v> </v>
      </c>
      <c r="F864" s="12"/>
      <c r="G864" s="20"/>
      <c r="H864" s="20"/>
      <c r="I864" s="20"/>
      <c r="J864" s="19"/>
      <c r="K864" s="19"/>
      <c r="L864" s="12"/>
      <c r="M864" s="12"/>
      <c r="N864" s="12"/>
      <c r="O864" s="1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11"/>
      <c r="B865" s="19"/>
      <c r="C865" s="19"/>
      <c r="D865" s="12" t="str">
        <f t="shared" si="2"/>
        <v> </v>
      </c>
      <c r="E865" s="12" t="str">
        <f t="shared" si="3"/>
        <v> </v>
      </c>
      <c r="F865" s="12"/>
      <c r="G865" s="20"/>
      <c r="H865" s="20"/>
      <c r="I865" s="20"/>
      <c r="J865" s="19"/>
      <c r="K865" s="19"/>
      <c r="L865" s="12"/>
      <c r="M865" s="12"/>
      <c r="N865" s="12"/>
      <c r="O865" s="1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11"/>
      <c r="B866" s="19"/>
      <c r="C866" s="19"/>
      <c r="D866" s="12" t="str">
        <f t="shared" si="2"/>
        <v> </v>
      </c>
      <c r="E866" s="12" t="str">
        <f t="shared" si="3"/>
        <v> </v>
      </c>
      <c r="F866" s="12"/>
      <c r="G866" s="20"/>
      <c r="H866" s="20"/>
      <c r="I866" s="20"/>
      <c r="J866" s="19"/>
      <c r="K866" s="19"/>
      <c r="L866" s="12"/>
      <c r="M866" s="12"/>
      <c r="N866" s="12"/>
      <c r="O866" s="1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11"/>
      <c r="B867" s="19"/>
      <c r="C867" s="19"/>
      <c r="D867" s="12" t="str">
        <f t="shared" si="2"/>
        <v> </v>
      </c>
      <c r="E867" s="12" t="str">
        <f t="shared" si="3"/>
        <v> </v>
      </c>
      <c r="F867" s="12"/>
      <c r="G867" s="20"/>
      <c r="H867" s="20"/>
      <c r="I867" s="20"/>
      <c r="J867" s="19"/>
      <c r="K867" s="19"/>
      <c r="L867" s="12"/>
      <c r="M867" s="12"/>
      <c r="N867" s="12"/>
      <c r="O867" s="1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11"/>
      <c r="B868" s="19"/>
      <c r="C868" s="19"/>
      <c r="D868" s="12" t="str">
        <f t="shared" si="2"/>
        <v> </v>
      </c>
      <c r="E868" s="12" t="str">
        <f t="shared" si="3"/>
        <v> </v>
      </c>
      <c r="F868" s="12"/>
      <c r="G868" s="20"/>
      <c r="H868" s="20"/>
      <c r="I868" s="20"/>
      <c r="J868" s="19"/>
      <c r="K868" s="19"/>
      <c r="L868" s="12"/>
      <c r="M868" s="12"/>
      <c r="N868" s="12"/>
      <c r="O868" s="1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11"/>
      <c r="B869" s="19"/>
      <c r="C869" s="19"/>
      <c r="D869" s="12" t="str">
        <f t="shared" si="2"/>
        <v> </v>
      </c>
      <c r="E869" s="12" t="str">
        <f t="shared" si="3"/>
        <v> </v>
      </c>
      <c r="F869" s="12"/>
      <c r="G869" s="20"/>
      <c r="H869" s="20"/>
      <c r="I869" s="20"/>
      <c r="J869" s="19"/>
      <c r="K869" s="19"/>
      <c r="L869" s="12"/>
      <c r="M869" s="12"/>
      <c r="N869" s="12"/>
      <c r="O869" s="1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11"/>
      <c r="B870" s="19"/>
      <c r="C870" s="19"/>
      <c r="D870" s="12" t="str">
        <f t="shared" si="2"/>
        <v> </v>
      </c>
      <c r="E870" s="12" t="str">
        <f t="shared" si="3"/>
        <v> </v>
      </c>
      <c r="F870" s="12"/>
      <c r="G870" s="20"/>
      <c r="H870" s="20"/>
      <c r="I870" s="20"/>
      <c r="J870" s="19"/>
      <c r="K870" s="19"/>
      <c r="L870" s="12"/>
      <c r="M870" s="12"/>
      <c r="N870" s="12"/>
      <c r="O870" s="1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11"/>
      <c r="B871" s="19"/>
      <c r="C871" s="19"/>
      <c r="D871" s="12" t="str">
        <f t="shared" si="2"/>
        <v> </v>
      </c>
      <c r="E871" s="12" t="str">
        <f t="shared" si="3"/>
        <v> </v>
      </c>
      <c r="F871" s="12"/>
      <c r="G871" s="20"/>
      <c r="H871" s="20"/>
      <c r="I871" s="20"/>
      <c r="J871" s="19"/>
      <c r="K871" s="19"/>
      <c r="L871" s="12"/>
      <c r="M871" s="12"/>
      <c r="N871" s="12"/>
      <c r="O871" s="1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11"/>
      <c r="B872" s="19"/>
      <c r="C872" s="19"/>
      <c r="D872" s="12" t="str">
        <f t="shared" si="2"/>
        <v> </v>
      </c>
      <c r="E872" s="12" t="str">
        <f t="shared" si="3"/>
        <v> </v>
      </c>
      <c r="F872" s="12"/>
      <c r="G872" s="20"/>
      <c r="H872" s="20"/>
      <c r="I872" s="20"/>
      <c r="J872" s="19"/>
      <c r="K872" s="19"/>
      <c r="L872" s="12"/>
      <c r="M872" s="12"/>
      <c r="N872" s="12"/>
      <c r="O872" s="1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11"/>
      <c r="B873" s="19"/>
      <c r="C873" s="19"/>
      <c r="D873" s="12" t="str">
        <f t="shared" si="2"/>
        <v> </v>
      </c>
      <c r="E873" s="12" t="str">
        <f t="shared" si="3"/>
        <v> </v>
      </c>
      <c r="F873" s="12"/>
      <c r="G873" s="20"/>
      <c r="H873" s="20"/>
      <c r="I873" s="20"/>
      <c r="J873" s="19"/>
      <c r="K873" s="19"/>
      <c r="L873" s="12"/>
      <c r="M873" s="12"/>
      <c r="N873" s="12"/>
      <c r="O873" s="1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11"/>
      <c r="B874" s="19"/>
      <c r="C874" s="19"/>
      <c r="D874" s="12" t="str">
        <f t="shared" si="2"/>
        <v> </v>
      </c>
      <c r="E874" s="12" t="str">
        <f t="shared" si="3"/>
        <v> </v>
      </c>
      <c r="F874" s="12"/>
      <c r="G874" s="20"/>
      <c r="H874" s="20"/>
      <c r="I874" s="20"/>
      <c r="J874" s="19"/>
      <c r="K874" s="19"/>
      <c r="L874" s="12"/>
      <c r="M874" s="12"/>
      <c r="N874" s="12"/>
      <c r="O874" s="1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11"/>
      <c r="B875" s="19"/>
      <c r="C875" s="19"/>
      <c r="D875" s="12" t="str">
        <f t="shared" si="2"/>
        <v> </v>
      </c>
      <c r="E875" s="12" t="str">
        <f t="shared" si="3"/>
        <v> </v>
      </c>
      <c r="F875" s="12"/>
      <c r="G875" s="20"/>
      <c r="H875" s="20"/>
      <c r="I875" s="20"/>
      <c r="J875" s="19"/>
      <c r="K875" s="19"/>
      <c r="L875" s="12"/>
      <c r="M875" s="12"/>
      <c r="N875" s="12"/>
      <c r="O875" s="1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11"/>
      <c r="B876" s="19"/>
      <c r="C876" s="19"/>
      <c r="D876" s="12" t="str">
        <f t="shared" si="2"/>
        <v> </v>
      </c>
      <c r="E876" s="12" t="str">
        <f t="shared" si="3"/>
        <v> </v>
      </c>
      <c r="F876" s="12"/>
      <c r="G876" s="20"/>
      <c r="H876" s="20"/>
      <c r="I876" s="20"/>
      <c r="J876" s="19"/>
      <c r="K876" s="19"/>
      <c r="L876" s="12"/>
      <c r="M876" s="12"/>
      <c r="N876" s="12"/>
      <c r="O876" s="1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11"/>
      <c r="B877" s="19"/>
      <c r="C877" s="19"/>
      <c r="D877" s="12" t="str">
        <f t="shared" si="2"/>
        <v> </v>
      </c>
      <c r="E877" s="12" t="str">
        <f t="shared" si="3"/>
        <v> </v>
      </c>
      <c r="F877" s="12"/>
      <c r="G877" s="20"/>
      <c r="H877" s="20"/>
      <c r="I877" s="20"/>
      <c r="J877" s="19"/>
      <c r="K877" s="19"/>
      <c r="L877" s="12"/>
      <c r="M877" s="12"/>
      <c r="N877" s="12"/>
      <c r="O877" s="1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11"/>
      <c r="B878" s="19"/>
      <c r="C878" s="19"/>
      <c r="D878" s="12" t="str">
        <f t="shared" si="2"/>
        <v> </v>
      </c>
      <c r="E878" s="12" t="str">
        <f t="shared" si="3"/>
        <v> </v>
      </c>
      <c r="F878" s="12"/>
      <c r="G878" s="20"/>
      <c r="H878" s="20"/>
      <c r="I878" s="20"/>
      <c r="J878" s="19"/>
      <c r="K878" s="19"/>
      <c r="L878" s="12"/>
      <c r="M878" s="12"/>
      <c r="N878" s="12"/>
      <c r="O878" s="1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11"/>
      <c r="B879" s="19"/>
      <c r="C879" s="19"/>
      <c r="D879" s="12" t="str">
        <f t="shared" si="2"/>
        <v> </v>
      </c>
      <c r="E879" s="12" t="str">
        <f t="shared" si="3"/>
        <v> </v>
      </c>
      <c r="F879" s="12"/>
      <c r="G879" s="20"/>
      <c r="H879" s="20"/>
      <c r="I879" s="20"/>
      <c r="J879" s="19"/>
      <c r="K879" s="19"/>
      <c r="L879" s="12"/>
      <c r="M879" s="12"/>
      <c r="N879" s="12"/>
      <c r="O879" s="1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11"/>
      <c r="B880" s="19"/>
      <c r="C880" s="19"/>
      <c r="D880" s="12" t="str">
        <f t="shared" si="2"/>
        <v> </v>
      </c>
      <c r="E880" s="12" t="str">
        <f t="shared" si="3"/>
        <v> </v>
      </c>
      <c r="F880" s="12"/>
      <c r="G880" s="20"/>
      <c r="H880" s="20"/>
      <c r="I880" s="20"/>
      <c r="J880" s="19"/>
      <c r="K880" s="19"/>
      <c r="L880" s="12"/>
      <c r="M880" s="12"/>
      <c r="N880" s="12"/>
      <c r="O880" s="1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11"/>
      <c r="B881" s="19"/>
      <c r="C881" s="19"/>
      <c r="D881" s="12" t="str">
        <f t="shared" si="2"/>
        <v> </v>
      </c>
      <c r="E881" s="12" t="str">
        <f t="shared" si="3"/>
        <v> </v>
      </c>
      <c r="F881" s="12"/>
      <c r="G881" s="20"/>
      <c r="H881" s="20"/>
      <c r="I881" s="20"/>
      <c r="J881" s="19"/>
      <c r="K881" s="19"/>
      <c r="L881" s="12"/>
      <c r="M881" s="12"/>
      <c r="N881" s="12"/>
      <c r="O881" s="1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11"/>
      <c r="B882" s="19"/>
      <c r="C882" s="19"/>
      <c r="D882" s="12" t="str">
        <f t="shared" si="2"/>
        <v> </v>
      </c>
      <c r="E882" s="12" t="str">
        <f t="shared" si="3"/>
        <v> </v>
      </c>
      <c r="F882" s="12"/>
      <c r="G882" s="20"/>
      <c r="H882" s="20"/>
      <c r="I882" s="20"/>
      <c r="J882" s="19"/>
      <c r="K882" s="19"/>
      <c r="L882" s="12"/>
      <c r="M882" s="12"/>
      <c r="N882" s="12"/>
      <c r="O882" s="1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11"/>
      <c r="B883" s="19"/>
      <c r="C883" s="19"/>
      <c r="D883" s="12" t="str">
        <f t="shared" si="2"/>
        <v> </v>
      </c>
      <c r="E883" s="12" t="str">
        <f t="shared" si="3"/>
        <v> </v>
      </c>
      <c r="F883" s="12"/>
      <c r="G883" s="20"/>
      <c r="H883" s="20"/>
      <c r="I883" s="20"/>
      <c r="J883" s="19"/>
      <c r="K883" s="19"/>
      <c r="L883" s="12"/>
      <c r="M883" s="12"/>
      <c r="N883" s="12"/>
      <c r="O883" s="1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11"/>
      <c r="B884" s="19"/>
      <c r="C884" s="19"/>
      <c r="D884" s="12" t="str">
        <f t="shared" si="2"/>
        <v> </v>
      </c>
      <c r="E884" s="12" t="str">
        <f t="shared" si="3"/>
        <v> </v>
      </c>
      <c r="F884" s="12"/>
      <c r="G884" s="20"/>
      <c r="H884" s="20"/>
      <c r="I884" s="20"/>
      <c r="J884" s="19"/>
      <c r="K884" s="19"/>
      <c r="L884" s="12"/>
      <c r="M884" s="12"/>
      <c r="N884" s="12"/>
      <c r="O884" s="1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11"/>
      <c r="B885" s="19"/>
      <c r="C885" s="19"/>
      <c r="D885" s="12" t="str">
        <f t="shared" si="2"/>
        <v> </v>
      </c>
      <c r="E885" s="12" t="str">
        <f t="shared" si="3"/>
        <v> </v>
      </c>
      <c r="F885" s="12"/>
      <c r="G885" s="20"/>
      <c r="H885" s="20"/>
      <c r="I885" s="20"/>
      <c r="J885" s="19"/>
      <c r="K885" s="19"/>
      <c r="L885" s="12"/>
      <c r="M885" s="12"/>
      <c r="N885" s="12"/>
      <c r="O885" s="1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11"/>
      <c r="B886" s="19"/>
      <c r="C886" s="19"/>
      <c r="D886" s="12" t="str">
        <f t="shared" si="2"/>
        <v> </v>
      </c>
      <c r="E886" s="12" t="str">
        <f t="shared" si="3"/>
        <v> </v>
      </c>
      <c r="F886" s="12"/>
      <c r="G886" s="20"/>
      <c r="H886" s="20"/>
      <c r="I886" s="20"/>
      <c r="J886" s="19"/>
      <c r="K886" s="19"/>
      <c r="L886" s="12"/>
      <c r="M886" s="12"/>
      <c r="N886" s="12"/>
      <c r="O886" s="1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11"/>
      <c r="B887" s="19"/>
      <c r="C887" s="19"/>
      <c r="D887" s="12" t="str">
        <f t="shared" si="2"/>
        <v> </v>
      </c>
      <c r="E887" s="12" t="str">
        <f t="shared" si="3"/>
        <v> </v>
      </c>
      <c r="F887" s="12"/>
      <c r="G887" s="20"/>
      <c r="H887" s="20"/>
      <c r="I887" s="20"/>
      <c r="J887" s="19"/>
      <c r="K887" s="19"/>
      <c r="L887" s="12"/>
      <c r="M887" s="12"/>
      <c r="N887" s="12"/>
      <c r="O887" s="1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11"/>
      <c r="B888" s="19"/>
      <c r="C888" s="19"/>
      <c r="D888" s="12" t="str">
        <f t="shared" si="2"/>
        <v> </v>
      </c>
      <c r="E888" s="12" t="str">
        <f t="shared" si="3"/>
        <v> </v>
      </c>
      <c r="F888" s="12"/>
      <c r="G888" s="20"/>
      <c r="H888" s="20"/>
      <c r="I888" s="20"/>
      <c r="J888" s="19"/>
      <c r="K888" s="19"/>
      <c r="L888" s="12"/>
      <c r="M888" s="12"/>
      <c r="N888" s="12"/>
      <c r="O888" s="1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11"/>
      <c r="B889" s="19"/>
      <c r="C889" s="19"/>
      <c r="D889" s="12" t="str">
        <f t="shared" si="2"/>
        <v> </v>
      </c>
      <c r="E889" s="12" t="str">
        <f t="shared" si="3"/>
        <v> </v>
      </c>
      <c r="F889" s="12"/>
      <c r="G889" s="20"/>
      <c r="H889" s="20"/>
      <c r="I889" s="20"/>
      <c r="J889" s="19"/>
      <c r="K889" s="19"/>
      <c r="L889" s="12"/>
      <c r="M889" s="12"/>
      <c r="N889" s="12"/>
      <c r="O889" s="1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11"/>
      <c r="B890" s="19"/>
      <c r="C890" s="19"/>
      <c r="D890" s="12" t="str">
        <f t="shared" si="2"/>
        <v> </v>
      </c>
      <c r="E890" s="12" t="str">
        <f t="shared" si="3"/>
        <v> </v>
      </c>
      <c r="F890" s="12"/>
      <c r="G890" s="20"/>
      <c r="H890" s="20"/>
      <c r="I890" s="20"/>
      <c r="J890" s="19"/>
      <c r="K890" s="19"/>
      <c r="L890" s="12"/>
      <c r="M890" s="12"/>
      <c r="N890" s="12"/>
      <c r="O890" s="1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11"/>
      <c r="B891" s="19"/>
      <c r="C891" s="19"/>
      <c r="D891" s="12" t="str">
        <f t="shared" si="2"/>
        <v> </v>
      </c>
      <c r="E891" s="12" t="str">
        <f t="shared" si="3"/>
        <v> </v>
      </c>
      <c r="F891" s="12"/>
      <c r="G891" s="20"/>
      <c r="H891" s="20"/>
      <c r="I891" s="20"/>
      <c r="J891" s="19"/>
      <c r="K891" s="19"/>
      <c r="L891" s="12"/>
      <c r="M891" s="12"/>
      <c r="N891" s="12"/>
      <c r="O891" s="1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11"/>
      <c r="B892" s="19"/>
      <c r="C892" s="19"/>
      <c r="D892" s="12" t="str">
        <f t="shared" si="2"/>
        <v> </v>
      </c>
      <c r="E892" s="12" t="str">
        <f t="shared" si="3"/>
        <v> </v>
      </c>
      <c r="F892" s="12"/>
      <c r="G892" s="20"/>
      <c r="H892" s="20"/>
      <c r="I892" s="20"/>
      <c r="J892" s="19"/>
      <c r="K892" s="19"/>
      <c r="L892" s="12"/>
      <c r="M892" s="12"/>
      <c r="N892" s="12"/>
      <c r="O892" s="1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11"/>
      <c r="B893" s="19"/>
      <c r="C893" s="19"/>
      <c r="D893" s="12" t="str">
        <f t="shared" si="2"/>
        <v> </v>
      </c>
      <c r="E893" s="12" t="str">
        <f t="shared" si="3"/>
        <v> </v>
      </c>
      <c r="F893" s="12"/>
      <c r="G893" s="20"/>
      <c r="H893" s="20"/>
      <c r="I893" s="20"/>
      <c r="J893" s="19"/>
      <c r="K893" s="19"/>
      <c r="L893" s="12"/>
      <c r="M893" s="12"/>
      <c r="N893" s="12"/>
      <c r="O893" s="1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11"/>
      <c r="B894" s="19"/>
      <c r="C894" s="19"/>
      <c r="D894" s="12" t="str">
        <f t="shared" si="2"/>
        <v> </v>
      </c>
      <c r="E894" s="12" t="str">
        <f t="shared" si="3"/>
        <v> </v>
      </c>
      <c r="F894" s="12"/>
      <c r="G894" s="20"/>
      <c r="H894" s="20"/>
      <c r="I894" s="20"/>
      <c r="J894" s="19"/>
      <c r="K894" s="19"/>
      <c r="L894" s="12"/>
      <c r="M894" s="12"/>
      <c r="N894" s="12"/>
      <c r="O894" s="1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11"/>
      <c r="B895" s="19"/>
      <c r="C895" s="19"/>
      <c r="D895" s="12" t="str">
        <f t="shared" si="2"/>
        <v> </v>
      </c>
      <c r="E895" s="12" t="str">
        <f t="shared" si="3"/>
        <v> </v>
      </c>
      <c r="F895" s="12"/>
      <c r="G895" s="20"/>
      <c r="H895" s="20"/>
      <c r="I895" s="20"/>
      <c r="J895" s="19"/>
      <c r="K895" s="19"/>
      <c r="L895" s="12"/>
      <c r="M895" s="12"/>
      <c r="N895" s="12"/>
      <c r="O895" s="1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11"/>
      <c r="B896" s="19"/>
      <c r="C896" s="19"/>
      <c r="D896" s="12" t="str">
        <f t="shared" si="2"/>
        <v> </v>
      </c>
      <c r="E896" s="12" t="str">
        <f t="shared" si="3"/>
        <v> </v>
      </c>
      <c r="F896" s="12"/>
      <c r="G896" s="20"/>
      <c r="H896" s="20"/>
      <c r="I896" s="20"/>
      <c r="J896" s="19"/>
      <c r="K896" s="19"/>
      <c r="L896" s="12"/>
      <c r="M896" s="12"/>
      <c r="N896" s="12"/>
      <c r="O896" s="1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11"/>
      <c r="B897" s="19"/>
      <c r="C897" s="19"/>
      <c r="D897" s="12" t="str">
        <f t="shared" si="2"/>
        <v> </v>
      </c>
      <c r="E897" s="12" t="str">
        <f t="shared" si="3"/>
        <v> </v>
      </c>
      <c r="F897" s="12"/>
      <c r="G897" s="20"/>
      <c r="H897" s="20"/>
      <c r="I897" s="20"/>
      <c r="J897" s="19"/>
      <c r="K897" s="19"/>
      <c r="L897" s="12"/>
      <c r="M897" s="12"/>
      <c r="N897" s="12"/>
      <c r="O897" s="1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11"/>
      <c r="B898" s="19"/>
      <c r="C898" s="19"/>
      <c r="D898" s="12" t="str">
        <f t="shared" si="2"/>
        <v> </v>
      </c>
      <c r="E898" s="12" t="str">
        <f t="shared" si="3"/>
        <v> </v>
      </c>
      <c r="F898" s="12"/>
      <c r="G898" s="20"/>
      <c r="H898" s="20"/>
      <c r="I898" s="20"/>
      <c r="J898" s="19"/>
      <c r="K898" s="19"/>
      <c r="L898" s="12"/>
      <c r="M898" s="12"/>
      <c r="N898" s="12"/>
      <c r="O898" s="1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11"/>
      <c r="B899" s="19"/>
      <c r="C899" s="19"/>
      <c r="D899" s="12" t="str">
        <f t="shared" si="2"/>
        <v> </v>
      </c>
      <c r="E899" s="12" t="str">
        <f t="shared" si="3"/>
        <v> </v>
      </c>
      <c r="F899" s="12"/>
      <c r="G899" s="20"/>
      <c r="H899" s="20"/>
      <c r="I899" s="20"/>
      <c r="J899" s="19"/>
      <c r="K899" s="19"/>
      <c r="L899" s="12"/>
      <c r="M899" s="12"/>
      <c r="N899" s="12"/>
      <c r="O899" s="1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11"/>
      <c r="B900" s="19"/>
      <c r="C900" s="19"/>
      <c r="D900" s="12" t="str">
        <f t="shared" si="2"/>
        <v> </v>
      </c>
      <c r="E900" s="12" t="str">
        <f t="shared" si="3"/>
        <v> </v>
      </c>
      <c r="F900" s="12"/>
      <c r="G900" s="20"/>
      <c r="H900" s="20"/>
      <c r="I900" s="20"/>
      <c r="J900" s="19"/>
      <c r="K900" s="19"/>
      <c r="L900" s="12"/>
      <c r="M900" s="12"/>
      <c r="N900" s="12"/>
      <c r="O900" s="1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11"/>
      <c r="B901" s="19"/>
      <c r="C901" s="19"/>
      <c r="D901" s="12" t="str">
        <f t="shared" si="2"/>
        <v> </v>
      </c>
      <c r="E901" s="12" t="str">
        <f t="shared" si="3"/>
        <v> </v>
      </c>
      <c r="F901" s="12"/>
      <c r="G901" s="20"/>
      <c r="H901" s="20"/>
      <c r="I901" s="20"/>
      <c r="J901" s="19"/>
      <c r="K901" s="19"/>
      <c r="L901" s="12"/>
      <c r="M901" s="12"/>
      <c r="N901" s="12"/>
      <c r="O901" s="1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11"/>
      <c r="B902" s="19"/>
      <c r="C902" s="19"/>
      <c r="D902" s="12" t="str">
        <f t="shared" si="2"/>
        <v> </v>
      </c>
      <c r="E902" s="12" t="str">
        <f t="shared" si="3"/>
        <v> </v>
      </c>
      <c r="F902" s="12"/>
      <c r="G902" s="20"/>
      <c r="H902" s="20"/>
      <c r="I902" s="20"/>
      <c r="J902" s="19"/>
      <c r="K902" s="19"/>
      <c r="L902" s="12"/>
      <c r="M902" s="12"/>
      <c r="N902" s="12"/>
      <c r="O902" s="1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11"/>
      <c r="B903" s="19"/>
      <c r="C903" s="19"/>
      <c r="D903" s="12" t="str">
        <f t="shared" si="2"/>
        <v> </v>
      </c>
      <c r="E903" s="12" t="str">
        <f t="shared" si="3"/>
        <v> </v>
      </c>
      <c r="F903" s="12"/>
      <c r="G903" s="20"/>
      <c r="H903" s="20"/>
      <c r="I903" s="20"/>
      <c r="J903" s="19"/>
      <c r="K903" s="19"/>
      <c r="L903" s="12"/>
      <c r="M903" s="12"/>
      <c r="N903" s="12"/>
      <c r="O903" s="1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11"/>
      <c r="B904" s="19"/>
      <c r="C904" s="19"/>
      <c r="D904" s="12" t="str">
        <f t="shared" si="2"/>
        <v> </v>
      </c>
      <c r="E904" s="12" t="str">
        <f t="shared" si="3"/>
        <v> </v>
      </c>
      <c r="F904" s="12"/>
      <c r="G904" s="20"/>
      <c r="H904" s="20"/>
      <c r="I904" s="20"/>
      <c r="J904" s="19"/>
      <c r="K904" s="19"/>
      <c r="L904" s="12"/>
      <c r="M904" s="12"/>
      <c r="N904" s="12"/>
      <c r="O904" s="1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11"/>
      <c r="B905" s="19"/>
      <c r="C905" s="19"/>
      <c r="D905" s="12" t="str">
        <f t="shared" si="2"/>
        <v> </v>
      </c>
      <c r="E905" s="12" t="str">
        <f t="shared" si="3"/>
        <v> </v>
      </c>
      <c r="F905" s="12"/>
      <c r="G905" s="20"/>
      <c r="H905" s="20"/>
      <c r="I905" s="20"/>
      <c r="J905" s="19"/>
      <c r="K905" s="19"/>
      <c r="L905" s="12"/>
      <c r="M905" s="12"/>
      <c r="N905" s="12"/>
      <c r="O905" s="1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11"/>
      <c r="B906" s="19"/>
      <c r="C906" s="19"/>
      <c r="D906" s="12" t="str">
        <f t="shared" si="2"/>
        <v> </v>
      </c>
      <c r="E906" s="12" t="str">
        <f t="shared" si="3"/>
        <v> </v>
      </c>
      <c r="F906" s="12"/>
      <c r="G906" s="20"/>
      <c r="H906" s="20"/>
      <c r="I906" s="20"/>
      <c r="J906" s="19"/>
      <c r="K906" s="19"/>
      <c r="L906" s="12"/>
      <c r="M906" s="12"/>
      <c r="N906" s="12"/>
      <c r="O906" s="1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11"/>
      <c r="B907" s="19"/>
      <c r="C907" s="19"/>
      <c r="D907" s="12" t="str">
        <f t="shared" si="2"/>
        <v> </v>
      </c>
      <c r="E907" s="12" t="str">
        <f t="shared" si="3"/>
        <v> </v>
      </c>
      <c r="F907" s="12"/>
      <c r="G907" s="20"/>
      <c r="H907" s="20"/>
      <c r="I907" s="20"/>
      <c r="J907" s="19"/>
      <c r="K907" s="19"/>
      <c r="L907" s="12"/>
      <c r="M907" s="12"/>
      <c r="N907" s="12"/>
      <c r="O907" s="1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11"/>
      <c r="B908" s="19"/>
      <c r="C908" s="19"/>
      <c r="D908" s="12" t="str">
        <f t="shared" si="2"/>
        <v> </v>
      </c>
      <c r="E908" s="12" t="str">
        <f t="shared" si="3"/>
        <v> </v>
      </c>
      <c r="F908" s="12"/>
      <c r="G908" s="20"/>
      <c r="H908" s="20"/>
      <c r="I908" s="20"/>
      <c r="J908" s="19"/>
      <c r="K908" s="19"/>
      <c r="L908" s="12"/>
      <c r="M908" s="12"/>
      <c r="N908" s="12"/>
      <c r="O908" s="1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11"/>
      <c r="B909" s="19"/>
      <c r="C909" s="19"/>
      <c r="D909" s="12" t="str">
        <f t="shared" si="2"/>
        <v> </v>
      </c>
      <c r="E909" s="12" t="str">
        <f t="shared" si="3"/>
        <v> </v>
      </c>
      <c r="F909" s="12"/>
      <c r="G909" s="20"/>
      <c r="H909" s="20"/>
      <c r="I909" s="20"/>
      <c r="J909" s="19"/>
      <c r="K909" s="19"/>
      <c r="L909" s="12"/>
      <c r="M909" s="12"/>
      <c r="N909" s="12"/>
      <c r="O909" s="1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11"/>
      <c r="B910" s="19"/>
      <c r="C910" s="19"/>
      <c r="D910" s="12" t="str">
        <f t="shared" si="2"/>
        <v> </v>
      </c>
      <c r="E910" s="12" t="str">
        <f t="shared" si="3"/>
        <v> </v>
      </c>
      <c r="F910" s="12"/>
      <c r="G910" s="20"/>
      <c r="H910" s="20"/>
      <c r="I910" s="20"/>
      <c r="J910" s="19"/>
      <c r="K910" s="19"/>
      <c r="L910" s="12"/>
      <c r="M910" s="12"/>
      <c r="N910" s="12"/>
      <c r="O910" s="1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11"/>
      <c r="B911" s="19"/>
      <c r="C911" s="19"/>
      <c r="D911" s="12" t="str">
        <f t="shared" si="2"/>
        <v> </v>
      </c>
      <c r="E911" s="12" t="str">
        <f t="shared" si="3"/>
        <v> </v>
      </c>
      <c r="F911" s="12"/>
      <c r="G911" s="20"/>
      <c r="H911" s="20"/>
      <c r="I911" s="20"/>
      <c r="J911" s="19"/>
      <c r="K911" s="19"/>
      <c r="L911" s="12"/>
      <c r="M911" s="12"/>
      <c r="N911" s="12"/>
      <c r="O911" s="1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11"/>
      <c r="B912" s="19"/>
      <c r="C912" s="19"/>
      <c r="D912" s="12" t="str">
        <f t="shared" si="2"/>
        <v> </v>
      </c>
      <c r="E912" s="12" t="str">
        <f t="shared" si="3"/>
        <v> </v>
      </c>
      <c r="F912" s="12"/>
      <c r="G912" s="20"/>
      <c r="H912" s="20"/>
      <c r="I912" s="20"/>
      <c r="J912" s="19"/>
      <c r="K912" s="19"/>
      <c r="L912" s="12"/>
      <c r="M912" s="12"/>
      <c r="N912" s="12"/>
      <c r="O912" s="1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11"/>
      <c r="B913" s="19"/>
      <c r="C913" s="19"/>
      <c r="D913" s="12" t="str">
        <f t="shared" si="2"/>
        <v> </v>
      </c>
      <c r="E913" s="12" t="str">
        <f t="shared" si="3"/>
        <v> </v>
      </c>
      <c r="F913" s="12"/>
      <c r="G913" s="20"/>
      <c r="H913" s="20"/>
      <c r="I913" s="20"/>
      <c r="J913" s="19"/>
      <c r="K913" s="19"/>
      <c r="L913" s="12"/>
      <c r="M913" s="12"/>
      <c r="N913" s="12"/>
      <c r="O913" s="1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11"/>
      <c r="B914" s="19"/>
      <c r="C914" s="19"/>
      <c r="D914" s="12" t="str">
        <f t="shared" si="2"/>
        <v> </v>
      </c>
      <c r="E914" s="12" t="str">
        <f t="shared" si="3"/>
        <v> </v>
      </c>
      <c r="F914" s="12"/>
      <c r="G914" s="20"/>
      <c r="H914" s="20"/>
      <c r="I914" s="20"/>
      <c r="J914" s="19"/>
      <c r="K914" s="19"/>
      <c r="L914" s="12"/>
      <c r="M914" s="12"/>
      <c r="N914" s="12"/>
      <c r="O914" s="1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11"/>
      <c r="B915" s="19"/>
      <c r="C915" s="19"/>
      <c r="D915" s="12" t="str">
        <f t="shared" si="2"/>
        <v> </v>
      </c>
      <c r="E915" s="12" t="str">
        <f t="shared" si="3"/>
        <v> </v>
      </c>
      <c r="F915" s="12"/>
      <c r="G915" s="20"/>
      <c r="H915" s="20"/>
      <c r="I915" s="20"/>
      <c r="J915" s="19"/>
      <c r="K915" s="19"/>
      <c r="L915" s="12"/>
      <c r="M915" s="12"/>
      <c r="N915" s="12"/>
      <c r="O915" s="1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11"/>
      <c r="B916" s="19"/>
      <c r="C916" s="19"/>
      <c r="D916" s="12" t="str">
        <f t="shared" si="2"/>
        <v> </v>
      </c>
      <c r="E916" s="12" t="str">
        <f t="shared" si="3"/>
        <v> </v>
      </c>
      <c r="F916" s="12"/>
      <c r="G916" s="20"/>
      <c r="H916" s="20"/>
      <c r="I916" s="20"/>
      <c r="J916" s="19"/>
      <c r="K916" s="19"/>
      <c r="L916" s="12"/>
      <c r="M916" s="12"/>
      <c r="N916" s="12"/>
      <c r="O916" s="1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11"/>
      <c r="B917" s="19"/>
      <c r="C917" s="19"/>
      <c r="D917" s="12" t="str">
        <f t="shared" si="2"/>
        <v> </v>
      </c>
      <c r="E917" s="12" t="str">
        <f t="shared" si="3"/>
        <v> </v>
      </c>
      <c r="F917" s="12"/>
      <c r="G917" s="20"/>
      <c r="H917" s="20"/>
      <c r="I917" s="20"/>
      <c r="J917" s="19"/>
      <c r="K917" s="19"/>
      <c r="L917" s="12"/>
      <c r="M917" s="12"/>
      <c r="N917" s="12"/>
      <c r="O917" s="1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11"/>
      <c r="B918" s="19"/>
      <c r="C918" s="19"/>
      <c r="D918" s="12" t="str">
        <f t="shared" si="2"/>
        <v> </v>
      </c>
      <c r="E918" s="12" t="str">
        <f t="shared" si="3"/>
        <v> </v>
      </c>
      <c r="F918" s="12"/>
      <c r="G918" s="20"/>
      <c r="H918" s="20"/>
      <c r="I918" s="20"/>
      <c r="J918" s="19"/>
      <c r="K918" s="19"/>
      <c r="L918" s="12"/>
      <c r="M918" s="12"/>
      <c r="N918" s="12"/>
      <c r="O918" s="1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11"/>
      <c r="B919" s="19"/>
      <c r="C919" s="19"/>
      <c r="D919" s="12" t="str">
        <f t="shared" si="2"/>
        <v> </v>
      </c>
      <c r="E919" s="12" t="str">
        <f t="shared" si="3"/>
        <v> </v>
      </c>
      <c r="F919" s="12"/>
      <c r="G919" s="20"/>
      <c r="H919" s="20"/>
      <c r="I919" s="20"/>
      <c r="J919" s="19"/>
      <c r="K919" s="19"/>
      <c r="L919" s="12"/>
      <c r="M919" s="12"/>
      <c r="N919" s="12"/>
      <c r="O919" s="1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11"/>
      <c r="B920" s="19"/>
      <c r="C920" s="19"/>
      <c r="D920" s="12" t="str">
        <f t="shared" si="2"/>
        <v> </v>
      </c>
      <c r="E920" s="12" t="str">
        <f t="shared" si="3"/>
        <v> </v>
      </c>
      <c r="F920" s="12"/>
      <c r="G920" s="20"/>
      <c r="H920" s="20"/>
      <c r="I920" s="20"/>
      <c r="J920" s="19"/>
      <c r="K920" s="19"/>
      <c r="L920" s="12"/>
      <c r="M920" s="12"/>
      <c r="N920" s="12"/>
      <c r="O920" s="1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11"/>
      <c r="B921" s="19"/>
      <c r="C921" s="19"/>
      <c r="D921" s="12" t="str">
        <f t="shared" si="2"/>
        <v> </v>
      </c>
      <c r="E921" s="12" t="str">
        <f t="shared" si="3"/>
        <v> </v>
      </c>
      <c r="F921" s="12"/>
      <c r="G921" s="20"/>
      <c r="H921" s="20"/>
      <c r="I921" s="20"/>
      <c r="J921" s="19"/>
      <c r="K921" s="19"/>
      <c r="L921" s="12"/>
      <c r="M921" s="12"/>
      <c r="N921" s="12"/>
      <c r="O921" s="1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11"/>
      <c r="B922" s="19"/>
      <c r="C922" s="19"/>
      <c r="D922" s="12" t="str">
        <f t="shared" si="2"/>
        <v> </v>
      </c>
      <c r="E922" s="12" t="str">
        <f t="shared" si="3"/>
        <v> </v>
      </c>
      <c r="F922" s="12"/>
      <c r="G922" s="20"/>
      <c r="H922" s="20"/>
      <c r="I922" s="20"/>
      <c r="J922" s="19"/>
      <c r="K922" s="19"/>
      <c r="L922" s="12"/>
      <c r="M922" s="12"/>
      <c r="N922" s="12"/>
      <c r="O922" s="1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11"/>
      <c r="B923" s="19"/>
      <c r="C923" s="19"/>
      <c r="D923" s="12" t="str">
        <f t="shared" si="2"/>
        <v> </v>
      </c>
      <c r="E923" s="12" t="str">
        <f t="shared" si="3"/>
        <v> </v>
      </c>
      <c r="F923" s="12"/>
      <c r="G923" s="20"/>
      <c r="H923" s="20"/>
      <c r="I923" s="20"/>
      <c r="J923" s="19"/>
      <c r="K923" s="19"/>
      <c r="L923" s="12"/>
      <c r="M923" s="12"/>
      <c r="N923" s="12"/>
      <c r="O923" s="1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11"/>
      <c r="B924" s="19"/>
      <c r="C924" s="19"/>
      <c r="D924" s="12" t="str">
        <f t="shared" si="2"/>
        <v> </v>
      </c>
      <c r="E924" s="12" t="str">
        <f t="shared" si="3"/>
        <v> </v>
      </c>
      <c r="F924" s="12"/>
      <c r="G924" s="20"/>
      <c r="H924" s="20"/>
      <c r="I924" s="20"/>
      <c r="J924" s="19"/>
      <c r="K924" s="19"/>
      <c r="L924" s="12"/>
      <c r="M924" s="12"/>
      <c r="N924" s="12"/>
      <c r="O924" s="1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11"/>
      <c r="B925" s="19"/>
      <c r="C925" s="19"/>
      <c r="D925" s="12" t="str">
        <f t="shared" si="2"/>
        <v> </v>
      </c>
      <c r="E925" s="12" t="str">
        <f t="shared" si="3"/>
        <v> </v>
      </c>
      <c r="F925" s="12"/>
      <c r="G925" s="20"/>
      <c r="H925" s="20"/>
      <c r="I925" s="20"/>
      <c r="J925" s="19"/>
      <c r="K925" s="19"/>
      <c r="L925" s="12"/>
      <c r="M925" s="12"/>
      <c r="N925" s="12"/>
      <c r="O925" s="1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11"/>
      <c r="B926" s="19"/>
      <c r="C926" s="19"/>
      <c r="D926" s="12" t="str">
        <f t="shared" si="2"/>
        <v> </v>
      </c>
      <c r="E926" s="12" t="str">
        <f t="shared" si="3"/>
        <v> </v>
      </c>
      <c r="F926" s="12"/>
      <c r="G926" s="20"/>
      <c r="H926" s="20"/>
      <c r="I926" s="20"/>
      <c r="J926" s="19"/>
      <c r="K926" s="19"/>
      <c r="L926" s="12"/>
      <c r="M926" s="12"/>
      <c r="N926" s="12"/>
      <c r="O926" s="1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11"/>
      <c r="B927" s="19"/>
      <c r="C927" s="19"/>
      <c r="D927" s="12" t="str">
        <f t="shared" si="2"/>
        <v> </v>
      </c>
      <c r="E927" s="12" t="str">
        <f t="shared" si="3"/>
        <v> </v>
      </c>
      <c r="F927" s="12"/>
      <c r="G927" s="20"/>
      <c r="H927" s="20"/>
      <c r="I927" s="20"/>
      <c r="J927" s="19"/>
      <c r="K927" s="19"/>
      <c r="L927" s="12"/>
      <c r="M927" s="12"/>
      <c r="N927" s="12"/>
      <c r="O927" s="1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11"/>
      <c r="B928" s="19"/>
      <c r="C928" s="19"/>
      <c r="D928" s="12" t="str">
        <f t="shared" si="2"/>
        <v> </v>
      </c>
      <c r="E928" s="12" t="str">
        <f t="shared" si="3"/>
        <v> </v>
      </c>
      <c r="F928" s="12"/>
      <c r="G928" s="20"/>
      <c r="H928" s="20"/>
      <c r="I928" s="20"/>
      <c r="J928" s="19"/>
      <c r="K928" s="19"/>
      <c r="L928" s="12"/>
      <c r="M928" s="12"/>
      <c r="N928" s="12"/>
      <c r="O928" s="1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11"/>
      <c r="B929" s="19"/>
      <c r="C929" s="19"/>
      <c r="D929" s="12" t="str">
        <f t="shared" si="2"/>
        <v> </v>
      </c>
      <c r="E929" s="12" t="str">
        <f t="shared" si="3"/>
        <v> </v>
      </c>
      <c r="F929" s="12"/>
      <c r="G929" s="20"/>
      <c r="H929" s="20"/>
      <c r="I929" s="20"/>
      <c r="J929" s="19"/>
      <c r="K929" s="19"/>
      <c r="L929" s="12"/>
      <c r="M929" s="12"/>
      <c r="N929" s="12"/>
      <c r="O929" s="1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11"/>
      <c r="B930" s="19"/>
      <c r="C930" s="19"/>
      <c r="D930" s="12" t="str">
        <f t="shared" si="2"/>
        <v> </v>
      </c>
      <c r="E930" s="12" t="str">
        <f t="shared" si="3"/>
        <v> </v>
      </c>
      <c r="F930" s="12"/>
      <c r="G930" s="20"/>
      <c r="H930" s="20"/>
      <c r="I930" s="20"/>
      <c r="J930" s="19"/>
      <c r="K930" s="19"/>
      <c r="L930" s="12"/>
      <c r="M930" s="12"/>
      <c r="N930" s="12"/>
      <c r="O930" s="1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11"/>
      <c r="B931" s="19"/>
      <c r="C931" s="19"/>
      <c r="D931" s="12" t="str">
        <f t="shared" si="2"/>
        <v> </v>
      </c>
      <c r="E931" s="12" t="str">
        <f t="shared" si="3"/>
        <v> </v>
      </c>
      <c r="F931" s="12"/>
      <c r="G931" s="20"/>
      <c r="H931" s="20"/>
      <c r="I931" s="20"/>
      <c r="J931" s="19"/>
      <c r="K931" s="19"/>
      <c r="L931" s="12"/>
      <c r="M931" s="12"/>
      <c r="N931" s="12"/>
      <c r="O931" s="1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11"/>
      <c r="B932" s="19"/>
      <c r="C932" s="19"/>
      <c r="D932" s="12" t="str">
        <f t="shared" si="2"/>
        <v> </v>
      </c>
      <c r="E932" s="12" t="str">
        <f t="shared" si="3"/>
        <v> </v>
      </c>
      <c r="F932" s="12"/>
      <c r="G932" s="20"/>
      <c r="H932" s="20"/>
      <c r="I932" s="20"/>
      <c r="J932" s="19"/>
      <c r="K932" s="19"/>
      <c r="L932" s="12"/>
      <c r="M932" s="12"/>
      <c r="N932" s="12"/>
      <c r="O932" s="1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11"/>
      <c r="B933" s="19"/>
      <c r="C933" s="19"/>
      <c r="D933" s="12" t="str">
        <f t="shared" si="2"/>
        <v> </v>
      </c>
      <c r="E933" s="12" t="str">
        <f t="shared" si="3"/>
        <v> </v>
      </c>
      <c r="F933" s="12"/>
      <c r="G933" s="20"/>
      <c r="H933" s="20"/>
      <c r="I933" s="20"/>
      <c r="J933" s="19"/>
      <c r="K933" s="19"/>
      <c r="L933" s="12"/>
      <c r="M933" s="12"/>
      <c r="N933" s="12"/>
      <c r="O933" s="1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11"/>
      <c r="B934" s="19"/>
      <c r="C934" s="19"/>
      <c r="D934" s="12" t="str">
        <f t="shared" si="2"/>
        <v> </v>
      </c>
      <c r="E934" s="12" t="str">
        <f t="shared" si="3"/>
        <v> </v>
      </c>
      <c r="F934" s="12"/>
      <c r="G934" s="20"/>
      <c r="H934" s="20"/>
      <c r="I934" s="20"/>
      <c r="J934" s="19"/>
      <c r="K934" s="19"/>
      <c r="L934" s="12"/>
      <c r="M934" s="12"/>
      <c r="N934" s="12"/>
      <c r="O934" s="1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11"/>
      <c r="B935" s="19"/>
      <c r="C935" s="19"/>
      <c r="D935" s="12" t="str">
        <f t="shared" si="2"/>
        <v> </v>
      </c>
      <c r="E935" s="12" t="str">
        <f t="shared" si="3"/>
        <v> </v>
      </c>
      <c r="F935" s="12"/>
      <c r="G935" s="20"/>
      <c r="H935" s="20"/>
      <c r="I935" s="20"/>
      <c r="J935" s="19"/>
      <c r="K935" s="19"/>
      <c r="L935" s="12"/>
      <c r="M935" s="12"/>
      <c r="N935" s="12"/>
      <c r="O935" s="1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11"/>
      <c r="B936" s="19"/>
      <c r="C936" s="19"/>
      <c r="D936" s="12" t="str">
        <f t="shared" si="2"/>
        <v> </v>
      </c>
      <c r="E936" s="12" t="str">
        <f t="shared" si="3"/>
        <v> </v>
      </c>
      <c r="F936" s="12"/>
      <c r="G936" s="20"/>
      <c r="H936" s="20"/>
      <c r="I936" s="20"/>
      <c r="J936" s="19"/>
      <c r="K936" s="19"/>
      <c r="L936" s="12"/>
      <c r="M936" s="12"/>
      <c r="N936" s="12"/>
      <c r="O936" s="1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11"/>
      <c r="B937" s="19"/>
      <c r="C937" s="19"/>
      <c r="D937" s="12" t="str">
        <f t="shared" si="2"/>
        <v> </v>
      </c>
      <c r="E937" s="12" t="str">
        <f t="shared" si="3"/>
        <v> </v>
      </c>
      <c r="F937" s="12"/>
      <c r="G937" s="20"/>
      <c r="H937" s="20"/>
      <c r="I937" s="20"/>
      <c r="J937" s="19"/>
      <c r="K937" s="19"/>
      <c r="L937" s="12"/>
      <c r="M937" s="12"/>
      <c r="N937" s="12"/>
      <c r="O937" s="1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11"/>
      <c r="B938" s="19"/>
      <c r="C938" s="19"/>
      <c r="D938" s="12" t="str">
        <f t="shared" si="2"/>
        <v> </v>
      </c>
      <c r="E938" s="12" t="str">
        <f t="shared" si="3"/>
        <v> </v>
      </c>
      <c r="F938" s="12"/>
      <c r="G938" s="20"/>
      <c r="H938" s="20"/>
      <c r="I938" s="20"/>
      <c r="J938" s="19"/>
      <c r="K938" s="19"/>
      <c r="L938" s="12"/>
      <c r="M938" s="12"/>
      <c r="N938" s="12"/>
      <c r="O938" s="1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11"/>
      <c r="B939" s="19"/>
      <c r="C939" s="19"/>
      <c r="D939" s="12" t="str">
        <f t="shared" si="2"/>
        <v> </v>
      </c>
      <c r="E939" s="12" t="str">
        <f t="shared" si="3"/>
        <v> </v>
      </c>
      <c r="F939" s="12"/>
      <c r="G939" s="20"/>
      <c r="H939" s="20"/>
      <c r="I939" s="20"/>
      <c r="J939" s="19"/>
      <c r="K939" s="19"/>
      <c r="L939" s="12"/>
      <c r="M939" s="12"/>
      <c r="N939" s="12"/>
      <c r="O939" s="1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11"/>
      <c r="B940" s="19"/>
      <c r="C940" s="19"/>
      <c r="D940" s="12" t="str">
        <f t="shared" si="2"/>
        <v> </v>
      </c>
      <c r="E940" s="12" t="str">
        <f t="shared" si="3"/>
        <v> </v>
      </c>
      <c r="F940" s="12"/>
      <c r="G940" s="20"/>
      <c r="H940" s="20"/>
      <c r="I940" s="20"/>
      <c r="J940" s="19"/>
      <c r="K940" s="19"/>
      <c r="L940" s="12"/>
      <c r="M940" s="12"/>
      <c r="N940" s="12"/>
      <c r="O940" s="1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11"/>
      <c r="B941" s="19"/>
      <c r="C941" s="19"/>
      <c r="D941" s="12" t="str">
        <f t="shared" si="2"/>
        <v> </v>
      </c>
      <c r="E941" s="12" t="str">
        <f t="shared" si="3"/>
        <v> </v>
      </c>
      <c r="F941" s="12"/>
      <c r="G941" s="20"/>
      <c r="H941" s="20"/>
      <c r="I941" s="20"/>
      <c r="J941" s="19"/>
      <c r="K941" s="19"/>
      <c r="L941" s="12"/>
      <c r="M941" s="12"/>
      <c r="N941" s="12"/>
      <c r="O941" s="1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11"/>
      <c r="B942" s="19"/>
      <c r="C942" s="19"/>
      <c r="D942" s="12" t="str">
        <f t="shared" si="2"/>
        <v> </v>
      </c>
      <c r="E942" s="12" t="str">
        <f t="shared" si="3"/>
        <v> </v>
      </c>
      <c r="F942" s="12"/>
      <c r="G942" s="20"/>
      <c r="H942" s="20"/>
      <c r="I942" s="20"/>
      <c r="J942" s="19"/>
      <c r="K942" s="19"/>
      <c r="L942" s="12"/>
      <c r="M942" s="12"/>
      <c r="N942" s="12"/>
      <c r="O942" s="1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11"/>
      <c r="B943" s="19"/>
      <c r="C943" s="19"/>
      <c r="D943" s="12" t="str">
        <f t="shared" si="2"/>
        <v> </v>
      </c>
      <c r="E943" s="12" t="str">
        <f t="shared" si="3"/>
        <v> </v>
      </c>
      <c r="F943" s="12"/>
      <c r="G943" s="20"/>
      <c r="H943" s="20"/>
      <c r="I943" s="20"/>
      <c r="J943" s="19"/>
      <c r="K943" s="19"/>
      <c r="L943" s="12"/>
      <c r="M943" s="12"/>
      <c r="N943" s="12"/>
      <c r="O943" s="1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11"/>
      <c r="B944" s="19"/>
      <c r="C944" s="19"/>
      <c r="D944" s="12" t="str">
        <f t="shared" si="2"/>
        <v> </v>
      </c>
      <c r="E944" s="12" t="str">
        <f t="shared" si="3"/>
        <v> </v>
      </c>
      <c r="F944" s="12"/>
      <c r="G944" s="20"/>
      <c r="H944" s="20"/>
      <c r="I944" s="20"/>
      <c r="J944" s="19"/>
      <c r="K944" s="19"/>
      <c r="L944" s="12"/>
      <c r="M944" s="12"/>
      <c r="N944" s="12"/>
      <c r="O944" s="1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11"/>
      <c r="B945" s="19"/>
      <c r="C945" s="19"/>
      <c r="D945" s="12" t="str">
        <f t="shared" si="2"/>
        <v> </v>
      </c>
      <c r="E945" s="12" t="str">
        <f t="shared" si="3"/>
        <v> </v>
      </c>
      <c r="F945" s="12"/>
      <c r="G945" s="20"/>
      <c r="H945" s="20"/>
      <c r="I945" s="20"/>
      <c r="J945" s="19"/>
      <c r="K945" s="19"/>
      <c r="L945" s="12"/>
      <c r="M945" s="12"/>
      <c r="N945" s="12"/>
      <c r="O945" s="1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11"/>
      <c r="B946" s="19"/>
      <c r="C946" s="19"/>
      <c r="D946" s="12" t="str">
        <f t="shared" si="2"/>
        <v> </v>
      </c>
      <c r="E946" s="12" t="str">
        <f t="shared" si="3"/>
        <v> </v>
      </c>
      <c r="F946" s="12"/>
      <c r="G946" s="20"/>
      <c r="H946" s="20"/>
      <c r="I946" s="20"/>
      <c r="J946" s="19"/>
      <c r="K946" s="19"/>
      <c r="L946" s="12"/>
      <c r="M946" s="12"/>
      <c r="N946" s="12"/>
      <c r="O946" s="1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11"/>
      <c r="B947" s="19"/>
      <c r="C947" s="19"/>
      <c r="D947" s="12" t="str">
        <f t="shared" si="2"/>
        <v> </v>
      </c>
      <c r="E947" s="12" t="str">
        <f t="shared" si="3"/>
        <v> </v>
      </c>
      <c r="F947" s="12"/>
      <c r="G947" s="20"/>
      <c r="H947" s="20"/>
      <c r="I947" s="20"/>
      <c r="J947" s="19"/>
      <c r="K947" s="19"/>
      <c r="L947" s="12"/>
      <c r="M947" s="12"/>
      <c r="N947" s="12"/>
      <c r="O947" s="1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11"/>
      <c r="B948" s="19"/>
      <c r="C948" s="19"/>
      <c r="D948" s="12" t="str">
        <f t="shared" si="2"/>
        <v> </v>
      </c>
      <c r="E948" s="12" t="str">
        <f t="shared" si="3"/>
        <v> </v>
      </c>
      <c r="F948" s="12"/>
      <c r="G948" s="20"/>
      <c r="H948" s="20"/>
      <c r="I948" s="20"/>
      <c r="J948" s="19"/>
      <c r="K948" s="19"/>
      <c r="L948" s="12"/>
      <c r="M948" s="12"/>
      <c r="N948" s="12"/>
      <c r="O948" s="1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11"/>
      <c r="B949" s="19"/>
      <c r="C949" s="19"/>
      <c r="D949" s="12" t="str">
        <f t="shared" si="2"/>
        <v> </v>
      </c>
      <c r="E949" s="12" t="str">
        <f t="shared" si="3"/>
        <v> </v>
      </c>
      <c r="F949" s="12"/>
      <c r="G949" s="20"/>
      <c r="H949" s="20"/>
      <c r="I949" s="20"/>
      <c r="J949" s="19"/>
      <c r="K949" s="19"/>
      <c r="L949" s="12"/>
      <c r="M949" s="12"/>
      <c r="N949" s="12"/>
      <c r="O949" s="1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11"/>
      <c r="B950" s="19"/>
      <c r="C950" s="19"/>
      <c r="D950" s="12" t="str">
        <f t="shared" si="2"/>
        <v> </v>
      </c>
      <c r="E950" s="12" t="str">
        <f t="shared" si="3"/>
        <v> </v>
      </c>
      <c r="F950" s="12"/>
      <c r="G950" s="20"/>
      <c r="H950" s="20"/>
      <c r="I950" s="20"/>
      <c r="J950" s="19"/>
      <c r="K950" s="19"/>
      <c r="L950" s="12"/>
      <c r="M950" s="12"/>
      <c r="N950" s="12"/>
      <c r="O950" s="1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11"/>
      <c r="B951" s="19"/>
      <c r="C951" s="19"/>
      <c r="D951" s="12" t="str">
        <f t="shared" si="2"/>
        <v> </v>
      </c>
      <c r="E951" s="12" t="str">
        <f t="shared" si="3"/>
        <v> </v>
      </c>
      <c r="F951" s="12"/>
      <c r="G951" s="20"/>
      <c r="H951" s="20"/>
      <c r="I951" s="20"/>
      <c r="J951" s="19"/>
      <c r="K951" s="19"/>
      <c r="L951" s="12"/>
      <c r="M951" s="12"/>
      <c r="N951" s="12"/>
      <c r="O951" s="1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11"/>
      <c r="B952" s="19"/>
      <c r="C952" s="19"/>
      <c r="D952" s="12" t="str">
        <f t="shared" si="2"/>
        <v> </v>
      </c>
      <c r="E952" s="12" t="str">
        <f t="shared" si="3"/>
        <v> </v>
      </c>
      <c r="F952" s="12"/>
      <c r="G952" s="20"/>
      <c r="H952" s="20"/>
      <c r="I952" s="20"/>
      <c r="J952" s="19"/>
      <c r="K952" s="19"/>
      <c r="L952" s="12"/>
      <c r="M952" s="12"/>
      <c r="N952" s="12"/>
      <c r="O952" s="1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11"/>
      <c r="B953" s="19"/>
      <c r="C953" s="19"/>
      <c r="D953" s="12" t="str">
        <f t="shared" si="2"/>
        <v> </v>
      </c>
      <c r="E953" s="12" t="str">
        <f t="shared" si="3"/>
        <v> </v>
      </c>
      <c r="F953" s="12"/>
      <c r="G953" s="20"/>
      <c r="H953" s="20"/>
      <c r="I953" s="20"/>
      <c r="J953" s="19"/>
      <c r="K953" s="19"/>
      <c r="L953" s="12"/>
      <c r="M953" s="12"/>
      <c r="N953" s="12"/>
      <c r="O953" s="1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11"/>
      <c r="B954" s="19"/>
      <c r="C954" s="19"/>
      <c r="D954" s="12" t="str">
        <f t="shared" si="2"/>
        <v> </v>
      </c>
      <c r="E954" s="12" t="str">
        <f t="shared" si="3"/>
        <v> </v>
      </c>
      <c r="F954" s="12"/>
      <c r="G954" s="20"/>
      <c r="H954" s="20"/>
      <c r="I954" s="20"/>
      <c r="J954" s="19"/>
      <c r="K954" s="19"/>
      <c r="L954" s="12"/>
      <c r="M954" s="12"/>
      <c r="N954" s="12"/>
      <c r="O954" s="1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11"/>
      <c r="B955" s="19"/>
      <c r="C955" s="19"/>
      <c r="D955" s="12" t="str">
        <f t="shared" si="2"/>
        <v> </v>
      </c>
      <c r="E955" s="12" t="str">
        <f t="shared" si="3"/>
        <v> </v>
      </c>
      <c r="F955" s="12"/>
      <c r="G955" s="20"/>
      <c r="H955" s="20"/>
      <c r="I955" s="20"/>
      <c r="J955" s="19"/>
      <c r="K955" s="19"/>
      <c r="L955" s="12"/>
      <c r="M955" s="12"/>
      <c r="N955" s="12"/>
      <c r="O955" s="1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11"/>
      <c r="B956" s="19"/>
      <c r="C956" s="19"/>
      <c r="D956" s="12" t="str">
        <f t="shared" si="2"/>
        <v> </v>
      </c>
      <c r="E956" s="12" t="str">
        <f t="shared" si="3"/>
        <v> </v>
      </c>
      <c r="F956" s="12"/>
      <c r="G956" s="20"/>
      <c r="H956" s="20"/>
      <c r="I956" s="20"/>
      <c r="J956" s="19"/>
      <c r="K956" s="19"/>
      <c r="L956" s="12"/>
      <c r="M956" s="12"/>
      <c r="N956" s="12"/>
      <c r="O956" s="1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11"/>
      <c r="B957" s="19"/>
      <c r="C957" s="19"/>
      <c r="D957" s="12" t="str">
        <f t="shared" si="2"/>
        <v> </v>
      </c>
      <c r="E957" s="12" t="str">
        <f t="shared" si="3"/>
        <v> </v>
      </c>
      <c r="F957" s="12"/>
      <c r="G957" s="20"/>
      <c r="H957" s="20"/>
      <c r="I957" s="20"/>
      <c r="J957" s="19"/>
      <c r="K957" s="19"/>
      <c r="L957" s="12"/>
      <c r="M957" s="12"/>
      <c r="N957" s="12"/>
      <c r="O957" s="1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11"/>
      <c r="B958" s="19"/>
      <c r="C958" s="19"/>
      <c r="D958" s="12" t="str">
        <f t="shared" si="2"/>
        <v> </v>
      </c>
      <c r="E958" s="12" t="str">
        <f t="shared" si="3"/>
        <v> </v>
      </c>
      <c r="F958" s="12"/>
      <c r="G958" s="20"/>
      <c r="H958" s="20"/>
      <c r="I958" s="20"/>
      <c r="J958" s="19"/>
      <c r="K958" s="19"/>
      <c r="L958" s="12"/>
      <c r="M958" s="12"/>
      <c r="N958" s="12"/>
      <c r="O958" s="1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11"/>
      <c r="B959" s="19"/>
      <c r="C959" s="19"/>
      <c r="D959" s="12" t="str">
        <f t="shared" si="2"/>
        <v> </v>
      </c>
      <c r="E959" s="12" t="str">
        <f t="shared" si="3"/>
        <v> </v>
      </c>
      <c r="F959" s="12"/>
      <c r="G959" s="20"/>
      <c r="H959" s="20"/>
      <c r="I959" s="20"/>
      <c r="J959" s="19"/>
      <c r="K959" s="19"/>
      <c r="L959" s="12"/>
      <c r="M959" s="12"/>
      <c r="N959" s="12"/>
      <c r="O959" s="1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11"/>
      <c r="B960" s="19"/>
      <c r="C960" s="19"/>
      <c r="D960" s="12" t="str">
        <f t="shared" si="2"/>
        <v> </v>
      </c>
      <c r="E960" s="12" t="str">
        <f t="shared" si="3"/>
        <v> </v>
      </c>
      <c r="F960" s="12"/>
      <c r="G960" s="20"/>
      <c r="H960" s="20"/>
      <c r="I960" s="20"/>
      <c r="J960" s="19"/>
      <c r="K960" s="19"/>
      <c r="L960" s="12"/>
      <c r="M960" s="12"/>
      <c r="N960" s="12"/>
      <c r="O960" s="1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11"/>
      <c r="B961" s="19"/>
      <c r="C961" s="19"/>
      <c r="D961" s="12" t="str">
        <f t="shared" si="2"/>
        <v> </v>
      </c>
      <c r="E961" s="12" t="str">
        <f t="shared" si="3"/>
        <v> </v>
      </c>
      <c r="F961" s="12"/>
      <c r="G961" s="20"/>
      <c r="H961" s="20"/>
      <c r="I961" s="20"/>
      <c r="J961" s="19"/>
      <c r="K961" s="19"/>
      <c r="L961" s="12"/>
      <c r="M961" s="12"/>
      <c r="N961" s="12"/>
      <c r="O961" s="1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11"/>
      <c r="B962" s="19"/>
      <c r="C962" s="19"/>
      <c r="D962" s="12" t="str">
        <f t="shared" si="2"/>
        <v> </v>
      </c>
      <c r="E962" s="12" t="str">
        <f t="shared" si="3"/>
        <v> </v>
      </c>
      <c r="F962" s="12"/>
      <c r="G962" s="20"/>
      <c r="H962" s="20"/>
      <c r="I962" s="20"/>
      <c r="J962" s="19"/>
      <c r="K962" s="19"/>
      <c r="L962" s="12"/>
      <c r="M962" s="12"/>
      <c r="N962" s="12"/>
      <c r="O962" s="1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11"/>
      <c r="B963" s="19"/>
      <c r="C963" s="19"/>
      <c r="D963" s="12" t="str">
        <f t="shared" si="2"/>
        <v> </v>
      </c>
      <c r="E963" s="12" t="str">
        <f t="shared" si="3"/>
        <v> </v>
      </c>
      <c r="F963" s="12"/>
      <c r="G963" s="20"/>
      <c r="H963" s="20"/>
      <c r="I963" s="20"/>
      <c r="J963" s="19"/>
      <c r="K963" s="19"/>
      <c r="L963" s="12"/>
      <c r="M963" s="12"/>
      <c r="N963" s="12"/>
      <c r="O963" s="1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11"/>
      <c r="B964" s="19"/>
      <c r="C964" s="19"/>
      <c r="D964" s="12" t="str">
        <f t="shared" si="2"/>
        <v> </v>
      </c>
      <c r="E964" s="12" t="str">
        <f t="shared" si="3"/>
        <v> </v>
      </c>
      <c r="F964" s="12"/>
      <c r="G964" s="20"/>
      <c r="H964" s="20"/>
      <c r="I964" s="20"/>
      <c r="J964" s="19"/>
      <c r="K964" s="19"/>
      <c r="L964" s="12"/>
      <c r="M964" s="12"/>
      <c r="N964" s="12"/>
      <c r="O964" s="1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11"/>
      <c r="B965" s="19"/>
      <c r="C965" s="19"/>
      <c r="D965" s="12" t="str">
        <f t="shared" si="2"/>
        <v> </v>
      </c>
      <c r="E965" s="12" t="str">
        <f t="shared" si="3"/>
        <v> </v>
      </c>
      <c r="F965" s="12"/>
      <c r="G965" s="20"/>
      <c r="H965" s="20"/>
      <c r="I965" s="20"/>
      <c r="J965" s="19"/>
      <c r="K965" s="19"/>
      <c r="L965" s="12"/>
      <c r="M965" s="12"/>
      <c r="N965" s="12"/>
      <c r="O965" s="1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11"/>
      <c r="B966" s="19"/>
      <c r="C966" s="19"/>
      <c r="D966" s="12" t="str">
        <f t="shared" si="2"/>
        <v> </v>
      </c>
      <c r="E966" s="12" t="str">
        <f t="shared" si="3"/>
        <v> </v>
      </c>
      <c r="F966" s="12"/>
      <c r="G966" s="20"/>
      <c r="H966" s="20"/>
      <c r="I966" s="20"/>
      <c r="J966" s="19"/>
      <c r="K966" s="19"/>
      <c r="L966" s="12"/>
      <c r="M966" s="12"/>
      <c r="N966" s="12"/>
      <c r="O966" s="1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11"/>
      <c r="B967" s="19"/>
      <c r="C967" s="19"/>
      <c r="D967" s="12" t="str">
        <f t="shared" si="2"/>
        <v> </v>
      </c>
      <c r="E967" s="12" t="str">
        <f t="shared" si="3"/>
        <v> </v>
      </c>
      <c r="F967" s="12"/>
      <c r="G967" s="20"/>
      <c r="H967" s="20"/>
      <c r="I967" s="20"/>
      <c r="J967" s="19"/>
      <c r="K967" s="19"/>
      <c r="L967" s="12"/>
      <c r="M967" s="12"/>
      <c r="N967" s="12"/>
      <c r="O967" s="1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11"/>
      <c r="B968" s="19"/>
      <c r="C968" s="19"/>
      <c r="D968" s="12" t="str">
        <f t="shared" si="2"/>
        <v> </v>
      </c>
      <c r="E968" s="12" t="str">
        <f t="shared" si="3"/>
        <v> </v>
      </c>
      <c r="F968" s="12"/>
      <c r="G968" s="20"/>
      <c r="H968" s="20"/>
      <c r="I968" s="20"/>
      <c r="J968" s="19"/>
      <c r="K968" s="19"/>
      <c r="L968" s="12"/>
      <c r="M968" s="12"/>
      <c r="N968" s="12"/>
      <c r="O968" s="1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11"/>
      <c r="B969" s="19"/>
      <c r="C969" s="19"/>
      <c r="D969" s="12" t="str">
        <f t="shared" si="2"/>
        <v> </v>
      </c>
      <c r="E969" s="12" t="str">
        <f t="shared" si="3"/>
        <v> </v>
      </c>
      <c r="F969" s="12"/>
      <c r="G969" s="20"/>
      <c r="H969" s="20"/>
      <c r="I969" s="20"/>
      <c r="J969" s="19"/>
      <c r="K969" s="19"/>
      <c r="L969" s="12"/>
      <c r="M969" s="12"/>
      <c r="N969" s="12"/>
      <c r="O969" s="1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11"/>
      <c r="B970" s="19"/>
      <c r="C970" s="19"/>
      <c r="D970" s="12" t="str">
        <f t="shared" si="2"/>
        <v> </v>
      </c>
      <c r="E970" s="12" t="str">
        <f t="shared" si="3"/>
        <v> </v>
      </c>
      <c r="F970" s="12"/>
      <c r="G970" s="20"/>
      <c r="H970" s="20"/>
      <c r="I970" s="20"/>
      <c r="J970" s="19"/>
      <c r="K970" s="19"/>
      <c r="L970" s="12"/>
      <c r="M970" s="12"/>
      <c r="N970" s="12"/>
      <c r="O970" s="1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11"/>
      <c r="B971" s="19"/>
      <c r="C971" s="19"/>
      <c r="D971" s="12" t="str">
        <f t="shared" si="2"/>
        <v> </v>
      </c>
      <c r="E971" s="12" t="str">
        <f t="shared" si="3"/>
        <v> </v>
      </c>
      <c r="F971" s="12"/>
      <c r="G971" s="20"/>
      <c r="H971" s="20"/>
      <c r="I971" s="20"/>
      <c r="J971" s="19"/>
      <c r="K971" s="19"/>
      <c r="L971" s="12"/>
      <c r="M971" s="12"/>
      <c r="N971" s="12"/>
      <c r="O971" s="1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11"/>
      <c r="B972" s="19"/>
      <c r="C972" s="19"/>
      <c r="D972" s="12" t="str">
        <f t="shared" si="2"/>
        <v> </v>
      </c>
      <c r="E972" s="12" t="str">
        <f t="shared" si="3"/>
        <v> </v>
      </c>
      <c r="F972" s="12"/>
      <c r="G972" s="20"/>
      <c r="H972" s="20"/>
      <c r="I972" s="20"/>
      <c r="J972" s="19"/>
      <c r="K972" s="19"/>
      <c r="L972" s="12"/>
      <c r="M972" s="12"/>
      <c r="N972" s="12"/>
      <c r="O972" s="1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11"/>
      <c r="B973" s="19"/>
      <c r="C973" s="19"/>
      <c r="D973" s="12" t="str">
        <f t="shared" si="2"/>
        <v> </v>
      </c>
      <c r="E973" s="12" t="str">
        <f t="shared" si="3"/>
        <v> </v>
      </c>
      <c r="F973" s="12"/>
      <c r="G973" s="20"/>
      <c r="H973" s="20"/>
      <c r="I973" s="20"/>
      <c r="J973" s="19"/>
      <c r="K973" s="19"/>
      <c r="L973" s="12"/>
      <c r="M973" s="12"/>
      <c r="N973" s="12"/>
      <c r="O973" s="1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11"/>
      <c r="B974" s="19"/>
      <c r="C974" s="19"/>
      <c r="D974" s="12" t="str">
        <f t="shared" si="2"/>
        <v> </v>
      </c>
      <c r="E974" s="12" t="str">
        <f t="shared" si="3"/>
        <v> </v>
      </c>
      <c r="F974" s="12"/>
      <c r="G974" s="20"/>
      <c r="H974" s="20"/>
      <c r="I974" s="20"/>
      <c r="J974" s="19"/>
      <c r="K974" s="19"/>
      <c r="L974" s="12"/>
      <c r="M974" s="12"/>
      <c r="N974" s="12"/>
      <c r="O974" s="1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11"/>
      <c r="B975" s="19"/>
      <c r="C975" s="19"/>
      <c r="D975" s="12" t="str">
        <f t="shared" si="2"/>
        <v> </v>
      </c>
      <c r="E975" s="12" t="str">
        <f t="shared" si="3"/>
        <v> </v>
      </c>
      <c r="F975" s="12"/>
      <c r="G975" s="20"/>
      <c r="H975" s="20"/>
      <c r="I975" s="20"/>
      <c r="J975" s="19"/>
      <c r="K975" s="19"/>
      <c r="L975" s="12"/>
      <c r="M975" s="12"/>
      <c r="N975" s="12"/>
      <c r="O975" s="1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11"/>
      <c r="B976" s="19"/>
      <c r="C976" s="19"/>
      <c r="D976" s="12" t="str">
        <f t="shared" si="2"/>
        <v> </v>
      </c>
      <c r="E976" s="12" t="str">
        <f t="shared" si="3"/>
        <v> </v>
      </c>
      <c r="F976" s="12"/>
      <c r="G976" s="20"/>
      <c r="H976" s="20"/>
      <c r="I976" s="20"/>
      <c r="J976" s="19"/>
      <c r="K976" s="19"/>
      <c r="L976" s="12"/>
      <c r="M976" s="12"/>
      <c r="N976" s="12"/>
      <c r="O976" s="1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11"/>
      <c r="B977" s="19"/>
      <c r="C977" s="19"/>
      <c r="D977" s="12" t="str">
        <f t="shared" si="2"/>
        <v> </v>
      </c>
      <c r="E977" s="12" t="str">
        <f t="shared" si="3"/>
        <v> </v>
      </c>
      <c r="F977" s="12"/>
      <c r="G977" s="20"/>
      <c r="H977" s="20"/>
      <c r="I977" s="20"/>
      <c r="J977" s="19"/>
      <c r="K977" s="19"/>
      <c r="L977" s="12"/>
      <c r="M977" s="12"/>
      <c r="N977" s="12"/>
      <c r="O977" s="1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11"/>
      <c r="B978" s="19"/>
      <c r="C978" s="19"/>
      <c r="D978" s="12" t="str">
        <f t="shared" si="2"/>
        <v> </v>
      </c>
      <c r="E978" s="12" t="str">
        <f t="shared" si="3"/>
        <v> </v>
      </c>
      <c r="F978" s="12"/>
      <c r="G978" s="20"/>
      <c r="H978" s="20"/>
      <c r="I978" s="20"/>
      <c r="J978" s="19"/>
      <c r="K978" s="19"/>
      <c r="L978" s="12"/>
      <c r="M978" s="12"/>
      <c r="N978" s="12"/>
      <c r="O978" s="1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11"/>
      <c r="B979" s="19"/>
      <c r="C979" s="19"/>
      <c r="D979" s="12" t="str">
        <f t="shared" si="2"/>
        <v> </v>
      </c>
      <c r="E979" s="12" t="str">
        <f t="shared" si="3"/>
        <v> </v>
      </c>
      <c r="F979" s="12"/>
      <c r="G979" s="20"/>
      <c r="H979" s="20"/>
      <c r="I979" s="20"/>
      <c r="J979" s="19"/>
      <c r="K979" s="19"/>
      <c r="L979" s="12"/>
      <c r="M979" s="12"/>
      <c r="N979" s="12"/>
      <c r="O979" s="1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11"/>
      <c r="B980" s="19"/>
      <c r="C980" s="19"/>
      <c r="D980" s="12" t="str">
        <f t="shared" si="2"/>
        <v> </v>
      </c>
      <c r="E980" s="12" t="str">
        <f t="shared" si="3"/>
        <v> </v>
      </c>
      <c r="F980" s="12"/>
      <c r="G980" s="20"/>
      <c r="H980" s="20"/>
      <c r="I980" s="20"/>
      <c r="J980" s="19"/>
      <c r="K980" s="19"/>
      <c r="L980" s="12"/>
      <c r="M980" s="12"/>
      <c r="N980" s="12"/>
      <c r="O980" s="1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11"/>
      <c r="B981" s="19"/>
      <c r="C981" s="19"/>
      <c r="D981" s="12" t="str">
        <f t="shared" si="2"/>
        <v> </v>
      </c>
      <c r="E981" s="12" t="str">
        <f t="shared" si="3"/>
        <v> </v>
      </c>
      <c r="F981" s="12"/>
      <c r="G981" s="20"/>
      <c r="H981" s="20"/>
      <c r="I981" s="20"/>
      <c r="J981" s="19"/>
      <c r="K981" s="19"/>
      <c r="L981" s="12"/>
      <c r="M981" s="12"/>
      <c r="N981" s="12"/>
      <c r="O981" s="1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11"/>
      <c r="B982" s="19"/>
      <c r="C982" s="19"/>
      <c r="D982" s="12" t="str">
        <f t="shared" si="2"/>
        <v> </v>
      </c>
      <c r="E982" s="12" t="str">
        <f t="shared" si="3"/>
        <v> </v>
      </c>
      <c r="F982" s="12"/>
      <c r="G982" s="20"/>
      <c r="H982" s="20"/>
      <c r="I982" s="20"/>
      <c r="J982" s="19"/>
      <c r="K982" s="19"/>
      <c r="L982" s="12"/>
      <c r="M982" s="12"/>
      <c r="N982" s="12"/>
      <c r="O982" s="1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11"/>
      <c r="B983" s="19"/>
      <c r="C983" s="19"/>
      <c r="D983" s="12" t="str">
        <f t="shared" si="2"/>
        <v> </v>
      </c>
      <c r="E983" s="12" t="str">
        <f t="shared" si="3"/>
        <v> </v>
      </c>
      <c r="F983" s="12"/>
      <c r="G983" s="20"/>
      <c r="H983" s="20"/>
      <c r="I983" s="20"/>
      <c r="J983" s="19"/>
      <c r="K983" s="19"/>
      <c r="L983" s="12"/>
      <c r="M983" s="12"/>
      <c r="N983" s="12"/>
      <c r="O983" s="1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11"/>
      <c r="B984" s="19"/>
      <c r="C984" s="19"/>
      <c r="D984" s="12" t="str">
        <f t="shared" si="2"/>
        <v> </v>
      </c>
      <c r="E984" s="12" t="str">
        <f t="shared" si="3"/>
        <v> </v>
      </c>
      <c r="F984" s="12"/>
      <c r="G984" s="20"/>
      <c r="H984" s="20"/>
      <c r="I984" s="20"/>
      <c r="J984" s="19"/>
      <c r="K984" s="19"/>
      <c r="L984" s="12"/>
      <c r="M984" s="12"/>
      <c r="N984" s="12"/>
      <c r="O984" s="1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11"/>
      <c r="B985" s="19"/>
      <c r="C985" s="19"/>
      <c r="D985" s="12" t="str">
        <f t="shared" si="2"/>
        <v> </v>
      </c>
      <c r="E985" s="12" t="str">
        <f t="shared" si="3"/>
        <v> </v>
      </c>
      <c r="F985" s="12"/>
      <c r="G985" s="20"/>
      <c r="H985" s="20"/>
      <c r="I985" s="20"/>
      <c r="J985" s="19"/>
      <c r="K985" s="19"/>
      <c r="L985" s="12"/>
      <c r="M985" s="12"/>
      <c r="N985" s="12"/>
      <c r="O985" s="1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11"/>
      <c r="B986" s="19"/>
      <c r="C986" s="19"/>
      <c r="D986" s="12" t="str">
        <f t="shared" si="2"/>
        <v> </v>
      </c>
      <c r="E986" s="12" t="str">
        <f t="shared" si="3"/>
        <v> </v>
      </c>
      <c r="F986" s="12"/>
      <c r="G986" s="20"/>
      <c r="H986" s="20"/>
      <c r="I986" s="20"/>
      <c r="J986" s="19"/>
      <c r="K986" s="19"/>
      <c r="L986" s="12"/>
      <c r="M986" s="12"/>
      <c r="N986" s="12"/>
      <c r="O986" s="1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11"/>
      <c r="B987" s="19"/>
      <c r="C987" s="19"/>
      <c r="D987" s="12" t="str">
        <f t="shared" si="2"/>
        <v> </v>
      </c>
      <c r="E987" s="12" t="str">
        <f t="shared" si="3"/>
        <v> </v>
      </c>
      <c r="F987" s="12"/>
      <c r="G987" s="20"/>
      <c r="H987" s="20"/>
      <c r="I987" s="20"/>
      <c r="J987" s="19"/>
      <c r="K987" s="19"/>
      <c r="L987" s="12"/>
      <c r="M987" s="12"/>
      <c r="N987" s="12"/>
      <c r="O987" s="1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11"/>
      <c r="B988" s="19"/>
      <c r="C988" s="19"/>
      <c r="D988" s="12" t="str">
        <f t="shared" si="2"/>
        <v> </v>
      </c>
      <c r="E988" s="12" t="str">
        <f t="shared" si="3"/>
        <v> </v>
      </c>
      <c r="F988" s="12"/>
      <c r="G988" s="20"/>
      <c r="H988" s="20"/>
      <c r="I988" s="20"/>
      <c r="J988" s="19"/>
      <c r="K988" s="19"/>
      <c r="L988" s="12"/>
      <c r="M988" s="12"/>
      <c r="N988" s="12"/>
      <c r="O988" s="1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11"/>
      <c r="B989" s="19"/>
      <c r="C989" s="19"/>
      <c r="D989" s="12" t="str">
        <f t="shared" si="2"/>
        <v> </v>
      </c>
      <c r="E989" s="12" t="str">
        <f t="shared" si="3"/>
        <v> </v>
      </c>
      <c r="F989" s="12"/>
      <c r="G989" s="20"/>
      <c r="H989" s="20"/>
      <c r="I989" s="20"/>
      <c r="J989" s="19"/>
      <c r="K989" s="19"/>
      <c r="L989" s="12"/>
      <c r="M989" s="12"/>
      <c r="N989" s="12"/>
      <c r="O989" s="1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11"/>
      <c r="B990" s="19"/>
      <c r="C990" s="19"/>
      <c r="D990" s="12" t="str">
        <f t="shared" si="2"/>
        <v> </v>
      </c>
      <c r="E990" s="12" t="str">
        <f t="shared" si="3"/>
        <v> </v>
      </c>
      <c r="F990" s="12"/>
      <c r="G990" s="20"/>
      <c r="H990" s="20"/>
      <c r="I990" s="20"/>
      <c r="J990" s="19"/>
      <c r="K990" s="19"/>
      <c r="L990" s="12"/>
      <c r="M990" s="12"/>
      <c r="N990" s="12"/>
      <c r="O990" s="1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11"/>
      <c r="B991" s="19"/>
      <c r="C991" s="19"/>
      <c r="D991" s="12" t="str">
        <f t="shared" si="2"/>
        <v> </v>
      </c>
      <c r="E991" s="12" t="str">
        <f t="shared" si="3"/>
        <v> </v>
      </c>
      <c r="F991" s="12"/>
      <c r="G991" s="20"/>
      <c r="H991" s="20"/>
      <c r="I991" s="20"/>
      <c r="J991" s="19"/>
      <c r="K991" s="19"/>
      <c r="L991" s="12"/>
      <c r="M991" s="12"/>
      <c r="N991" s="12"/>
      <c r="O991" s="1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11"/>
      <c r="B992" s="19"/>
      <c r="C992" s="19"/>
      <c r="D992" s="12" t="str">
        <f t="shared" si="2"/>
        <v> </v>
      </c>
      <c r="E992" s="12" t="str">
        <f t="shared" si="3"/>
        <v> </v>
      </c>
      <c r="F992" s="12"/>
      <c r="G992" s="20"/>
      <c r="H992" s="20"/>
      <c r="I992" s="20"/>
      <c r="J992" s="19"/>
      <c r="K992" s="19"/>
      <c r="L992" s="12"/>
      <c r="M992" s="12"/>
      <c r="N992" s="12"/>
      <c r="O992" s="1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11"/>
      <c r="B993" s="19"/>
      <c r="C993" s="19"/>
      <c r="D993" s="12" t="str">
        <f t="shared" si="2"/>
        <v> </v>
      </c>
      <c r="E993" s="12" t="str">
        <f t="shared" si="3"/>
        <v> </v>
      </c>
      <c r="F993" s="12"/>
      <c r="G993" s="20"/>
      <c r="H993" s="20"/>
      <c r="I993" s="20"/>
      <c r="J993" s="19"/>
      <c r="K993" s="19"/>
      <c r="L993" s="12"/>
      <c r="M993" s="12"/>
      <c r="N993" s="12"/>
      <c r="O993" s="1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11"/>
      <c r="B994" s="19"/>
      <c r="C994" s="19"/>
      <c r="D994" s="12" t="str">
        <f t="shared" si="2"/>
        <v> </v>
      </c>
      <c r="E994" s="12" t="str">
        <f t="shared" si="3"/>
        <v> </v>
      </c>
      <c r="F994" s="12"/>
      <c r="G994" s="20"/>
      <c r="H994" s="20"/>
      <c r="I994" s="20"/>
      <c r="J994" s="19"/>
      <c r="K994" s="19"/>
      <c r="L994" s="12"/>
      <c r="M994" s="12"/>
      <c r="N994" s="12"/>
      <c r="O994" s="1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11"/>
      <c r="B995" s="19"/>
      <c r="C995" s="19"/>
      <c r="D995" s="12" t="str">
        <f t="shared" si="2"/>
        <v> </v>
      </c>
      <c r="E995" s="12" t="str">
        <f t="shared" si="3"/>
        <v> </v>
      </c>
      <c r="F995" s="12"/>
      <c r="G995" s="20"/>
      <c r="H995" s="20"/>
      <c r="I995" s="20"/>
      <c r="J995" s="19"/>
      <c r="K995" s="19"/>
      <c r="L995" s="12"/>
      <c r="M995" s="12"/>
      <c r="N995" s="12"/>
      <c r="O995" s="1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11"/>
      <c r="B996" s="19"/>
      <c r="C996" s="19"/>
      <c r="D996" s="12" t="str">
        <f t="shared" si="2"/>
        <v> </v>
      </c>
      <c r="E996" s="12" t="str">
        <f t="shared" si="3"/>
        <v> </v>
      </c>
      <c r="F996" s="12"/>
      <c r="G996" s="20"/>
      <c r="H996" s="20"/>
      <c r="I996" s="20"/>
      <c r="J996" s="19"/>
      <c r="K996" s="19"/>
      <c r="L996" s="12"/>
      <c r="M996" s="12"/>
      <c r="N996" s="12"/>
      <c r="O996" s="1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11"/>
      <c r="B997" s="19"/>
      <c r="C997" s="19"/>
      <c r="D997" s="12" t="str">
        <f t="shared" si="2"/>
        <v> </v>
      </c>
      <c r="E997" s="12" t="str">
        <f t="shared" si="3"/>
        <v> </v>
      </c>
      <c r="F997" s="12"/>
      <c r="G997" s="20"/>
      <c r="H997" s="20"/>
      <c r="I997" s="20"/>
      <c r="J997" s="19"/>
      <c r="K997" s="19"/>
      <c r="L997" s="12"/>
      <c r="M997" s="12"/>
      <c r="N997" s="12"/>
      <c r="O997" s="1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11"/>
      <c r="B998" s="19"/>
      <c r="C998" s="19"/>
      <c r="D998" s="12" t="str">
        <f t="shared" si="2"/>
        <v> </v>
      </c>
      <c r="E998" s="12" t="str">
        <f t="shared" si="3"/>
        <v> </v>
      </c>
      <c r="F998" s="12"/>
      <c r="G998" s="20"/>
      <c r="H998" s="20"/>
      <c r="I998" s="20"/>
      <c r="J998" s="19"/>
      <c r="K998" s="19"/>
      <c r="L998" s="12"/>
      <c r="M998" s="12"/>
      <c r="N998" s="12"/>
      <c r="O998" s="1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11"/>
      <c r="B999" s="19"/>
      <c r="C999" s="19"/>
      <c r="D999" s="12" t="str">
        <f t="shared" si="2"/>
        <v> </v>
      </c>
      <c r="E999" s="12" t="str">
        <f t="shared" si="3"/>
        <v> </v>
      </c>
      <c r="F999" s="12"/>
      <c r="G999" s="20"/>
      <c r="H999" s="20"/>
      <c r="I999" s="20"/>
      <c r="J999" s="19"/>
      <c r="K999" s="19"/>
      <c r="L999" s="12"/>
      <c r="M999" s="12"/>
      <c r="N999" s="12"/>
      <c r="O999" s="1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11"/>
      <c r="B1000" s="19"/>
      <c r="C1000" s="19"/>
      <c r="D1000" s="12" t="str">
        <f t="shared" si="2"/>
        <v> </v>
      </c>
      <c r="E1000" s="12" t="str">
        <f t="shared" si="3"/>
        <v> </v>
      </c>
      <c r="F1000" s="12"/>
      <c r="G1000" s="20"/>
      <c r="H1000" s="20"/>
      <c r="I1000" s="20"/>
      <c r="J1000" s="19"/>
      <c r="K1000" s="19"/>
      <c r="L1000" s="12"/>
      <c r="M1000" s="12"/>
      <c r="N1000" s="12"/>
      <c r="O1000" s="1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11"/>
      <c r="B1001" s="19"/>
      <c r="C1001" s="19"/>
      <c r="D1001" s="12" t="str">
        <f t="shared" si="2"/>
        <v> </v>
      </c>
      <c r="E1001" s="12" t="str">
        <f t="shared" si="3"/>
        <v> </v>
      </c>
      <c r="F1001" s="12"/>
      <c r="G1001" s="20"/>
      <c r="H1001" s="20"/>
      <c r="I1001" s="20"/>
      <c r="J1001" s="19"/>
      <c r="K1001" s="19"/>
      <c r="L1001" s="12"/>
      <c r="M1001" s="12"/>
      <c r="N1001" s="12"/>
      <c r="O1001" s="1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</sheetData>
  <autoFilter ref="$A$2:$AB$1001"/>
  <mergeCells count="1">
    <mergeCell ref="A1:F1"/>
  </mergeCells>
  <dataValidations>
    <dataValidation type="list" allowBlank="1" showErrorMessage="1" sqref="F3:F1001">
      <formula1>"U.S POLO,U.S POLO KIDS,ARROW,FLYING MACHINE,U.S POLO PROMO,U.S POLO KIDS PROMO,ARROW PROMO,FLYING MACHINE PROMO,LINEN CLUB,LINEN CLUB PROMO,U.S POLO (SOR)"</formula1>
    </dataValidation>
    <dataValidation type="list" allowBlank="1" showErrorMessage="1" sqref="N3:N1001">
      <formula1>"BOOKED IN VENUE.,BOOKED IN ""DB"".,Non Booked Article Found.,PROMO,GOODS RETURNED"</formula1>
    </dataValidation>
    <dataValidation type="list" allowBlank="1" showErrorMessage="1" sqref="L3:L1001">
      <formula1>"Uploaded In TEN,Invoice Not Received,PT File Not Received,PT File Done Not-Uploaded In TEN,Inward Pending,Product Not Received."</formula1>
    </dataValidation>
    <dataValidation type="list" allowBlank="1" showErrorMessage="1" sqref="O3:O1001">
      <formula1>"PENDING.,DONE.,GOODS RETURNED"</formula1>
    </dataValidation>
    <dataValidation type="list" allowBlank="1" showErrorMessage="1" sqref="K3:K1001">
      <formula1>"AW'25,SS'26,AW'26,SS'27,AW'27"</formula1>
    </dataValidation>
  </dataValidations>
  <hyperlinks>
    <hyperlink r:id="rId4" ref="J3"/>
    <hyperlink r:id="rId5" ref="J4"/>
    <hyperlink r:id="rId6" ref="J5"/>
    <hyperlink r:id="rId7" ref="J6"/>
    <hyperlink r:id="rId8" ref="J7"/>
    <hyperlink r:id="rId9" ref="J8"/>
    <hyperlink r:id="rId10" ref="J9"/>
    <hyperlink r:id="rId11" ref="J10"/>
    <hyperlink r:id="rId12" ref="J11"/>
    <hyperlink r:id="rId13" ref="J12"/>
    <hyperlink r:id="rId14" ref="J13"/>
    <hyperlink r:id="rId15" ref="J14"/>
    <hyperlink r:id="rId16" ref="J15"/>
    <hyperlink r:id="rId17" ref="J16"/>
    <hyperlink r:id="rId18" ref="J17"/>
    <hyperlink r:id="rId19" ref="J18"/>
    <hyperlink r:id="rId20" ref="J19"/>
    <hyperlink r:id="rId21" ref="J20"/>
    <hyperlink r:id="rId22" ref="J21"/>
    <hyperlink r:id="rId23" ref="J22"/>
    <hyperlink r:id="rId24" ref="J23"/>
    <hyperlink r:id="rId25" ref="J24"/>
    <hyperlink r:id="rId26" ref="J25"/>
    <hyperlink r:id="rId27" ref="J26"/>
    <hyperlink r:id="rId28" ref="J27"/>
    <hyperlink r:id="rId29" ref="J28"/>
    <hyperlink r:id="rId30" ref="J29"/>
    <hyperlink r:id="rId31" ref="J30"/>
    <hyperlink r:id="rId32" ref="J31"/>
    <hyperlink r:id="rId33" ref="J32"/>
    <hyperlink r:id="rId34" ref="J33"/>
    <hyperlink r:id="rId35" ref="J34"/>
    <hyperlink r:id="rId36" ref="J35"/>
    <hyperlink r:id="rId37" ref="J36"/>
    <hyperlink r:id="rId38" ref="J37"/>
    <hyperlink r:id="rId39" ref="J38"/>
    <hyperlink r:id="rId40" ref="J39"/>
    <hyperlink r:id="rId41" ref="J40"/>
    <hyperlink r:id="rId42" ref="J41"/>
    <hyperlink r:id="rId43" ref="J42"/>
    <hyperlink r:id="rId44" ref="J43"/>
    <hyperlink r:id="rId45" ref="J44"/>
    <hyperlink r:id="rId46" ref="J45"/>
    <hyperlink r:id="rId47" ref="J46"/>
    <hyperlink r:id="rId48" ref="J47"/>
    <hyperlink r:id="rId49" ref="J48"/>
    <hyperlink r:id="rId50" ref="J49"/>
    <hyperlink r:id="rId51" ref="J50"/>
    <hyperlink r:id="rId52" ref="J51"/>
    <hyperlink r:id="rId53" ref="J52"/>
    <hyperlink r:id="rId54" ref="J53"/>
    <hyperlink r:id="rId55" ref="J54"/>
    <hyperlink r:id="rId56" ref="J55"/>
    <hyperlink r:id="rId57" ref="J56"/>
    <hyperlink r:id="rId58" ref="J57"/>
    <hyperlink r:id="rId59" ref="J58"/>
    <hyperlink r:id="rId60" ref="J59"/>
    <hyperlink r:id="rId61" ref="J60"/>
    <hyperlink r:id="rId62" ref="J61"/>
    <hyperlink r:id="rId63" ref="J62"/>
    <hyperlink r:id="rId64" ref="J63"/>
    <hyperlink r:id="rId65" ref="J64"/>
    <hyperlink r:id="rId66" ref="J65"/>
    <hyperlink r:id="rId67" ref="J66"/>
    <hyperlink r:id="rId68" ref="J67"/>
    <hyperlink r:id="rId69" ref="J68"/>
    <hyperlink r:id="rId70" ref="J69"/>
  </hyperlinks>
  <drawing r:id="rId71"/>
  <legacy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4.63"/>
    <col customWidth="1" min="3" max="3" width="11.5"/>
    <col customWidth="1" min="4" max="4" width="89.13"/>
    <col customWidth="1" min="5" max="5" width="23.38"/>
    <col customWidth="1" min="6" max="6" width="22.63"/>
    <col customWidth="1" min="7" max="7" width="19.38"/>
    <col customWidth="1" min="8" max="8" width="55.88"/>
    <col customWidth="1" min="9" max="9" width="31.88"/>
  </cols>
  <sheetData>
    <row r="1">
      <c r="A1" s="21" t="s">
        <v>7</v>
      </c>
      <c r="B1" s="21" t="s">
        <v>183</v>
      </c>
      <c r="C1" s="21" t="s">
        <v>184</v>
      </c>
      <c r="D1" s="21" t="s">
        <v>185</v>
      </c>
      <c r="E1" s="22" t="s">
        <v>186</v>
      </c>
      <c r="F1" s="22" t="s">
        <v>187</v>
      </c>
      <c r="G1" s="21" t="s">
        <v>188</v>
      </c>
      <c r="H1" s="21" t="s">
        <v>189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idden="1">
      <c r="A2" s="24" t="s">
        <v>190</v>
      </c>
      <c r="B2" s="24" t="s">
        <v>191</v>
      </c>
      <c r="C2" s="24" t="s">
        <v>21</v>
      </c>
      <c r="D2" s="24" t="s">
        <v>192</v>
      </c>
      <c r="E2" s="25">
        <v>45906.0</v>
      </c>
      <c r="F2" s="25">
        <v>45940.0</v>
      </c>
      <c r="G2" s="26" t="s">
        <v>193</v>
      </c>
      <c r="H2" s="27" t="s">
        <v>194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idden="1">
      <c r="A3" s="24" t="s">
        <v>190</v>
      </c>
      <c r="B3" s="24" t="s">
        <v>191</v>
      </c>
      <c r="C3" s="24" t="s">
        <v>21</v>
      </c>
      <c r="D3" s="24" t="s">
        <v>195</v>
      </c>
      <c r="E3" s="25">
        <v>45906.0</v>
      </c>
      <c r="F3" s="25">
        <v>45940.0</v>
      </c>
      <c r="G3" s="26" t="s">
        <v>193</v>
      </c>
      <c r="H3" s="28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idden="1">
      <c r="A4" s="24" t="s">
        <v>190</v>
      </c>
      <c r="B4" s="24" t="s">
        <v>191</v>
      </c>
      <c r="C4" s="24" t="s">
        <v>21</v>
      </c>
      <c r="D4" s="24" t="s">
        <v>196</v>
      </c>
      <c r="E4" s="25">
        <v>45906.0</v>
      </c>
      <c r="F4" s="25">
        <v>45940.0</v>
      </c>
      <c r="G4" s="26" t="s">
        <v>193</v>
      </c>
      <c r="H4" s="29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idden="1">
      <c r="A5" s="24" t="s">
        <v>197</v>
      </c>
      <c r="B5" s="24" t="s">
        <v>191</v>
      </c>
      <c r="C5" s="24" t="s">
        <v>21</v>
      </c>
      <c r="D5" s="24" t="s">
        <v>198</v>
      </c>
      <c r="E5" s="25">
        <v>45906.0</v>
      </c>
      <c r="F5" s="25">
        <v>45940.0</v>
      </c>
      <c r="G5" s="26" t="s">
        <v>193</v>
      </c>
      <c r="H5" s="27" t="s">
        <v>199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idden="1">
      <c r="A6" s="24" t="s">
        <v>197</v>
      </c>
      <c r="B6" s="24" t="s">
        <v>191</v>
      </c>
      <c r="C6" s="24" t="s">
        <v>21</v>
      </c>
      <c r="D6" s="24" t="s">
        <v>200</v>
      </c>
      <c r="E6" s="25">
        <v>45906.0</v>
      </c>
      <c r="F6" s="25">
        <v>45940.0</v>
      </c>
      <c r="G6" s="26" t="s">
        <v>193</v>
      </c>
      <c r="H6" s="28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idden="1">
      <c r="A7" s="24" t="s">
        <v>197</v>
      </c>
      <c r="B7" s="24" t="s">
        <v>191</v>
      </c>
      <c r="C7" s="24" t="s">
        <v>21</v>
      </c>
      <c r="D7" s="24" t="s">
        <v>201</v>
      </c>
      <c r="E7" s="25">
        <v>45906.0</v>
      </c>
      <c r="F7" s="25">
        <v>45940.0</v>
      </c>
      <c r="G7" s="26" t="s">
        <v>193</v>
      </c>
      <c r="H7" s="29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idden="1">
      <c r="A8" s="24" t="s">
        <v>36</v>
      </c>
      <c r="B8" s="24" t="s">
        <v>202</v>
      </c>
      <c r="C8" s="24" t="s">
        <v>21</v>
      </c>
      <c r="D8" s="24" t="s">
        <v>203</v>
      </c>
      <c r="E8" s="25">
        <v>45908.0</v>
      </c>
      <c r="F8" s="25">
        <v>45961.0</v>
      </c>
      <c r="G8" s="26" t="s">
        <v>193</v>
      </c>
      <c r="H8" s="27" t="s">
        <v>204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idden="1">
      <c r="A9" s="24" t="s">
        <v>36</v>
      </c>
      <c r="B9" s="24" t="s">
        <v>202</v>
      </c>
      <c r="C9" s="24" t="s">
        <v>21</v>
      </c>
      <c r="D9" s="24" t="s">
        <v>205</v>
      </c>
      <c r="E9" s="25">
        <v>45908.0</v>
      </c>
      <c r="F9" s="25">
        <v>45961.0</v>
      </c>
      <c r="G9" s="26" t="s">
        <v>193</v>
      </c>
      <c r="H9" s="2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idden="1">
      <c r="A10" s="24" t="s">
        <v>36</v>
      </c>
      <c r="B10" s="24" t="s">
        <v>202</v>
      </c>
      <c r="C10" s="24" t="s">
        <v>21</v>
      </c>
      <c r="D10" s="24" t="s">
        <v>206</v>
      </c>
      <c r="E10" s="25">
        <v>45908.0</v>
      </c>
      <c r="F10" s="25">
        <v>45961.0</v>
      </c>
      <c r="G10" s="26" t="s">
        <v>193</v>
      </c>
      <c r="H10" s="29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idden="1">
      <c r="A11" s="24" t="s">
        <v>30</v>
      </c>
      <c r="B11" s="24" t="s">
        <v>202</v>
      </c>
      <c r="C11" s="24" t="s">
        <v>21</v>
      </c>
      <c r="D11" s="24" t="s">
        <v>207</v>
      </c>
      <c r="E11" s="25">
        <v>45908.0</v>
      </c>
      <c r="F11" s="25">
        <v>45961.0</v>
      </c>
      <c r="G11" s="26" t="s">
        <v>193</v>
      </c>
      <c r="H11" s="27" t="s">
        <v>208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idden="1">
      <c r="A12" s="24" t="s">
        <v>30</v>
      </c>
      <c r="B12" s="24" t="s">
        <v>202</v>
      </c>
      <c r="C12" s="24" t="s">
        <v>21</v>
      </c>
      <c r="D12" s="24" t="s">
        <v>209</v>
      </c>
      <c r="E12" s="25">
        <v>45908.0</v>
      </c>
      <c r="F12" s="25">
        <v>45961.0</v>
      </c>
      <c r="G12" s="26" t="s">
        <v>193</v>
      </c>
      <c r="H12" s="28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idden="1">
      <c r="A13" s="24" t="s">
        <v>30</v>
      </c>
      <c r="B13" s="24" t="s">
        <v>202</v>
      </c>
      <c r="C13" s="24" t="s">
        <v>21</v>
      </c>
      <c r="D13" s="24" t="s">
        <v>210</v>
      </c>
      <c r="E13" s="25">
        <v>45908.0</v>
      </c>
      <c r="F13" s="25">
        <v>45961.0</v>
      </c>
      <c r="G13" s="26" t="s">
        <v>193</v>
      </c>
      <c r="H13" s="29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idden="1">
      <c r="A14" s="24" t="s">
        <v>90</v>
      </c>
      <c r="B14" s="24" t="s">
        <v>202</v>
      </c>
      <c r="C14" s="24" t="s">
        <v>21</v>
      </c>
      <c r="D14" s="24" t="s">
        <v>211</v>
      </c>
      <c r="E14" s="25">
        <v>45903.0</v>
      </c>
      <c r="F14" s="25">
        <v>46134.0</v>
      </c>
      <c r="G14" s="26" t="s">
        <v>193</v>
      </c>
      <c r="H14" s="27" t="s">
        <v>212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idden="1">
      <c r="A15" s="24" t="s">
        <v>90</v>
      </c>
      <c r="B15" s="24" t="s">
        <v>202</v>
      </c>
      <c r="C15" s="24" t="s">
        <v>21</v>
      </c>
      <c r="D15" s="24" t="s">
        <v>213</v>
      </c>
      <c r="E15" s="25">
        <v>45903.0</v>
      </c>
      <c r="F15" s="25">
        <v>46134.0</v>
      </c>
      <c r="G15" s="26" t="s">
        <v>193</v>
      </c>
      <c r="H15" s="28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idden="1">
      <c r="A16" s="24" t="s">
        <v>90</v>
      </c>
      <c r="B16" s="24" t="s">
        <v>202</v>
      </c>
      <c r="C16" s="24" t="s">
        <v>21</v>
      </c>
      <c r="D16" s="24" t="s">
        <v>214</v>
      </c>
      <c r="E16" s="25">
        <v>45903.0</v>
      </c>
      <c r="F16" s="25">
        <v>46134.0</v>
      </c>
      <c r="G16" s="26" t="s">
        <v>193</v>
      </c>
      <c r="H16" s="29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idden="1">
      <c r="A17" s="24" t="s">
        <v>190</v>
      </c>
      <c r="B17" s="24" t="s">
        <v>202</v>
      </c>
      <c r="C17" s="24" t="s">
        <v>21</v>
      </c>
      <c r="D17" s="24" t="s">
        <v>207</v>
      </c>
      <c r="E17" s="25">
        <v>45941.0</v>
      </c>
      <c r="F17" s="25">
        <v>46001.0</v>
      </c>
      <c r="G17" s="26" t="s">
        <v>193</v>
      </c>
      <c r="H17" s="27" t="s">
        <v>215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idden="1">
      <c r="A18" s="24" t="s">
        <v>190</v>
      </c>
      <c r="B18" s="24" t="s">
        <v>202</v>
      </c>
      <c r="C18" s="24" t="s">
        <v>21</v>
      </c>
      <c r="D18" s="24" t="s">
        <v>209</v>
      </c>
      <c r="E18" s="25">
        <v>45941.0</v>
      </c>
      <c r="F18" s="25">
        <v>46001.0</v>
      </c>
      <c r="G18" s="26" t="s">
        <v>193</v>
      </c>
      <c r="H18" s="2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idden="1">
      <c r="A19" s="24" t="s">
        <v>190</v>
      </c>
      <c r="B19" s="24" t="s">
        <v>202</v>
      </c>
      <c r="C19" s="24" t="s">
        <v>21</v>
      </c>
      <c r="D19" s="24" t="s">
        <v>216</v>
      </c>
      <c r="E19" s="25">
        <v>45941.0</v>
      </c>
      <c r="F19" s="25">
        <v>46001.0</v>
      </c>
      <c r="G19" s="26" t="s">
        <v>193</v>
      </c>
      <c r="H19" s="29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idden="1">
      <c r="A20" s="24" t="s">
        <v>197</v>
      </c>
      <c r="B20" s="24" t="s">
        <v>202</v>
      </c>
      <c r="C20" s="24" t="s">
        <v>21</v>
      </c>
      <c r="D20" s="24" t="s">
        <v>205</v>
      </c>
      <c r="E20" s="25">
        <v>45941.0</v>
      </c>
      <c r="F20" s="25">
        <v>45961.0</v>
      </c>
      <c r="G20" s="26" t="s">
        <v>193</v>
      </c>
      <c r="H20" s="27" t="s">
        <v>217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idden="1">
      <c r="A21" s="24" t="s">
        <v>197</v>
      </c>
      <c r="B21" s="24" t="s">
        <v>202</v>
      </c>
      <c r="C21" s="24" t="s">
        <v>21</v>
      </c>
      <c r="D21" s="24" t="s">
        <v>210</v>
      </c>
      <c r="E21" s="25">
        <v>45941.0</v>
      </c>
      <c r="F21" s="25">
        <v>45961.0</v>
      </c>
      <c r="G21" s="26" t="s">
        <v>193</v>
      </c>
      <c r="H21" s="2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idden="1">
      <c r="A22" s="24" t="s">
        <v>197</v>
      </c>
      <c r="B22" s="24" t="s">
        <v>202</v>
      </c>
      <c r="C22" s="24" t="s">
        <v>21</v>
      </c>
      <c r="D22" s="24" t="s">
        <v>218</v>
      </c>
      <c r="E22" s="25">
        <v>45941.0</v>
      </c>
      <c r="F22" s="25">
        <v>45961.0</v>
      </c>
      <c r="G22" s="26" t="s">
        <v>193</v>
      </c>
      <c r="H22" s="2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idden="1">
      <c r="A23" s="24" t="s">
        <v>30</v>
      </c>
      <c r="B23" s="24" t="s">
        <v>202</v>
      </c>
      <c r="C23" s="24" t="s">
        <v>21</v>
      </c>
      <c r="D23" s="24" t="s">
        <v>203</v>
      </c>
      <c r="E23" s="25">
        <v>45962.0</v>
      </c>
      <c r="F23" s="25">
        <v>46001.0</v>
      </c>
      <c r="G23" s="26" t="s">
        <v>193</v>
      </c>
      <c r="H23" s="27" t="s">
        <v>219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idden="1">
      <c r="A24" s="24" t="s">
        <v>30</v>
      </c>
      <c r="B24" s="24" t="s">
        <v>202</v>
      </c>
      <c r="C24" s="24" t="s">
        <v>21</v>
      </c>
      <c r="D24" s="24" t="s">
        <v>205</v>
      </c>
      <c r="E24" s="25">
        <v>45962.0</v>
      </c>
      <c r="F24" s="25">
        <v>46001.0</v>
      </c>
      <c r="G24" s="26" t="s">
        <v>193</v>
      </c>
      <c r="H24" s="28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idden="1">
      <c r="A25" s="24" t="s">
        <v>30</v>
      </c>
      <c r="B25" s="24" t="s">
        <v>202</v>
      </c>
      <c r="C25" s="24" t="s">
        <v>21</v>
      </c>
      <c r="D25" s="24" t="s">
        <v>210</v>
      </c>
      <c r="E25" s="25">
        <v>45962.0</v>
      </c>
      <c r="F25" s="25">
        <v>46001.0</v>
      </c>
      <c r="G25" s="26" t="s">
        <v>193</v>
      </c>
      <c r="H25" s="2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idden="1">
      <c r="A26" s="24" t="s">
        <v>36</v>
      </c>
      <c r="B26" s="24" t="s">
        <v>202</v>
      </c>
      <c r="C26" s="24" t="s">
        <v>21</v>
      </c>
      <c r="D26" s="24" t="s">
        <v>205</v>
      </c>
      <c r="E26" s="25">
        <v>45962.0</v>
      </c>
      <c r="F26" s="25">
        <v>46001.0</v>
      </c>
      <c r="G26" s="26" t="s">
        <v>193</v>
      </c>
      <c r="H26" s="27" t="s">
        <v>220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idden="1">
      <c r="A27" s="24" t="s">
        <v>36</v>
      </c>
      <c r="B27" s="24" t="s">
        <v>202</v>
      </c>
      <c r="C27" s="24" t="s">
        <v>21</v>
      </c>
      <c r="D27" s="24" t="s">
        <v>206</v>
      </c>
      <c r="E27" s="25">
        <v>45962.0</v>
      </c>
      <c r="F27" s="25">
        <v>46001.0</v>
      </c>
      <c r="G27" s="26" t="s">
        <v>193</v>
      </c>
      <c r="H27" s="2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idden="1">
      <c r="A28" s="24" t="s">
        <v>36</v>
      </c>
      <c r="B28" s="24" t="s">
        <v>202</v>
      </c>
      <c r="C28" s="24" t="s">
        <v>21</v>
      </c>
      <c r="D28" s="24" t="s">
        <v>218</v>
      </c>
      <c r="E28" s="25">
        <v>45962.0</v>
      </c>
      <c r="F28" s="25">
        <v>46001.0</v>
      </c>
      <c r="G28" s="26" t="s">
        <v>193</v>
      </c>
      <c r="H28" s="2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idden="1">
      <c r="A29" s="24" t="s">
        <v>197</v>
      </c>
      <c r="B29" s="24" t="s">
        <v>202</v>
      </c>
      <c r="C29" s="24" t="s">
        <v>21</v>
      </c>
      <c r="D29" s="24" t="s">
        <v>205</v>
      </c>
      <c r="E29" s="25">
        <v>45962.0</v>
      </c>
      <c r="F29" s="25">
        <v>46001.0</v>
      </c>
      <c r="G29" s="26" t="s">
        <v>193</v>
      </c>
      <c r="H29" s="27" t="s">
        <v>221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idden="1">
      <c r="A30" s="24" t="s">
        <v>197</v>
      </c>
      <c r="B30" s="24" t="s">
        <v>202</v>
      </c>
      <c r="C30" s="24" t="s">
        <v>21</v>
      </c>
      <c r="D30" s="24" t="s">
        <v>206</v>
      </c>
      <c r="E30" s="25">
        <v>45962.0</v>
      </c>
      <c r="F30" s="25">
        <v>46001.0</v>
      </c>
      <c r="G30" s="26" t="s">
        <v>193</v>
      </c>
      <c r="H30" s="2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idden="1">
      <c r="A31" s="24" t="s">
        <v>197</v>
      </c>
      <c r="B31" s="24" t="s">
        <v>202</v>
      </c>
      <c r="C31" s="24" t="s">
        <v>21</v>
      </c>
      <c r="D31" s="24" t="s">
        <v>218</v>
      </c>
      <c r="E31" s="25">
        <v>45962.0</v>
      </c>
      <c r="F31" s="25">
        <v>46001.0</v>
      </c>
      <c r="G31" s="26" t="s">
        <v>193</v>
      </c>
      <c r="H31" s="2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idden="1">
      <c r="A32" s="24" t="s">
        <v>222</v>
      </c>
      <c r="B32" s="24" t="s">
        <v>202</v>
      </c>
      <c r="C32" s="24" t="s">
        <v>21</v>
      </c>
      <c r="D32" s="24" t="s">
        <v>223</v>
      </c>
      <c r="E32" s="25">
        <v>45924.0</v>
      </c>
      <c r="F32" s="25">
        <v>45988.0</v>
      </c>
      <c r="G32" s="26" t="s">
        <v>193</v>
      </c>
      <c r="H32" s="30" t="s">
        <v>224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idden="1">
      <c r="A33" s="24" t="s">
        <v>222</v>
      </c>
      <c r="B33" s="24" t="s">
        <v>202</v>
      </c>
      <c r="C33" s="24" t="s">
        <v>21</v>
      </c>
      <c r="D33" s="24" t="s">
        <v>225</v>
      </c>
      <c r="E33" s="25">
        <v>45989.0</v>
      </c>
      <c r="F33" s="25">
        <v>45991.0</v>
      </c>
      <c r="G33" s="26" t="s">
        <v>193</v>
      </c>
      <c r="H33" s="30" t="s">
        <v>226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idden="1">
      <c r="A34" s="24" t="s">
        <v>222</v>
      </c>
      <c r="B34" s="24" t="s">
        <v>202</v>
      </c>
      <c r="C34" s="24" t="s">
        <v>21</v>
      </c>
      <c r="D34" s="24" t="s">
        <v>227</v>
      </c>
      <c r="E34" s="25">
        <v>45989.0</v>
      </c>
      <c r="F34" s="25">
        <v>45991.0</v>
      </c>
      <c r="G34" s="26" t="s">
        <v>193</v>
      </c>
      <c r="H34" s="30" t="s">
        <v>228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idden="1">
      <c r="A35" s="24" t="s">
        <v>222</v>
      </c>
      <c r="B35" s="24" t="s">
        <v>202</v>
      </c>
      <c r="C35" s="24" t="s">
        <v>21</v>
      </c>
      <c r="D35" s="24" t="s">
        <v>229</v>
      </c>
      <c r="E35" s="25">
        <v>45992.0</v>
      </c>
      <c r="F35" s="25">
        <v>46001.0</v>
      </c>
      <c r="G35" s="26" t="s">
        <v>193</v>
      </c>
      <c r="H35" s="30" t="s">
        <v>230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idden="1">
      <c r="A36" s="24" t="s">
        <v>222</v>
      </c>
      <c r="B36" s="24" t="s">
        <v>202</v>
      </c>
      <c r="C36" s="24" t="s">
        <v>21</v>
      </c>
      <c r="D36" s="24" t="s">
        <v>231</v>
      </c>
      <c r="E36" s="25">
        <v>45992.0</v>
      </c>
      <c r="F36" s="25">
        <v>46001.0</v>
      </c>
      <c r="G36" s="26" t="s">
        <v>193</v>
      </c>
      <c r="H36" s="30" t="s">
        <v>232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idden="1">
      <c r="A37" s="24" t="s">
        <v>90</v>
      </c>
      <c r="B37" s="24" t="s">
        <v>233</v>
      </c>
      <c r="C37" s="24" t="s">
        <v>21</v>
      </c>
      <c r="D37" s="24" t="s">
        <v>234</v>
      </c>
      <c r="E37" s="25">
        <v>45999.0</v>
      </c>
      <c r="F37" s="25">
        <v>46009.0</v>
      </c>
      <c r="G37" s="26" t="s">
        <v>193</v>
      </c>
      <c r="H37" s="30" t="s">
        <v>235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idden="1">
      <c r="A38" s="24" t="s">
        <v>36</v>
      </c>
      <c r="B38" s="24" t="s">
        <v>233</v>
      </c>
      <c r="C38" s="24" t="s">
        <v>21</v>
      </c>
      <c r="D38" s="24" t="s">
        <v>236</v>
      </c>
      <c r="E38" s="25">
        <v>46002.0</v>
      </c>
      <c r="F38" s="25">
        <v>46009.0</v>
      </c>
      <c r="G38" s="26" t="s">
        <v>193</v>
      </c>
      <c r="H38" s="30" t="s">
        <v>237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idden="1">
      <c r="A39" s="24" t="s">
        <v>222</v>
      </c>
      <c r="B39" s="24" t="s">
        <v>233</v>
      </c>
      <c r="C39" s="24" t="s">
        <v>21</v>
      </c>
      <c r="D39" s="24" t="s">
        <v>238</v>
      </c>
      <c r="E39" s="25">
        <v>46002.0</v>
      </c>
      <c r="F39" s="25">
        <v>46015.0</v>
      </c>
      <c r="G39" s="26" t="s">
        <v>193</v>
      </c>
      <c r="H39" s="30" t="s">
        <v>239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idden="1">
      <c r="A40" s="24" t="s">
        <v>222</v>
      </c>
      <c r="B40" s="24" t="s">
        <v>233</v>
      </c>
      <c r="C40" s="24" t="s">
        <v>21</v>
      </c>
      <c r="D40" s="24" t="s">
        <v>240</v>
      </c>
      <c r="E40" s="25">
        <v>46002.0</v>
      </c>
      <c r="F40" s="25">
        <v>46015.0</v>
      </c>
      <c r="G40" s="26" t="s">
        <v>193</v>
      </c>
      <c r="H40" s="30" t="s">
        <v>241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idden="1">
      <c r="A41" s="24" t="s">
        <v>190</v>
      </c>
      <c r="B41" s="24" t="s">
        <v>233</v>
      </c>
      <c r="C41" s="24" t="s">
        <v>21</v>
      </c>
      <c r="D41" s="24" t="s">
        <v>242</v>
      </c>
      <c r="E41" s="25">
        <v>46003.0</v>
      </c>
      <c r="F41" s="25">
        <v>46009.0</v>
      </c>
      <c r="G41" s="26" t="s">
        <v>193</v>
      </c>
      <c r="H41" s="30" t="s">
        <v>243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idden="1">
      <c r="A42" s="24" t="s">
        <v>197</v>
      </c>
      <c r="B42" s="24" t="s">
        <v>233</v>
      </c>
      <c r="C42" s="24" t="s">
        <v>21</v>
      </c>
      <c r="D42" s="24" t="s">
        <v>242</v>
      </c>
      <c r="E42" s="25">
        <v>46003.0</v>
      </c>
      <c r="F42" s="25">
        <v>46009.0</v>
      </c>
      <c r="G42" s="26" t="s">
        <v>193</v>
      </c>
      <c r="H42" s="30" t="s">
        <v>244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idden="1">
      <c r="A43" s="24" t="s">
        <v>30</v>
      </c>
      <c r="B43" s="24" t="s">
        <v>233</v>
      </c>
      <c r="C43" s="24" t="s">
        <v>21</v>
      </c>
      <c r="D43" s="24" t="s">
        <v>242</v>
      </c>
      <c r="E43" s="25">
        <v>46003.0</v>
      </c>
      <c r="F43" s="25">
        <v>46009.0</v>
      </c>
      <c r="G43" s="26" t="s">
        <v>193</v>
      </c>
      <c r="H43" s="30" t="s">
        <v>245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idden="1">
      <c r="A44" s="24" t="s">
        <v>90</v>
      </c>
      <c r="B44" s="24" t="s">
        <v>233</v>
      </c>
      <c r="C44" s="24" t="s">
        <v>21</v>
      </c>
      <c r="D44" s="24" t="s">
        <v>246</v>
      </c>
      <c r="E44" s="25">
        <v>46010.0</v>
      </c>
      <c r="F44" s="25">
        <v>46015.0</v>
      </c>
      <c r="G44" s="26" t="s">
        <v>193</v>
      </c>
      <c r="H44" s="30" t="s">
        <v>247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idden="1">
      <c r="A45" s="24" t="s">
        <v>190</v>
      </c>
      <c r="B45" s="24" t="s">
        <v>233</v>
      </c>
      <c r="C45" s="24" t="s">
        <v>21</v>
      </c>
      <c r="D45" s="24" t="s">
        <v>248</v>
      </c>
      <c r="E45" s="25">
        <v>46010.0</v>
      </c>
      <c r="F45" s="25">
        <v>46014.0</v>
      </c>
      <c r="G45" s="26" t="s">
        <v>193</v>
      </c>
      <c r="H45" s="30" t="s">
        <v>249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idden="1">
      <c r="A46" s="24" t="s">
        <v>30</v>
      </c>
      <c r="B46" s="24" t="s">
        <v>233</v>
      </c>
      <c r="C46" s="24" t="s">
        <v>21</v>
      </c>
      <c r="D46" s="24" t="s">
        <v>250</v>
      </c>
      <c r="E46" s="25">
        <v>46010.0</v>
      </c>
      <c r="F46" s="25">
        <v>46014.0</v>
      </c>
      <c r="G46" s="26" t="s">
        <v>193</v>
      </c>
      <c r="H46" s="30" t="s">
        <v>251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idden="1">
      <c r="A47" s="24" t="s">
        <v>197</v>
      </c>
      <c r="B47" s="24" t="s">
        <v>233</v>
      </c>
      <c r="C47" s="24" t="s">
        <v>21</v>
      </c>
      <c r="D47" s="24" t="s">
        <v>252</v>
      </c>
      <c r="E47" s="25">
        <v>46010.0</v>
      </c>
      <c r="F47" s="25">
        <v>46014.0</v>
      </c>
      <c r="G47" s="26" t="s">
        <v>193</v>
      </c>
      <c r="H47" s="30" t="s">
        <v>253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idden="1">
      <c r="A48" s="24" t="s">
        <v>36</v>
      </c>
      <c r="B48" s="24" t="s">
        <v>233</v>
      </c>
      <c r="C48" s="24" t="s">
        <v>21</v>
      </c>
      <c r="D48" s="24" t="s">
        <v>252</v>
      </c>
      <c r="E48" s="25">
        <v>46010.0</v>
      </c>
      <c r="F48" s="25">
        <v>46014.0</v>
      </c>
      <c r="G48" s="26" t="s">
        <v>193</v>
      </c>
      <c r="H48" s="30" t="s">
        <v>254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idden="1">
      <c r="A49" s="24" t="s">
        <v>190</v>
      </c>
      <c r="B49" s="24" t="s">
        <v>233</v>
      </c>
      <c r="C49" s="24" t="s">
        <v>21</v>
      </c>
      <c r="D49" s="24" t="s">
        <v>252</v>
      </c>
      <c r="E49" s="25">
        <v>46015.0</v>
      </c>
      <c r="F49" s="25">
        <v>46025.0</v>
      </c>
      <c r="G49" s="26" t="s">
        <v>193</v>
      </c>
      <c r="H49" s="30" t="s">
        <v>255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idden="1">
      <c r="A50" s="24" t="s">
        <v>197</v>
      </c>
      <c r="B50" s="24" t="s">
        <v>233</v>
      </c>
      <c r="C50" s="24" t="s">
        <v>21</v>
      </c>
      <c r="D50" s="24" t="s">
        <v>252</v>
      </c>
      <c r="E50" s="25">
        <v>46015.0</v>
      </c>
      <c r="F50" s="25">
        <v>46025.0</v>
      </c>
      <c r="G50" s="26" t="s">
        <v>193</v>
      </c>
      <c r="H50" s="30" t="s">
        <v>253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idden="1">
      <c r="A51" s="24" t="s">
        <v>30</v>
      </c>
      <c r="B51" s="24" t="s">
        <v>233</v>
      </c>
      <c r="C51" s="24" t="s">
        <v>21</v>
      </c>
      <c r="D51" s="24" t="s">
        <v>256</v>
      </c>
      <c r="E51" s="25">
        <v>46015.0</v>
      </c>
      <c r="F51" s="25">
        <v>46025.0</v>
      </c>
      <c r="G51" s="26" t="s">
        <v>193</v>
      </c>
      <c r="H51" s="30" t="s">
        <v>257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idden="1">
      <c r="A52" s="24" t="s">
        <v>36</v>
      </c>
      <c r="B52" s="24" t="s">
        <v>233</v>
      </c>
      <c r="C52" s="24" t="s">
        <v>21</v>
      </c>
      <c r="D52" s="24" t="s">
        <v>258</v>
      </c>
      <c r="E52" s="25">
        <v>46015.0</v>
      </c>
      <c r="F52" s="25">
        <v>46025.0</v>
      </c>
      <c r="G52" s="26" t="s">
        <v>193</v>
      </c>
      <c r="H52" s="30" t="s">
        <v>259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idden="1">
      <c r="A53" s="24" t="s">
        <v>222</v>
      </c>
      <c r="B53" s="24" t="s">
        <v>233</v>
      </c>
      <c r="C53" s="24" t="s">
        <v>21</v>
      </c>
      <c r="D53" s="24" t="s">
        <v>260</v>
      </c>
      <c r="E53" s="25">
        <v>46016.0</v>
      </c>
      <c r="F53" s="25">
        <v>46027.0</v>
      </c>
      <c r="G53" s="26" t="s">
        <v>193</v>
      </c>
      <c r="H53" s="30" t="s">
        <v>261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idden="1">
      <c r="A54" s="24" t="s">
        <v>90</v>
      </c>
      <c r="B54" s="24" t="s">
        <v>233</v>
      </c>
      <c r="C54" s="24" t="s">
        <v>21</v>
      </c>
      <c r="D54" s="24" t="s">
        <v>262</v>
      </c>
      <c r="E54" s="25">
        <v>46016.0</v>
      </c>
      <c r="F54" s="25">
        <v>46055.0</v>
      </c>
      <c r="G54" s="26" t="s">
        <v>193</v>
      </c>
      <c r="H54" s="30" t="s">
        <v>263</v>
      </c>
      <c r="I54" s="31" t="s">
        <v>264</v>
      </c>
      <c r="J54" s="31" t="s">
        <v>265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idden="1">
      <c r="A55" s="24" t="s">
        <v>190</v>
      </c>
      <c r="B55" s="24" t="s">
        <v>233</v>
      </c>
      <c r="C55" s="24" t="s">
        <v>21</v>
      </c>
      <c r="D55" s="24" t="s">
        <v>266</v>
      </c>
      <c r="E55" s="25">
        <v>46026.0</v>
      </c>
      <c r="F55" s="25">
        <v>46030.0</v>
      </c>
      <c r="G55" s="26" t="s">
        <v>193</v>
      </c>
      <c r="H55" s="30" t="s">
        <v>267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idden="1">
      <c r="A56" s="24" t="s">
        <v>30</v>
      </c>
      <c r="B56" s="24" t="s">
        <v>233</v>
      </c>
      <c r="C56" s="24" t="s">
        <v>21</v>
      </c>
      <c r="D56" s="24" t="s">
        <v>268</v>
      </c>
      <c r="E56" s="25">
        <v>46026.0</v>
      </c>
      <c r="F56" s="25">
        <v>46030.0</v>
      </c>
      <c r="G56" s="26" t="s">
        <v>193</v>
      </c>
      <c r="H56" s="30" t="s">
        <v>269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idden="1">
      <c r="A57" s="24" t="s">
        <v>197</v>
      </c>
      <c r="B57" s="24" t="s">
        <v>233</v>
      </c>
      <c r="C57" s="24" t="s">
        <v>21</v>
      </c>
      <c r="D57" s="24" t="s">
        <v>266</v>
      </c>
      <c r="E57" s="25">
        <v>46026.0</v>
      </c>
      <c r="F57" s="25">
        <v>46030.0</v>
      </c>
      <c r="G57" s="26" t="s">
        <v>193</v>
      </c>
      <c r="H57" s="30" t="s">
        <v>270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idden="1">
      <c r="A58" s="24" t="s">
        <v>36</v>
      </c>
      <c r="B58" s="24" t="s">
        <v>233</v>
      </c>
      <c r="C58" s="24" t="s">
        <v>21</v>
      </c>
      <c r="D58" s="24" t="s">
        <v>271</v>
      </c>
      <c r="E58" s="25">
        <v>46026.0</v>
      </c>
      <c r="F58" s="25">
        <v>46030.0</v>
      </c>
      <c r="G58" s="26" t="s">
        <v>193</v>
      </c>
      <c r="H58" s="30" t="s">
        <v>272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idden="1">
      <c r="A59" s="24" t="s">
        <v>222</v>
      </c>
      <c r="B59" s="24" t="s">
        <v>233</v>
      </c>
      <c r="C59" s="24" t="s">
        <v>21</v>
      </c>
      <c r="D59" s="24" t="s">
        <v>273</v>
      </c>
      <c r="E59" s="25">
        <v>46028.0</v>
      </c>
      <c r="F59" s="25">
        <v>46050.0</v>
      </c>
      <c r="G59" s="26" t="s">
        <v>193</v>
      </c>
      <c r="H59" s="30" t="s">
        <v>274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idden="1">
      <c r="A60" s="24" t="s">
        <v>30</v>
      </c>
      <c r="B60" s="24" t="s">
        <v>233</v>
      </c>
      <c r="C60" s="24" t="s">
        <v>21</v>
      </c>
      <c r="D60" s="24" t="s">
        <v>256</v>
      </c>
      <c r="E60" s="25">
        <v>46031.0</v>
      </c>
      <c r="F60" s="25">
        <v>46037.0</v>
      </c>
      <c r="G60" s="26" t="s">
        <v>193</v>
      </c>
      <c r="H60" s="30" t="s">
        <v>257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idden="1">
      <c r="A61" s="24" t="s">
        <v>36</v>
      </c>
      <c r="B61" s="24" t="s">
        <v>233</v>
      </c>
      <c r="C61" s="24" t="s">
        <v>21</v>
      </c>
      <c r="D61" s="24" t="s">
        <v>275</v>
      </c>
      <c r="E61" s="25">
        <v>46031.0</v>
      </c>
      <c r="F61" s="25">
        <v>46037.0</v>
      </c>
      <c r="G61" s="26" t="s">
        <v>193</v>
      </c>
      <c r="H61" s="30" t="s">
        <v>259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idden="1">
      <c r="A62" s="24" t="s">
        <v>190</v>
      </c>
      <c r="B62" s="24" t="s">
        <v>233</v>
      </c>
      <c r="C62" s="24" t="s">
        <v>21</v>
      </c>
      <c r="D62" s="24" t="s">
        <v>252</v>
      </c>
      <c r="E62" s="25">
        <v>46031.0</v>
      </c>
      <c r="F62" s="25">
        <v>46037.0</v>
      </c>
      <c r="G62" s="26" t="s">
        <v>193</v>
      </c>
      <c r="H62" s="30" t="s">
        <v>255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idden="1">
      <c r="A63" s="24" t="s">
        <v>197</v>
      </c>
      <c r="B63" s="24" t="s">
        <v>233</v>
      </c>
      <c r="C63" s="24" t="s">
        <v>21</v>
      </c>
      <c r="D63" s="24" t="s">
        <v>266</v>
      </c>
      <c r="E63" s="25">
        <v>46031.0</v>
      </c>
      <c r="F63" s="25">
        <v>46037.0</v>
      </c>
      <c r="G63" s="26" t="s">
        <v>193</v>
      </c>
      <c r="H63" s="30" t="s">
        <v>270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idden="1">
      <c r="A64" s="24" t="s">
        <v>30</v>
      </c>
      <c r="B64" s="24" t="s">
        <v>233</v>
      </c>
      <c r="C64" s="24" t="s">
        <v>21</v>
      </c>
      <c r="D64" s="24" t="s">
        <v>276</v>
      </c>
      <c r="E64" s="25">
        <v>46038.0</v>
      </c>
      <c r="F64" s="25">
        <v>46044.0</v>
      </c>
      <c r="G64" s="26" t="s">
        <v>193</v>
      </c>
      <c r="H64" s="30" t="s">
        <v>277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idden="1">
      <c r="A65" s="24" t="s">
        <v>36</v>
      </c>
      <c r="B65" s="24" t="s">
        <v>233</v>
      </c>
      <c r="C65" s="24" t="s">
        <v>21</v>
      </c>
      <c r="D65" s="24" t="s">
        <v>275</v>
      </c>
      <c r="E65" s="25">
        <v>46038.0</v>
      </c>
      <c r="F65" s="25">
        <v>46044.0</v>
      </c>
      <c r="G65" s="26" t="s">
        <v>193</v>
      </c>
      <c r="H65" s="30" t="s">
        <v>259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idden="1">
      <c r="A66" s="24" t="s">
        <v>190</v>
      </c>
      <c r="B66" s="24" t="s">
        <v>233</v>
      </c>
      <c r="C66" s="24" t="s">
        <v>21</v>
      </c>
      <c r="D66" s="24" t="s">
        <v>278</v>
      </c>
      <c r="E66" s="25">
        <v>46038.0</v>
      </c>
      <c r="F66" s="25">
        <v>46044.0</v>
      </c>
      <c r="G66" s="26" t="s">
        <v>193</v>
      </c>
      <c r="H66" s="30" t="s">
        <v>279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idden="1">
      <c r="A67" s="24" t="s">
        <v>197</v>
      </c>
      <c r="B67" s="24" t="s">
        <v>233</v>
      </c>
      <c r="C67" s="24" t="s">
        <v>21</v>
      </c>
      <c r="D67" s="24" t="s">
        <v>278</v>
      </c>
      <c r="E67" s="25">
        <v>46038.0</v>
      </c>
      <c r="F67" s="25">
        <v>46044.0</v>
      </c>
      <c r="G67" s="26" t="s">
        <v>193</v>
      </c>
      <c r="H67" s="30" t="s">
        <v>280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idden="1">
      <c r="A68" s="24" t="s">
        <v>30</v>
      </c>
      <c r="B68" s="24" t="s">
        <v>233</v>
      </c>
      <c r="C68" s="24" t="s">
        <v>21</v>
      </c>
      <c r="D68" s="24" t="s">
        <v>281</v>
      </c>
      <c r="E68" s="25">
        <v>46045.0</v>
      </c>
      <c r="F68" s="25">
        <v>46048.0</v>
      </c>
      <c r="G68" s="26" t="s">
        <v>193</v>
      </c>
      <c r="H68" s="30" t="s">
        <v>282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idden="1">
      <c r="A69" s="24" t="s">
        <v>36</v>
      </c>
      <c r="B69" s="24" t="s">
        <v>233</v>
      </c>
      <c r="C69" s="24" t="s">
        <v>21</v>
      </c>
      <c r="D69" s="24" t="s">
        <v>283</v>
      </c>
      <c r="E69" s="25">
        <v>46045.0</v>
      </c>
      <c r="F69" s="25">
        <v>46048.0</v>
      </c>
      <c r="G69" s="26" t="s">
        <v>193</v>
      </c>
      <c r="H69" s="30" t="s">
        <v>284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idden="1">
      <c r="A70" s="24" t="s">
        <v>190</v>
      </c>
      <c r="B70" s="24" t="s">
        <v>233</v>
      </c>
      <c r="C70" s="24" t="s">
        <v>21</v>
      </c>
      <c r="D70" s="24" t="s">
        <v>285</v>
      </c>
      <c r="E70" s="25">
        <v>46045.0</v>
      </c>
      <c r="F70" s="25">
        <v>46048.0</v>
      </c>
      <c r="G70" s="26" t="s">
        <v>193</v>
      </c>
      <c r="H70" s="30" t="s">
        <v>286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idden="1">
      <c r="A71" s="24" t="s">
        <v>197</v>
      </c>
      <c r="B71" s="24" t="s">
        <v>233</v>
      </c>
      <c r="C71" s="24" t="s">
        <v>21</v>
      </c>
      <c r="D71" s="24" t="s">
        <v>287</v>
      </c>
      <c r="E71" s="25">
        <v>46045.0</v>
      </c>
      <c r="F71" s="25">
        <v>46048.0</v>
      </c>
      <c r="G71" s="26" t="s">
        <v>193</v>
      </c>
      <c r="H71" s="30" t="s">
        <v>288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idden="1">
      <c r="A72" s="24" t="s">
        <v>30</v>
      </c>
      <c r="B72" s="24" t="s">
        <v>233</v>
      </c>
      <c r="C72" s="24" t="s">
        <v>21</v>
      </c>
      <c r="D72" s="24" t="s">
        <v>289</v>
      </c>
      <c r="E72" s="25">
        <v>46049.0</v>
      </c>
      <c r="F72" s="25">
        <v>46051.0</v>
      </c>
      <c r="G72" s="26" t="s">
        <v>193</v>
      </c>
      <c r="H72" s="30" t="s">
        <v>290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idden="1">
      <c r="A73" s="24" t="s">
        <v>36</v>
      </c>
      <c r="B73" s="24" t="s">
        <v>233</v>
      </c>
      <c r="C73" s="24" t="s">
        <v>21</v>
      </c>
      <c r="D73" s="32" t="s">
        <v>289</v>
      </c>
      <c r="E73" s="25">
        <v>46049.0</v>
      </c>
      <c r="F73" s="25">
        <v>46051.0</v>
      </c>
      <c r="G73" s="26" t="s">
        <v>193</v>
      </c>
      <c r="H73" s="30" t="s">
        <v>291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idden="1">
      <c r="A74" s="24" t="s">
        <v>190</v>
      </c>
      <c r="B74" s="24" t="s">
        <v>233</v>
      </c>
      <c r="C74" s="24" t="s">
        <v>21</v>
      </c>
      <c r="D74" s="24" t="s">
        <v>289</v>
      </c>
      <c r="E74" s="25">
        <v>46049.0</v>
      </c>
      <c r="F74" s="25">
        <v>46051.0</v>
      </c>
      <c r="G74" s="26" t="s">
        <v>193</v>
      </c>
      <c r="H74" s="30" t="s">
        <v>292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idden="1">
      <c r="A75" s="24" t="s">
        <v>197</v>
      </c>
      <c r="B75" s="24" t="s">
        <v>233</v>
      </c>
      <c r="C75" s="24" t="s">
        <v>21</v>
      </c>
      <c r="D75" s="24" t="s">
        <v>289</v>
      </c>
      <c r="E75" s="25">
        <v>46049.0</v>
      </c>
      <c r="F75" s="25">
        <v>46051.0</v>
      </c>
      <c r="G75" s="26" t="s">
        <v>193</v>
      </c>
      <c r="H75" s="30" t="s">
        <v>293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idden="1">
      <c r="A76" s="24" t="s">
        <v>222</v>
      </c>
      <c r="B76" s="24" t="s">
        <v>233</v>
      </c>
      <c r="C76" s="24" t="s">
        <v>21</v>
      </c>
      <c r="D76" s="24" t="s">
        <v>294</v>
      </c>
      <c r="E76" s="25">
        <v>46051.0</v>
      </c>
      <c r="F76" s="25">
        <v>46075.0</v>
      </c>
      <c r="G76" s="26" t="s">
        <v>193</v>
      </c>
      <c r="H76" s="30" t="s">
        <v>295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idden="1">
      <c r="A77" s="24" t="s">
        <v>222</v>
      </c>
      <c r="B77" s="24" t="s">
        <v>296</v>
      </c>
      <c r="C77" s="24" t="s">
        <v>297</v>
      </c>
      <c r="D77" s="24" t="s">
        <v>298</v>
      </c>
      <c r="E77" s="25">
        <v>46076.0</v>
      </c>
      <c r="F77" s="25">
        <v>46079.0</v>
      </c>
      <c r="G77" s="26" t="s">
        <v>299</v>
      </c>
      <c r="H77" s="24" t="s">
        <v>300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idden="1">
      <c r="A78" s="24" t="s">
        <v>30</v>
      </c>
      <c r="B78" s="24" t="s">
        <v>233</v>
      </c>
      <c r="C78" s="24" t="s">
        <v>21</v>
      </c>
      <c r="D78" s="24" t="s">
        <v>281</v>
      </c>
      <c r="E78" s="25">
        <v>46052.0</v>
      </c>
      <c r="F78" s="25">
        <v>46059.0</v>
      </c>
      <c r="G78" s="26" t="s">
        <v>193</v>
      </c>
      <c r="H78" s="30" t="s">
        <v>282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idden="1">
      <c r="A79" s="24" t="s">
        <v>36</v>
      </c>
      <c r="B79" s="24" t="s">
        <v>233</v>
      </c>
      <c r="C79" s="24" t="s">
        <v>21</v>
      </c>
      <c r="D79" s="24" t="s">
        <v>283</v>
      </c>
      <c r="E79" s="25">
        <v>46052.0</v>
      </c>
      <c r="F79" s="25">
        <v>46059.0</v>
      </c>
      <c r="G79" s="26" t="s">
        <v>193</v>
      </c>
      <c r="H79" s="30" t="s">
        <v>284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idden="1">
      <c r="A80" s="24" t="s">
        <v>190</v>
      </c>
      <c r="B80" s="24" t="s">
        <v>233</v>
      </c>
      <c r="C80" s="24" t="s">
        <v>21</v>
      </c>
      <c r="D80" s="24" t="s">
        <v>278</v>
      </c>
      <c r="E80" s="25">
        <v>46052.0</v>
      </c>
      <c r="F80" s="25">
        <v>46059.0</v>
      </c>
      <c r="G80" s="26" t="s">
        <v>193</v>
      </c>
      <c r="H80" s="30" t="s">
        <v>286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idden="1">
      <c r="A81" s="24" t="s">
        <v>197</v>
      </c>
      <c r="B81" s="24" t="s">
        <v>233</v>
      </c>
      <c r="C81" s="24" t="s">
        <v>21</v>
      </c>
      <c r="D81" s="24" t="s">
        <v>287</v>
      </c>
      <c r="E81" s="25">
        <v>46052.0</v>
      </c>
      <c r="F81" s="25">
        <v>46059.0</v>
      </c>
      <c r="G81" s="26" t="s">
        <v>193</v>
      </c>
      <c r="H81" s="30" t="s">
        <v>288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idden="1">
      <c r="A82" s="24" t="s">
        <v>30</v>
      </c>
      <c r="B82" s="24" t="s">
        <v>233</v>
      </c>
      <c r="C82" s="24" t="s">
        <v>21</v>
      </c>
      <c r="D82" s="24" t="s">
        <v>301</v>
      </c>
      <c r="E82" s="25">
        <v>46060.0</v>
      </c>
      <c r="F82" s="25">
        <v>46068.0</v>
      </c>
      <c r="G82" s="26" t="s">
        <v>193</v>
      </c>
      <c r="H82" s="30" t="s">
        <v>302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idden="1">
      <c r="A83" s="24" t="s">
        <v>36</v>
      </c>
      <c r="B83" s="24" t="s">
        <v>233</v>
      </c>
      <c r="C83" s="24" t="s">
        <v>21</v>
      </c>
      <c r="D83" s="24" t="s">
        <v>283</v>
      </c>
      <c r="E83" s="25">
        <v>46060.0</v>
      </c>
      <c r="F83" s="25">
        <v>46068.0</v>
      </c>
      <c r="G83" s="26" t="s">
        <v>193</v>
      </c>
      <c r="H83" s="30" t="s">
        <v>284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idden="1">
      <c r="A84" s="24" t="s">
        <v>190</v>
      </c>
      <c r="B84" s="24" t="s">
        <v>233</v>
      </c>
      <c r="C84" s="24" t="s">
        <v>21</v>
      </c>
      <c r="D84" s="24" t="s">
        <v>303</v>
      </c>
      <c r="E84" s="25">
        <v>46060.0</v>
      </c>
      <c r="F84" s="25">
        <v>46068.0</v>
      </c>
      <c r="G84" s="26" t="s">
        <v>193</v>
      </c>
      <c r="H84" s="30" t="s">
        <v>304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idden="1">
      <c r="A85" s="24" t="s">
        <v>197</v>
      </c>
      <c r="B85" s="24" t="s">
        <v>233</v>
      </c>
      <c r="C85" s="24" t="s">
        <v>21</v>
      </c>
      <c r="D85" s="24" t="s">
        <v>303</v>
      </c>
      <c r="E85" s="25">
        <v>46060.0</v>
      </c>
      <c r="F85" s="25">
        <v>46068.0</v>
      </c>
      <c r="G85" s="26" t="s">
        <v>193</v>
      </c>
      <c r="H85" s="30" t="s">
        <v>305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idden="1">
      <c r="A86" s="24" t="s">
        <v>30</v>
      </c>
      <c r="B86" s="24" t="s">
        <v>296</v>
      </c>
      <c r="C86" s="24" t="s">
        <v>297</v>
      </c>
      <c r="D86" s="24" t="s">
        <v>298</v>
      </c>
      <c r="E86" s="25">
        <v>46069.0</v>
      </c>
      <c r="F86" s="25">
        <v>46083.0</v>
      </c>
      <c r="G86" s="26" t="s">
        <v>299</v>
      </c>
      <c r="H86" s="24" t="s">
        <v>300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idden="1">
      <c r="A87" s="24" t="s">
        <v>36</v>
      </c>
      <c r="B87" s="24" t="s">
        <v>296</v>
      </c>
      <c r="C87" s="24" t="s">
        <v>297</v>
      </c>
      <c r="D87" s="24" t="s">
        <v>298</v>
      </c>
      <c r="E87" s="25">
        <v>46069.0</v>
      </c>
      <c r="F87" s="25">
        <v>46128.0</v>
      </c>
      <c r="G87" s="26" t="s">
        <v>299</v>
      </c>
      <c r="H87" s="24" t="s">
        <v>300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idden="1">
      <c r="A88" s="24" t="s">
        <v>190</v>
      </c>
      <c r="B88" s="24" t="s">
        <v>296</v>
      </c>
      <c r="C88" s="24" t="s">
        <v>297</v>
      </c>
      <c r="D88" s="24" t="s">
        <v>298</v>
      </c>
      <c r="E88" s="25">
        <v>46069.0</v>
      </c>
      <c r="F88" s="25">
        <v>46128.0</v>
      </c>
      <c r="G88" s="26" t="s">
        <v>299</v>
      </c>
      <c r="H88" s="24" t="s">
        <v>300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idden="1">
      <c r="A89" s="24" t="s">
        <v>197</v>
      </c>
      <c r="B89" s="24" t="s">
        <v>296</v>
      </c>
      <c r="C89" s="24" t="s">
        <v>297</v>
      </c>
      <c r="D89" s="24" t="s">
        <v>298</v>
      </c>
      <c r="E89" s="25">
        <v>46069.0</v>
      </c>
      <c r="F89" s="25">
        <v>46128.0</v>
      </c>
      <c r="G89" s="26" t="s">
        <v>299</v>
      </c>
      <c r="H89" s="24" t="s">
        <v>300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idden="1">
      <c r="A90" s="24" t="s">
        <v>222</v>
      </c>
      <c r="B90" s="24" t="s">
        <v>202</v>
      </c>
      <c r="C90" s="24" t="s">
        <v>297</v>
      </c>
      <c r="D90" s="24" t="s">
        <v>306</v>
      </c>
      <c r="E90" s="25">
        <v>46080.0</v>
      </c>
      <c r="F90" s="25">
        <v>46169.0</v>
      </c>
      <c r="G90" s="26" t="s">
        <v>193</v>
      </c>
      <c r="H90" s="30" t="s">
        <v>307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idden="1">
      <c r="A91" s="24" t="s">
        <v>222</v>
      </c>
      <c r="B91" s="24" t="s">
        <v>202</v>
      </c>
      <c r="C91" s="24" t="s">
        <v>297</v>
      </c>
      <c r="D91" s="24" t="s">
        <v>308</v>
      </c>
      <c r="E91" s="25">
        <v>46080.0</v>
      </c>
      <c r="F91" s="25">
        <v>46169.0</v>
      </c>
      <c r="G91" s="26" t="s">
        <v>193</v>
      </c>
      <c r="H91" s="30" t="s">
        <v>309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4" t="s">
        <v>30</v>
      </c>
      <c r="B92" s="24" t="s">
        <v>202</v>
      </c>
      <c r="C92" s="24" t="s">
        <v>297</v>
      </c>
      <c r="D92" s="24" t="s">
        <v>310</v>
      </c>
      <c r="E92" s="25">
        <v>46084.0</v>
      </c>
      <c r="F92" s="24" t="s">
        <v>311</v>
      </c>
      <c r="G92" s="26" t="s">
        <v>312</v>
      </c>
      <c r="H92" s="30" t="s">
        <v>313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4" t="s">
        <v>190</v>
      </c>
      <c r="B93" s="24" t="s">
        <v>191</v>
      </c>
      <c r="C93" s="24" t="s">
        <v>297</v>
      </c>
      <c r="D93" s="24" t="s">
        <v>314</v>
      </c>
      <c r="E93" s="25">
        <v>46129.0</v>
      </c>
      <c r="F93" s="24" t="s">
        <v>311</v>
      </c>
      <c r="G93" s="26" t="s">
        <v>312</v>
      </c>
      <c r="H93" s="33" t="s">
        <v>315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4" t="s">
        <v>190</v>
      </c>
      <c r="B94" s="24" t="s">
        <v>191</v>
      </c>
      <c r="C94" s="24" t="s">
        <v>297</v>
      </c>
      <c r="D94" s="24" t="s">
        <v>316</v>
      </c>
      <c r="E94" s="25">
        <v>46129.0</v>
      </c>
      <c r="F94" s="24" t="s">
        <v>311</v>
      </c>
      <c r="G94" s="26" t="s">
        <v>312</v>
      </c>
      <c r="H94" s="29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4" t="s">
        <v>190</v>
      </c>
      <c r="B95" s="24" t="s">
        <v>191</v>
      </c>
      <c r="C95" s="24" t="s">
        <v>297</v>
      </c>
      <c r="D95" s="24" t="s">
        <v>317</v>
      </c>
      <c r="E95" s="25">
        <v>46129.0</v>
      </c>
      <c r="F95" s="24" t="s">
        <v>311</v>
      </c>
      <c r="G95" s="26" t="s">
        <v>312</v>
      </c>
      <c r="H95" s="34" t="s">
        <v>318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4" t="s">
        <v>197</v>
      </c>
      <c r="B96" s="24" t="s">
        <v>191</v>
      </c>
      <c r="C96" s="24" t="s">
        <v>297</v>
      </c>
      <c r="D96" s="24" t="s">
        <v>319</v>
      </c>
      <c r="E96" s="25">
        <v>46129.0</v>
      </c>
      <c r="F96" s="24" t="s">
        <v>311</v>
      </c>
      <c r="G96" s="26" t="s">
        <v>312</v>
      </c>
      <c r="H96" s="27" t="s">
        <v>320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4" t="s">
        <v>197</v>
      </c>
      <c r="B97" s="24" t="s">
        <v>191</v>
      </c>
      <c r="C97" s="24" t="s">
        <v>297</v>
      </c>
      <c r="D97" s="24" t="s">
        <v>321</v>
      </c>
      <c r="E97" s="25">
        <v>46129.0</v>
      </c>
      <c r="F97" s="24" t="s">
        <v>311</v>
      </c>
      <c r="G97" s="26" t="s">
        <v>312</v>
      </c>
      <c r="H97" s="29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4" t="s">
        <v>36</v>
      </c>
      <c r="B98" s="24" t="s">
        <v>202</v>
      </c>
      <c r="C98" s="24" t="s">
        <v>297</v>
      </c>
      <c r="D98" s="35" t="s">
        <v>322</v>
      </c>
      <c r="E98" s="25">
        <v>46129.0</v>
      </c>
      <c r="F98" s="24" t="s">
        <v>311</v>
      </c>
      <c r="G98" s="26" t="s">
        <v>312</v>
      </c>
      <c r="H98" s="36" t="s">
        <v>323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idden="1">
      <c r="A99" s="24" t="s">
        <v>90</v>
      </c>
      <c r="B99" s="24" t="s">
        <v>202</v>
      </c>
      <c r="C99" s="24" t="s">
        <v>297</v>
      </c>
      <c r="D99" s="24" t="s">
        <v>324</v>
      </c>
      <c r="E99" s="25">
        <v>46135.0</v>
      </c>
      <c r="F99" s="25">
        <v>46183.0</v>
      </c>
      <c r="G99" s="26" t="s">
        <v>193</v>
      </c>
      <c r="H99" s="30" t="s">
        <v>325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idden="1">
      <c r="A100" s="24" t="s">
        <v>222</v>
      </c>
      <c r="B100" s="24" t="s">
        <v>202</v>
      </c>
      <c r="C100" s="24" t="s">
        <v>297</v>
      </c>
      <c r="D100" s="24" t="s">
        <v>326</v>
      </c>
      <c r="E100" s="25">
        <v>46157.0</v>
      </c>
      <c r="F100" s="25">
        <v>46169.0</v>
      </c>
      <c r="G100" s="26" t="s">
        <v>193</v>
      </c>
      <c r="H100" s="27" t="s">
        <v>327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idden="1">
      <c r="A101" s="24" t="s">
        <v>222</v>
      </c>
      <c r="B101" s="24" t="s">
        <v>202</v>
      </c>
      <c r="C101" s="24" t="s">
        <v>297</v>
      </c>
      <c r="D101" s="24" t="s">
        <v>328</v>
      </c>
      <c r="E101" s="25">
        <v>46157.0</v>
      </c>
      <c r="F101" s="25">
        <v>46169.0</v>
      </c>
      <c r="G101" s="26" t="s">
        <v>193</v>
      </c>
      <c r="H101" s="28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idden="1">
      <c r="A102" s="24" t="s">
        <v>222</v>
      </c>
      <c r="B102" s="24" t="s">
        <v>202</v>
      </c>
      <c r="C102" s="24" t="s">
        <v>297</v>
      </c>
      <c r="D102" s="24" t="s">
        <v>329</v>
      </c>
      <c r="E102" s="25">
        <v>46157.0</v>
      </c>
      <c r="F102" s="25">
        <v>46169.0</v>
      </c>
      <c r="G102" s="26" t="s">
        <v>193</v>
      </c>
      <c r="H102" s="29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idden="1">
      <c r="A103" s="24" t="s">
        <v>222</v>
      </c>
      <c r="B103" s="24" t="s">
        <v>233</v>
      </c>
      <c r="C103" s="24" t="s">
        <v>297</v>
      </c>
      <c r="D103" s="24" t="s">
        <v>330</v>
      </c>
      <c r="E103" s="25">
        <v>46170.0</v>
      </c>
      <c r="F103" s="25">
        <v>46184.0</v>
      </c>
      <c r="G103" s="26" t="s">
        <v>193</v>
      </c>
      <c r="H103" s="30" t="s">
        <v>331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4" t="s">
        <v>90</v>
      </c>
      <c r="B104" s="24" t="s">
        <v>233</v>
      </c>
      <c r="C104" s="24" t="s">
        <v>297</v>
      </c>
      <c r="D104" s="24" t="s">
        <v>332</v>
      </c>
      <c r="E104" s="25">
        <v>46184.0</v>
      </c>
      <c r="F104" s="24" t="s">
        <v>311</v>
      </c>
      <c r="G104" s="26" t="s">
        <v>312</v>
      </c>
      <c r="H104" s="30" t="s">
        <v>333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4" t="s">
        <v>222</v>
      </c>
      <c r="B105" s="24" t="s">
        <v>233</v>
      </c>
      <c r="C105" s="24" t="s">
        <v>297</v>
      </c>
      <c r="D105" s="24" t="s">
        <v>334</v>
      </c>
      <c r="E105" s="25">
        <v>46184.0</v>
      </c>
      <c r="F105" s="24" t="s">
        <v>311</v>
      </c>
      <c r="G105" s="26" t="s">
        <v>312</v>
      </c>
      <c r="H105" s="30" t="s">
        <v>335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37"/>
      <c r="B106" s="37"/>
      <c r="C106" s="37"/>
      <c r="D106" s="37"/>
      <c r="E106" s="38"/>
      <c r="F106" s="38"/>
      <c r="G106" s="26"/>
      <c r="H106" s="37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37"/>
      <c r="B107" s="37"/>
      <c r="C107" s="37"/>
      <c r="D107" s="37"/>
      <c r="E107" s="38"/>
      <c r="F107" s="38"/>
      <c r="G107" s="26"/>
      <c r="H107" s="37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37"/>
      <c r="B108" s="37"/>
      <c r="C108" s="37"/>
      <c r="D108" s="37"/>
      <c r="E108" s="38"/>
      <c r="F108" s="38"/>
      <c r="G108" s="26"/>
      <c r="H108" s="37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37"/>
      <c r="B109" s="37"/>
      <c r="C109" s="37"/>
      <c r="D109" s="37"/>
      <c r="E109" s="38"/>
      <c r="F109" s="38"/>
      <c r="G109" s="26"/>
      <c r="H109" s="37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37"/>
      <c r="B110" s="37"/>
      <c r="C110" s="37"/>
      <c r="D110" s="24"/>
      <c r="E110" s="38"/>
      <c r="F110" s="38"/>
      <c r="G110" s="26"/>
      <c r="H110" s="37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37"/>
      <c r="B111" s="37"/>
      <c r="C111" s="37"/>
      <c r="D111" s="37"/>
      <c r="E111" s="38"/>
      <c r="F111" s="38"/>
      <c r="G111" s="26"/>
      <c r="H111" s="37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37"/>
      <c r="B112" s="37"/>
      <c r="C112" s="37"/>
      <c r="D112" s="37"/>
      <c r="E112" s="38"/>
      <c r="F112" s="38"/>
      <c r="G112" s="26"/>
      <c r="H112" s="37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37"/>
      <c r="B113" s="37"/>
      <c r="C113" s="37"/>
      <c r="D113" s="37"/>
      <c r="E113" s="38"/>
      <c r="F113" s="38"/>
      <c r="G113" s="26"/>
      <c r="H113" s="37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37"/>
      <c r="B114" s="37"/>
      <c r="C114" s="37"/>
      <c r="D114" s="37"/>
      <c r="E114" s="38"/>
      <c r="F114" s="38"/>
      <c r="G114" s="26"/>
      <c r="H114" s="37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37"/>
      <c r="B115" s="37"/>
      <c r="C115" s="37"/>
      <c r="D115" s="37"/>
      <c r="E115" s="38"/>
      <c r="F115" s="38"/>
      <c r="G115" s="26"/>
      <c r="H115" s="37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37"/>
      <c r="B116" s="37"/>
      <c r="C116" s="37"/>
      <c r="D116" s="37"/>
      <c r="E116" s="38"/>
      <c r="F116" s="38"/>
      <c r="G116" s="26"/>
      <c r="H116" s="37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37"/>
      <c r="B117" s="37"/>
      <c r="C117" s="37"/>
      <c r="D117" s="37"/>
      <c r="E117" s="38"/>
      <c r="F117" s="38"/>
      <c r="G117" s="26"/>
      <c r="H117" s="37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37"/>
      <c r="B118" s="37"/>
      <c r="C118" s="37"/>
      <c r="D118" s="37"/>
      <c r="E118" s="38"/>
      <c r="F118" s="38"/>
      <c r="G118" s="26"/>
      <c r="H118" s="37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37"/>
      <c r="B119" s="37"/>
      <c r="C119" s="37"/>
      <c r="D119" s="37"/>
      <c r="E119" s="38"/>
      <c r="F119" s="38"/>
      <c r="G119" s="26"/>
      <c r="H119" s="37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37"/>
      <c r="B120" s="37"/>
      <c r="C120" s="37"/>
      <c r="D120" s="37"/>
      <c r="E120" s="38"/>
      <c r="F120" s="38"/>
      <c r="G120" s="26"/>
      <c r="H120" s="37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37"/>
      <c r="B121" s="37"/>
      <c r="C121" s="37"/>
      <c r="D121" s="37"/>
      <c r="E121" s="38"/>
      <c r="F121" s="38"/>
      <c r="G121" s="26"/>
      <c r="H121" s="37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37"/>
      <c r="B122" s="37"/>
      <c r="C122" s="37"/>
      <c r="D122" s="37"/>
      <c r="E122" s="38"/>
      <c r="F122" s="38"/>
      <c r="G122" s="26"/>
      <c r="H122" s="37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37"/>
      <c r="B123" s="37"/>
      <c r="C123" s="37"/>
      <c r="D123" s="37"/>
      <c r="E123" s="38"/>
      <c r="F123" s="38"/>
      <c r="G123" s="26"/>
      <c r="H123" s="37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37"/>
      <c r="B124" s="37"/>
      <c r="C124" s="37"/>
      <c r="D124" s="37"/>
      <c r="E124" s="38"/>
      <c r="F124" s="38"/>
      <c r="G124" s="26"/>
      <c r="H124" s="37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37"/>
      <c r="B125" s="37"/>
      <c r="C125" s="37"/>
      <c r="D125" s="37"/>
      <c r="E125" s="38"/>
      <c r="F125" s="38"/>
      <c r="G125" s="26"/>
      <c r="H125" s="37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37"/>
      <c r="B126" s="37"/>
      <c r="C126" s="37"/>
      <c r="D126" s="37"/>
      <c r="E126" s="38"/>
      <c r="F126" s="38"/>
      <c r="G126" s="26"/>
      <c r="H126" s="37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37"/>
      <c r="B127" s="37"/>
      <c r="C127" s="37"/>
      <c r="D127" s="37"/>
      <c r="E127" s="38"/>
      <c r="F127" s="38"/>
      <c r="G127" s="26"/>
      <c r="H127" s="37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37"/>
      <c r="B128" s="37"/>
      <c r="C128" s="37"/>
      <c r="D128" s="37"/>
      <c r="E128" s="38"/>
      <c r="F128" s="38"/>
      <c r="G128" s="26"/>
      <c r="H128" s="37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37"/>
      <c r="B129" s="37"/>
      <c r="C129" s="37"/>
      <c r="D129" s="37"/>
      <c r="E129" s="38"/>
      <c r="F129" s="38"/>
      <c r="G129" s="26"/>
      <c r="H129" s="37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37"/>
      <c r="B130" s="37"/>
      <c r="C130" s="37"/>
      <c r="D130" s="37"/>
      <c r="E130" s="38"/>
      <c r="F130" s="38"/>
      <c r="G130" s="26"/>
      <c r="H130" s="37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37"/>
      <c r="B131" s="37"/>
      <c r="C131" s="37"/>
      <c r="D131" s="37"/>
      <c r="E131" s="38"/>
      <c r="F131" s="38"/>
      <c r="G131" s="26"/>
      <c r="H131" s="37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37"/>
      <c r="B132" s="37"/>
      <c r="C132" s="37"/>
      <c r="D132" s="37"/>
      <c r="E132" s="38"/>
      <c r="F132" s="38"/>
      <c r="G132" s="26"/>
      <c r="H132" s="37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37"/>
      <c r="B133" s="37"/>
      <c r="C133" s="37"/>
      <c r="D133" s="37"/>
      <c r="E133" s="38"/>
      <c r="F133" s="38"/>
      <c r="G133" s="26"/>
      <c r="H133" s="37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37"/>
      <c r="B134" s="37"/>
      <c r="C134" s="37"/>
      <c r="D134" s="37"/>
      <c r="E134" s="38"/>
      <c r="F134" s="38"/>
      <c r="G134" s="26"/>
      <c r="H134" s="37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37"/>
      <c r="B135" s="37"/>
      <c r="C135" s="37"/>
      <c r="D135" s="37"/>
      <c r="E135" s="38"/>
      <c r="F135" s="38"/>
      <c r="G135" s="26"/>
      <c r="H135" s="37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37"/>
      <c r="B136" s="37"/>
      <c r="C136" s="37"/>
      <c r="D136" s="37"/>
      <c r="E136" s="38"/>
      <c r="F136" s="38"/>
      <c r="G136" s="26"/>
      <c r="H136" s="37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37"/>
      <c r="B137" s="37"/>
      <c r="C137" s="37"/>
      <c r="D137" s="37"/>
      <c r="E137" s="38"/>
      <c r="F137" s="38"/>
      <c r="G137" s="26"/>
      <c r="H137" s="37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37"/>
      <c r="B138" s="37"/>
      <c r="C138" s="37"/>
      <c r="D138" s="37"/>
      <c r="E138" s="38"/>
      <c r="F138" s="38"/>
      <c r="G138" s="26"/>
      <c r="H138" s="37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37"/>
      <c r="B139" s="37"/>
      <c r="C139" s="37"/>
      <c r="D139" s="37"/>
      <c r="E139" s="38"/>
      <c r="F139" s="38"/>
      <c r="G139" s="26"/>
      <c r="H139" s="37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37"/>
      <c r="B140" s="37"/>
      <c r="C140" s="37"/>
      <c r="D140" s="37"/>
      <c r="E140" s="38"/>
      <c r="F140" s="38"/>
      <c r="G140" s="26"/>
      <c r="H140" s="37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37"/>
      <c r="B141" s="37"/>
      <c r="C141" s="37"/>
      <c r="D141" s="37"/>
      <c r="E141" s="38"/>
      <c r="F141" s="38"/>
      <c r="G141" s="26"/>
      <c r="H141" s="37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37"/>
      <c r="B142" s="37"/>
      <c r="C142" s="37"/>
      <c r="D142" s="37"/>
      <c r="E142" s="38"/>
      <c r="F142" s="38"/>
      <c r="G142" s="26"/>
      <c r="H142" s="37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37"/>
      <c r="B143" s="37"/>
      <c r="C143" s="37"/>
      <c r="D143" s="37"/>
      <c r="E143" s="38"/>
      <c r="F143" s="38"/>
      <c r="G143" s="26"/>
      <c r="H143" s="37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37"/>
      <c r="B144" s="37"/>
      <c r="C144" s="37"/>
      <c r="D144" s="37"/>
      <c r="E144" s="38"/>
      <c r="F144" s="38"/>
      <c r="G144" s="26"/>
      <c r="H144" s="37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37"/>
      <c r="B145" s="37"/>
      <c r="C145" s="37"/>
      <c r="D145" s="37"/>
      <c r="E145" s="38"/>
      <c r="F145" s="38"/>
      <c r="G145" s="26"/>
      <c r="H145" s="37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37"/>
      <c r="B146" s="37"/>
      <c r="C146" s="37"/>
      <c r="D146" s="37"/>
      <c r="E146" s="38"/>
      <c r="F146" s="38"/>
      <c r="G146" s="26"/>
      <c r="H146" s="37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37"/>
      <c r="B147" s="37"/>
      <c r="C147" s="37"/>
      <c r="D147" s="37"/>
      <c r="E147" s="38"/>
      <c r="F147" s="38"/>
      <c r="G147" s="26"/>
      <c r="H147" s="37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37"/>
      <c r="B148" s="37"/>
      <c r="C148" s="37"/>
      <c r="D148" s="37"/>
      <c r="E148" s="38"/>
      <c r="F148" s="38"/>
      <c r="G148" s="26"/>
      <c r="H148" s="37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37"/>
      <c r="B149" s="37"/>
      <c r="C149" s="37"/>
      <c r="D149" s="37"/>
      <c r="E149" s="38"/>
      <c r="F149" s="38"/>
      <c r="G149" s="26"/>
      <c r="H149" s="37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37"/>
      <c r="B150" s="37"/>
      <c r="C150" s="37"/>
      <c r="D150" s="37"/>
      <c r="E150" s="38"/>
      <c r="F150" s="38"/>
      <c r="G150" s="26"/>
      <c r="H150" s="37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37"/>
      <c r="B151" s="37"/>
      <c r="C151" s="37"/>
      <c r="D151" s="37"/>
      <c r="E151" s="38"/>
      <c r="F151" s="38"/>
      <c r="G151" s="26"/>
      <c r="H151" s="37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37"/>
      <c r="B152" s="37"/>
      <c r="C152" s="37"/>
      <c r="D152" s="37"/>
      <c r="E152" s="38"/>
      <c r="F152" s="38"/>
      <c r="G152" s="26"/>
      <c r="H152" s="37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37"/>
      <c r="B153" s="37"/>
      <c r="C153" s="37"/>
      <c r="D153" s="37"/>
      <c r="E153" s="38"/>
      <c r="F153" s="38"/>
      <c r="G153" s="26"/>
      <c r="H153" s="37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37"/>
      <c r="B154" s="37"/>
      <c r="C154" s="37"/>
      <c r="D154" s="37"/>
      <c r="E154" s="38"/>
      <c r="F154" s="38"/>
      <c r="G154" s="26"/>
      <c r="H154" s="37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37"/>
      <c r="B155" s="37"/>
      <c r="C155" s="37"/>
      <c r="D155" s="37"/>
      <c r="E155" s="38"/>
      <c r="F155" s="38"/>
      <c r="G155" s="26"/>
      <c r="H155" s="37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37"/>
      <c r="B156" s="37"/>
      <c r="C156" s="37"/>
      <c r="D156" s="37"/>
      <c r="E156" s="38"/>
      <c r="F156" s="38"/>
      <c r="G156" s="26"/>
      <c r="H156" s="37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37"/>
      <c r="B157" s="37"/>
      <c r="C157" s="37"/>
      <c r="D157" s="37"/>
      <c r="E157" s="38"/>
      <c r="F157" s="38"/>
      <c r="G157" s="26"/>
      <c r="H157" s="37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37"/>
      <c r="B158" s="37"/>
      <c r="C158" s="37"/>
      <c r="D158" s="37"/>
      <c r="E158" s="38"/>
      <c r="F158" s="38"/>
      <c r="G158" s="26"/>
      <c r="H158" s="37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37"/>
      <c r="B159" s="37"/>
      <c r="C159" s="37"/>
      <c r="D159" s="37"/>
      <c r="E159" s="38"/>
      <c r="F159" s="38"/>
      <c r="G159" s="26"/>
      <c r="H159" s="37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37"/>
      <c r="B160" s="37"/>
      <c r="C160" s="37"/>
      <c r="D160" s="37"/>
      <c r="E160" s="38"/>
      <c r="F160" s="38"/>
      <c r="G160" s="26"/>
      <c r="H160" s="37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37"/>
      <c r="B161" s="37"/>
      <c r="C161" s="37"/>
      <c r="D161" s="37"/>
      <c r="E161" s="38"/>
      <c r="F161" s="38"/>
      <c r="G161" s="26"/>
      <c r="H161" s="37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37"/>
      <c r="B162" s="37"/>
      <c r="C162" s="37"/>
      <c r="D162" s="37"/>
      <c r="E162" s="38"/>
      <c r="F162" s="38"/>
      <c r="G162" s="26"/>
      <c r="H162" s="37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37"/>
      <c r="B163" s="37"/>
      <c r="C163" s="37"/>
      <c r="D163" s="37"/>
      <c r="E163" s="38"/>
      <c r="F163" s="38"/>
      <c r="G163" s="26"/>
      <c r="H163" s="37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37"/>
      <c r="B164" s="37"/>
      <c r="C164" s="37"/>
      <c r="D164" s="37"/>
      <c r="E164" s="38"/>
      <c r="F164" s="38"/>
      <c r="G164" s="26"/>
      <c r="H164" s="37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37"/>
      <c r="B165" s="37"/>
      <c r="C165" s="37"/>
      <c r="D165" s="37"/>
      <c r="E165" s="38"/>
      <c r="F165" s="38"/>
      <c r="G165" s="26"/>
      <c r="H165" s="37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37"/>
      <c r="B166" s="37"/>
      <c r="C166" s="37"/>
      <c r="D166" s="37"/>
      <c r="E166" s="38"/>
      <c r="F166" s="38"/>
      <c r="G166" s="26"/>
      <c r="H166" s="37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37"/>
      <c r="B167" s="37"/>
      <c r="C167" s="37"/>
      <c r="D167" s="37"/>
      <c r="E167" s="38"/>
      <c r="F167" s="38"/>
      <c r="G167" s="26"/>
      <c r="H167" s="37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37"/>
      <c r="B168" s="37"/>
      <c r="C168" s="37"/>
      <c r="D168" s="37"/>
      <c r="E168" s="38"/>
      <c r="F168" s="38"/>
      <c r="G168" s="26"/>
      <c r="H168" s="37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37"/>
      <c r="B169" s="37"/>
      <c r="C169" s="37"/>
      <c r="D169" s="37"/>
      <c r="E169" s="38"/>
      <c r="F169" s="38"/>
      <c r="G169" s="26"/>
      <c r="H169" s="37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37"/>
      <c r="B170" s="37"/>
      <c r="C170" s="37"/>
      <c r="D170" s="37"/>
      <c r="E170" s="38"/>
      <c r="F170" s="38"/>
      <c r="G170" s="26"/>
      <c r="H170" s="37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37"/>
      <c r="B171" s="37"/>
      <c r="C171" s="37"/>
      <c r="D171" s="37"/>
      <c r="E171" s="38"/>
      <c r="F171" s="38"/>
      <c r="G171" s="26"/>
      <c r="H171" s="37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37"/>
      <c r="B172" s="37"/>
      <c r="C172" s="37"/>
      <c r="D172" s="37"/>
      <c r="E172" s="38"/>
      <c r="F172" s="38"/>
      <c r="G172" s="26"/>
      <c r="H172" s="37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37"/>
      <c r="B173" s="37"/>
      <c r="C173" s="37"/>
      <c r="D173" s="37"/>
      <c r="E173" s="38"/>
      <c r="F173" s="38"/>
      <c r="G173" s="26"/>
      <c r="H173" s="37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37"/>
      <c r="B174" s="37"/>
      <c r="C174" s="37"/>
      <c r="D174" s="37"/>
      <c r="E174" s="38"/>
      <c r="F174" s="38"/>
      <c r="G174" s="26"/>
      <c r="H174" s="37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37"/>
      <c r="B175" s="37"/>
      <c r="C175" s="37"/>
      <c r="D175" s="37"/>
      <c r="E175" s="38"/>
      <c r="F175" s="38"/>
      <c r="G175" s="26"/>
      <c r="H175" s="37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37"/>
      <c r="B176" s="37"/>
      <c r="C176" s="37"/>
      <c r="D176" s="37"/>
      <c r="E176" s="38"/>
      <c r="F176" s="38"/>
      <c r="G176" s="26"/>
      <c r="H176" s="37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37"/>
      <c r="B177" s="37"/>
      <c r="C177" s="37"/>
      <c r="D177" s="37"/>
      <c r="E177" s="38"/>
      <c r="F177" s="38"/>
      <c r="G177" s="26"/>
      <c r="H177" s="37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37"/>
      <c r="B178" s="37"/>
      <c r="C178" s="37"/>
      <c r="D178" s="37"/>
      <c r="E178" s="38"/>
      <c r="F178" s="38"/>
      <c r="G178" s="26"/>
      <c r="H178" s="37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37"/>
      <c r="B179" s="37"/>
      <c r="C179" s="37"/>
      <c r="D179" s="37"/>
      <c r="E179" s="38"/>
      <c r="F179" s="38"/>
      <c r="G179" s="26"/>
      <c r="H179" s="37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37"/>
      <c r="B180" s="37"/>
      <c r="C180" s="37"/>
      <c r="D180" s="37"/>
      <c r="E180" s="38"/>
      <c r="F180" s="38"/>
      <c r="G180" s="26"/>
      <c r="H180" s="37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37"/>
      <c r="B181" s="37"/>
      <c r="C181" s="37"/>
      <c r="D181" s="37"/>
      <c r="E181" s="38"/>
      <c r="F181" s="38"/>
      <c r="G181" s="26"/>
      <c r="H181" s="37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37"/>
      <c r="B182" s="37"/>
      <c r="C182" s="37"/>
      <c r="D182" s="37"/>
      <c r="E182" s="38"/>
      <c r="F182" s="38"/>
      <c r="G182" s="26"/>
      <c r="H182" s="37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37"/>
      <c r="B183" s="37"/>
      <c r="C183" s="37"/>
      <c r="D183" s="37"/>
      <c r="E183" s="38"/>
      <c r="F183" s="38"/>
      <c r="G183" s="26"/>
      <c r="H183" s="37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37"/>
      <c r="B184" s="37"/>
      <c r="C184" s="37"/>
      <c r="D184" s="37"/>
      <c r="E184" s="38"/>
      <c r="F184" s="38"/>
      <c r="G184" s="26"/>
      <c r="H184" s="37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37"/>
      <c r="B185" s="37"/>
      <c r="C185" s="37"/>
      <c r="D185" s="37"/>
      <c r="E185" s="38"/>
      <c r="F185" s="38"/>
      <c r="G185" s="26"/>
      <c r="H185" s="37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37"/>
      <c r="B186" s="37"/>
      <c r="C186" s="37"/>
      <c r="D186" s="37"/>
      <c r="E186" s="38"/>
      <c r="F186" s="38"/>
      <c r="G186" s="26"/>
      <c r="H186" s="37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37"/>
      <c r="B187" s="37"/>
      <c r="C187" s="37"/>
      <c r="D187" s="37"/>
      <c r="E187" s="38"/>
      <c r="F187" s="38"/>
      <c r="G187" s="26"/>
      <c r="H187" s="37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37"/>
      <c r="B188" s="37"/>
      <c r="C188" s="37"/>
      <c r="D188" s="37"/>
      <c r="E188" s="38"/>
      <c r="F188" s="38"/>
      <c r="G188" s="26"/>
      <c r="H188" s="37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37"/>
      <c r="B189" s="37"/>
      <c r="C189" s="37"/>
      <c r="D189" s="37"/>
      <c r="E189" s="38"/>
      <c r="F189" s="38"/>
      <c r="G189" s="26"/>
      <c r="H189" s="37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37"/>
      <c r="B190" s="37"/>
      <c r="C190" s="37"/>
      <c r="D190" s="37"/>
      <c r="E190" s="38"/>
      <c r="F190" s="38"/>
      <c r="G190" s="26"/>
      <c r="H190" s="37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37"/>
      <c r="B191" s="37"/>
      <c r="C191" s="37"/>
      <c r="D191" s="37"/>
      <c r="E191" s="38"/>
      <c r="F191" s="38"/>
      <c r="G191" s="26"/>
      <c r="H191" s="37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37"/>
      <c r="B192" s="37"/>
      <c r="C192" s="37"/>
      <c r="D192" s="37"/>
      <c r="E192" s="38"/>
      <c r="F192" s="38"/>
      <c r="G192" s="26"/>
      <c r="H192" s="37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37"/>
      <c r="B193" s="37"/>
      <c r="C193" s="37"/>
      <c r="D193" s="37"/>
      <c r="E193" s="38"/>
      <c r="F193" s="38"/>
      <c r="G193" s="26"/>
      <c r="H193" s="37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37"/>
      <c r="B194" s="37"/>
      <c r="C194" s="37"/>
      <c r="D194" s="37"/>
      <c r="E194" s="38"/>
      <c r="F194" s="38"/>
      <c r="G194" s="26"/>
      <c r="H194" s="37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37"/>
      <c r="B195" s="37"/>
      <c r="C195" s="37"/>
      <c r="D195" s="37"/>
      <c r="E195" s="38"/>
      <c r="F195" s="38"/>
      <c r="G195" s="26"/>
      <c r="H195" s="37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37"/>
      <c r="B196" s="37"/>
      <c r="C196" s="37"/>
      <c r="D196" s="37"/>
      <c r="E196" s="38"/>
      <c r="F196" s="38"/>
      <c r="G196" s="26"/>
      <c r="H196" s="37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37"/>
      <c r="B197" s="37"/>
      <c r="C197" s="37"/>
      <c r="D197" s="37"/>
      <c r="E197" s="38"/>
      <c r="F197" s="38"/>
      <c r="G197" s="26"/>
      <c r="H197" s="37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37"/>
      <c r="B198" s="37"/>
      <c r="C198" s="37"/>
      <c r="D198" s="37"/>
      <c r="E198" s="38"/>
      <c r="F198" s="38"/>
      <c r="G198" s="26"/>
      <c r="H198" s="37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37"/>
      <c r="B199" s="37"/>
      <c r="C199" s="37"/>
      <c r="D199" s="37"/>
      <c r="E199" s="38"/>
      <c r="F199" s="38"/>
      <c r="G199" s="26"/>
      <c r="H199" s="37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37"/>
      <c r="B200" s="37"/>
      <c r="C200" s="37"/>
      <c r="D200" s="37"/>
      <c r="E200" s="38"/>
      <c r="F200" s="38"/>
      <c r="G200" s="26"/>
      <c r="H200" s="37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37"/>
      <c r="B201" s="37"/>
      <c r="C201" s="37"/>
      <c r="D201" s="37"/>
      <c r="E201" s="38"/>
      <c r="F201" s="38"/>
      <c r="G201" s="26"/>
      <c r="H201" s="37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37"/>
      <c r="B202" s="37"/>
      <c r="C202" s="37"/>
      <c r="D202" s="37"/>
      <c r="E202" s="38"/>
      <c r="F202" s="38"/>
      <c r="G202" s="26"/>
      <c r="H202" s="37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37"/>
      <c r="B203" s="37"/>
      <c r="C203" s="37"/>
      <c r="D203" s="37"/>
      <c r="E203" s="38"/>
      <c r="F203" s="38"/>
      <c r="G203" s="26"/>
      <c r="H203" s="37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37"/>
      <c r="B204" s="37"/>
      <c r="C204" s="37"/>
      <c r="D204" s="37"/>
      <c r="E204" s="38"/>
      <c r="F204" s="38"/>
      <c r="G204" s="26"/>
      <c r="H204" s="37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37"/>
      <c r="B205" s="37"/>
      <c r="C205" s="37"/>
      <c r="D205" s="37"/>
      <c r="E205" s="38"/>
      <c r="F205" s="38"/>
      <c r="G205" s="26"/>
      <c r="H205" s="37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37"/>
      <c r="B206" s="37"/>
      <c r="C206" s="37"/>
      <c r="D206" s="37"/>
      <c r="E206" s="38"/>
      <c r="F206" s="38"/>
      <c r="G206" s="26"/>
      <c r="H206" s="37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37"/>
      <c r="B207" s="37"/>
      <c r="C207" s="37"/>
      <c r="D207" s="37"/>
      <c r="E207" s="38"/>
      <c r="F207" s="38"/>
      <c r="G207" s="26"/>
      <c r="H207" s="37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37"/>
      <c r="B208" s="37"/>
      <c r="C208" s="37"/>
      <c r="D208" s="37"/>
      <c r="E208" s="38"/>
      <c r="F208" s="38"/>
      <c r="G208" s="26"/>
      <c r="H208" s="37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37"/>
      <c r="B209" s="37"/>
      <c r="C209" s="37"/>
      <c r="D209" s="37"/>
      <c r="E209" s="38"/>
      <c r="F209" s="38"/>
      <c r="G209" s="26"/>
      <c r="H209" s="37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37"/>
      <c r="B210" s="37"/>
      <c r="C210" s="37"/>
      <c r="D210" s="37"/>
      <c r="E210" s="38"/>
      <c r="F210" s="38"/>
      <c r="G210" s="26"/>
      <c r="H210" s="37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37"/>
      <c r="B211" s="37"/>
      <c r="C211" s="37"/>
      <c r="D211" s="37"/>
      <c r="E211" s="38"/>
      <c r="F211" s="38"/>
      <c r="G211" s="26"/>
      <c r="H211" s="37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37"/>
      <c r="B212" s="37"/>
      <c r="C212" s="37"/>
      <c r="D212" s="37"/>
      <c r="E212" s="38"/>
      <c r="F212" s="38"/>
      <c r="G212" s="26"/>
      <c r="H212" s="37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37"/>
      <c r="B213" s="37"/>
      <c r="C213" s="37"/>
      <c r="D213" s="37"/>
      <c r="E213" s="38"/>
      <c r="F213" s="38"/>
      <c r="G213" s="26"/>
      <c r="H213" s="37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37"/>
      <c r="B214" s="37"/>
      <c r="C214" s="37"/>
      <c r="D214" s="37"/>
      <c r="E214" s="38"/>
      <c r="F214" s="38"/>
      <c r="G214" s="26"/>
      <c r="H214" s="37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37"/>
      <c r="B215" s="37"/>
      <c r="C215" s="37"/>
      <c r="D215" s="37"/>
      <c r="E215" s="38"/>
      <c r="F215" s="38"/>
      <c r="G215" s="26"/>
      <c r="H215" s="37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37"/>
      <c r="B216" s="37"/>
      <c r="C216" s="37"/>
      <c r="D216" s="37"/>
      <c r="E216" s="38"/>
      <c r="F216" s="38"/>
      <c r="G216" s="26"/>
      <c r="H216" s="37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37"/>
      <c r="B217" s="37"/>
      <c r="C217" s="37"/>
      <c r="D217" s="37"/>
      <c r="E217" s="38"/>
      <c r="F217" s="38"/>
      <c r="G217" s="26"/>
      <c r="H217" s="37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37"/>
      <c r="B218" s="37"/>
      <c r="C218" s="37"/>
      <c r="D218" s="37"/>
      <c r="E218" s="38"/>
      <c r="F218" s="38"/>
      <c r="G218" s="26"/>
      <c r="H218" s="37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37"/>
      <c r="B219" s="37"/>
      <c r="C219" s="37"/>
      <c r="D219" s="37"/>
      <c r="E219" s="38"/>
      <c r="F219" s="38"/>
      <c r="G219" s="26"/>
      <c r="H219" s="37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37"/>
      <c r="B220" s="37"/>
      <c r="C220" s="37"/>
      <c r="D220" s="37"/>
      <c r="E220" s="38"/>
      <c r="F220" s="38"/>
      <c r="G220" s="26"/>
      <c r="H220" s="37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37"/>
      <c r="B221" s="37"/>
      <c r="C221" s="37"/>
      <c r="D221" s="37"/>
      <c r="E221" s="38"/>
      <c r="F221" s="38"/>
      <c r="G221" s="26"/>
      <c r="H221" s="37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37"/>
      <c r="B222" s="37"/>
      <c r="C222" s="37"/>
      <c r="D222" s="37"/>
      <c r="E222" s="38"/>
      <c r="F222" s="38"/>
      <c r="G222" s="26"/>
      <c r="H222" s="37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37"/>
      <c r="B223" s="37"/>
      <c r="C223" s="37"/>
      <c r="D223" s="37"/>
      <c r="E223" s="38"/>
      <c r="F223" s="38"/>
      <c r="G223" s="26"/>
      <c r="H223" s="37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37"/>
      <c r="B224" s="37"/>
      <c r="C224" s="37"/>
      <c r="D224" s="37"/>
      <c r="E224" s="38"/>
      <c r="F224" s="38"/>
      <c r="G224" s="26"/>
      <c r="H224" s="37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37"/>
      <c r="B225" s="37"/>
      <c r="C225" s="37"/>
      <c r="D225" s="37"/>
      <c r="E225" s="38"/>
      <c r="F225" s="38"/>
      <c r="G225" s="26"/>
      <c r="H225" s="37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37"/>
      <c r="B226" s="37"/>
      <c r="C226" s="37"/>
      <c r="D226" s="37"/>
      <c r="E226" s="38"/>
      <c r="F226" s="38"/>
      <c r="G226" s="26"/>
      <c r="H226" s="37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37"/>
      <c r="B227" s="37"/>
      <c r="C227" s="37"/>
      <c r="D227" s="37"/>
      <c r="E227" s="38"/>
      <c r="F227" s="38"/>
      <c r="G227" s="26"/>
      <c r="H227" s="37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37"/>
      <c r="B228" s="37"/>
      <c r="C228" s="37"/>
      <c r="D228" s="37"/>
      <c r="E228" s="38"/>
      <c r="F228" s="38"/>
      <c r="G228" s="26"/>
      <c r="H228" s="37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37"/>
      <c r="B229" s="37"/>
      <c r="C229" s="37"/>
      <c r="D229" s="37"/>
      <c r="E229" s="38"/>
      <c r="F229" s="38"/>
      <c r="G229" s="26"/>
      <c r="H229" s="37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37"/>
      <c r="B230" s="37"/>
      <c r="C230" s="37"/>
      <c r="D230" s="37"/>
      <c r="E230" s="38"/>
      <c r="F230" s="38"/>
      <c r="G230" s="26"/>
      <c r="H230" s="37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37"/>
      <c r="B231" s="37"/>
      <c r="C231" s="37"/>
      <c r="D231" s="37"/>
      <c r="E231" s="38"/>
      <c r="F231" s="38"/>
      <c r="G231" s="26"/>
      <c r="H231" s="37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37"/>
      <c r="B232" s="37"/>
      <c r="C232" s="37"/>
      <c r="D232" s="37"/>
      <c r="E232" s="38"/>
      <c r="F232" s="38"/>
      <c r="G232" s="26"/>
      <c r="H232" s="37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37"/>
      <c r="B233" s="37"/>
      <c r="C233" s="37"/>
      <c r="D233" s="37"/>
      <c r="E233" s="38"/>
      <c r="F233" s="38"/>
      <c r="G233" s="26"/>
      <c r="H233" s="37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37"/>
      <c r="B234" s="37"/>
      <c r="C234" s="37"/>
      <c r="D234" s="37"/>
      <c r="E234" s="38"/>
      <c r="F234" s="38"/>
      <c r="G234" s="26"/>
      <c r="H234" s="37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37"/>
      <c r="B235" s="37"/>
      <c r="C235" s="37"/>
      <c r="D235" s="37"/>
      <c r="E235" s="38"/>
      <c r="F235" s="38"/>
      <c r="G235" s="26"/>
      <c r="H235" s="37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37"/>
      <c r="B236" s="37"/>
      <c r="C236" s="37"/>
      <c r="D236" s="37"/>
      <c r="E236" s="38"/>
      <c r="F236" s="38"/>
      <c r="G236" s="26"/>
      <c r="H236" s="37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37"/>
      <c r="B237" s="37"/>
      <c r="C237" s="37"/>
      <c r="D237" s="37"/>
      <c r="E237" s="38"/>
      <c r="F237" s="38"/>
      <c r="G237" s="26"/>
      <c r="H237" s="37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37"/>
      <c r="B238" s="37"/>
      <c r="C238" s="37"/>
      <c r="D238" s="37"/>
      <c r="E238" s="38"/>
      <c r="F238" s="38"/>
      <c r="G238" s="26"/>
      <c r="H238" s="37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37"/>
      <c r="B239" s="37"/>
      <c r="C239" s="37"/>
      <c r="D239" s="37"/>
      <c r="E239" s="38"/>
      <c r="F239" s="38"/>
      <c r="G239" s="26"/>
      <c r="H239" s="37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37"/>
      <c r="B240" s="37"/>
      <c r="C240" s="37"/>
      <c r="D240" s="37"/>
      <c r="E240" s="38"/>
      <c r="F240" s="38"/>
      <c r="G240" s="26"/>
      <c r="H240" s="37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37"/>
      <c r="B241" s="37"/>
      <c r="C241" s="37"/>
      <c r="D241" s="37"/>
      <c r="E241" s="38"/>
      <c r="F241" s="38"/>
      <c r="G241" s="26"/>
      <c r="H241" s="37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37"/>
      <c r="B242" s="37"/>
      <c r="C242" s="37"/>
      <c r="D242" s="37"/>
      <c r="E242" s="38"/>
      <c r="F242" s="38"/>
      <c r="G242" s="26"/>
      <c r="H242" s="37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37"/>
      <c r="B243" s="37"/>
      <c r="C243" s="37"/>
      <c r="D243" s="37"/>
      <c r="E243" s="38"/>
      <c r="F243" s="38"/>
      <c r="G243" s="26"/>
      <c r="H243" s="37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37"/>
      <c r="B244" s="37"/>
      <c r="C244" s="37"/>
      <c r="D244" s="37"/>
      <c r="E244" s="38"/>
      <c r="F244" s="38"/>
      <c r="G244" s="26"/>
      <c r="H244" s="37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37"/>
      <c r="B245" s="37"/>
      <c r="C245" s="37"/>
      <c r="D245" s="37"/>
      <c r="E245" s="38"/>
      <c r="F245" s="38"/>
      <c r="G245" s="26"/>
      <c r="H245" s="37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37"/>
      <c r="B246" s="37"/>
      <c r="C246" s="37"/>
      <c r="D246" s="37"/>
      <c r="E246" s="38"/>
      <c r="F246" s="38"/>
      <c r="G246" s="26"/>
      <c r="H246" s="37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37"/>
      <c r="B247" s="37"/>
      <c r="C247" s="37"/>
      <c r="D247" s="37"/>
      <c r="E247" s="38"/>
      <c r="F247" s="38"/>
      <c r="G247" s="26"/>
      <c r="H247" s="37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37"/>
      <c r="B248" s="37"/>
      <c r="C248" s="37"/>
      <c r="D248" s="37"/>
      <c r="E248" s="38"/>
      <c r="F248" s="38"/>
      <c r="G248" s="26"/>
      <c r="H248" s="37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37"/>
      <c r="B249" s="37"/>
      <c r="C249" s="37"/>
      <c r="D249" s="37"/>
      <c r="E249" s="38"/>
      <c r="F249" s="38"/>
      <c r="G249" s="26"/>
      <c r="H249" s="37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37"/>
      <c r="B250" s="37"/>
      <c r="C250" s="37"/>
      <c r="D250" s="37"/>
      <c r="E250" s="38"/>
      <c r="F250" s="38"/>
      <c r="G250" s="26"/>
      <c r="H250" s="37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37"/>
      <c r="B251" s="37"/>
      <c r="C251" s="37"/>
      <c r="D251" s="37"/>
      <c r="E251" s="38"/>
      <c r="F251" s="38"/>
      <c r="G251" s="26"/>
      <c r="H251" s="37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37"/>
      <c r="B252" s="37"/>
      <c r="C252" s="37"/>
      <c r="D252" s="37"/>
      <c r="E252" s="38"/>
      <c r="F252" s="38"/>
      <c r="G252" s="26"/>
      <c r="H252" s="37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37"/>
      <c r="B253" s="37"/>
      <c r="C253" s="37"/>
      <c r="D253" s="37"/>
      <c r="E253" s="38"/>
      <c r="F253" s="38"/>
      <c r="G253" s="26"/>
      <c r="H253" s="37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37"/>
      <c r="B254" s="37"/>
      <c r="C254" s="37"/>
      <c r="D254" s="37"/>
      <c r="E254" s="38"/>
      <c r="F254" s="38"/>
      <c r="G254" s="26"/>
      <c r="H254" s="37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37"/>
      <c r="B255" s="37"/>
      <c r="C255" s="37"/>
      <c r="D255" s="37"/>
      <c r="E255" s="38"/>
      <c r="F255" s="38"/>
      <c r="G255" s="26"/>
      <c r="H255" s="37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37"/>
      <c r="B256" s="37"/>
      <c r="C256" s="37"/>
      <c r="D256" s="37"/>
      <c r="E256" s="38"/>
      <c r="F256" s="38"/>
      <c r="G256" s="26"/>
      <c r="H256" s="37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37"/>
      <c r="B257" s="37"/>
      <c r="C257" s="37"/>
      <c r="D257" s="37"/>
      <c r="E257" s="38"/>
      <c r="F257" s="38"/>
      <c r="G257" s="26"/>
      <c r="H257" s="37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37"/>
      <c r="B258" s="37"/>
      <c r="C258" s="37"/>
      <c r="D258" s="37"/>
      <c r="E258" s="38"/>
      <c r="F258" s="38"/>
      <c r="G258" s="26"/>
      <c r="H258" s="37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37"/>
      <c r="B259" s="37"/>
      <c r="C259" s="37"/>
      <c r="D259" s="37"/>
      <c r="E259" s="38"/>
      <c r="F259" s="38"/>
      <c r="G259" s="26"/>
      <c r="H259" s="37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37"/>
      <c r="B260" s="37"/>
      <c r="C260" s="37"/>
      <c r="D260" s="37"/>
      <c r="E260" s="38"/>
      <c r="F260" s="38"/>
      <c r="G260" s="26"/>
      <c r="H260" s="37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37"/>
      <c r="B261" s="37"/>
      <c r="C261" s="37"/>
      <c r="D261" s="37"/>
      <c r="E261" s="38"/>
      <c r="F261" s="38"/>
      <c r="G261" s="26"/>
      <c r="H261" s="37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37"/>
      <c r="B262" s="37"/>
      <c r="C262" s="37"/>
      <c r="D262" s="37"/>
      <c r="E262" s="38"/>
      <c r="F262" s="38"/>
      <c r="G262" s="26"/>
      <c r="H262" s="37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37"/>
      <c r="B263" s="37"/>
      <c r="C263" s="37"/>
      <c r="D263" s="37"/>
      <c r="E263" s="38"/>
      <c r="F263" s="38"/>
      <c r="G263" s="26"/>
      <c r="H263" s="37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37"/>
      <c r="B264" s="37"/>
      <c r="C264" s="37"/>
      <c r="D264" s="37"/>
      <c r="E264" s="38"/>
      <c r="F264" s="38"/>
      <c r="G264" s="26"/>
      <c r="H264" s="37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37"/>
      <c r="B265" s="37"/>
      <c r="C265" s="37"/>
      <c r="D265" s="37"/>
      <c r="E265" s="38"/>
      <c r="F265" s="38"/>
      <c r="G265" s="26"/>
      <c r="H265" s="37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37"/>
      <c r="B266" s="37"/>
      <c r="C266" s="37"/>
      <c r="D266" s="37"/>
      <c r="E266" s="38"/>
      <c r="F266" s="38"/>
      <c r="G266" s="26"/>
      <c r="H266" s="37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37"/>
      <c r="B267" s="37"/>
      <c r="C267" s="37"/>
      <c r="D267" s="37"/>
      <c r="E267" s="38"/>
      <c r="F267" s="38"/>
      <c r="G267" s="26"/>
      <c r="H267" s="37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37"/>
      <c r="B268" s="37"/>
      <c r="C268" s="37"/>
      <c r="D268" s="37"/>
      <c r="E268" s="38"/>
      <c r="F268" s="38"/>
      <c r="G268" s="26"/>
      <c r="H268" s="37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37"/>
      <c r="B269" s="37"/>
      <c r="C269" s="37"/>
      <c r="D269" s="37"/>
      <c r="E269" s="38"/>
      <c r="F269" s="38"/>
      <c r="G269" s="26"/>
      <c r="H269" s="37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37"/>
      <c r="B270" s="37"/>
      <c r="C270" s="37"/>
      <c r="D270" s="37"/>
      <c r="E270" s="38"/>
      <c r="F270" s="38"/>
      <c r="G270" s="26"/>
      <c r="H270" s="37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37"/>
      <c r="B271" s="37"/>
      <c r="C271" s="37"/>
      <c r="D271" s="37"/>
      <c r="E271" s="38"/>
      <c r="F271" s="38"/>
      <c r="G271" s="26"/>
      <c r="H271" s="37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37"/>
      <c r="B272" s="37"/>
      <c r="C272" s="37"/>
      <c r="D272" s="37"/>
      <c r="E272" s="38"/>
      <c r="F272" s="38"/>
      <c r="G272" s="26"/>
      <c r="H272" s="37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37"/>
      <c r="B273" s="37"/>
      <c r="C273" s="37"/>
      <c r="D273" s="37"/>
      <c r="E273" s="38"/>
      <c r="F273" s="38"/>
      <c r="G273" s="26"/>
      <c r="H273" s="37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37"/>
      <c r="B274" s="37"/>
      <c r="C274" s="37"/>
      <c r="D274" s="37"/>
      <c r="E274" s="38"/>
      <c r="F274" s="38"/>
      <c r="G274" s="26"/>
      <c r="H274" s="37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37"/>
      <c r="B275" s="37"/>
      <c r="C275" s="37"/>
      <c r="D275" s="37"/>
      <c r="E275" s="38"/>
      <c r="F275" s="38"/>
      <c r="G275" s="26"/>
      <c r="H275" s="37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37"/>
      <c r="B276" s="37"/>
      <c r="C276" s="37"/>
      <c r="D276" s="37"/>
      <c r="E276" s="38"/>
      <c r="F276" s="38"/>
      <c r="G276" s="26"/>
      <c r="H276" s="37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37"/>
      <c r="B277" s="37"/>
      <c r="C277" s="37"/>
      <c r="D277" s="37"/>
      <c r="E277" s="38"/>
      <c r="F277" s="38"/>
      <c r="G277" s="26"/>
      <c r="H277" s="37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37"/>
      <c r="B278" s="37"/>
      <c r="C278" s="37"/>
      <c r="D278" s="37"/>
      <c r="E278" s="38"/>
      <c r="F278" s="38"/>
      <c r="G278" s="26"/>
      <c r="H278" s="37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37"/>
      <c r="B279" s="37"/>
      <c r="C279" s="37"/>
      <c r="D279" s="37"/>
      <c r="E279" s="38"/>
      <c r="F279" s="38"/>
      <c r="G279" s="26"/>
      <c r="H279" s="37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37"/>
      <c r="B280" s="37"/>
      <c r="C280" s="37"/>
      <c r="D280" s="37"/>
      <c r="E280" s="38"/>
      <c r="F280" s="38"/>
      <c r="G280" s="26"/>
      <c r="H280" s="37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37"/>
      <c r="B281" s="37"/>
      <c r="C281" s="37"/>
      <c r="D281" s="37"/>
      <c r="E281" s="38"/>
      <c r="F281" s="38"/>
      <c r="G281" s="26"/>
      <c r="H281" s="37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37"/>
      <c r="B282" s="37"/>
      <c r="C282" s="37"/>
      <c r="D282" s="37"/>
      <c r="E282" s="38"/>
      <c r="F282" s="38"/>
      <c r="G282" s="26"/>
      <c r="H282" s="37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37"/>
      <c r="B283" s="37"/>
      <c r="C283" s="37"/>
      <c r="D283" s="37"/>
      <c r="E283" s="38"/>
      <c r="F283" s="38"/>
      <c r="G283" s="26"/>
      <c r="H283" s="37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37"/>
      <c r="B284" s="37"/>
      <c r="C284" s="37"/>
      <c r="D284" s="37"/>
      <c r="E284" s="38"/>
      <c r="F284" s="38"/>
      <c r="G284" s="26"/>
      <c r="H284" s="37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37"/>
      <c r="B285" s="37"/>
      <c r="C285" s="37"/>
      <c r="D285" s="37"/>
      <c r="E285" s="38"/>
      <c r="F285" s="38"/>
      <c r="G285" s="26"/>
      <c r="H285" s="37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37"/>
      <c r="B286" s="37"/>
      <c r="C286" s="37"/>
      <c r="D286" s="37"/>
      <c r="E286" s="38"/>
      <c r="F286" s="38"/>
      <c r="G286" s="26"/>
      <c r="H286" s="37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37"/>
      <c r="B287" s="37"/>
      <c r="C287" s="37"/>
      <c r="D287" s="37"/>
      <c r="E287" s="38"/>
      <c r="F287" s="38"/>
      <c r="G287" s="26"/>
      <c r="H287" s="37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37"/>
      <c r="B288" s="37"/>
      <c r="C288" s="37"/>
      <c r="D288" s="37"/>
      <c r="E288" s="38"/>
      <c r="F288" s="38"/>
      <c r="G288" s="26"/>
      <c r="H288" s="37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37"/>
      <c r="B289" s="37"/>
      <c r="C289" s="37"/>
      <c r="D289" s="37"/>
      <c r="E289" s="38"/>
      <c r="F289" s="38"/>
      <c r="G289" s="26"/>
      <c r="H289" s="37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37"/>
      <c r="B290" s="37"/>
      <c r="C290" s="37"/>
      <c r="D290" s="37"/>
      <c r="E290" s="38"/>
      <c r="F290" s="38"/>
      <c r="G290" s="26"/>
      <c r="H290" s="37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37"/>
      <c r="B291" s="37"/>
      <c r="C291" s="37"/>
      <c r="D291" s="37"/>
      <c r="E291" s="38"/>
      <c r="F291" s="38"/>
      <c r="G291" s="26"/>
      <c r="H291" s="37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37"/>
      <c r="B292" s="37"/>
      <c r="C292" s="37"/>
      <c r="D292" s="37"/>
      <c r="E292" s="38"/>
      <c r="F292" s="38"/>
      <c r="G292" s="26"/>
      <c r="H292" s="37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37"/>
      <c r="B293" s="37"/>
      <c r="C293" s="37"/>
      <c r="D293" s="37"/>
      <c r="E293" s="38"/>
      <c r="F293" s="38"/>
      <c r="G293" s="26"/>
      <c r="H293" s="37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37"/>
      <c r="B294" s="37"/>
      <c r="C294" s="37"/>
      <c r="D294" s="37"/>
      <c r="E294" s="38"/>
      <c r="F294" s="38"/>
      <c r="G294" s="26"/>
      <c r="H294" s="37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37"/>
      <c r="B295" s="37"/>
      <c r="C295" s="37"/>
      <c r="D295" s="37"/>
      <c r="E295" s="38"/>
      <c r="F295" s="38"/>
      <c r="G295" s="26"/>
      <c r="H295" s="37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37"/>
      <c r="B296" s="37"/>
      <c r="C296" s="37"/>
      <c r="D296" s="37"/>
      <c r="E296" s="38"/>
      <c r="F296" s="38"/>
      <c r="G296" s="26"/>
      <c r="H296" s="37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37"/>
      <c r="B297" s="37"/>
      <c r="C297" s="37"/>
      <c r="D297" s="37"/>
      <c r="E297" s="38"/>
      <c r="F297" s="38"/>
      <c r="G297" s="26"/>
      <c r="H297" s="37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37"/>
      <c r="B298" s="37"/>
      <c r="C298" s="37"/>
      <c r="D298" s="37"/>
      <c r="E298" s="38"/>
      <c r="F298" s="38"/>
      <c r="G298" s="26"/>
      <c r="H298" s="37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37"/>
      <c r="B299" s="37"/>
      <c r="C299" s="37"/>
      <c r="D299" s="37"/>
      <c r="E299" s="38"/>
      <c r="F299" s="38"/>
      <c r="G299" s="26"/>
      <c r="H299" s="37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37"/>
      <c r="B300" s="37"/>
      <c r="C300" s="37"/>
      <c r="D300" s="37"/>
      <c r="E300" s="38"/>
      <c r="F300" s="38"/>
      <c r="G300" s="26"/>
      <c r="H300" s="37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37"/>
      <c r="B301" s="37"/>
      <c r="C301" s="37"/>
      <c r="D301" s="37"/>
      <c r="E301" s="38"/>
      <c r="F301" s="38"/>
      <c r="G301" s="26"/>
      <c r="H301" s="37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37"/>
      <c r="B302" s="37"/>
      <c r="C302" s="37"/>
      <c r="D302" s="37"/>
      <c r="E302" s="38"/>
      <c r="F302" s="38"/>
      <c r="G302" s="26"/>
      <c r="H302" s="37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37"/>
      <c r="B303" s="37"/>
      <c r="C303" s="37"/>
      <c r="D303" s="37"/>
      <c r="E303" s="38"/>
      <c r="F303" s="38"/>
      <c r="G303" s="26"/>
      <c r="H303" s="37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37"/>
      <c r="B304" s="37"/>
      <c r="C304" s="37"/>
      <c r="D304" s="37"/>
      <c r="E304" s="38"/>
      <c r="F304" s="38"/>
      <c r="G304" s="26"/>
      <c r="H304" s="37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37"/>
      <c r="B305" s="37"/>
      <c r="C305" s="37"/>
      <c r="D305" s="37"/>
      <c r="E305" s="38"/>
      <c r="F305" s="38"/>
      <c r="G305" s="26"/>
      <c r="H305" s="37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37"/>
      <c r="B306" s="37"/>
      <c r="C306" s="37"/>
      <c r="D306" s="37"/>
      <c r="E306" s="38"/>
      <c r="F306" s="38"/>
      <c r="G306" s="26"/>
      <c r="H306" s="37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37"/>
      <c r="B307" s="37"/>
      <c r="C307" s="37"/>
      <c r="D307" s="37"/>
      <c r="E307" s="38"/>
      <c r="F307" s="38"/>
      <c r="G307" s="26"/>
      <c r="H307" s="37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37"/>
      <c r="B308" s="37"/>
      <c r="C308" s="37"/>
      <c r="D308" s="37"/>
      <c r="E308" s="38"/>
      <c r="F308" s="38"/>
      <c r="G308" s="26"/>
      <c r="H308" s="37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37"/>
      <c r="B309" s="37"/>
      <c r="C309" s="37"/>
      <c r="D309" s="37"/>
      <c r="E309" s="38"/>
      <c r="F309" s="38"/>
      <c r="G309" s="26"/>
      <c r="H309" s="37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37"/>
      <c r="B310" s="37"/>
      <c r="C310" s="37"/>
      <c r="D310" s="37"/>
      <c r="E310" s="38"/>
      <c r="F310" s="38"/>
      <c r="G310" s="26"/>
      <c r="H310" s="37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37"/>
      <c r="B311" s="37"/>
      <c r="C311" s="37"/>
      <c r="D311" s="37"/>
      <c r="E311" s="38"/>
      <c r="F311" s="38"/>
      <c r="G311" s="26"/>
      <c r="H311" s="37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37"/>
      <c r="B312" s="37"/>
      <c r="C312" s="37"/>
      <c r="D312" s="37"/>
      <c r="E312" s="38"/>
      <c r="F312" s="38"/>
      <c r="G312" s="26"/>
      <c r="H312" s="37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37"/>
      <c r="B313" s="37"/>
      <c r="C313" s="37"/>
      <c r="D313" s="37"/>
      <c r="E313" s="38"/>
      <c r="F313" s="38"/>
      <c r="G313" s="26"/>
      <c r="H313" s="37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37"/>
      <c r="B314" s="37"/>
      <c r="C314" s="37"/>
      <c r="D314" s="37"/>
      <c r="E314" s="38"/>
      <c r="F314" s="38"/>
      <c r="G314" s="26"/>
      <c r="H314" s="37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37"/>
      <c r="B315" s="37"/>
      <c r="C315" s="37"/>
      <c r="D315" s="37"/>
      <c r="E315" s="38"/>
      <c r="F315" s="38"/>
      <c r="G315" s="26"/>
      <c r="H315" s="37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37"/>
      <c r="B316" s="37"/>
      <c r="C316" s="37"/>
      <c r="D316" s="37"/>
      <c r="E316" s="38"/>
      <c r="F316" s="38"/>
      <c r="G316" s="26"/>
      <c r="H316" s="37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37"/>
      <c r="B317" s="37"/>
      <c r="C317" s="37"/>
      <c r="D317" s="37"/>
      <c r="E317" s="38"/>
      <c r="F317" s="38"/>
      <c r="G317" s="26"/>
      <c r="H317" s="37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37"/>
      <c r="B318" s="37"/>
      <c r="C318" s="37"/>
      <c r="D318" s="37"/>
      <c r="E318" s="38"/>
      <c r="F318" s="38"/>
      <c r="G318" s="26"/>
      <c r="H318" s="37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37"/>
      <c r="B319" s="37"/>
      <c r="C319" s="37"/>
      <c r="D319" s="37"/>
      <c r="E319" s="38"/>
      <c r="F319" s="38"/>
      <c r="G319" s="26"/>
      <c r="H319" s="37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37"/>
      <c r="B320" s="37"/>
      <c r="C320" s="37"/>
      <c r="D320" s="37"/>
      <c r="E320" s="38"/>
      <c r="F320" s="38"/>
      <c r="G320" s="26"/>
      <c r="H320" s="37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37"/>
      <c r="B321" s="37"/>
      <c r="C321" s="37"/>
      <c r="D321" s="37"/>
      <c r="E321" s="38"/>
      <c r="F321" s="38"/>
      <c r="G321" s="26"/>
      <c r="H321" s="37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37"/>
      <c r="B322" s="37"/>
      <c r="C322" s="37"/>
      <c r="D322" s="37"/>
      <c r="E322" s="38"/>
      <c r="F322" s="38"/>
      <c r="G322" s="26"/>
      <c r="H322" s="37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37"/>
      <c r="B323" s="37"/>
      <c r="C323" s="37"/>
      <c r="D323" s="37"/>
      <c r="E323" s="38"/>
      <c r="F323" s="38"/>
      <c r="G323" s="26"/>
      <c r="H323" s="37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37"/>
      <c r="B324" s="37"/>
      <c r="C324" s="37"/>
      <c r="D324" s="37"/>
      <c r="E324" s="38"/>
      <c r="F324" s="38"/>
      <c r="G324" s="26"/>
      <c r="H324" s="37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37"/>
      <c r="B325" s="37"/>
      <c r="C325" s="37"/>
      <c r="D325" s="37"/>
      <c r="E325" s="38"/>
      <c r="F325" s="38"/>
      <c r="G325" s="26"/>
      <c r="H325" s="37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37"/>
      <c r="B326" s="37"/>
      <c r="C326" s="37"/>
      <c r="D326" s="37"/>
      <c r="E326" s="38"/>
      <c r="F326" s="38"/>
      <c r="G326" s="26"/>
      <c r="H326" s="37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37"/>
      <c r="B327" s="37"/>
      <c r="C327" s="37"/>
      <c r="D327" s="37"/>
      <c r="E327" s="38"/>
      <c r="F327" s="38"/>
      <c r="G327" s="26"/>
      <c r="H327" s="37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37"/>
      <c r="B328" s="37"/>
      <c r="C328" s="37"/>
      <c r="D328" s="37"/>
      <c r="E328" s="38"/>
      <c r="F328" s="38"/>
      <c r="G328" s="26"/>
      <c r="H328" s="37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37"/>
      <c r="B329" s="37"/>
      <c r="C329" s="37"/>
      <c r="D329" s="37"/>
      <c r="E329" s="38"/>
      <c r="F329" s="38"/>
      <c r="G329" s="26"/>
      <c r="H329" s="37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37"/>
      <c r="B330" s="37"/>
      <c r="C330" s="37"/>
      <c r="D330" s="37"/>
      <c r="E330" s="38"/>
      <c r="F330" s="38"/>
      <c r="G330" s="26"/>
      <c r="H330" s="37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37"/>
      <c r="B331" s="37"/>
      <c r="C331" s="37"/>
      <c r="D331" s="37"/>
      <c r="E331" s="38"/>
      <c r="F331" s="38"/>
      <c r="G331" s="26"/>
      <c r="H331" s="37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37"/>
      <c r="B332" s="37"/>
      <c r="C332" s="37"/>
      <c r="D332" s="37"/>
      <c r="E332" s="38"/>
      <c r="F332" s="38"/>
      <c r="G332" s="26"/>
      <c r="H332" s="37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37"/>
      <c r="B333" s="37"/>
      <c r="C333" s="37"/>
      <c r="D333" s="37"/>
      <c r="E333" s="38"/>
      <c r="F333" s="38"/>
      <c r="G333" s="26"/>
      <c r="H333" s="37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37"/>
      <c r="B334" s="37"/>
      <c r="C334" s="37"/>
      <c r="D334" s="37"/>
      <c r="E334" s="38"/>
      <c r="F334" s="38"/>
      <c r="G334" s="26"/>
      <c r="H334" s="37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37"/>
      <c r="B335" s="37"/>
      <c r="C335" s="37"/>
      <c r="D335" s="37"/>
      <c r="E335" s="38"/>
      <c r="F335" s="38"/>
      <c r="G335" s="26"/>
      <c r="H335" s="37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37"/>
      <c r="B336" s="37"/>
      <c r="C336" s="37"/>
      <c r="D336" s="37"/>
      <c r="E336" s="38"/>
      <c r="F336" s="38"/>
      <c r="G336" s="26"/>
      <c r="H336" s="37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37"/>
      <c r="B337" s="37"/>
      <c r="C337" s="37"/>
      <c r="D337" s="37"/>
      <c r="E337" s="38"/>
      <c r="F337" s="38"/>
      <c r="G337" s="26"/>
      <c r="H337" s="37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37"/>
      <c r="B338" s="37"/>
      <c r="C338" s="37"/>
      <c r="D338" s="37"/>
      <c r="E338" s="38"/>
      <c r="F338" s="38"/>
      <c r="G338" s="26"/>
      <c r="H338" s="37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37"/>
      <c r="B339" s="37"/>
      <c r="C339" s="37"/>
      <c r="D339" s="37"/>
      <c r="E339" s="38"/>
      <c r="F339" s="38"/>
      <c r="G339" s="26"/>
      <c r="H339" s="37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37"/>
      <c r="B340" s="37"/>
      <c r="C340" s="37"/>
      <c r="D340" s="37"/>
      <c r="E340" s="38"/>
      <c r="F340" s="38"/>
      <c r="G340" s="26"/>
      <c r="H340" s="37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37"/>
      <c r="B341" s="37"/>
      <c r="C341" s="37"/>
      <c r="D341" s="37"/>
      <c r="E341" s="38"/>
      <c r="F341" s="38"/>
      <c r="G341" s="26"/>
      <c r="H341" s="37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37"/>
      <c r="B342" s="37"/>
      <c r="C342" s="37"/>
      <c r="D342" s="37"/>
      <c r="E342" s="38"/>
      <c r="F342" s="38"/>
      <c r="G342" s="26"/>
      <c r="H342" s="37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37"/>
      <c r="B343" s="37"/>
      <c r="C343" s="37"/>
      <c r="D343" s="37"/>
      <c r="E343" s="38"/>
      <c r="F343" s="38"/>
      <c r="G343" s="26"/>
      <c r="H343" s="37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37"/>
      <c r="B344" s="37"/>
      <c r="C344" s="37"/>
      <c r="D344" s="37"/>
      <c r="E344" s="38"/>
      <c r="F344" s="38"/>
      <c r="G344" s="26"/>
      <c r="H344" s="37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37"/>
      <c r="B345" s="37"/>
      <c r="C345" s="37"/>
      <c r="D345" s="37"/>
      <c r="E345" s="38"/>
      <c r="F345" s="38"/>
      <c r="G345" s="26"/>
      <c r="H345" s="37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37"/>
      <c r="B346" s="37"/>
      <c r="C346" s="37"/>
      <c r="D346" s="37"/>
      <c r="E346" s="38"/>
      <c r="F346" s="38"/>
      <c r="G346" s="26"/>
      <c r="H346" s="37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37"/>
      <c r="B347" s="37"/>
      <c r="C347" s="37"/>
      <c r="D347" s="37"/>
      <c r="E347" s="38"/>
      <c r="F347" s="38"/>
      <c r="G347" s="26"/>
      <c r="H347" s="37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37"/>
      <c r="B348" s="37"/>
      <c r="C348" s="37"/>
      <c r="D348" s="37"/>
      <c r="E348" s="38"/>
      <c r="F348" s="38"/>
      <c r="G348" s="26"/>
      <c r="H348" s="37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37"/>
      <c r="B349" s="37"/>
      <c r="C349" s="37"/>
      <c r="D349" s="37"/>
      <c r="E349" s="38"/>
      <c r="F349" s="38"/>
      <c r="G349" s="26"/>
      <c r="H349" s="37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37"/>
      <c r="B350" s="37"/>
      <c r="C350" s="37"/>
      <c r="D350" s="37"/>
      <c r="E350" s="38"/>
      <c r="F350" s="38"/>
      <c r="G350" s="26"/>
      <c r="H350" s="37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37"/>
      <c r="B351" s="37"/>
      <c r="C351" s="37"/>
      <c r="D351" s="37"/>
      <c r="E351" s="38"/>
      <c r="F351" s="38"/>
      <c r="G351" s="26"/>
      <c r="H351" s="37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37"/>
      <c r="B352" s="37"/>
      <c r="C352" s="37"/>
      <c r="D352" s="37"/>
      <c r="E352" s="38"/>
      <c r="F352" s="38"/>
      <c r="G352" s="26"/>
      <c r="H352" s="37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37"/>
      <c r="B353" s="37"/>
      <c r="C353" s="37"/>
      <c r="D353" s="37"/>
      <c r="E353" s="38"/>
      <c r="F353" s="38"/>
      <c r="G353" s="26"/>
      <c r="H353" s="37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37"/>
      <c r="B354" s="37"/>
      <c r="C354" s="37"/>
      <c r="D354" s="37"/>
      <c r="E354" s="38"/>
      <c r="F354" s="38"/>
      <c r="G354" s="26"/>
      <c r="H354" s="37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37"/>
      <c r="B355" s="37"/>
      <c r="C355" s="37"/>
      <c r="D355" s="37"/>
      <c r="E355" s="38"/>
      <c r="F355" s="38"/>
      <c r="G355" s="26"/>
      <c r="H355" s="37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37"/>
      <c r="B356" s="37"/>
      <c r="C356" s="37"/>
      <c r="D356" s="37"/>
      <c r="E356" s="38"/>
      <c r="F356" s="38"/>
      <c r="G356" s="26"/>
      <c r="H356" s="37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37"/>
      <c r="B357" s="37"/>
      <c r="C357" s="37"/>
      <c r="D357" s="37"/>
      <c r="E357" s="38"/>
      <c r="F357" s="38"/>
      <c r="G357" s="26"/>
      <c r="H357" s="37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37"/>
      <c r="B358" s="37"/>
      <c r="C358" s="37"/>
      <c r="D358" s="37"/>
      <c r="E358" s="38"/>
      <c r="F358" s="38"/>
      <c r="G358" s="26"/>
      <c r="H358" s="37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37"/>
      <c r="B359" s="37"/>
      <c r="C359" s="37"/>
      <c r="D359" s="37"/>
      <c r="E359" s="38"/>
      <c r="F359" s="38"/>
      <c r="G359" s="26"/>
      <c r="H359" s="37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37"/>
      <c r="B360" s="37"/>
      <c r="C360" s="37"/>
      <c r="D360" s="37"/>
      <c r="E360" s="38"/>
      <c r="F360" s="38"/>
      <c r="G360" s="26"/>
      <c r="H360" s="37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37"/>
      <c r="B361" s="37"/>
      <c r="C361" s="37"/>
      <c r="D361" s="37"/>
      <c r="E361" s="38"/>
      <c r="F361" s="38"/>
      <c r="G361" s="26"/>
      <c r="H361" s="37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37"/>
      <c r="B362" s="37"/>
      <c r="C362" s="37"/>
      <c r="D362" s="37"/>
      <c r="E362" s="38"/>
      <c r="F362" s="38"/>
      <c r="G362" s="26"/>
      <c r="H362" s="37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37"/>
      <c r="B363" s="37"/>
      <c r="C363" s="37"/>
      <c r="D363" s="37"/>
      <c r="E363" s="38"/>
      <c r="F363" s="38"/>
      <c r="G363" s="26"/>
      <c r="H363" s="37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37"/>
      <c r="B364" s="37"/>
      <c r="C364" s="37"/>
      <c r="D364" s="37"/>
      <c r="E364" s="38"/>
      <c r="F364" s="38"/>
      <c r="G364" s="26"/>
      <c r="H364" s="37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37"/>
      <c r="B365" s="37"/>
      <c r="C365" s="37"/>
      <c r="D365" s="37"/>
      <c r="E365" s="38"/>
      <c r="F365" s="38"/>
      <c r="G365" s="26"/>
      <c r="H365" s="37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37"/>
      <c r="B366" s="37"/>
      <c r="C366" s="37"/>
      <c r="D366" s="37"/>
      <c r="E366" s="38"/>
      <c r="F366" s="38"/>
      <c r="G366" s="26"/>
      <c r="H366" s="37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37"/>
      <c r="B367" s="37"/>
      <c r="C367" s="37"/>
      <c r="D367" s="37"/>
      <c r="E367" s="38"/>
      <c r="F367" s="38"/>
      <c r="G367" s="26"/>
      <c r="H367" s="37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37"/>
      <c r="B368" s="37"/>
      <c r="C368" s="37"/>
      <c r="D368" s="37"/>
      <c r="E368" s="38"/>
      <c r="F368" s="38"/>
      <c r="G368" s="26"/>
      <c r="H368" s="37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37"/>
      <c r="B369" s="37"/>
      <c r="C369" s="37"/>
      <c r="D369" s="37"/>
      <c r="E369" s="38"/>
      <c r="F369" s="38"/>
      <c r="G369" s="26"/>
      <c r="H369" s="37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37"/>
      <c r="B370" s="37"/>
      <c r="C370" s="37"/>
      <c r="D370" s="37"/>
      <c r="E370" s="38"/>
      <c r="F370" s="38"/>
      <c r="G370" s="26"/>
      <c r="H370" s="37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37"/>
      <c r="B371" s="37"/>
      <c r="C371" s="37"/>
      <c r="D371" s="37"/>
      <c r="E371" s="38"/>
      <c r="F371" s="38"/>
      <c r="G371" s="26"/>
      <c r="H371" s="37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37"/>
      <c r="B372" s="37"/>
      <c r="C372" s="37"/>
      <c r="D372" s="37"/>
      <c r="E372" s="38"/>
      <c r="F372" s="38"/>
      <c r="G372" s="26"/>
      <c r="H372" s="37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37"/>
      <c r="B373" s="37"/>
      <c r="C373" s="37"/>
      <c r="D373" s="37"/>
      <c r="E373" s="38"/>
      <c r="F373" s="38"/>
      <c r="G373" s="26"/>
      <c r="H373" s="37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37"/>
      <c r="B374" s="37"/>
      <c r="C374" s="37"/>
      <c r="D374" s="37"/>
      <c r="E374" s="38"/>
      <c r="F374" s="38"/>
      <c r="G374" s="26"/>
      <c r="H374" s="37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37"/>
      <c r="B375" s="37"/>
      <c r="C375" s="37"/>
      <c r="D375" s="37"/>
      <c r="E375" s="38"/>
      <c r="F375" s="38"/>
      <c r="G375" s="26"/>
      <c r="H375" s="37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37"/>
      <c r="B376" s="37"/>
      <c r="C376" s="37"/>
      <c r="D376" s="37"/>
      <c r="E376" s="38"/>
      <c r="F376" s="38"/>
      <c r="G376" s="26"/>
      <c r="H376" s="37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37"/>
      <c r="B377" s="37"/>
      <c r="C377" s="37"/>
      <c r="D377" s="37"/>
      <c r="E377" s="38"/>
      <c r="F377" s="38"/>
      <c r="G377" s="26"/>
      <c r="H377" s="37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37"/>
      <c r="B378" s="37"/>
      <c r="C378" s="37"/>
      <c r="D378" s="37"/>
      <c r="E378" s="38"/>
      <c r="F378" s="38"/>
      <c r="G378" s="26"/>
      <c r="H378" s="37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37"/>
      <c r="B379" s="37"/>
      <c r="C379" s="37"/>
      <c r="D379" s="37"/>
      <c r="E379" s="38"/>
      <c r="F379" s="38"/>
      <c r="G379" s="26"/>
      <c r="H379" s="37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37"/>
      <c r="B380" s="37"/>
      <c r="C380" s="37"/>
      <c r="D380" s="37"/>
      <c r="E380" s="38"/>
      <c r="F380" s="38"/>
      <c r="G380" s="26"/>
      <c r="H380" s="37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37"/>
      <c r="B381" s="37"/>
      <c r="C381" s="37"/>
      <c r="D381" s="37"/>
      <c r="E381" s="38"/>
      <c r="F381" s="38"/>
      <c r="G381" s="26"/>
      <c r="H381" s="37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37"/>
      <c r="B382" s="37"/>
      <c r="C382" s="37"/>
      <c r="D382" s="37"/>
      <c r="E382" s="38"/>
      <c r="F382" s="38"/>
      <c r="G382" s="26"/>
      <c r="H382" s="37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37"/>
      <c r="B383" s="37"/>
      <c r="C383" s="37"/>
      <c r="D383" s="37"/>
      <c r="E383" s="38"/>
      <c r="F383" s="38"/>
      <c r="G383" s="26"/>
      <c r="H383" s="37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37"/>
      <c r="B384" s="37"/>
      <c r="C384" s="37"/>
      <c r="D384" s="37"/>
      <c r="E384" s="38"/>
      <c r="F384" s="38"/>
      <c r="G384" s="26"/>
      <c r="H384" s="37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37"/>
      <c r="B385" s="37"/>
      <c r="C385" s="37"/>
      <c r="D385" s="37"/>
      <c r="E385" s="38"/>
      <c r="F385" s="38"/>
      <c r="G385" s="26"/>
      <c r="H385" s="37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37"/>
      <c r="B386" s="37"/>
      <c r="C386" s="37"/>
      <c r="D386" s="37"/>
      <c r="E386" s="38"/>
      <c r="F386" s="38"/>
      <c r="G386" s="26"/>
      <c r="H386" s="37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37"/>
      <c r="B387" s="37"/>
      <c r="C387" s="37"/>
      <c r="D387" s="37"/>
      <c r="E387" s="38"/>
      <c r="F387" s="38"/>
      <c r="G387" s="26"/>
      <c r="H387" s="37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37"/>
      <c r="B388" s="37"/>
      <c r="C388" s="37"/>
      <c r="D388" s="37"/>
      <c r="E388" s="38"/>
      <c r="F388" s="38"/>
      <c r="G388" s="26"/>
      <c r="H388" s="37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37"/>
      <c r="B389" s="37"/>
      <c r="C389" s="37"/>
      <c r="D389" s="37"/>
      <c r="E389" s="38"/>
      <c r="F389" s="38"/>
      <c r="G389" s="26"/>
      <c r="H389" s="37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37"/>
      <c r="B390" s="37"/>
      <c r="C390" s="37"/>
      <c r="D390" s="37"/>
      <c r="E390" s="38"/>
      <c r="F390" s="38"/>
      <c r="G390" s="26"/>
      <c r="H390" s="37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37"/>
      <c r="B391" s="37"/>
      <c r="C391" s="37"/>
      <c r="D391" s="37"/>
      <c r="E391" s="38"/>
      <c r="F391" s="38"/>
      <c r="G391" s="26"/>
      <c r="H391" s="37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37"/>
      <c r="B392" s="37"/>
      <c r="C392" s="37"/>
      <c r="D392" s="37"/>
      <c r="E392" s="38"/>
      <c r="F392" s="38"/>
      <c r="G392" s="26"/>
      <c r="H392" s="37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37"/>
      <c r="B393" s="37"/>
      <c r="C393" s="37"/>
      <c r="D393" s="37"/>
      <c r="E393" s="38"/>
      <c r="F393" s="38"/>
      <c r="G393" s="26"/>
      <c r="H393" s="37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37"/>
      <c r="B394" s="37"/>
      <c r="C394" s="37"/>
      <c r="D394" s="37"/>
      <c r="E394" s="38"/>
      <c r="F394" s="38"/>
      <c r="G394" s="26"/>
      <c r="H394" s="37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37"/>
      <c r="B395" s="37"/>
      <c r="C395" s="37"/>
      <c r="D395" s="37"/>
      <c r="E395" s="38"/>
      <c r="F395" s="38"/>
      <c r="G395" s="26"/>
      <c r="H395" s="37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37"/>
      <c r="B396" s="37"/>
      <c r="C396" s="37"/>
      <c r="D396" s="37"/>
      <c r="E396" s="38"/>
      <c r="F396" s="38"/>
      <c r="G396" s="26"/>
      <c r="H396" s="37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37"/>
      <c r="B397" s="37"/>
      <c r="C397" s="37"/>
      <c r="D397" s="37"/>
      <c r="E397" s="38"/>
      <c r="F397" s="38"/>
      <c r="G397" s="26"/>
      <c r="H397" s="37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37"/>
      <c r="B398" s="37"/>
      <c r="C398" s="37"/>
      <c r="D398" s="37"/>
      <c r="E398" s="38"/>
      <c r="F398" s="38"/>
      <c r="G398" s="26"/>
      <c r="H398" s="37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37"/>
      <c r="B399" s="37"/>
      <c r="C399" s="37"/>
      <c r="D399" s="37"/>
      <c r="E399" s="38"/>
      <c r="F399" s="38"/>
      <c r="G399" s="26"/>
      <c r="H399" s="37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37"/>
      <c r="B400" s="37"/>
      <c r="C400" s="37"/>
      <c r="D400" s="37"/>
      <c r="E400" s="38"/>
      <c r="F400" s="38"/>
      <c r="G400" s="26"/>
      <c r="H400" s="37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37"/>
      <c r="B401" s="37"/>
      <c r="C401" s="37"/>
      <c r="D401" s="37"/>
      <c r="E401" s="38"/>
      <c r="F401" s="38"/>
      <c r="G401" s="26"/>
      <c r="H401" s="37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37"/>
      <c r="B402" s="37"/>
      <c r="C402" s="37"/>
      <c r="D402" s="37"/>
      <c r="E402" s="38"/>
      <c r="F402" s="38"/>
      <c r="G402" s="26"/>
      <c r="H402" s="37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37"/>
      <c r="B403" s="37"/>
      <c r="C403" s="37"/>
      <c r="D403" s="37"/>
      <c r="E403" s="38"/>
      <c r="F403" s="38"/>
      <c r="G403" s="26"/>
      <c r="H403" s="37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37"/>
      <c r="B404" s="37"/>
      <c r="C404" s="37"/>
      <c r="D404" s="37"/>
      <c r="E404" s="38"/>
      <c r="F404" s="38"/>
      <c r="G404" s="26"/>
      <c r="H404" s="37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37"/>
      <c r="B405" s="37"/>
      <c r="C405" s="37"/>
      <c r="D405" s="37"/>
      <c r="E405" s="38"/>
      <c r="F405" s="38"/>
      <c r="G405" s="26"/>
      <c r="H405" s="37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37"/>
      <c r="B406" s="37"/>
      <c r="C406" s="37"/>
      <c r="D406" s="37"/>
      <c r="E406" s="38"/>
      <c r="F406" s="38"/>
      <c r="G406" s="26"/>
      <c r="H406" s="37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37"/>
      <c r="B407" s="37"/>
      <c r="C407" s="37"/>
      <c r="D407" s="37"/>
      <c r="E407" s="38"/>
      <c r="F407" s="38"/>
      <c r="G407" s="26"/>
      <c r="H407" s="37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37"/>
      <c r="B408" s="37"/>
      <c r="C408" s="37"/>
      <c r="D408" s="37"/>
      <c r="E408" s="38"/>
      <c r="F408" s="38"/>
      <c r="G408" s="26"/>
      <c r="H408" s="37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37"/>
      <c r="B409" s="37"/>
      <c r="C409" s="37"/>
      <c r="D409" s="37"/>
      <c r="E409" s="38"/>
      <c r="F409" s="38"/>
      <c r="G409" s="26"/>
      <c r="H409" s="37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37"/>
      <c r="B410" s="37"/>
      <c r="C410" s="37"/>
      <c r="D410" s="37"/>
      <c r="E410" s="38"/>
      <c r="F410" s="38"/>
      <c r="G410" s="26"/>
      <c r="H410" s="37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37"/>
      <c r="B411" s="37"/>
      <c r="C411" s="37"/>
      <c r="D411" s="37"/>
      <c r="E411" s="38"/>
      <c r="F411" s="38"/>
      <c r="G411" s="26"/>
      <c r="H411" s="37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37"/>
      <c r="B412" s="37"/>
      <c r="C412" s="37"/>
      <c r="D412" s="37"/>
      <c r="E412" s="38"/>
      <c r="F412" s="38"/>
      <c r="G412" s="26"/>
      <c r="H412" s="37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37"/>
      <c r="B413" s="37"/>
      <c r="C413" s="37"/>
      <c r="D413" s="37"/>
      <c r="E413" s="38"/>
      <c r="F413" s="38"/>
      <c r="G413" s="26"/>
      <c r="H413" s="37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37"/>
      <c r="B414" s="37"/>
      <c r="C414" s="37"/>
      <c r="D414" s="37"/>
      <c r="E414" s="38"/>
      <c r="F414" s="38"/>
      <c r="G414" s="26"/>
      <c r="H414" s="37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37"/>
      <c r="B415" s="37"/>
      <c r="C415" s="37"/>
      <c r="D415" s="37"/>
      <c r="E415" s="38"/>
      <c r="F415" s="38"/>
      <c r="G415" s="26"/>
      <c r="H415" s="37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37"/>
      <c r="B416" s="37"/>
      <c r="C416" s="37"/>
      <c r="D416" s="37"/>
      <c r="E416" s="38"/>
      <c r="F416" s="38"/>
      <c r="G416" s="26"/>
      <c r="H416" s="37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37"/>
      <c r="B417" s="37"/>
      <c r="C417" s="37"/>
      <c r="D417" s="37"/>
      <c r="E417" s="38"/>
      <c r="F417" s="38"/>
      <c r="G417" s="26"/>
      <c r="H417" s="37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37"/>
      <c r="B418" s="37"/>
      <c r="C418" s="37"/>
      <c r="D418" s="37"/>
      <c r="E418" s="38"/>
      <c r="F418" s="38"/>
      <c r="G418" s="26"/>
      <c r="H418" s="37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37"/>
      <c r="B419" s="37"/>
      <c r="C419" s="37"/>
      <c r="D419" s="37"/>
      <c r="E419" s="38"/>
      <c r="F419" s="38"/>
      <c r="G419" s="26"/>
      <c r="H419" s="37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37"/>
      <c r="B420" s="37"/>
      <c r="C420" s="37"/>
      <c r="D420" s="37"/>
      <c r="E420" s="38"/>
      <c r="F420" s="38"/>
      <c r="G420" s="26"/>
      <c r="H420" s="37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37"/>
      <c r="B421" s="37"/>
      <c r="C421" s="37"/>
      <c r="D421" s="37"/>
      <c r="E421" s="38"/>
      <c r="F421" s="38"/>
      <c r="G421" s="26"/>
      <c r="H421" s="37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37"/>
      <c r="B422" s="37"/>
      <c r="C422" s="37"/>
      <c r="D422" s="37"/>
      <c r="E422" s="38"/>
      <c r="F422" s="38"/>
      <c r="G422" s="26"/>
      <c r="H422" s="37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37"/>
      <c r="B423" s="37"/>
      <c r="C423" s="37"/>
      <c r="D423" s="37"/>
      <c r="E423" s="38"/>
      <c r="F423" s="38"/>
      <c r="G423" s="26"/>
      <c r="H423" s="37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37"/>
      <c r="B424" s="37"/>
      <c r="C424" s="37"/>
      <c r="D424" s="37"/>
      <c r="E424" s="38"/>
      <c r="F424" s="38"/>
      <c r="G424" s="26"/>
      <c r="H424" s="37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37"/>
      <c r="B425" s="37"/>
      <c r="C425" s="37"/>
      <c r="D425" s="37"/>
      <c r="E425" s="38"/>
      <c r="F425" s="38"/>
      <c r="G425" s="26"/>
      <c r="H425" s="37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37"/>
      <c r="B426" s="37"/>
      <c r="C426" s="37"/>
      <c r="D426" s="37"/>
      <c r="E426" s="38"/>
      <c r="F426" s="38"/>
      <c r="G426" s="26"/>
      <c r="H426" s="37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37"/>
      <c r="B427" s="37"/>
      <c r="C427" s="37"/>
      <c r="D427" s="37"/>
      <c r="E427" s="38"/>
      <c r="F427" s="38"/>
      <c r="G427" s="26"/>
      <c r="H427" s="37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37"/>
      <c r="B428" s="37"/>
      <c r="C428" s="37"/>
      <c r="D428" s="37"/>
      <c r="E428" s="38"/>
      <c r="F428" s="38"/>
      <c r="G428" s="26"/>
      <c r="H428" s="37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37"/>
      <c r="B429" s="37"/>
      <c r="C429" s="37"/>
      <c r="D429" s="37"/>
      <c r="E429" s="38"/>
      <c r="F429" s="38"/>
      <c r="G429" s="26"/>
      <c r="H429" s="37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37"/>
      <c r="B430" s="37"/>
      <c r="C430" s="37"/>
      <c r="D430" s="37"/>
      <c r="E430" s="38"/>
      <c r="F430" s="38"/>
      <c r="G430" s="26"/>
      <c r="H430" s="37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37"/>
      <c r="B431" s="37"/>
      <c r="C431" s="37"/>
      <c r="D431" s="37"/>
      <c r="E431" s="38"/>
      <c r="F431" s="38"/>
      <c r="G431" s="26"/>
      <c r="H431" s="37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37"/>
      <c r="B432" s="37"/>
      <c r="C432" s="37"/>
      <c r="D432" s="37"/>
      <c r="E432" s="38"/>
      <c r="F432" s="38"/>
      <c r="G432" s="26"/>
      <c r="H432" s="37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37"/>
      <c r="B433" s="37"/>
      <c r="C433" s="37"/>
      <c r="D433" s="37"/>
      <c r="E433" s="38"/>
      <c r="F433" s="38"/>
      <c r="G433" s="26"/>
      <c r="H433" s="37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37"/>
      <c r="B434" s="37"/>
      <c r="C434" s="37"/>
      <c r="D434" s="37"/>
      <c r="E434" s="38"/>
      <c r="F434" s="38"/>
      <c r="G434" s="26"/>
      <c r="H434" s="37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37"/>
      <c r="B435" s="37"/>
      <c r="C435" s="37"/>
      <c r="D435" s="37"/>
      <c r="E435" s="38"/>
      <c r="F435" s="38"/>
      <c r="G435" s="26"/>
      <c r="H435" s="37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37"/>
      <c r="B436" s="37"/>
      <c r="C436" s="37"/>
      <c r="D436" s="37"/>
      <c r="E436" s="38"/>
      <c r="F436" s="38"/>
      <c r="G436" s="26"/>
      <c r="H436" s="37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37"/>
      <c r="B437" s="37"/>
      <c r="C437" s="37"/>
      <c r="D437" s="37"/>
      <c r="E437" s="38"/>
      <c r="F437" s="38"/>
      <c r="G437" s="26"/>
      <c r="H437" s="37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37"/>
      <c r="B438" s="37"/>
      <c r="C438" s="37"/>
      <c r="D438" s="37"/>
      <c r="E438" s="38"/>
      <c r="F438" s="38"/>
      <c r="G438" s="26"/>
      <c r="H438" s="37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37"/>
      <c r="B439" s="37"/>
      <c r="C439" s="37"/>
      <c r="D439" s="37"/>
      <c r="E439" s="38"/>
      <c r="F439" s="38"/>
      <c r="G439" s="26"/>
      <c r="H439" s="37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37"/>
      <c r="B440" s="37"/>
      <c r="C440" s="37"/>
      <c r="D440" s="37"/>
      <c r="E440" s="38"/>
      <c r="F440" s="38"/>
      <c r="G440" s="26"/>
      <c r="H440" s="37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37"/>
      <c r="B441" s="37"/>
      <c r="C441" s="37"/>
      <c r="D441" s="37"/>
      <c r="E441" s="38"/>
      <c r="F441" s="38"/>
      <c r="G441" s="26"/>
      <c r="H441" s="37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37"/>
      <c r="B442" s="37"/>
      <c r="C442" s="37"/>
      <c r="D442" s="37"/>
      <c r="E442" s="38"/>
      <c r="F442" s="38"/>
      <c r="G442" s="26"/>
      <c r="H442" s="37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37"/>
      <c r="B443" s="37"/>
      <c r="C443" s="37"/>
      <c r="D443" s="37"/>
      <c r="E443" s="38"/>
      <c r="F443" s="38"/>
      <c r="G443" s="26"/>
      <c r="H443" s="37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37"/>
      <c r="B444" s="37"/>
      <c r="C444" s="37"/>
      <c r="D444" s="37"/>
      <c r="E444" s="38"/>
      <c r="F444" s="38"/>
      <c r="G444" s="26"/>
      <c r="H444" s="37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37"/>
      <c r="B445" s="37"/>
      <c r="C445" s="37"/>
      <c r="D445" s="37"/>
      <c r="E445" s="38"/>
      <c r="F445" s="38"/>
      <c r="G445" s="26"/>
      <c r="H445" s="37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37"/>
      <c r="B446" s="37"/>
      <c r="C446" s="37"/>
      <c r="D446" s="37"/>
      <c r="E446" s="38"/>
      <c r="F446" s="38"/>
      <c r="G446" s="26"/>
      <c r="H446" s="37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37"/>
      <c r="B447" s="37"/>
      <c r="C447" s="37"/>
      <c r="D447" s="37"/>
      <c r="E447" s="38"/>
      <c r="F447" s="38"/>
      <c r="G447" s="26"/>
      <c r="H447" s="37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37"/>
      <c r="B448" s="37"/>
      <c r="C448" s="37"/>
      <c r="D448" s="37"/>
      <c r="E448" s="38"/>
      <c r="F448" s="38"/>
      <c r="G448" s="26"/>
      <c r="H448" s="37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37"/>
      <c r="B449" s="37"/>
      <c r="C449" s="37"/>
      <c r="D449" s="37"/>
      <c r="E449" s="38"/>
      <c r="F449" s="38"/>
      <c r="G449" s="26"/>
      <c r="H449" s="37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37"/>
      <c r="B450" s="37"/>
      <c r="C450" s="37"/>
      <c r="D450" s="37"/>
      <c r="E450" s="38"/>
      <c r="F450" s="38"/>
      <c r="G450" s="26"/>
      <c r="H450" s="37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37"/>
      <c r="B451" s="37"/>
      <c r="C451" s="37"/>
      <c r="D451" s="37"/>
      <c r="E451" s="38"/>
      <c r="F451" s="38"/>
      <c r="G451" s="26"/>
      <c r="H451" s="37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37"/>
      <c r="B452" s="37"/>
      <c r="C452" s="37"/>
      <c r="D452" s="37"/>
      <c r="E452" s="38"/>
      <c r="F452" s="38"/>
      <c r="G452" s="26"/>
      <c r="H452" s="37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37"/>
      <c r="B453" s="37"/>
      <c r="C453" s="37"/>
      <c r="D453" s="37"/>
      <c r="E453" s="38"/>
      <c r="F453" s="38"/>
      <c r="G453" s="26"/>
      <c r="H453" s="37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37"/>
      <c r="B454" s="37"/>
      <c r="C454" s="37"/>
      <c r="D454" s="37"/>
      <c r="E454" s="38"/>
      <c r="F454" s="38"/>
      <c r="G454" s="26"/>
      <c r="H454" s="37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37"/>
      <c r="B455" s="37"/>
      <c r="C455" s="37"/>
      <c r="D455" s="37"/>
      <c r="E455" s="38"/>
      <c r="F455" s="38"/>
      <c r="G455" s="26"/>
      <c r="H455" s="37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37"/>
      <c r="B456" s="37"/>
      <c r="C456" s="37"/>
      <c r="D456" s="37"/>
      <c r="E456" s="38"/>
      <c r="F456" s="38"/>
      <c r="G456" s="26"/>
      <c r="H456" s="37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37"/>
      <c r="B457" s="37"/>
      <c r="C457" s="37"/>
      <c r="D457" s="37"/>
      <c r="E457" s="38"/>
      <c r="F457" s="38"/>
      <c r="G457" s="26"/>
      <c r="H457" s="37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37"/>
      <c r="B458" s="37"/>
      <c r="C458" s="37"/>
      <c r="D458" s="37"/>
      <c r="E458" s="38"/>
      <c r="F458" s="38"/>
      <c r="G458" s="26"/>
      <c r="H458" s="37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37"/>
      <c r="B459" s="37"/>
      <c r="C459" s="37"/>
      <c r="D459" s="37"/>
      <c r="E459" s="38"/>
      <c r="F459" s="38"/>
      <c r="G459" s="26"/>
      <c r="H459" s="37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37"/>
      <c r="B460" s="37"/>
      <c r="C460" s="37"/>
      <c r="D460" s="37"/>
      <c r="E460" s="38"/>
      <c r="F460" s="38"/>
      <c r="G460" s="26"/>
      <c r="H460" s="37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37"/>
      <c r="B461" s="37"/>
      <c r="C461" s="37"/>
      <c r="D461" s="37"/>
      <c r="E461" s="38"/>
      <c r="F461" s="38"/>
      <c r="G461" s="26"/>
      <c r="H461" s="37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37"/>
      <c r="B462" s="37"/>
      <c r="C462" s="37"/>
      <c r="D462" s="37"/>
      <c r="E462" s="38"/>
      <c r="F462" s="38"/>
      <c r="G462" s="26"/>
      <c r="H462" s="37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37"/>
      <c r="B463" s="37"/>
      <c r="C463" s="37"/>
      <c r="D463" s="37"/>
      <c r="E463" s="38"/>
      <c r="F463" s="38"/>
      <c r="G463" s="26"/>
      <c r="H463" s="37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37"/>
      <c r="B464" s="37"/>
      <c r="C464" s="37"/>
      <c r="D464" s="37"/>
      <c r="E464" s="38"/>
      <c r="F464" s="38"/>
      <c r="G464" s="26"/>
      <c r="H464" s="37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37"/>
      <c r="B465" s="37"/>
      <c r="C465" s="37"/>
      <c r="D465" s="37"/>
      <c r="E465" s="38"/>
      <c r="F465" s="38"/>
      <c r="G465" s="26"/>
      <c r="H465" s="37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37"/>
      <c r="B466" s="37"/>
      <c r="C466" s="37"/>
      <c r="D466" s="37"/>
      <c r="E466" s="38"/>
      <c r="F466" s="38"/>
      <c r="G466" s="26"/>
      <c r="H466" s="37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37"/>
      <c r="B467" s="37"/>
      <c r="C467" s="37"/>
      <c r="D467" s="37"/>
      <c r="E467" s="38"/>
      <c r="F467" s="38"/>
      <c r="G467" s="26"/>
      <c r="H467" s="37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37"/>
      <c r="B468" s="37"/>
      <c r="C468" s="37"/>
      <c r="D468" s="37"/>
      <c r="E468" s="38"/>
      <c r="F468" s="38"/>
      <c r="G468" s="26"/>
      <c r="H468" s="37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37"/>
      <c r="B469" s="37"/>
      <c r="C469" s="37"/>
      <c r="D469" s="37"/>
      <c r="E469" s="38"/>
      <c r="F469" s="38"/>
      <c r="G469" s="26"/>
      <c r="H469" s="37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37"/>
      <c r="B470" s="37"/>
      <c r="C470" s="37"/>
      <c r="D470" s="37"/>
      <c r="E470" s="38"/>
      <c r="F470" s="38"/>
      <c r="G470" s="26"/>
      <c r="H470" s="37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37"/>
      <c r="B471" s="37"/>
      <c r="C471" s="37"/>
      <c r="D471" s="37"/>
      <c r="E471" s="38"/>
      <c r="F471" s="38"/>
      <c r="G471" s="26"/>
      <c r="H471" s="37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37"/>
      <c r="B472" s="37"/>
      <c r="C472" s="37"/>
      <c r="D472" s="37"/>
      <c r="E472" s="38"/>
      <c r="F472" s="38"/>
      <c r="G472" s="26"/>
      <c r="H472" s="37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37"/>
      <c r="B473" s="37"/>
      <c r="C473" s="37"/>
      <c r="D473" s="37"/>
      <c r="E473" s="38"/>
      <c r="F473" s="38"/>
      <c r="G473" s="26"/>
      <c r="H473" s="37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37"/>
      <c r="B474" s="37"/>
      <c r="C474" s="37"/>
      <c r="D474" s="37"/>
      <c r="E474" s="38"/>
      <c r="F474" s="38"/>
      <c r="G474" s="26"/>
      <c r="H474" s="37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37"/>
      <c r="B475" s="37"/>
      <c r="C475" s="37"/>
      <c r="D475" s="37"/>
      <c r="E475" s="38"/>
      <c r="F475" s="38"/>
      <c r="G475" s="26"/>
      <c r="H475" s="37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37"/>
      <c r="B476" s="37"/>
      <c r="C476" s="37"/>
      <c r="D476" s="37"/>
      <c r="E476" s="38"/>
      <c r="F476" s="38"/>
      <c r="G476" s="26"/>
      <c r="H476" s="37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37"/>
      <c r="B477" s="37"/>
      <c r="C477" s="37"/>
      <c r="D477" s="37"/>
      <c r="E477" s="38"/>
      <c r="F477" s="38"/>
      <c r="G477" s="26"/>
      <c r="H477" s="37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37"/>
      <c r="B478" s="37"/>
      <c r="C478" s="37"/>
      <c r="D478" s="37"/>
      <c r="E478" s="38"/>
      <c r="F478" s="38"/>
      <c r="G478" s="26"/>
      <c r="H478" s="37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37"/>
      <c r="B479" s="37"/>
      <c r="C479" s="37"/>
      <c r="D479" s="37"/>
      <c r="E479" s="38"/>
      <c r="F479" s="38"/>
      <c r="G479" s="26"/>
      <c r="H479" s="37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37"/>
      <c r="B480" s="37"/>
      <c r="C480" s="37"/>
      <c r="D480" s="37"/>
      <c r="E480" s="38"/>
      <c r="F480" s="38"/>
      <c r="G480" s="26"/>
      <c r="H480" s="37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37"/>
      <c r="B481" s="37"/>
      <c r="C481" s="37"/>
      <c r="D481" s="37"/>
      <c r="E481" s="38"/>
      <c r="F481" s="38"/>
      <c r="G481" s="26"/>
      <c r="H481" s="37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37"/>
      <c r="B482" s="37"/>
      <c r="C482" s="37"/>
      <c r="D482" s="37"/>
      <c r="E482" s="38"/>
      <c r="F482" s="38"/>
      <c r="G482" s="26"/>
      <c r="H482" s="37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37"/>
      <c r="B483" s="37"/>
      <c r="C483" s="37"/>
      <c r="D483" s="37"/>
      <c r="E483" s="38"/>
      <c r="F483" s="38"/>
      <c r="G483" s="26"/>
      <c r="H483" s="37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37"/>
      <c r="B484" s="37"/>
      <c r="C484" s="37"/>
      <c r="D484" s="37"/>
      <c r="E484" s="38"/>
      <c r="F484" s="38"/>
      <c r="G484" s="26"/>
      <c r="H484" s="37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37"/>
      <c r="B485" s="37"/>
      <c r="C485" s="37"/>
      <c r="D485" s="37"/>
      <c r="E485" s="38"/>
      <c r="F485" s="38"/>
      <c r="G485" s="26"/>
      <c r="H485" s="37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37"/>
      <c r="B486" s="37"/>
      <c r="C486" s="37"/>
      <c r="D486" s="37"/>
      <c r="E486" s="38"/>
      <c r="F486" s="38"/>
      <c r="G486" s="26"/>
      <c r="H486" s="37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37"/>
      <c r="B487" s="37"/>
      <c r="C487" s="37"/>
      <c r="D487" s="37"/>
      <c r="E487" s="38"/>
      <c r="F487" s="38"/>
      <c r="G487" s="26"/>
      <c r="H487" s="37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37"/>
      <c r="B488" s="37"/>
      <c r="C488" s="37"/>
      <c r="D488" s="37"/>
      <c r="E488" s="38"/>
      <c r="F488" s="38"/>
      <c r="G488" s="26"/>
      <c r="H488" s="37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37"/>
      <c r="B489" s="37"/>
      <c r="C489" s="37"/>
      <c r="D489" s="37"/>
      <c r="E489" s="38"/>
      <c r="F489" s="38"/>
      <c r="G489" s="26"/>
      <c r="H489" s="37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37"/>
      <c r="B490" s="37"/>
      <c r="C490" s="37"/>
      <c r="D490" s="37"/>
      <c r="E490" s="38"/>
      <c r="F490" s="38"/>
      <c r="G490" s="26"/>
      <c r="H490" s="37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37"/>
      <c r="B491" s="37"/>
      <c r="C491" s="37"/>
      <c r="D491" s="37"/>
      <c r="E491" s="38"/>
      <c r="F491" s="38"/>
      <c r="G491" s="26"/>
      <c r="H491" s="37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37"/>
      <c r="B492" s="37"/>
      <c r="C492" s="37"/>
      <c r="D492" s="37"/>
      <c r="E492" s="38"/>
      <c r="F492" s="38"/>
      <c r="G492" s="26"/>
      <c r="H492" s="37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37"/>
      <c r="B493" s="37"/>
      <c r="C493" s="37"/>
      <c r="D493" s="37"/>
      <c r="E493" s="38"/>
      <c r="F493" s="38"/>
      <c r="G493" s="26"/>
      <c r="H493" s="37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37"/>
      <c r="B494" s="37"/>
      <c r="C494" s="37"/>
      <c r="D494" s="37"/>
      <c r="E494" s="38"/>
      <c r="F494" s="38"/>
      <c r="G494" s="26"/>
      <c r="H494" s="37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37"/>
      <c r="B495" s="37"/>
      <c r="C495" s="37"/>
      <c r="D495" s="37"/>
      <c r="E495" s="38"/>
      <c r="F495" s="38"/>
      <c r="G495" s="26"/>
      <c r="H495" s="37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37"/>
      <c r="B496" s="37"/>
      <c r="C496" s="37"/>
      <c r="D496" s="37"/>
      <c r="E496" s="38"/>
      <c r="F496" s="38"/>
      <c r="G496" s="26"/>
      <c r="H496" s="37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37"/>
      <c r="B497" s="37"/>
      <c r="C497" s="37"/>
      <c r="D497" s="37"/>
      <c r="E497" s="38"/>
      <c r="F497" s="38"/>
      <c r="G497" s="26"/>
      <c r="H497" s="37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37"/>
      <c r="B498" s="37"/>
      <c r="C498" s="37"/>
      <c r="D498" s="37"/>
      <c r="E498" s="38"/>
      <c r="F498" s="38"/>
      <c r="G498" s="26"/>
      <c r="H498" s="37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37"/>
      <c r="B499" s="37"/>
      <c r="C499" s="37"/>
      <c r="D499" s="37"/>
      <c r="E499" s="38"/>
      <c r="F499" s="38"/>
      <c r="G499" s="26"/>
      <c r="H499" s="37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37"/>
      <c r="B500" s="37"/>
      <c r="C500" s="37"/>
      <c r="D500" s="37"/>
      <c r="E500" s="38"/>
      <c r="F500" s="38"/>
      <c r="G500" s="26"/>
      <c r="H500" s="37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37"/>
      <c r="B501" s="37"/>
      <c r="C501" s="37"/>
      <c r="D501" s="37"/>
      <c r="E501" s="38"/>
      <c r="F501" s="38"/>
      <c r="G501" s="26"/>
      <c r="H501" s="37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37"/>
      <c r="B502" s="37"/>
      <c r="C502" s="37"/>
      <c r="D502" s="37"/>
      <c r="E502" s="38"/>
      <c r="F502" s="38"/>
      <c r="G502" s="26"/>
      <c r="H502" s="37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37"/>
      <c r="B503" s="37"/>
      <c r="C503" s="37"/>
      <c r="D503" s="37"/>
      <c r="E503" s="38"/>
      <c r="F503" s="38"/>
      <c r="G503" s="26"/>
      <c r="H503" s="37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37"/>
      <c r="B504" s="37"/>
      <c r="C504" s="37"/>
      <c r="D504" s="37"/>
      <c r="E504" s="38"/>
      <c r="F504" s="38"/>
      <c r="G504" s="26"/>
      <c r="H504" s="37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37"/>
      <c r="B505" s="37"/>
      <c r="C505" s="37"/>
      <c r="D505" s="37"/>
      <c r="E505" s="38"/>
      <c r="F505" s="38"/>
      <c r="G505" s="26"/>
      <c r="H505" s="37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37"/>
      <c r="B506" s="37"/>
      <c r="C506" s="37"/>
      <c r="D506" s="37"/>
      <c r="E506" s="38"/>
      <c r="F506" s="38"/>
      <c r="G506" s="26"/>
      <c r="H506" s="37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37"/>
      <c r="B507" s="37"/>
      <c r="C507" s="37"/>
      <c r="D507" s="37"/>
      <c r="E507" s="38"/>
      <c r="F507" s="38"/>
      <c r="G507" s="26"/>
      <c r="H507" s="37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37"/>
      <c r="B508" s="37"/>
      <c r="C508" s="37"/>
      <c r="D508" s="37"/>
      <c r="E508" s="38"/>
      <c r="F508" s="38"/>
      <c r="G508" s="26"/>
      <c r="H508" s="37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37"/>
      <c r="B509" s="37"/>
      <c r="C509" s="37"/>
      <c r="D509" s="37"/>
      <c r="E509" s="38"/>
      <c r="F509" s="38"/>
      <c r="G509" s="26"/>
      <c r="H509" s="37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37"/>
      <c r="B510" s="37"/>
      <c r="C510" s="37"/>
      <c r="D510" s="37"/>
      <c r="E510" s="38"/>
      <c r="F510" s="38"/>
      <c r="G510" s="26"/>
      <c r="H510" s="37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37"/>
      <c r="B511" s="37"/>
      <c r="C511" s="37"/>
      <c r="D511" s="37"/>
      <c r="E511" s="38"/>
      <c r="F511" s="38"/>
      <c r="G511" s="26"/>
      <c r="H511" s="37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37"/>
      <c r="B512" s="37"/>
      <c r="C512" s="37"/>
      <c r="D512" s="37"/>
      <c r="E512" s="38"/>
      <c r="F512" s="38"/>
      <c r="G512" s="26"/>
      <c r="H512" s="37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37"/>
      <c r="B513" s="37"/>
      <c r="C513" s="37"/>
      <c r="D513" s="37"/>
      <c r="E513" s="38"/>
      <c r="F513" s="38"/>
      <c r="G513" s="26"/>
      <c r="H513" s="37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37"/>
      <c r="B514" s="37"/>
      <c r="C514" s="37"/>
      <c r="D514" s="37"/>
      <c r="E514" s="38"/>
      <c r="F514" s="38"/>
      <c r="G514" s="26"/>
      <c r="H514" s="37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37"/>
      <c r="B515" s="37"/>
      <c r="C515" s="37"/>
      <c r="D515" s="37"/>
      <c r="E515" s="38"/>
      <c r="F515" s="38"/>
      <c r="G515" s="26"/>
      <c r="H515" s="37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37"/>
      <c r="B516" s="37"/>
      <c r="C516" s="37"/>
      <c r="D516" s="37"/>
      <c r="E516" s="38"/>
      <c r="F516" s="38"/>
      <c r="G516" s="26"/>
      <c r="H516" s="37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37"/>
      <c r="B517" s="37"/>
      <c r="C517" s="37"/>
      <c r="D517" s="37"/>
      <c r="E517" s="38"/>
      <c r="F517" s="38"/>
      <c r="G517" s="26"/>
      <c r="H517" s="37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37"/>
      <c r="B518" s="37"/>
      <c r="C518" s="37"/>
      <c r="D518" s="37"/>
      <c r="E518" s="38"/>
      <c r="F518" s="38"/>
      <c r="G518" s="26"/>
      <c r="H518" s="37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37"/>
      <c r="B519" s="37"/>
      <c r="C519" s="37"/>
      <c r="D519" s="37"/>
      <c r="E519" s="38"/>
      <c r="F519" s="38"/>
      <c r="G519" s="26"/>
      <c r="H519" s="37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37"/>
      <c r="B520" s="37"/>
      <c r="C520" s="37"/>
      <c r="D520" s="37"/>
      <c r="E520" s="38"/>
      <c r="F520" s="38"/>
      <c r="G520" s="26"/>
      <c r="H520" s="37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37"/>
      <c r="B521" s="37"/>
      <c r="C521" s="37"/>
      <c r="D521" s="37"/>
      <c r="E521" s="38"/>
      <c r="F521" s="38"/>
      <c r="G521" s="26"/>
      <c r="H521" s="37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37"/>
      <c r="B522" s="37"/>
      <c r="C522" s="37"/>
      <c r="D522" s="37"/>
      <c r="E522" s="38"/>
      <c r="F522" s="38"/>
      <c r="G522" s="26"/>
      <c r="H522" s="37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37"/>
      <c r="B523" s="37"/>
      <c r="C523" s="37"/>
      <c r="D523" s="37"/>
      <c r="E523" s="38"/>
      <c r="F523" s="38"/>
      <c r="G523" s="26"/>
      <c r="H523" s="37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37"/>
      <c r="B524" s="37"/>
      <c r="C524" s="37"/>
      <c r="D524" s="37"/>
      <c r="E524" s="38"/>
      <c r="F524" s="38"/>
      <c r="G524" s="26"/>
      <c r="H524" s="37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37"/>
      <c r="B525" s="37"/>
      <c r="C525" s="37"/>
      <c r="D525" s="37"/>
      <c r="E525" s="38"/>
      <c r="F525" s="38"/>
      <c r="G525" s="26"/>
      <c r="H525" s="37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37"/>
      <c r="B526" s="37"/>
      <c r="C526" s="37"/>
      <c r="D526" s="37"/>
      <c r="E526" s="38"/>
      <c r="F526" s="38"/>
      <c r="G526" s="26"/>
      <c r="H526" s="37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37"/>
      <c r="B527" s="37"/>
      <c r="C527" s="37"/>
      <c r="D527" s="37"/>
      <c r="E527" s="38"/>
      <c r="F527" s="38"/>
      <c r="G527" s="26"/>
      <c r="H527" s="37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37"/>
      <c r="B528" s="37"/>
      <c r="C528" s="37"/>
      <c r="D528" s="37"/>
      <c r="E528" s="38"/>
      <c r="F528" s="38"/>
      <c r="G528" s="26"/>
      <c r="H528" s="37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37"/>
      <c r="B529" s="37"/>
      <c r="C529" s="37"/>
      <c r="D529" s="37"/>
      <c r="E529" s="38"/>
      <c r="F529" s="38"/>
      <c r="G529" s="26"/>
      <c r="H529" s="37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37"/>
      <c r="B530" s="37"/>
      <c r="C530" s="37"/>
      <c r="D530" s="37"/>
      <c r="E530" s="38"/>
      <c r="F530" s="38"/>
      <c r="G530" s="26"/>
      <c r="H530" s="37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37"/>
      <c r="B531" s="37"/>
      <c r="C531" s="37"/>
      <c r="D531" s="37"/>
      <c r="E531" s="38"/>
      <c r="F531" s="38"/>
      <c r="G531" s="26"/>
      <c r="H531" s="37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37"/>
      <c r="B532" s="37"/>
      <c r="C532" s="37"/>
      <c r="D532" s="37"/>
      <c r="E532" s="38"/>
      <c r="F532" s="38"/>
      <c r="G532" s="26"/>
      <c r="H532" s="37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37"/>
      <c r="B533" s="37"/>
      <c r="C533" s="37"/>
      <c r="D533" s="37"/>
      <c r="E533" s="38"/>
      <c r="F533" s="38"/>
      <c r="G533" s="26"/>
      <c r="H533" s="37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37"/>
      <c r="B534" s="37"/>
      <c r="C534" s="37"/>
      <c r="D534" s="37"/>
      <c r="E534" s="38"/>
      <c r="F534" s="38"/>
      <c r="G534" s="26"/>
      <c r="H534" s="37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37"/>
      <c r="B535" s="37"/>
      <c r="C535" s="37"/>
      <c r="D535" s="37"/>
      <c r="E535" s="38"/>
      <c r="F535" s="38"/>
      <c r="G535" s="26"/>
      <c r="H535" s="37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37"/>
      <c r="B536" s="37"/>
      <c r="C536" s="37"/>
      <c r="D536" s="37"/>
      <c r="E536" s="38"/>
      <c r="F536" s="38"/>
      <c r="G536" s="26"/>
      <c r="H536" s="37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37"/>
      <c r="B537" s="37"/>
      <c r="C537" s="37"/>
      <c r="D537" s="37"/>
      <c r="E537" s="38"/>
      <c r="F537" s="38"/>
      <c r="G537" s="26"/>
      <c r="H537" s="37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37"/>
      <c r="B538" s="37"/>
      <c r="C538" s="37"/>
      <c r="D538" s="37"/>
      <c r="E538" s="38"/>
      <c r="F538" s="38"/>
      <c r="G538" s="26"/>
      <c r="H538" s="37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37"/>
      <c r="B539" s="37"/>
      <c r="C539" s="37"/>
      <c r="D539" s="37"/>
      <c r="E539" s="38"/>
      <c r="F539" s="38"/>
      <c r="G539" s="26"/>
      <c r="H539" s="37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37"/>
      <c r="B540" s="37"/>
      <c r="C540" s="37"/>
      <c r="D540" s="37"/>
      <c r="E540" s="38"/>
      <c r="F540" s="38"/>
      <c r="G540" s="26"/>
      <c r="H540" s="37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37"/>
      <c r="B541" s="37"/>
      <c r="C541" s="37"/>
      <c r="D541" s="37"/>
      <c r="E541" s="38"/>
      <c r="F541" s="38"/>
      <c r="G541" s="26"/>
      <c r="H541" s="37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37"/>
      <c r="B542" s="37"/>
      <c r="C542" s="37"/>
      <c r="D542" s="37"/>
      <c r="E542" s="38"/>
      <c r="F542" s="38"/>
      <c r="G542" s="26"/>
      <c r="H542" s="37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37"/>
      <c r="B543" s="37"/>
      <c r="C543" s="37"/>
      <c r="D543" s="37"/>
      <c r="E543" s="38"/>
      <c r="F543" s="38"/>
      <c r="G543" s="26"/>
      <c r="H543" s="37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37"/>
      <c r="B544" s="37"/>
      <c r="C544" s="37"/>
      <c r="D544" s="37"/>
      <c r="E544" s="38"/>
      <c r="F544" s="38"/>
      <c r="G544" s="26"/>
      <c r="H544" s="37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37"/>
      <c r="B545" s="37"/>
      <c r="C545" s="37"/>
      <c r="D545" s="37"/>
      <c r="E545" s="38"/>
      <c r="F545" s="38"/>
      <c r="G545" s="26"/>
      <c r="H545" s="37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37"/>
      <c r="B546" s="37"/>
      <c r="C546" s="37"/>
      <c r="D546" s="37"/>
      <c r="E546" s="38"/>
      <c r="F546" s="38"/>
      <c r="G546" s="26"/>
      <c r="H546" s="37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37"/>
      <c r="B547" s="37"/>
      <c r="C547" s="37"/>
      <c r="D547" s="37"/>
      <c r="E547" s="38"/>
      <c r="F547" s="38"/>
      <c r="G547" s="26"/>
      <c r="H547" s="37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37"/>
      <c r="B548" s="37"/>
      <c r="C548" s="37"/>
      <c r="D548" s="37"/>
      <c r="E548" s="38"/>
      <c r="F548" s="38"/>
      <c r="G548" s="26"/>
      <c r="H548" s="37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37"/>
      <c r="B549" s="37"/>
      <c r="C549" s="37"/>
      <c r="D549" s="37"/>
      <c r="E549" s="38"/>
      <c r="F549" s="38"/>
      <c r="G549" s="26"/>
      <c r="H549" s="37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37"/>
      <c r="B550" s="37"/>
      <c r="C550" s="37"/>
      <c r="D550" s="37"/>
      <c r="E550" s="38"/>
      <c r="F550" s="38"/>
      <c r="G550" s="26"/>
      <c r="H550" s="37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37"/>
      <c r="B551" s="37"/>
      <c r="C551" s="37"/>
      <c r="D551" s="37"/>
      <c r="E551" s="38"/>
      <c r="F551" s="38"/>
      <c r="G551" s="26"/>
      <c r="H551" s="37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37"/>
      <c r="B552" s="37"/>
      <c r="C552" s="37"/>
      <c r="D552" s="37"/>
      <c r="E552" s="38"/>
      <c r="F552" s="38"/>
      <c r="G552" s="26"/>
      <c r="H552" s="37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37"/>
      <c r="B553" s="37"/>
      <c r="C553" s="37"/>
      <c r="D553" s="37"/>
      <c r="E553" s="38"/>
      <c r="F553" s="38"/>
      <c r="G553" s="26"/>
      <c r="H553" s="37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37"/>
      <c r="B554" s="37"/>
      <c r="C554" s="37"/>
      <c r="D554" s="37"/>
      <c r="E554" s="38"/>
      <c r="F554" s="38"/>
      <c r="G554" s="26"/>
      <c r="H554" s="37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37"/>
      <c r="B555" s="37"/>
      <c r="C555" s="37"/>
      <c r="D555" s="37"/>
      <c r="E555" s="38"/>
      <c r="F555" s="38"/>
      <c r="G555" s="26"/>
      <c r="H555" s="37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37"/>
      <c r="B556" s="37"/>
      <c r="C556" s="37"/>
      <c r="D556" s="37"/>
      <c r="E556" s="38"/>
      <c r="F556" s="38"/>
      <c r="G556" s="26"/>
      <c r="H556" s="37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37"/>
      <c r="B557" s="37"/>
      <c r="C557" s="37"/>
      <c r="D557" s="37"/>
      <c r="E557" s="38"/>
      <c r="F557" s="38"/>
      <c r="G557" s="26"/>
      <c r="H557" s="37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37"/>
      <c r="B558" s="37"/>
      <c r="C558" s="37"/>
      <c r="D558" s="37"/>
      <c r="E558" s="38"/>
      <c r="F558" s="38"/>
      <c r="G558" s="26"/>
      <c r="H558" s="37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37"/>
      <c r="B559" s="37"/>
      <c r="C559" s="37"/>
      <c r="D559" s="37"/>
      <c r="E559" s="38"/>
      <c r="F559" s="38"/>
      <c r="G559" s="26"/>
      <c r="H559" s="37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37"/>
      <c r="B560" s="37"/>
      <c r="C560" s="37"/>
      <c r="D560" s="37"/>
      <c r="E560" s="38"/>
      <c r="F560" s="38"/>
      <c r="G560" s="26"/>
      <c r="H560" s="37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37"/>
      <c r="B561" s="37"/>
      <c r="C561" s="37"/>
      <c r="D561" s="37"/>
      <c r="E561" s="38"/>
      <c r="F561" s="38"/>
      <c r="G561" s="26"/>
      <c r="H561" s="37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37"/>
      <c r="B562" s="37"/>
      <c r="C562" s="37"/>
      <c r="D562" s="37"/>
      <c r="E562" s="38"/>
      <c r="F562" s="38"/>
      <c r="G562" s="26"/>
      <c r="H562" s="37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37"/>
      <c r="B563" s="37"/>
      <c r="C563" s="37"/>
      <c r="D563" s="37"/>
      <c r="E563" s="38"/>
      <c r="F563" s="38"/>
      <c r="G563" s="26"/>
      <c r="H563" s="37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37"/>
      <c r="B564" s="37"/>
      <c r="C564" s="37"/>
      <c r="D564" s="37"/>
      <c r="E564" s="38"/>
      <c r="F564" s="38"/>
      <c r="G564" s="26"/>
      <c r="H564" s="37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37"/>
      <c r="B565" s="37"/>
      <c r="C565" s="37"/>
      <c r="D565" s="37"/>
      <c r="E565" s="38"/>
      <c r="F565" s="38"/>
      <c r="G565" s="26"/>
      <c r="H565" s="37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37"/>
      <c r="B566" s="37"/>
      <c r="C566" s="37"/>
      <c r="D566" s="37"/>
      <c r="E566" s="38"/>
      <c r="F566" s="38"/>
      <c r="G566" s="26"/>
      <c r="H566" s="37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37"/>
      <c r="B567" s="37"/>
      <c r="C567" s="37"/>
      <c r="D567" s="37"/>
      <c r="E567" s="38"/>
      <c r="F567" s="38"/>
      <c r="G567" s="26"/>
      <c r="H567" s="37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37"/>
      <c r="B568" s="37"/>
      <c r="C568" s="37"/>
      <c r="D568" s="37"/>
      <c r="E568" s="38"/>
      <c r="F568" s="38"/>
      <c r="G568" s="26"/>
      <c r="H568" s="37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37"/>
      <c r="B569" s="37"/>
      <c r="C569" s="37"/>
      <c r="D569" s="37"/>
      <c r="E569" s="38"/>
      <c r="F569" s="38"/>
      <c r="G569" s="26"/>
      <c r="H569" s="37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37"/>
      <c r="B570" s="37"/>
      <c r="C570" s="37"/>
      <c r="D570" s="37"/>
      <c r="E570" s="38"/>
      <c r="F570" s="38"/>
      <c r="G570" s="26"/>
      <c r="H570" s="37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37"/>
      <c r="B571" s="37"/>
      <c r="C571" s="37"/>
      <c r="D571" s="37"/>
      <c r="E571" s="38"/>
      <c r="F571" s="38"/>
      <c r="G571" s="26"/>
      <c r="H571" s="37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37"/>
      <c r="B572" s="37"/>
      <c r="C572" s="37"/>
      <c r="D572" s="37"/>
      <c r="E572" s="38"/>
      <c r="F572" s="38"/>
      <c r="G572" s="26"/>
      <c r="H572" s="37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37"/>
      <c r="B573" s="37"/>
      <c r="C573" s="37"/>
      <c r="D573" s="37"/>
      <c r="E573" s="38"/>
      <c r="F573" s="38"/>
      <c r="G573" s="26"/>
      <c r="H573" s="37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37"/>
      <c r="B574" s="37"/>
      <c r="C574" s="37"/>
      <c r="D574" s="37"/>
      <c r="E574" s="38"/>
      <c r="F574" s="38"/>
      <c r="G574" s="26"/>
      <c r="H574" s="37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37"/>
      <c r="B575" s="37"/>
      <c r="C575" s="37"/>
      <c r="D575" s="37"/>
      <c r="E575" s="38"/>
      <c r="F575" s="38"/>
      <c r="G575" s="26"/>
      <c r="H575" s="37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37"/>
      <c r="B576" s="37"/>
      <c r="C576" s="37"/>
      <c r="D576" s="37"/>
      <c r="E576" s="38"/>
      <c r="F576" s="38"/>
      <c r="G576" s="26"/>
      <c r="H576" s="37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37"/>
      <c r="B577" s="37"/>
      <c r="C577" s="37"/>
      <c r="D577" s="37"/>
      <c r="E577" s="38"/>
      <c r="F577" s="38"/>
      <c r="G577" s="26"/>
      <c r="H577" s="37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37"/>
      <c r="B578" s="37"/>
      <c r="C578" s="37"/>
      <c r="D578" s="37"/>
      <c r="E578" s="38"/>
      <c r="F578" s="38"/>
      <c r="G578" s="26"/>
      <c r="H578" s="37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37"/>
      <c r="B579" s="37"/>
      <c r="C579" s="37"/>
      <c r="D579" s="37"/>
      <c r="E579" s="38"/>
      <c r="F579" s="38"/>
      <c r="G579" s="26"/>
      <c r="H579" s="37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37"/>
      <c r="B580" s="37"/>
      <c r="C580" s="37"/>
      <c r="D580" s="37"/>
      <c r="E580" s="38"/>
      <c r="F580" s="38"/>
      <c r="G580" s="26"/>
      <c r="H580" s="37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37"/>
      <c r="B581" s="37"/>
      <c r="C581" s="37"/>
      <c r="D581" s="37"/>
      <c r="E581" s="38"/>
      <c r="F581" s="38"/>
      <c r="G581" s="26"/>
      <c r="H581" s="37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37"/>
      <c r="B582" s="37"/>
      <c r="C582" s="37"/>
      <c r="D582" s="37"/>
      <c r="E582" s="38"/>
      <c r="F582" s="38"/>
      <c r="G582" s="26"/>
      <c r="H582" s="37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37"/>
      <c r="B583" s="37"/>
      <c r="C583" s="37"/>
      <c r="D583" s="37"/>
      <c r="E583" s="38"/>
      <c r="F583" s="38"/>
      <c r="G583" s="26"/>
      <c r="H583" s="37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37"/>
      <c r="B584" s="37"/>
      <c r="C584" s="37"/>
      <c r="D584" s="37"/>
      <c r="E584" s="38"/>
      <c r="F584" s="38"/>
      <c r="G584" s="26"/>
      <c r="H584" s="37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37"/>
      <c r="B585" s="37"/>
      <c r="C585" s="37"/>
      <c r="D585" s="37"/>
      <c r="E585" s="38"/>
      <c r="F585" s="38"/>
      <c r="G585" s="26"/>
      <c r="H585" s="37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37"/>
      <c r="B586" s="37"/>
      <c r="C586" s="37"/>
      <c r="D586" s="37"/>
      <c r="E586" s="38"/>
      <c r="F586" s="38"/>
      <c r="G586" s="26"/>
      <c r="H586" s="37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37"/>
      <c r="B587" s="37"/>
      <c r="C587" s="37"/>
      <c r="D587" s="37"/>
      <c r="E587" s="38"/>
      <c r="F587" s="38"/>
      <c r="G587" s="26"/>
      <c r="H587" s="37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37"/>
      <c r="B588" s="37"/>
      <c r="C588" s="37"/>
      <c r="D588" s="37"/>
      <c r="E588" s="38"/>
      <c r="F588" s="38"/>
      <c r="G588" s="26"/>
      <c r="H588" s="37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37"/>
      <c r="B589" s="37"/>
      <c r="C589" s="37"/>
      <c r="D589" s="37"/>
      <c r="E589" s="38"/>
      <c r="F589" s="38"/>
      <c r="G589" s="26"/>
      <c r="H589" s="37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37"/>
      <c r="B590" s="37"/>
      <c r="C590" s="37"/>
      <c r="D590" s="37"/>
      <c r="E590" s="38"/>
      <c r="F590" s="38"/>
      <c r="G590" s="26"/>
      <c r="H590" s="37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37"/>
      <c r="B591" s="37"/>
      <c r="C591" s="37"/>
      <c r="D591" s="37"/>
      <c r="E591" s="38"/>
      <c r="F591" s="38"/>
      <c r="G591" s="26"/>
      <c r="H591" s="37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37"/>
      <c r="B592" s="37"/>
      <c r="C592" s="37"/>
      <c r="D592" s="37"/>
      <c r="E592" s="38"/>
      <c r="F592" s="38"/>
      <c r="G592" s="26"/>
      <c r="H592" s="37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37"/>
      <c r="B593" s="37"/>
      <c r="C593" s="37"/>
      <c r="D593" s="37"/>
      <c r="E593" s="38"/>
      <c r="F593" s="38"/>
      <c r="G593" s="26"/>
      <c r="H593" s="37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37"/>
      <c r="B594" s="37"/>
      <c r="C594" s="37"/>
      <c r="D594" s="37"/>
      <c r="E594" s="38"/>
      <c r="F594" s="38"/>
      <c r="G594" s="26"/>
      <c r="H594" s="37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37"/>
      <c r="B595" s="37"/>
      <c r="C595" s="37"/>
      <c r="D595" s="37"/>
      <c r="E595" s="38"/>
      <c r="F595" s="38"/>
      <c r="G595" s="26"/>
      <c r="H595" s="37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37"/>
      <c r="B596" s="37"/>
      <c r="C596" s="37"/>
      <c r="D596" s="37"/>
      <c r="E596" s="38"/>
      <c r="F596" s="38"/>
      <c r="G596" s="26"/>
      <c r="H596" s="37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37"/>
      <c r="B597" s="37"/>
      <c r="C597" s="37"/>
      <c r="D597" s="37"/>
      <c r="E597" s="38"/>
      <c r="F597" s="38"/>
      <c r="G597" s="26"/>
      <c r="H597" s="37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37"/>
      <c r="B598" s="37"/>
      <c r="C598" s="37"/>
      <c r="D598" s="37"/>
      <c r="E598" s="38"/>
      <c r="F598" s="38"/>
      <c r="G598" s="26"/>
      <c r="H598" s="37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37"/>
      <c r="B599" s="37"/>
      <c r="C599" s="37"/>
      <c r="D599" s="37"/>
      <c r="E599" s="38"/>
      <c r="F599" s="38"/>
      <c r="G599" s="26"/>
      <c r="H599" s="37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37"/>
      <c r="B600" s="37"/>
      <c r="C600" s="37"/>
      <c r="D600" s="37"/>
      <c r="E600" s="38"/>
      <c r="F600" s="38"/>
      <c r="G600" s="26"/>
      <c r="H600" s="37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37"/>
      <c r="B601" s="37"/>
      <c r="C601" s="37"/>
      <c r="D601" s="37"/>
      <c r="E601" s="38"/>
      <c r="F601" s="38"/>
      <c r="G601" s="26"/>
      <c r="H601" s="37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37"/>
      <c r="B602" s="37"/>
      <c r="C602" s="37"/>
      <c r="D602" s="37"/>
      <c r="E602" s="38"/>
      <c r="F602" s="38"/>
      <c r="G602" s="26"/>
      <c r="H602" s="37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37"/>
      <c r="B603" s="37"/>
      <c r="C603" s="37"/>
      <c r="D603" s="37"/>
      <c r="E603" s="38"/>
      <c r="F603" s="38"/>
      <c r="G603" s="26"/>
      <c r="H603" s="37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37"/>
      <c r="B604" s="37"/>
      <c r="C604" s="37"/>
      <c r="D604" s="37"/>
      <c r="E604" s="38"/>
      <c r="F604" s="38"/>
      <c r="G604" s="26"/>
      <c r="H604" s="37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37"/>
      <c r="B605" s="37"/>
      <c r="C605" s="37"/>
      <c r="D605" s="37"/>
      <c r="E605" s="38"/>
      <c r="F605" s="38"/>
      <c r="G605" s="26"/>
      <c r="H605" s="37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37"/>
      <c r="B606" s="37"/>
      <c r="C606" s="37"/>
      <c r="D606" s="37"/>
      <c r="E606" s="38"/>
      <c r="F606" s="38"/>
      <c r="G606" s="26"/>
      <c r="H606" s="37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37"/>
      <c r="B607" s="37"/>
      <c r="C607" s="37"/>
      <c r="D607" s="37"/>
      <c r="E607" s="38"/>
      <c r="F607" s="38"/>
      <c r="G607" s="26"/>
      <c r="H607" s="37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37"/>
      <c r="B608" s="37"/>
      <c r="C608" s="37"/>
      <c r="D608" s="37"/>
      <c r="E608" s="38"/>
      <c r="F608" s="38"/>
      <c r="G608" s="26"/>
      <c r="H608" s="37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37"/>
      <c r="B609" s="37"/>
      <c r="C609" s="37"/>
      <c r="D609" s="37"/>
      <c r="E609" s="38"/>
      <c r="F609" s="38"/>
      <c r="G609" s="26"/>
      <c r="H609" s="37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37"/>
      <c r="B610" s="37"/>
      <c r="C610" s="37"/>
      <c r="D610" s="37"/>
      <c r="E610" s="38"/>
      <c r="F610" s="38"/>
      <c r="G610" s="26"/>
      <c r="H610" s="37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37"/>
      <c r="B611" s="37"/>
      <c r="C611" s="37"/>
      <c r="D611" s="37"/>
      <c r="E611" s="38"/>
      <c r="F611" s="38"/>
      <c r="G611" s="26"/>
      <c r="H611" s="37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37"/>
      <c r="B612" s="37"/>
      <c r="C612" s="37"/>
      <c r="D612" s="37"/>
      <c r="E612" s="38"/>
      <c r="F612" s="38"/>
      <c r="G612" s="26"/>
      <c r="H612" s="37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37"/>
      <c r="B613" s="37"/>
      <c r="C613" s="37"/>
      <c r="D613" s="37"/>
      <c r="E613" s="38"/>
      <c r="F613" s="38"/>
      <c r="G613" s="26"/>
      <c r="H613" s="37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37"/>
      <c r="B614" s="37"/>
      <c r="C614" s="37"/>
      <c r="D614" s="37"/>
      <c r="E614" s="38"/>
      <c r="F614" s="38"/>
      <c r="G614" s="26"/>
      <c r="H614" s="37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37"/>
      <c r="B615" s="37"/>
      <c r="C615" s="37"/>
      <c r="D615" s="37"/>
      <c r="E615" s="38"/>
      <c r="F615" s="38"/>
      <c r="G615" s="26"/>
      <c r="H615" s="37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37"/>
      <c r="B616" s="37"/>
      <c r="C616" s="37"/>
      <c r="D616" s="37"/>
      <c r="E616" s="38"/>
      <c r="F616" s="38"/>
      <c r="G616" s="26"/>
      <c r="H616" s="37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37"/>
      <c r="B617" s="37"/>
      <c r="C617" s="37"/>
      <c r="D617" s="37"/>
      <c r="E617" s="38"/>
      <c r="F617" s="38"/>
      <c r="G617" s="26"/>
      <c r="H617" s="37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37"/>
      <c r="B618" s="37"/>
      <c r="C618" s="37"/>
      <c r="D618" s="37"/>
      <c r="E618" s="38"/>
      <c r="F618" s="38"/>
      <c r="G618" s="26"/>
      <c r="H618" s="37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37"/>
      <c r="B619" s="37"/>
      <c r="C619" s="37"/>
      <c r="D619" s="37"/>
      <c r="E619" s="38"/>
      <c r="F619" s="38"/>
      <c r="G619" s="26"/>
      <c r="H619" s="37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37"/>
      <c r="B620" s="37"/>
      <c r="C620" s="37"/>
      <c r="D620" s="37"/>
      <c r="E620" s="38"/>
      <c r="F620" s="38"/>
      <c r="G620" s="26"/>
      <c r="H620" s="37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37"/>
      <c r="B621" s="37"/>
      <c r="C621" s="37"/>
      <c r="D621" s="37"/>
      <c r="E621" s="38"/>
      <c r="F621" s="38"/>
      <c r="G621" s="26"/>
      <c r="H621" s="37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37"/>
      <c r="B622" s="37"/>
      <c r="C622" s="37"/>
      <c r="D622" s="37"/>
      <c r="E622" s="38"/>
      <c r="F622" s="38"/>
      <c r="G622" s="26"/>
      <c r="H622" s="37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37"/>
      <c r="B623" s="37"/>
      <c r="C623" s="37"/>
      <c r="D623" s="37"/>
      <c r="E623" s="38"/>
      <c r="F623" s="38"/>
      <c r="G623" s="26"/>
      <c r="H623" s="37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37"/>
      <c r="B624" s="37"/>
      <c r="C624" s="37"/>
      <c r="D624" s="37"/>
      <c r="E624" s="38"/>
      <c r="F624" s="38"/>
      <c r="G624" s="26"/>
      <c r="H624" s="37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37"/>
      <c r="B625" s="37"/>
      <c r="C625" s="37"/>
      <c r="D625" s="37"/>
      <c r="E625" s="38"/>
      <c r="F625" s="38"/>
      <c r="G625" s="26"/>
      <c r="H625" s="37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37"/>
      <c r="B626" s="37"/>
      <c r="C626" s="37"/>
      <c r="D626" s="37"/>
      <c r="E626" s="38"/>
      <c r="F626" s="38"/>
      <c r="G626" s="26"/>
      <c r="H626" s="37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37"/>
      <c r="B627" s="37"/>
      <c r="C627" s="37"/>
      <c r="D627" s="37"/>
      <c r="E627" s="38"/>
      <c r="F627" s="38"/>
      <c r="G627" s="26"/>
      <c r="H627" s="37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37"/>
      <c r="B628" s="37"/>
      <c r="C628" s="37"/>
      <c r="D628" s="37"/>
      <c r="E628" s="38"/>
      <c r="F628" s="38"/>
      <c r="G628" s="26"/>
      <c r="H628" s="37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37"/>
      <c r="B629" s="37"/>
      <c r="C629" s="37"/>
      <c r="D629" s="37"/>
      <c r="E629" s="38"/>
      <c r="F629" s="38"/>
      <c r="G629" s="26"/>
      <c r="H629" s="37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37"/>
      <c r="B630" s="37"/>
      <c r="C630" s="37"/>
      <c r="D630" s="37"/>
      <c r="E630" s="38"/>
      <c r="F630" s="38"/>
      <c r="G630" s="26"/>
      <c r="H630" s="37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37"/>
      <c r="B631" s="37"/>
      <c r="C631" s="37"/>
      <c r="D631" s="37"/>
      <c r="E631" s="38"/>
      <c r="F631" s="38"/>
      <c r="G631" s="26"/>
      <c r="H631" s="37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37"/>
      <c r="B632" s="37"/>
      <c r="C632" s="37"/>
      <c r="D632" s="37"/>
      <c r="E632" s="38"/>
      <c r="F632" s="38"/>
      <c r="G632" s="26"/>
      <c r="H632" s="37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37"/>
      <c r="B633" s="37"/>
      <c r="C633" s="37"/>
      <c r="D633" s="37"/>
      <c r="E633" s="38"/>
      <c r="F633" s="38"/>
      <c r="G633" s="26"/>
      <c r="H633" s="37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37"/>
      <c r="B634" s="37"/>
      <c r="C634" s="37"/>
      <c r="D634" s="37"/>
      <c r="E634" s="38"/>
      <c r="F634" s="38"/>
      <c r="G634" s="26"/>
      <c r="H634" s="37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37"/>
      <c r="B635" s="37"/>
      <c r="C635" s="37"/>
      <c r="D635" s="37"/>
      <c r="E635" s="38"/>
      <c r="F635" s="38"/>
      <c r="G635" s="26"/>
      <c r="H635" s="37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37"/>
      <c r="B636" s="37"/>
      <c r="C636" s="37"/>
      <c r="D636" s="37"/>
      <c r="E636" s="38"/>
      <c r="F636" s="38"/>
      <c r="G636" s="26"/>
      <c r="H636" s="37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37"/>
      <c r="B637" s="37"/>
      <c r="C637" s="37"/>
      <c r="D637" s="37"/>
      <c r="E637" s="38"/>
      <c r="F637" s="38"/>
      <c r="G637" s="26"/>
      <c r="H637" s="37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37"/>
      <c r="B638" s="37"/>
      <c r="C638" s="37"/>
      <c r="D638" s="37"/>
      <c r="E638" s="38"/>
      <c r="F638" s="38"/>
      <c r="G638" s="26"/>
      <c r="H638" s="37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37"/>
      <c r="B639" s="37"/>
      <c r="C639" s="37"/>
      <c r="D639" s="37"/>
      <c r="E639" s="38"/>
      <c r="F639" s="38"/>
      <c r="G639" s="26"/>
      <c r="H639" s="37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37"/>
      <c r="B640" s="37"/>
      <c r="C640" s="37"/>
      <c r="D640" s="37"/>
      <c r="E640" s="38"/>
      <c r="F640" s="38"/>
      <c r="G640" s="26"/>
      <c r="H640" s="37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37"/>
      <c r="B641" s="37"/>
      <c r="C641" s="37"/>
      <c r="D641" s="37"/>
      <c r="E641" s="38"/>
      <c r="F641" s="38"/>
      <c r="G641" s="26"/>
      <c r="H641" s="37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37"/>
      <c r="B642" s="37"/>
      <c r="C642" s="37"/>
      <c r="D642" s="37"/>
      <c r="E642" s="38"/>
      <c r="F642" s="38"/>
      <c r="G642" s="26"/>
      <c r="H642" s="37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37"/>
      <c r="B643" s="37"/>
      <c r="C643" s="37"/>
      <c r="D643" s="37"/>
      <c r="E643" s="38"/>
      <c r="F643" s="38"/>
      <c r="G643" s="26"/>
      <c r="H643" s="37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37"/>
      <c r="B644" s="37"/>
      <c r="C644" s="37"/>
      <c r="D644" s="37"/>
      <c r="E644" s="38"/>
      <c r="F644" s="38"/>
      <c r="G644" s="26"/>
      <c r="H644" s="37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37"/>
      <c r="B645" s="37"/>
      <c r="C645" s="37"/>
      <c r="D645" s="37"/>
      <c r="E645" s="38"/>
      <c r="F645" s="38"/>
      <c r="G645" s="26"/>
      <c r="H645" s="37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37"/>
      <c r="B646" s="37"/>
      <c r="C646" s="37"/>
      <c r="D646" s="37"/>
      <c r="E646" s="38"/>
      <c r="F646" s="38"/>
      <c r="G646" s="26"/>
      <c r="H646" s="37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37"/>
      <c r="B647" s="37"/>
      <c r="C647" s="37"/>
      <c r="D647" s="37"/>
      <c r="E647" s="38"/>
      <c r="F647" s="38"/>
      <c r="G647" s="26"/>
      <c r="H647" s="37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37"/>
      <c r="B648" s="37"/>
      <c r="C648" s="37"/>
      <c r="D648" s="37"/>
      <c r="E648" s="38"/>
      <c r="F648" s="38"/>
      <c r="G648" s="26"/>
      <c r="H648" s="37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37"/>
      <c r="B649" s="37"/>
      <c r="C649" s="37"/>
      <c r="D649" s="37"/>
      <c r="E649" s="38"/>
      <c r="F649" s="38"/>
      <c r="G649" s="26"/>
      <c r="H649" s="37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37"/>
      <c r="B650" s="37"/>
      <c r="C650" s="37"/>
      <c r="D650" s="37"/>
      <c r="E650" s="38"/>
      <c r="F650" s="38"/>
      <c r="G650" s="26"/>
      <c r="H650" s="37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37"/>
      <c r="B651" s="37"/>
      <c r="C651" s="37"/>
      <c r="D651" s="37"/>
      <c r="E651" s="38"/>
      <c r="F651" s="38"/>
      <c r="G651" s="26"/>
      <c r="H651" s="37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37"/>
      <c r="B652" s="37"/>
      <c r="C652" s="37"/>
      <c r="D652" s="37"/>
      <c r="E652" s="38"/>
      <c r="F652" s="38"/>
      <c r="G652" s="26"/>
      <c r="H652" s="37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37"/>
      <c r="B653" s="37"/>
      <c r="C653" s="37"/>
      <c r="D653" s="37"/>
      <c r="E653" s="38"/>
      <c r="F653" s="38"/>
      <c r="G653" s="26"/>
      <c r="H653" s="37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37"/>
      <c r="B654" s="37"/>
      <c r="C654" s="37"/>
      <c r="D654" s="37"/>
      <c r="E654" s="38"/>
      <c r="F654" s="38"/>
      <c r="G654" s="26"/>
      <c r="H654" s="37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37"/>
      <c r="B655" s="37"/>
      <c r="C655" s="37"/>
      <c r="D655" s="37"/>
      <c r="E655" s="38"/>
      <c r="F655" s="38"/>
      <c r="G655" s="26"/>
      <c r="H655" s="37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37"/>
      <c r="B656" s="37"/>
      <c r="C656" s="37"/>
      <c r="D656" s="37"/>
      <c r="E656" s="38"/>
      <c r="F656" s="38"/>
      <c r="G656" s="26"/>
      <c r="H656" s="37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37"/>
      <c r="B657" s="37"/>
      <c r="C657" s="37"/>
      <c r="D657" s="37"/>
      <c r="E657" s="38"/>
      <c r="F657" s="38"/>
      <c r="G657" s="26"/>
      <c r="H657" s="37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37"/>
      <c r="B658" s="37"/>
      <c r="C658" s="37"/>
      <c r="D658" s="37"/>
      <c r="E658" s="38"/>
      <c r="F658" s="38"/>
      <c r="G658" s="26"/>
      <c r="H658" s="37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37"/>
      <c r="B659" s="37"/>
      <c r="C659" s="37"/>
      <c r="D659" s="37"/>
      <c r="E659" s="38"/>
      <c r="F659" s="38"/>
      <c r="G659" s="26"/>
      <c r="H659" s="37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37"/>
      <c r="B660" s="37"/>
      <c r="C660" s="37"/>
      <c r="D660" s="37"/>
      <c r="E660" s="38"/>
      <c r="F660" s="38"/>
      <c r="G660" s="26"/>
      <c r="H660" s="37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37"/>
      <c r="B661" s="37"/>
      <c r="C661" s="37"/>
      <c r="D661" s="37"/>
      <c r="E661" s="38"/>
      <c r="F661" s="38"/>
      <c r="G661" s="26"/>
      <c r="H661" s="37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37"/>
      <c r="B662" s="37"/>
      <c r="C662" s="37"/>
      <c r="D662" s="37"/>
      <c r="E662" s="38"/>
      <c r="F662" s="38"/>
      <c r="G662" s="26"/>
      <c r="H662" s="37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37"/>
      <c r="B663" s="37"/>
      <c r="C663" s="37"/>
      <c r="D663" s="37"/>
      <c r="E663" s="38"/>
      <c r="F663" s="38"/>
      <c r="G663" s="26"/>
      <c r="H663" s="37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37"/>
      <c r="B664" s="37"/>
      <c r="C664" s="37"/>
      <c r="D664" s="37"/>
      <c r="E664" s="38"/>
      <c r="F664" s="38"/>
      <c r="G664" s="26"/>
      <c r="H664" s="37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37"/>
      <c r="B665" s="37"/>
      <c r="C665" s="37"/>
      <c r="D665" s="37"/>
      <c r="E665" s="38"/>
      <c r="F665" s="38"/>
      <c r="G665" s="26"/>
      <c r="H665" s="37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37"/>
      <c r="B666" s="37"/>
      <c r="C666" s="37"/>
      <c r="D666" s="37"/>
      <c r="E666" s="38"/>
      <c r="F666" s="38"/>
      <c r="G666" s="26"/>
      <c r="H666" s="37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37"/>
      <c r="B667" s="37"/>
      <c r="C667" s="37"/>
      <c r="D667" s="37"/>
      <c r="E667" s="38"/>
      <c r="F667" s="38"/>
      <c r="G667" s="26"/>
      <c r="H667" s="37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37"/>
      <c r="B668" s="37"/>
      <c r="C668" s="37"/>
      <c r="D668" s="37"/>
      <c r="E668" s="38"/>
      <c r="F668" s="38"/>
      <c r="G668" s="26"/>
      <c r="H668" s="37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37"/>
      <c r="B669" s="37"/>
      <c r="C669" s="37"/>
      <c r="D669" s="37"/>
      <c r="E669" s="38"/>
      <c r="F669" s="38"/>
      <c r="G669" s="26"/>
      <c r="H669" s="37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37"/>
      <c r="B670" s="37"/>
      <c r="C670" s="37"/>
      <c r="D670" s="37"/>
      <c r="E670" s="38"/>
      <c r="F670" s="38"/>
      <c r="G670" s="26"/>
      <c r="H670" s="37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37"/>
      <c r="B671" s="37"/>
      <c r="C671" s="37"/>
      <c r="D671" s="37"/>
      <c r="E671" s="38"/>
      <c r="F671" s="38"/>
      <c r="G671" s="26"/>
      <c r="H671" s="37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37"/>
      <c r="B672" s="37"/>
      <c r="C672" s="37"/>
      <c r="D672" s="37"/>
      <c r="E672" s="38"/>
      <c r="F672" s="38"/>
      <c r="G672" s="26"/>
      <c r="H672" s="37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37"/>
      <c r="B673" s="37"/>
      <c r="C673" s="37"/>
      <c r="D673" s="37"/>
      <c r="E673" s="38"/>
      <c r="F673" s="38"/>
      <c r="G673" s="26"/>
      <c r="H673" s="37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37"/>
      <c r="B674" s="37"/>
      <c r="C674" s="37"/>
      <c r="D674" s="37"/>
      <c r="E674" s="38"/>
      <c r="F674" s="38"/>
      <c r="G674" s="26"/>
      <c r="H674" s="37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37"/>
      <c r="B675" s="37"/>
      <c r="C675" s="37"/>
      <c r="D675" s="37"/>
      <c r="E675" s="38"/>
      <c r="F675" s="38"/>
      <c r="G675" s="26"/>
      <c r="H675" s="37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37"/>
      <c r="B676" s="37"/>
      <c r="C676" s="37"/>
      <c r="D676" s="37"/>
      <c r="E676" s="38"/>
      <c r="F676" s="38"/>
      <c r="G676" s="26"/>
      <c r="H676" s="37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37"/>
      <c r="B677" s="37"/>
      <c r="C677" s="37"/>
      <c r="D677" s="37"/>
      <c r="E677" s="38"/>
      <c r="F677" s="38"/>
      <c r="G677" s="26"/>
      <c r="H677" s="37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37"/>
      <c r="B678" s="37"/>
      <c r="C678" s="37"/>
      <c r="D678" s="37"/>
      <c r="E678" s="38"/>
      <c r="F678" s="38"/>
      <c r="G678" s="26"/>
      <c r="H678" s="37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37"/>
      <c r="B679" s="37"/>
      <c r="C679" s="37"/>
      <c r="D679" s="37"/>
      <c r="E679" s="38"/>
      <c r="F679" s="38"/>
      <c r="G679" s="26"/>
      <c r="H679" s="37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37"/>
      <c r="B680" s="37"/>
      <c r="C680" s="37"/>
      <c r="D680" s="37"/>
      <c r="E680" s="38"/>
      <c r="F680" s="38"/>
      <c r="G680" s="26"/>
      <c r="H680" s="37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37"/>
      <c r="B681" s="37"/>
      <c r="C681" s="37"/>
      <c r="D681" s="37"/>
      <c r="E681" s="38"/>
      <c r="F681" s="38"/>
      <c r="G681" s="26"/>
      <c r="H681" s="37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37"/>
      <c r="B682" s="37"/>
      <c r="C682" s="37"/>
      <c r="D682" s="37"/>
      <c r="E682" s="38"/>
      <c r="F682" s="38"/>
      <c r="G682" s="26"/>
      <c r="H682" s="37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37"/>
      <c r="B683" s="37"/>
      <c r="C683" s="37"/>
      <c r="D683" s="37"/>
      <c r="E683" s="38"/>
      <c r="F683" s="38"/>
      <c r="G683" s="26"/>
      <c r="H683" s="37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37"/>
      <c r="B684" s="37"/>
      <c r="C684" s="37"/>
      <c r="D684" s="37"/>
      <c r="E684" s="38"/>
      <c r="F684" s="38"/>
      <c r="G684" s="26"/>
      <c r="H684" s="37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37"/>
      <c r="B685" s="37"/>
      <c r="C685" s="37"/>
      <c r="D685" s="37"/>
      <c r="E685" s="38"/>
      <c r="F685" s="38"/>
      <c r="G685" s="26"/>
      <c r="H685" s="37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37"/>
      <c r="B686" s="37"/>
      <c r="C686" s="37"/>
      <c r="D686" s="37"/>
      <c r="E686" s="38"/>
      <c r="F686" s="38"/>
      <c r="G686" s="26"/>
      <c r="H686" s="37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37"/>
      <c r="B687" s="37"/>
      <c r="C687" s="37"/>
      <c r="D687" s="37"/>
      <c r="E687" s="38"/>
      <c r="F687" s="38"/>
      <c r="G687" s="26"/>
      <c r="H687" s="37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37"/>
      <c r="B688" s="37"/>
      <c r="C688" s="37"/>
      <c r="D688" s="37"/>
      <c r="E688" s="38"/>
      <c r="F688" s="38"/>
      <c r="G688" s="26"/>
      <c r="H688" s="37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37"/>
      <c r="B689" s="37"/>
      <c r="C689" s="37"/>
      <c r="D689" s="37"/>
      <c r="E689" s="38"/>
      <c r="F689" s="38"/>
      <c r="G689" s="26"/>
      <c r="H689" s="37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37"/>
      <c r="B690" s="37"/>
      <c r="C690" s="37"/>
      <c r="D690" s="37"/>
      <c r="E690" s="38"/>
      <c r="F690" s="38"/>
      <c r="G690" s="26"/>
      <c r="H690" s="37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37"/>
      <c r="B691" s="37"/>
      <c r="C691" s="37"/>
      <c r="D691" s="37"/>
      <c r="E691" s="38"/>
      <c r="F691" s="38"/>
      <c r="G691" s="26"/>
      <c r="H691" s="37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37"/>
      <c r="B692" s="37"/>
      <c r="C692" s="37"/>
      <c r="D692" s="37"/>
      <c r="E692" s="38"/>
      <c r="F692" s="38"/>
      <c r="G692" s="26"/>
      <c r="H692" s="37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37"/>
      <c r="B693" s="37"/>
      <c r="C693" s="37"/>
      <c r="D693" s="37"/>
      <c r="E693" s="38"/>
      <c r="F693" s="38"/>
      <c r="G693" s="26"/>
      <c r="H693" s="37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37"/>
      <c r="B694" s="37"/>
      <c r="C694" s="37"/>
      <c r="D694" s="37"/>
      <c r="E694" s="38"/>
      <c r="F694" s="38"/>
      <c r="G694" s="26"/>
      <c r="H694" s="37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37"/>
      <c r="B695" s="37"/>
      <c r="C695" s="37"/>
      <c r="D695" s="37"/>
      <c r="E695" s="38"/>
      <c r="F695" s="38"/>
      <c r="G695" s="26"/>
      <c r="H695" s="37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37"/>
      <c r="B696" s="37"/>
      <c r="C696" s="37"/>
      <c r="D696" s="37"/>
      <c r="E696" s="38"/>
      <c r="F696" s="38"/>
      <c r="G696" s="26"/>
      <c r="H696" s="37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37"/>
      <c r="B697" s="37"/>
      <c r="C697" s="37"/>
      <c r="D697" s="37"/>
      <c r="E697" s="38"/>
      <c r="F697" s="38"/>
      <c r="G697" s="26"/>
      <c r="H697" s="37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37"/>
      <c r="B698" s="37"/>
      <c r="C698" s="37"/>
      <c r="D698" s="37"/>
      <c r="E698" s="38"/>
      <c r="F698" s="38"/>
      <c r="G698" s="26"/>
      <c r="H698" s="37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37"/>
      <c r="B699" s="37"/>
      <c r="C699" s="37"/>
      <c r="D699" s="37"/>
      <c r="E699" s="38"/>
      <c r="F699" s="38"/>
      <c r="G699" s="26"/>
      <c r="H699" s="37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37"/>
      <c r="B700" s="37"/>
      <c r="C700" s="37"/>
      <c r="D700" s="37"/>
      <c r="E700" s="38"/>
      <c r="F700" s="38"/>
      <c r="G700" s="26"/>
      <c r="H700" s="37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37"/>
      <c r="B701" s="37"/>
      <c r="C701" s="37"/>
      <c r="D701" s="37"/>
      <c r="E701" s="38"/>
      <c r="F701" s="38"/>
      <c r="G701" s="26"/>
      <c r="H701" s="37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37"/>
      <c r="B702" s="37"/>
      <c r="C702" s="37"/>
      <c r="D702" s="37"/>
      <c r="E702" s="38"/>
      <c r="F702" s="38"/>
      <c r="G702" s="26"/>
      <c r="H702" s="37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37"/>
      <c r="B703" s="37"/>
      <c r="C703" s="37"/>
      <c r="D703" s="37"/>
      <c r="E703" s="38"/>
      <c r="F703" s="38"/>
      <c r="G703" s="26"/>
      <c r="H703" s="37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37"/>
      <c r="B704" s="37"/>
      <c r="C704" s="37"/>
      <c r="D704" s="37"/>
      <c r="E704" s="38"/>
      <c r="F704" s="38"/>
      <c r="G704" s="26"/>
      <c r="H704" s="37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37"/>
      <c r="B705" s="37"/>
      <c r="C705" s="37"/>
      <c r="D705" s="37"/>
      <c r="E705" s="38"/>
      <c r="F705" s="38"/>
      <c r="G705" s="26"/>
      <c r="H705" s="37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37"/>
      <c r="B706" s="37"/>
      <c r="C706" s="37"/>
      <c r="D706" s="37"/>
      <c r="E706" s="38"/>
      <c r="F706" s="38"/>
      <c r="G706" s="26"/>
      <c r="H706" s="37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37"/>
      <c r="B707" s="37"/>
      <c r="C707" s="37"/>
      <c r="D707" s="37"/>
      <c r="E707" s="38"/>
      <c r="F707" s="38"/>
      <c r="G707" s="26"/>
      <c r="H707" s="37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37"/>
      <c r="B708" s="37"/>
      <c r="C708" s="37"/>
      <c r="D708" s="37"/>
      <c r="E708" s="38"/>
      <c r="F708" s="38"/>
      <c r="G708" s="26"/>
      <c r="H708" s="37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37"/>
      <c r="B709" s="37"/>
      <c r="C709" s="37"/>
      <c r="D709" s="37"/>
      <c r="E709" s="38"/>
      <c r="F709" s="38"/>
      <c r="G709" s="26"/>
      <c r="H709" s="37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37"/>
      <c r="B710" s="37"/>
      <c r="C710" s="37"/>
      <c r="D710" s="37"/>
      <c r="E710" s="38"/>
      <c r="F710" s="38"/>
      <c r="G710" s="26"/>
      <c r="H710" s="37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37"/>
      <c r="B711" s="37"/>
      <c r="C711" s="37"/>
      <c r="D711" s="37"/>
      <c r="E711" s="38"/>
      <c r="F711" s="38"/>
      <c r="G711" s="26"/>
      <c r="H711" s="37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37"/>
      <c r="B712" s="37"/>
      <c r="C712" s="37"/>
      <c r="D712" s="37"/>
      <c r="E712" s="38"/>
      <c r="F712" s="38"/>
      <c r="G712" s="26"/>
      <c r="H712" s="37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37"/>
      <c r="B713" s="37"/>
      <c r="C713" s="37"/>
      <c r="D713" s="37"/>
      <c r="E713" s="38"/>
      <c r="F713" s="38"/>
      <c r="G713" s="26"/>
      <c r="H713" s="37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37"/>
      <c r="B714" s="37"/>
      <c r="C714" s="37"/>
      <c r="D714" s="37"/>
      <c r="E714" s="38"/>
      <c r="F714" s="38"/>
      <c r="G714" s="26"/>
      <c r="H714" s="37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37"/>
      <c r="B715" s="37"/>
      <c r="C715" s="37"/>
      <c r="D715" s="37"/>
      <c r="E715" s="38"/>
      <c r="F715" s="38"/>
      <c r="G715" s="26"/>
      <c r="H715" s="37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37"/>
      <c r="B716" s="37"/>
      <c r="C716" s="37"/>
      <c r="D716" s="37"/>
      <c r="E716" s="38"/>
      <c r="F716" s="38"/>
      <c r="G716" s="26"/>
      <c r="H716" s="37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37"/>
      <c r="B717" s="37"/>
      <c r="C717" s="37"/>
      <c r="D717" s="37"/>
      <c r="E717" s="38"/>
      <c r="F717" s="38"/>
      <c r="G717" s="26"/>
      <c r="H717" s="37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37"/>
      <c r="B718" s="37"/>
      <c r="C718" s="37"/>
      <c r="D718" s="37"/>
      <c r="E718" s="38"/>
      <c r="F718" s="38"/>
      <c r="G718" s="26"/>
      <c r="H718" s="37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37"/>
      <c r="B719" s="37"/>
      <c r="C719" s="37"/>
      <c r="D719" s="37"/>
      <c r="E719" s="38"/>
      <c r="F719" s="38"/>
      <c r="G719" s="26"/>
      <c r="H719" s="37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37"/>
      <c r="B720" s="37"/>
      <c r="C720" s="37"/>
      <c r="D720" s="37"/>
      <c r="E720" s="38"/>
      <c r="F720" s="38"/>
      <c r="G720" s="26"/>
      <c r="H720" s="37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37"/>
      <c r="B721" s="37"/>
      <c r="C721" s="37"/>
      <c r="D721" s="37"/>
      <c r="E721" s="38"/>
      <c r="F721" s="38"/>
      <c r="G721" s="26"/>
      <c r="H721" s="37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37"/>
      <c r="B722" s="37"/>
      <c r="C722" s="37"/>
      <c r="D722" s="37"/>
      <c r="E722" s="38"/>
      <c r="F722" s="38"/>
      <c r="G722" s="26"/>
      <c r="H722" s="37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37"/>
      <c r="B723" s="37"/>
      <c r="C723" s="37"/>
      <c r="D723" s="37"/>
      <c r="E723" s="38"/>
      <c r="F723" s="38"/>
      <c r="G723" s="26"/>
      <c r="H723" s="37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37"/>
      <c r="B724" s="37"/>
      <c r="C724" s="37"/>
      <c r="D724" s="37"/>
      <c r="E724" s="38"/>
      <c r="F724" s="38"/>
      <c r="G724" s="26"/>
      <c r="H724" s="37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37"/>
      <c r="B725" s="37"/>
      <c r="C725" s="37"/>
      <c r="D725" s="37"/>
      <c r="E725" s="38"/>
      <c r="F725" s="38"/>
      <c r="G725" s="26"/>
      <c r="H725" s="37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37"/>
      <c r="B726" s="37"/>
      <c r="C726" s="37"/>
      <c r="D726" s="37"/>
      <c r="E726" s="38"/>
      <c r="F726" s="38"/>
      <c r="G726" s="26"/>
      <c r="H726" s="37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37"/>
      <c r="B727" s="37"/>
      <c r="C727" s="37"/>
      <c r="D727" s="37"/>
      <c r="E727" s="38"/>
      <c r="F727" s="38"/>
      <c r="G727" s="26"/>
      <c r="H727" s="37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37"/>
      <c r="B728" s="37"/>
      <c r="C728" s="37"/>
      <c r="D728" s="37"/>
      <c r="E728" s="38"/>
      <c r="F728" s="38"/>
      <c r="G728" s="26"/>
      <c r="H728" s="37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37"/>
      <c r="B729" s="37"/>
      <c r="C729" s="37"/>
      <c r="D729" s="37"/>
      <c r="E729" s="38"/>
      <c r="F729" s="38"/>
      <c r="G729" s="26"/>
      <c r="H729" s="37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37"/>
      <c r="B730" s="37"/>
      <c r="C730" s="37"/>
      <c r="D730" s="37"/>
      <c r="E730" s="38"/>
      <c r="F730" s="38"/>
      <c r="G730" s="26"/>
      <c r="H730" s="37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37"/>
      <c r="B731" s="37"/>
      <c r="C731" s="37"/>
      <c r="D731" s="37"/>
      <c r="E731" s="38"/>
      <c r="F731" s="38"/>
      <c r="G731" s="26"/>
      <c r="H731" s="37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37"/>
      <c r="B732" s="37"/>
      <c r="C732" s="37"/>
      <c r="D732" s="37"/>
      <c r="E732" s="38"/>
      <c r="F732" s="38"/>
      <c r="G732" s="26"/>
      <c r="H732" s="37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37"/>
      <c r="B733" s="37"/>
      <c r="C733" s="37"/>
      <c r="D733" s="37"/>
      <c r="E733" s="38"/>
      <c r="F733" s="38"/>
      <c r="G733" s="26"/>
      <c r="H733" s="37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37"/>
      <c r="B734" s="37"/>
      <c r="C734" s="37"/>
      <c r="D734" s="37"/>
      <c r="E734" s="38"/>
      <c r="F734" s="38"/>
      <c r="G734" s="26"/>
      <c r="H734" s="37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37"/>
      <c r="B735" s="37"/>
      <c r="C735" s="37"/>
      <c r="D735" s="37"/>
      <c r="E735" s="38"/>
      <c r="F735" s="38"/>
      <c r="G735" s="26"/>
      <c r="H735" s="37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37"/>
      <c r="B736" s="37"/>
      <c r="C736" s="37"/>
      <c r="D736" s="37"/>
      <c r="E736" s="38"/>
      <c r="F736" s="38"/>
      <c r="G736" s="26"/>
      <c r="H736" s="37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37"/>
      <c r="B737" s="37"/>
      <c r="C737" s="37"/>
      <c r="D737" s="37"/>
      <c r="E737" s="38"/>
      <c r="F737" s="38"/>
      <c r="G737" s="26"/>
      <c r="H737" s="37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37"/>
      <c r="B738" s="37"/>
      <c r="C738" s="37"/>
      <c r="D738" s="37"/>
      <c r="E738" s="38"/>
      <c r="F738" s="38"/>
      <c r="G738" s="26"/>
      <c r="H738" s="37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37"/>
      <c r="B739" s="37"/>
      <c r="C739" s="37"/>
      <c r="D739" s="37"/>
      <c r="E739" s="38"/>
      <c r="F739" s="38"/>
      <c r="G739" s="26"/>
      <c r="H739" s="37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37"/>
      <c r="B740" s="37"/>
      <c r="C740" s="37"/>
      <c r="D740" s="37"/>
      <c r="E740" s="38"/>
      <c r="F740" s="38"/>
      <c r="G740" s="26"/>
      <c r="H740" s="37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37"/>
      <c r="B741" s="37"/>
      <c r="C741" s="37"/>
      <c r="D741" s="37"/>
      <c r="E741" s="38"/>
      <c r="F741" s="38"/>
      <c r="G741" s="26"/>
      <c r="H741" s="37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37"/>
      <c r="B742" s="37"/>
      <c r="C742" s="37"/>
      <c r="D742" s="37"/>
      <c r="E742" s="38"/>
      <c r="F742" s="38"/>
      <c r="G742" s="26"/>
      <c r="H742" s="37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37"/>
      <c r="B743" s="37"/>
      <c r="C743" s="37"/>
      <c r="D743" s="37"/>
      <c r="E743" s="38"/>
      <c r="F743" s="38"/>
      <c r="G743" s="26"/>
      <c r="H743" s="37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37"/>
      <c r="B744" s="37"/>
      <c r="C744" s="37"/>
      <c r="D744" s="37"/>
      <c r="E744" s="38"/>
      <c r="F744" s="38"/>
      <c r="G744" s="26"/>
      <c r="H744" s="37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37"/>
      <c r="B745" s="37"/>
      <c r="C745" s="37"/>
      <c r="D745" s="37"/>
      <c r="E745" s="38"/>
      <c r="F745" s="38"/>
      <c r="G745" s="26"/>
      <c r="H745" s="37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37"/>
      <c r="B746" s="37"/>
      <c r="C746" s="37"/>
      <c r="D746" s="37"/>
      <c r="E746" s="38"/>
      <c r="F746" s="38"/>
      <c r="G746" s="26"/>
      <c r="H746" s="37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37"/>
      <c r="B747" s="37"/>
      <c r="C747" s="37"/>
      <c r="D747" s="37"/>
      <c r="E747" s="38"/>
      <c r="F747" s="38"/>
      <c r="G747" s="26"/>
      <c r="H747" s="37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37"/>
      <c r="B748" s="37"/>
      <c r="C748" s="37"/>
      <c r="D748" s="37"/>
      <c r="E748" s="38"/>
      <c r="F748" s="38"/>
      <c r="G748" s="26"/>
      <c r="H748" s="37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37"/>
      <c r="B749" s="37"/>
      <c r="C749" s="37"/>
      <c r="D749" s="37"/>
      <c r="E749" s="38"/>
      <c r="F749" s="38"/>
      <c r="G749" s="26"/>
      <c r="H749" s="37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37"/>
      <c r="B750" s="37"/>
      <c r="C750" s="37"/>
      <c r="D750" s="37"/>
      <c r="E750" s="38"/>
      <c r="F750" s="38"/>
      <c r="G750" s="26"/>
      <c r="H750" s="37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37"/>
      <c r="B751" s="37"/>
      <c r="C751" s="37"/>
      <c r="D751" s="37"/>
      <c r="E751" s="38"/>
      <c r="F751" s="38"/>
      <c r="G751" s="26"/>
      <c r="H751" s="37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37"/>
      <c r="B752" s="37"/>
      <c r="C752" s="37"/>
      <c r="D752" s="37"/>
      <c r="E752" s="38"/>
      <c r="F752" s="38"/>
      <c r="G752" s="26"/>
      <c r="H752" s="37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37"/>
      <c r="B753" s="37"/>
      <c r="C753" s="37"/>
      <c r="D753" s="37"/>
      <c r="E753" s="38"/>
      <c r="F753" s="38"/>
      <c r="G753" s="26"/>
      <c r="H753" s="37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37"/>
      <c r="B754" s="37"/>
      <c r="C754" s="37"/>
      <c r="D754" s="37"/>
      <c r="E754" s="38"/>
      <c r="F754" s="38"/>
      <c r="G754" s="26"/>
      <c r="H754" s="37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37"/>
      <c r="B755" s="37"/>
      <c r="C755" s="37"/>
      <c r="D755" s="37"/>
      <c r="E755" s="38"/>
      <c r="F755" s="38"/>
      <c r="G755" s="26"/>
      <c r="H755" s="37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37"/>
      <c r="B756" s="37"/>
      <c r="C756" s="37"/>
      <c r="D756" s="37"/>
      <c r="E756" s="38"/>
      <c r="F756" s="38"/>
      <c r="G756" s="26"/>
      <c r="H756" s="37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37"/>
      <c r="B757" s="37"/>
      <c r="C757" s="37"/>
      <c r="D757" s="37"/>
      <c r="E757" s="38"/>
      <c r="F757" s="38"/>
      <c r="G757" s="26"/>
      <c r="H757" s="37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37"/>
      <c r="B758" s="37"/>
      <c r="C758" s="37"/>
      <c r="D758" s="37"/>
      <c r="E758" s="38"/>
      <c r="F758" s="38"/>
      <c r="G758" s="26"/>
      <c r="H758" s="37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37"/>
      <c r="B759" s="37"/>
      <c r="C759" s="37"/>
      <c r="D759" s="37"/>
      <c r="E759" s="38"/>
      <c r="F759" s="38"/>
      <c r="G759" s="26"/>
      <c r="H759" s="37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37"/>
      <c r="B760" s="37"/>
      <c r="C760" s="37"/>
      <c r="D760" s="37"/>
      <c r="E760" s="38"/>
      <c r="F760" s="38"/>
      <c r="G760" s="26"/>
      <c r="H760" s="37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37"/>
      <c r="B761" s="37"/>
      <c r="C761" s="37"/>
      <c r="D761" s="37"/>
      <c r="E761" s="38"/>
      <c r="F761" s="38"/>
      <c r="G761" s="26"/>
      <c r="H761" s="37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37"/>
      <c r="B762" s="37"/>
      <c r="C762" s="37"/>
      <c r="D762" s="37"/>
      <c r="E762" s="38"/>
      <c r="F762" s="38"/>
      <c r="G762" s="26"/>
      <c r="H762" s="37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37"/>
      <c r="B763" s="37"/>
      <c r="C763" s="37"/>
      <c r="D763" s="37"/>
      <c r="E763" s="38"/>
      <c r="F763" s="38"/>
      <c r="G763" s="26"/>
      <c r="H763" s="37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37"/>
      <c r="B764" s="37"/>
      <c r="C764" s="37"/>
      <c r="D764" s="37"/>
      <c r="E764" s="38"/>
      <c r="F764" s="38"/>
      <c r="G764" s="26"/>
      <c r="H764" s="37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37"/>
      <c r="B765" s="37"/>
      <c r="C765" s="37"/>
      <c r="D765" s="37"/>
      <c r="E765" s="38"/>
      <c r="F765" s="38"/>
      <c r="G765" s="26"/>
      <c r="H765" s="37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37"/>
      <c r="B766" s="37"/>
      <c r="C766" s="37"/>
      <c r="D766" s="37"/>
      <c r="E766" s="38"/>
      <c r="F766" s="38"/>
      <c r="G766" s="26"/>
      <c r="H766" s="37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37"/>
      <c r="B767" s="37"/>
      <c r="C767" s="37"/>
      <c r="D767" s="37"/>
      <c r="E767" s="38"/>
      <c r="F767" s="38"/>
      <c r="G767" s="26"/>
      <c r="H767" s="37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37"/>
      <c r="B768" s="37"/>
      <c r="C768" s="37"/>
      <c r="D768" s="37"/>
      <c r="E768" s="38"/>
      <c r="F768" s="38"/>
      <c r="G768" s="26"/>
      <c r="H768" s="37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37"/>
      <c r="B769" s="37"/>
      <c r="C769" s="37"/>
      <c r="D769" s="37"/>
      <c r="E769" s="38"/>
      <c r="F769" s="38"/>
      <c r="G769" s="26"/>
      <c r="H769" s="37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37"/>
      <c r="B770" s="37"/>
      <c r="C770" s="37"/>
      <c r="D770" s="37"/>
      <c r="E770" s="38"/>
      <c r="F770" s="38"/>
      <c r="G770" s="26"/>
      <c r="H770" s="37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37"/>
      <c r="B771" s="37"/>
      <c r="C771" s="37"/>
      <c r="D771" s="37"/>
      <c r="E771" s="38"/>
      <c r="F771" s="38"/>
      <c r="G771" s="26"/>
      <c r="H771" s="37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37"/>
      <c r="B772" s="37"/>
      <c r="C772" s="37"/>
      <c r="D772" s="37"/>
      <c r="E772" s="38"/>
      <c r="F772" s="38"/>
      <c r="G772" s="26"/>
      <c r="H772" s="37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37"/>
      <c r="B773" s="37"/>
      <c r="C773" s="37"/>
      <c r="D773" s="37"/>
      <c r="E773" s="38"/>
      <c r="F773" s="38"/>
      <c r="G773" s="26"/>
      <c r="H773" s="37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37"/>
      <c r="B774" s="37"/>
      <c r="C774" s="37"/>
      <c r="D774" s="37"/>
      <c r="E774" s="38"/>
      <c r="F774" s="38"/>
      <c r="G774" s="26"/>
      <c r="H774" s="37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37"/>
      <c r="B775" s="37"/>
      <c r="C775" s="37"/>
      <c r="D775" s="37"/>
      <c r="E775" s="38"/>
      <c r="F775" s="38"/>
      <c r="G775" s="26"/>
      <c r="H775" s="37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37"/>
      <c r="B776" s="37"/>
      <c r="C776" s="37"/>
      <c r="D776" s="37"/>
      <c r="E776" s="38"/>
      <c r="F776" s="38"/>
      <c r="G776" s="26"/>
      <c r="H776" s="37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37"/>
      <c r="B777" s="37"/>
      <c r="C777" s="37"/>
      <c r="D777" s="37"/>
      <c r="E777" s="38"/>
      <c r="F777" s="38"/>
      <c r="G777" s="26"/>
      <c r="H777" s="37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37"/>
      <c r="B778" s="37"/>
      <c r="C778" s="37"/>
      <c r="D778" s="37"/>
      <c r="E778" s="38"/>
      <c r="F778" s="38"/>
      <c r="G778" s="26"/>
      <c r="H778" s="37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37"/>
      <c r="B779" s="37"/>
      <c r="C779" s="37"/>
      <c r="D779" s="37"/>
      <c r="E779" s="38"/>
      <c r="F779" s="38"/>
      <c r="G779" s="26"/>
      <c r="H779" s="37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37"/>
      <c r="B780" s="37"/>
      <c r="C780" s="37"/>
      <c r="D780" s="37"/>
      <c r="E780" s="38"/>
      <c r="F780" s="38"/>
      <c r="G780" s="26"/>
      <c r="H780" s="37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37"/>
      <c r="B781" s="37"/>
      <c r="C781" s="37"/>
      <c r="D781" s="37"/>
      <c r="E781" s="38"/>
      <c r="F781" s="38"/>
      <c r="G781" s="26"/>
      <c r="H781" s="37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37"/>
      <c r="B782" s="37"/>
      <c r="C782" s="37"/>
      <c r="D782" s="37"/>
      <c r="E782" s="38"/>
      <c r="F782" s="38"/>
      <c r="G782" s="26"/>
      <c r="H782" s="37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37"/>
      <c r="B783" s="37"/>
      <c r="C783" s="37"/>
      <c r="D783" s="37"/>
      <c r="E783" s="38"/>
      <c r="F783" s="38"/>
      <c r="G783" s="26"/>
      <c r="H783" s="37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37"/>
      <c r="B784" s="37"/>
      <c r="C784" s="37"/>
      <c r="D784" s="37"/>
      <c r="E784" s="38"/>
      <c r="F784" s="38"/>
      <c r="G784" s="26"/>
      <c r="H784" s="37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37"/>
      <c r="B785" s="37"/>
      <c r="C785" s="37"/>
      <c r="D785" s="37"/>
      <c r="E785" s="38"/>
      <c r="F785" s="38"/>
      <c r="G785" s="26"/>
      <c r="H785" s="37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37"/>
      <c r="B786" s="37"/>
      <c r="C786" s="37"/>
      <c r="D786" s="37"/>
      <c r="E786" s="38"/>
      <c r="F786" s="38"/>
      <c r="G786" s="26"/>
      <c r="H786" s="37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37"/>
      <c r="B787" s="37"/>
      <c r="C787" s="37"/>
      <c r="D787" s="37"/>
      <c r="E787" s="38"/>
      <c r="F787" s="38"/>
      <c r="G787" s="26"/>
      <c r="H787" s="37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37"/>
      <c r="B788" s="37"/>
      <c r="C788" s="37"/>
      <c r="D788" s="37"/>
      <c r="E788" s="38"/>
      <c r="F788" s="38"/>
      <c r="G788" s="26"/>
      <c r="H788" s="37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37"/>
      <c r="B789" s="37"/>
      <c r="C789" s="37"/>
      <c r="D789" s="37"/>
      <c r="E789" s="38"/>
      <c r="F789" s="38"/>
      <c r="G789" s="26"/>
      <c r="H789" s="37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37"/>
      <c r="B790" s="37"/>
      <c r="C790" s="37"/>
      <c r="D790" s="37"/>
      <c r="E790" s="38"/>
      <c r="F790" s="38"/>
      <c r="G790" s="26"/>
      <c r="H790" s="37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37"/>
      <c r="B791" s="37"/>
      <c r="C791" s="37"/>
      <c r="D791" s="37"/>
      <c r="E791" s="38"/>
      <c r="F791" s="38"/>
      <c r="G791" s="26"/>
      <c r="H791" s="37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37"/>
      <c r="B792" s="37"/>
      <c r="C792" s="37"/>
      <c r="D792" s="37"/>
      <c r="E792" s="38"/>
      <c r="F792" s="38"/>
      <c r="G792" s="26"/>
      <c r="H792" s="37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37"/>
      <c r="B793" s="37"/>
      <c r="C793" s="37"/>
      <c r="D793" s="37"/>
      <c r="E793" s="38"/>
      <c r="F793" s="38"/>
      <c r="G793" s="26"/>
      <c r="H793" s="37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37"/>
      <c r="B794" s="37"/>
      <c r="C794" s="37"/>
      <c r="D794" s="37"/>
      <c r="E794" s="38"/>
      <c r="F794" s="38"/>
      <c r="G794" s="26"/>
      <c r="H794" s="37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37"/>
      <c r="B795" s="37"/>
      <c r="C795" s="37"/>
      <c r="D795" s="37"/>
      <c r="E795" s="38"/>
      <c r="F795" s="38"/>
      <c r="G795" s="26"/>
      <c r="H795" s="37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37"/>
      <c r="B796" s="37"/>
      <c r="C796" s="37"/>
      <c r="D796" s="37"/>
      <c r="E796" s="38"/>
      <c r="F796" s="38"/>
      <c r="G796" s="26"/>
      <c r="H796" s="37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37"/>
      <c r="B797" s="37"/>
      <c r="C797" s="37"/>
      <c r="D797" s="37"/>
      <c r="E797" s="38"/>
      <c r="F797" s="38"/>
      <c r="G797" s="26"/>
      <c r="H797" s="37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37"/>
      <c r="B798" s="37"/>
      <c r="C798" s="37"/>
      <c r="D798" s="37"/>
      <c r="E798" s="38"/>
      <c r="F798" s="38"/>
      <c r="G798" s="26"/>
      <c r="H798" s="37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37"/>
      <c r="B799" s="37"/>
      <c r="C799" s="37"/>
      <c r="D799" s="37"/>
      <c r="E799" s="38"/>
      <c r="F799" s="38"/>
      <c r="G799" s="26"/>
      <c r="H799" s="37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37"/>
      <c r="B800" s="37"/>
      <c r="C800" s="37"/>
      <c r="D800" s="37"/>
      <c r="E800" s="38"/>
      <c r="F800" s="38"/>
      <c r="G800" s="26"/>
      <c r="H800" s="37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37"/>
      <c r="B801" s="37"/>
      <c r="C801" s="37"/>
      <c r="D801" s="37"/>
      <c r="E801" s="38"/>
      <c r="F801" s="38"/>
      <c r="G801" s="26"/>
      <c r="H801" s="37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37"/>
      <c r="B802" s="37"/>
      <c r="C802" s="37"/>
      <c r="D802" s="37"/>
      <c r="E802" s="38"/>
      <c r="F802" s="38"/>
      <c r="G802" s="26"/>
      <c r="H802" s="37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37"/>
      <c r="B803" s="37"/>
      <c r="C803" s="37"/>
      <c r="D803" s="37"/>
      <c r="E803" s="38"/>
      <c r="F803" s="38"/>
      <c r="G803" s="26"/>
      <c r="H803" s="37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37"/>
      <c r="B804" s="37"/>
      <c r="C804" s="37"/>
      <c r="D804" s="37"/>
      <c r="E804" s="38"/>
      <c r="F804" s="38"/>
      <c r="G804" s="26"/>
      <c r="H804" s="37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37"/>
      <c r="B805" s="37"/>
      <c r="C805" s="37"/>
      <c r="D805" s="37"/>
      <c r="E805" s="38"/>
      <c r="F805" s="38"/>
      <c r="G805" s="26"/>
      <c r="H805" s="37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37"/>
      <c r="B806" s="37"/>
      <c r="C806" s="37"/>
      <c r="D806" s="37"/>
      <c r="E806" s="38"/>
      <c r="F806" s="38"/>
      <c r="G806" s="26"/>
      <c r="H806" s="37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37"/>
      <c r="B807" s="37"/>
      <c r="C807" s="37"/>
      <c r="D807" s="37"/>
      <c r="E807" s="38"/>
      <c r="F807" s="38"/>
      <c r="G807" s="26"/>
      <c r="H807" s="37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37"/>
      <c r="B808" s="37"/>
      <c r="C808" s="37"/>
      <c r="D808" s="37"/>
      <c r="E808" s="38"/>
      <c r="F808" s="38"/>
      <c r="G808" s="26"/>
      <c r="H808" s="37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37"/>
      <c r="B809" s="37"/>
      <c r="C809" s="37"/>
      <c r="D809" s="37"/>
      <c r="E809" s="38"/>
      <c r="F809" s="38"/>
      <c r="G809" s="26"/>
      <c r="H809" s="37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37"/>
      <c r="B810" s="37"/>
      <c r="C810" s="37"/>
      <c r="D810" s="37"/>
      <c r="E810" s="38"/>
      <c r="F810" s="38"/>
      <c r="G810" s="26"/>
      <c r="H810" s="37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37"/>
      <c r="B811" s="37"/>
      <c r="C811" s="37"/>
      <c r="D811" s="37"/>
      <c r="E811" s="38"/>
      <c r="F811" s="38"/>
      <c r="G811" s="26"/>
      <c r="H811" s="37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37"/>
      <c r="B812" s="37"/>
      <c r="C812" s="37"/>
      <c r="D812" s="37"/>
      <c r="E812" s="38"/>
      <c r="F812" s="38"/>
      <c r="G812" s="26"/>
      <c r="H812" s="37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37"/>
      <c r="B813" s="37"/>
      <c r="C813" s="37"/>
      <c r="D813" s="37"/>
      <c r="E813" s="38"/>
      <c r="F813" s="38"/>
      <c r="G813" s="26"/>
      <c r="H813" s="37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37"/>
      <c r="B814" s="37"/>
      <c r="C814" s="37"/>
      <c r="D814" s="37"/>
      <c r="E814" s="38"/>
      <c r="F814" s="38"/>
      <c r="G814" s="26"/>
      <c r="H814" s="37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37"/>
      <c r="B815" s="37"/>
      <c r="C815" s="37"/>
      <c r="D815" s="37"/>
      <c r="E815" s="38"/>
      <c r="F815" s="38"/>
      <c r="G815" s="26"/>
      <c r="H815" s="37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37"/>
      <c r="B816" s="37"/>
      <c r="C816" s="37"/>
      <c r="D816" s="37"/>
      <c r="E816" s="38"/>
      <c r="F816" s="38"/>
      <c r="G816" s="26"/>
      <c r="H816" s="37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37"/>
      <c r="B817" s="37"/>
      <c r="C817" s="37"/>
      <c r="D817" s="37"/>
      <c r="E817" s="38"/>
      <c r="F817" s="38"/>
      <c r="G817" s="26"/>
      <c r="H817" s="37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37"/>
      <c r="B818" s="37"/>
      <c r="C818" s="37"/>
      <c r="D818" s="37"/>
      <c r="E818" s="38"/>
      <c r="F818" s="38"/>
      <c r="G818" s="26"/>
      <c r="H818" s="37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37"/>
      <c r="B819" s="37"/>
      <c r="C819" s="37"/>
      <c r="D819" s="37"/>
      <c r="E819" s="38"/>
      <c r="F819" s="38"/>
      <c r="G819" s="26"/>
      <c r="H819" s="37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37"/>
      <c r="B820" s="37"/>
      <c r="C820" s="37"/>
      <c r="D820" s="37"/>
      <c r="E820" s="38"/>
      <c r="F820" s="38"/>
      <c r="G820" s="26"/>
      <c r="H820" s="37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37"/>
      <c r="B821" s="37"/>
      <c r="C821" s="37"/>
      <c r="D821" s="37"/>
      <c r="E821" s="38"/>
      <c r="F821" s="38"/>
      <c r="G821" s="26"/>
      <c r="H821" s="37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37"/>
      <c r="B822" s="37"/>
      <c r="C822" s="37"/>
      <c r="D822" s="37"/>
      <c r="E822" s="38"/>
      <c r="F822" s="38"/>
      <c r="G822" s="26"/>
      <c r="H822" s="37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37"/>
      <c r="B823" s="37"/>
      <c r="C823" s="37"/>
      <c r="D823" s="37"/>
      <c r="E823" s="38"/>
      <c r="F823" s="38"/>
      <c r="G823" s="26"/>
      <c r="H823" s="37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37"/>
      <c r="B824" s="37"/>
      <c r="C824" s="37"/>
      <c r="D824" s="37"/>
      <c r="E824" s="38"/>
      <c r="F824" s="38"/>
      <c r="G824" s="26"/>
      <c r="H824" s="37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37"/>
      <c r="B825" s="37"/>
      <c r="C825" s="37"/>
      <c r="D825" s="37"/>
      <c r="E825" s="38"/>
      <c r="F825" s="38"/>
      <c r="G825" s="26"/>
      <c r="H825" s="37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37"/>
      <c r="B826" s="37"/>
      <c r="C826" s="37"/>
      <c r="D826" s="37"/>
      <c r="E826" s="38"/>
      <c r="F826" s="38"/>
      <c r="G826" s="26"/>
      <c r="H826" s="37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37"/>
      <c r="B827" s="37"/>
      <c r="C827" s="37"/>
      <c r="D827" s="37"/>
      <c r="E827" s="38"/>
      <c r="F827" s="38"/>
      <c r="G827" s="26"/>
      <c r="H827" s="37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37"/>
      <c r="B828" s="37"/>
      <c r="C828" s="37"/>
      <c r="D828" s="37"/>
      <c r="E828" s="38"/>
      <c r="F828" s="38"/>
      <c r="G828" s="26"/>
      <c r="H828" s="37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37"/>
      <c r="B829" s="37"/>
      <c r="C829" s="37"/>
      <c r="D829" s="37"/>
      <c r="E829" s="38"/>
      <c r="F829" s="38"/>
      <c r="G829" s="26"/>
      <c r="H829" s="37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37"/>
      <c r="B830" s="37"/>
      <c r="C830" s="37"/>
      <c r="D830" s="37"/>
      <c r="E830" s="38"/>
      <c r="F830" s="38"/>
      <c r="G830" s="26"/>
      <c r="H830" s="37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37"/>
      <c r="B831" s="37"/>
      <c r="C831" s="37"/>
      <c r="D831" s="37"/>
      <c r="E831" s="38"/>
      <c r="F831" s="38"/>
      <c r="G831" s="26"/>
      <c r="H831" s="37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37"/>
      <c r="B832" s="37"/>
      <c r="C832" s="37"/>
      <c r="D832" s="37"/>
      <c r="E832" s="38"/>
      <c r="F832" s="38"/>
      <c r="G832" s="26"/>
      <c r="H832" s="37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37"/>
      <c r="B833" s="37"/>
      <c r="C833" s="37"/>
      <c r="D833" s="37"/>
      <c r="E833" s="38"/>
      <c r="F833" s="38"/>
      <c r="G833" s="26"/>
      <c r="H833" s="37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37"/>
      <c r="B834" s="37"/>
      <c r="C834" s="37"/>
      <c r="D834" s="37"/>
      <c r="E834" s="38"/>
      <c r="F834" s="38"/>
      <c r="G834" s="26"/>
      <c r="H834" s="37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37"/>
      <c r="B835" s="37"/>
      <c r="C835" s="37"/>
      <c r="D835" s="37"/>
      <c r="E835" s="38"/>
      <c r="F835" s="38"/>
      <c r="G835" s="26"/>
      <c r="H835" s="37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37"/>
      <c r="B836" s="37"/>
      <c r="C836" s="37"/>
      <c r="D836" s="37"/>
      <c r="E836" s="38"/>
      <c r="F836" s="38"/>
      <c r="G836" s="26"/>
      <c r="H836" s="37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37"/>
      <c r="B837" s="37"/>
      <c r="C837" s="37"/>
      <c r="D837" s="37"/>
      <c r="E837" s="38"/>
      <c r="F837" s="38"/>
      <c r="G837" s="26"/>
      <c r="H837" s="37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37"/>
      <c r="B838" s="37"/>
      <c r="C838" s="37"/>
      <c r="D838" s="37"/>
      <c r="E838" s="38"/>
      <c r="F838" s="38"/>
      <c r="G838" s="26"/>
      <c r="H838" s="37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37"/>
      <c r="B839" s="37"/>
      <c r="C839" s="37"/>
      <c r="D839" s="37"/>
      <c r="E839" s="38"/>
      <c r="F839" s="38"/>
      <c r="G839" s="26"/>
      <c r="H839" s="37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37"/>
      <c r="B840" s="37"/>
      <c r="C840" s="37"/>
      <c r="D840" s="37"/>
      <c r="E840" s="38"/>
      <c r="F840" s="38"/>
      <c r="G840" s="26"/>
      <c r="H840" s="37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37"/>
      <c r="B841" s="37"/>
      <c r="C841" s="37"/>
      <c r="D841" s="37"/>
      <c r="E841" s="38"/>
      <c r="F841" s="38"/>
      <c r="G841" s="26"/>
      <c r="H841" s="37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37"/>
      <c r="B842" s="37"/>
      <c r="C842" s="37"/>
      <c r="D842" s="37"/>
      <c r="E842" s="38"/>
      <c r="F842" s="38"/>
      <c r="G842" s="26"/>
      <c r="H842" s="37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37"/>
      <c r="B843" s="37"/>
      <c r="C843" s="37"/>
      <c r="D843" s="37"/>
      <c r="E843" s="38"/>
      <c r="F843" s="38"/>
      <c r="G843" s="26"/>
      <c r="H843" s="37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37"/>
      <c r="B844" s="37"/>
      <c r="C844" s="37"/>
      <c r="D844" s="37"/>
      <c r="E844" s="38"/>
      <c r="F844" s="38"/>
      <c r="G844" s="26"/>
      <c r="H844" s="37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37"/>
      <c r="B845" s="37"/>
      <c r="C845" s="37"/>
      <c r="D845" s="37"/>
      <c r="E845" s="38"/>
      <c r="F845" s="38"/>
      <c r="G845" s="26"/>
      <c r="H845" s="37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37"/>
      <c r="B846" s="37"/>
      <c r="C846" s="37"/>
      <c r="D846" s="37"/>
      <c r="E846" s="38"/>
      <c r="F846" s="38"/>
      <c r="G846" s="26"/>
      <c r="H846" s="37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37"/>
      <c r="B847" s="37"/>
      <c r="C847" s="37"/>
      <c r="D847" s="37"/>
      <c r="E847" s="38"/>
      <c r="F847" s="38"/>
      <c r="G847" s="26"/>
      <c r="H847" s="37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37"/>
      <c r="B848" s="37"/>
      <c r="C848" s="37"/>
      <c r="D848" s="37"/>
      <c r="E848" s="38"/>
      <c r="F848" s="38"/>
      <c r="G848" s="26"/>
      <c r="H848" s="37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37"/>
      <c r="B849" s="37"/>
      <c r="C849" s="37"/>
      <c r="D849" s="37"/>
      <c r="E849" s="38"/>
      <c r="F849" s="38"/>
      <c r="G849" s="26"/>
      <c r="H849" s="37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37"/>
      <c r="B850" s="37"/>
      <c r="C850" s="37"/>
      <c r="D850" s="37"/>
      <c r="E850" s="38"/>
      <c r="F850" s="38"/>
      <c r="G850" s="26"/>
      <c r="H850" s="37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37"/>
      <c r="B851" s="37"/>
      <c r="C851" s="37"/>
      <c r="D851" s="37"/>
      <c r="E851" s="38"/>
      <c r="F851" s="38"/>
      <c r="G851" s="26"/>
      <c r="H851" s="37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37"/>
      <c r="B852" s="37"/>
      <c r="C852" s="37"/>
      <c r="D852" s="37"/>
      <c r="E852" s="38"/>
      <c r="F852" s="38"/>
      <c r="G852" s="26"/>
      <c r="H852" s="37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37"/>
      <c r="B853" s="37"/>
      <c r="C853" s="37"/>
      <c r="D853" s="37"/>
      <c r="E853" s="38"/>
      <c r="F853" s="38"/>
      <c r="G853" s="26"/>
      <c r="H853" s="37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37"/>
      <c r="B854" s="37"/>
      <c r="C854" s="37"/>
      <c r="D854" s="37"/>
      <c r="E854" s="38"/>
      <c r="F854" s="38"/>
      <c r="G854" s="26"/>
      <c r="H854" s="37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37"/>
      <c r="B855" s="37"/>
      <c r="C855" s="37"/>
      <c r="D855" s="37"/>
      <c r="E855" s="38"/>
      <c r="F855" s="38"/>
      <c r="G855" s="26"/>
      <c r="H855" s="37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37"/>
      <c r="B856" s="37"/>
      <c r="C856" s="37"/>
      <c r="D856" s="37"/>
      <c r="E856" s="38"/>
      <c r="F856" s="38"/>
      <c r="G856" s="26"/>
      <c r="H856" s="37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37"/>
      <c r="B857" s="37"/>
      <c r="C857" s="37"/>
      <c r="D857" s="37"/>
      <c r="E857" s="38"/>
      <c r="F857" s="38"/>
      <c r="G857" s="26"/>
      <c r="H857" s="37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37"/>
      <c r="B858" s="37"/>
      <c r="C858" s="37"/>
      <c r="D858" s="37"/>
      <c r="E858" s="38"/>
      <c r="F858" s="38"/>
      <c r="G858" s="26"/>
      <c r="H858" s="37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37"/>
      <c r="B859" s="37"/>
      <c r="C859" s="37"/>
      <c r="D859" s="37"/>
      <c r="E859" s="38"/>
      <c r="F859" s="38"/>
      <c r="G859" s="26"/>
      <c r="H859" s="37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37"/>
      <c r="B860" s="37"/>
      <c r="C860" s="37"/>
      <c r="D860" s="37"/>
      <c r="E860" s="38"/>
      <c r="F860" s="38"/>
      <c r="G860" s="26"/>
      <c r="H860" s="37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37"/>
      <c r="B861" s="37"/>
      <c r="C861" s="37"/>
      <c r="D861" s="37"/>
      <c r="E861" s="38"/>
      <c r="F861" s="38"/>
      <c r="G861" s="26"/>
      <c r="H861" s="37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37"/>
      <c r="B862" s="37"/>
      <c r="C862" s="37"/>
      <c r="D862" s="37"/>
      <c r="E862" s="38"/>
      <c r="F862" s="38"/>
      <c r="G862" s="26"/>
      <c r="H862" s="37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37"/>
      <c r="B863" s="37"/>
      <c r="C863" s="37"/>
      <c r="D863" s="37"/>
      <c r="E863" s="38"/>
      <c r="F863" s="38"/>
      <c r="G863" s="26"/>
      <c r="H863" s="37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37"/>
      <c r="B864" s="37"/>
      <c r="C864" s="37"/>
      <c r="D864" s="37"/>
      <c r="E864" s="38"/>
      <c r="F864" s="38"/>
      <c r="G864" s="26"/>
      <c r="H864" s="37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37"/>
      <c r="B865" s="37"/>
      <c r="C865" s="37"/>
      <c r="D865" s="37"/>
      <c r="E865" s="38"/>
      <c r="F865" s="38"/>
      <c r="G865" s="26"/>
      <c r="H865" s="37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37"/>
      <c r="B866" s="37"/>
      <c r="C866" s="37"/>
      <c r="D866" s="37"/>
      <c r="E866" s="38"/>
      <c r="F866" s="38"/>
      <c r="G866" s="26"/>
      <c r="H866" s="37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37"/>
      <c r="B867" s="37"/>
      <c r="C867" s="37"/>
      <c r="D867" s="37"/>
      <c r="E867" s="38"/>
      <c r="F867" s="38"/>
      <c r="G867" s="26"/>
      <c r="H867" s="37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37"/>
      <c r="B868" s="37"/>
      <c r="C868" s="37"/>
      <c r="D868" s="37"/>
      <c r="E868" s="38"/>
      <c r="F868" s="38"/>
      <c r="G868" s="26"/>
      <c r="H868" s="37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37"/>
      <c r="B869" s="37"/>
      <c r="C869" s="37"/>
      <c r="D869" s="37"/>
      <c r="E869" s="38"/>
      <c r="F869" s="38"/>
      <c r="G869" s="26"/>
      <c r="H869" s="37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37"/>
      <c r="B870" s="37"/>
      <c r="C870" s="37"/>
      <c r="D870" s="37"/>
      <c r="E870" s="38"/>
      <c r="F870" s="38"/>
      <c r="G870" s="26"/>
      <c r="H870" s="37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37"/>
      <c r="B871" s="37"/>
      <c r="C871" s="37"/>
      <c r="D871" s="37"/>
      <c r="E871" s="38"/>
      <c r="F871" s="38"/>
      <c r="G871" s="26"/>
      <c r="H871" s="37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37"/>
      <c r="B872" s="37"/>
      <c r="C872" s="37"/>
      <c r="D872" s="37"/>
      <c r="E872" s="38"/>
      <c r="F872" s="38"/>
      <c r="G872" s="26"/>
      <c r="H872" s="37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37"/>
      <c r="B873" s="37"/>
      <c r="C873" s="37"/>
      <c r="D873" s="37"/>
      <c r="E873" s="38"/>
      <c r="F873" s="38"/>
      <c r="G873" s="26"/>
      <c r="H873" s="37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37"/>
      <c r="B874" s="37"/>
      <c r="C874" s="37"/>
      <c r="D874" s="37"/>
      <c r="E874" s="38"/>
      <c r="F874" s="38"/>
      <c r="G874" s="26"/>
      <c r="H874" s="37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37"/>
      <c r="B875" s="37"/>
      <c r="C875" s="37"/>
      <c r="D875" s="37"/>
      <c r="E875" s="38"/>
      <c r="F875" s="38"/>
      <c r="G875" s="26"/>
      <c r="H875" s="37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37"/>
      <c r="B876" s="37"/>
      <c r="C876" s="37"/>
      <c r="D876" s="37"/>
      <c r="E876" s="38"/>
      <c r="F876" s="38"/>
      <c r="G876" s="26"/>
      <c r="H876" s="37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37"/>
      <c r="B877" s="37"/>
      <c r="C877" s="37"/>
      <c r="D877" s="37"/>
      <c r="E877" s="38"/>
      <c r="F877" s="38"/>
      <c r="G877" s="26"/>
      <c r="H877" s="37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37"/>
      <c r="B878" s="37"/>
      <c r="C878" s="37"/>
      <c r="D878" s="37"/>
      <c r="E878" s="38"/>
      <c r="F878" s="38"/>
      <c r="G878" s="26"/>
      <c r="H878" s="37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37"/>
      <c r="B879" s="37"/>
      <c r="C879" s="37"/>
      <c r="D879" s="37"/>
      <c r="E879" s="38"/>
      <c r="F879" s="38"/>
      <c r="G879" s="26"/>
      <c r="H879" s="37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37"/>
      <c r="B880" s="37"/>
      <c r="C880" s="37"/>
      <c r="D880" s="37"/>
      <c r="E880" s="38"/>
      <c r="F880" s="38"/>
      <c r="G880" s="26"/>
      <c r="H880" s="37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37"/>
      <c r="B881" s="37"/>
      <c r="C881" s="37"/>
      <c r="D881" s="37"/>
      <c r="E881" s="38"/>
      <c r="F881" s="38"/>
      <c r="G881" s="26"/>
      <c r="H881" s="37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37"/>
      <c r="B882" s="37"/>
      <c r="C882" s="37"/>
      <c r="D882" s="37"/>
      <c r="E882" s="38"/>
      <c r="F882" s="38"/>
      <c r="G882" s="26"/>
      <c r="H882" s="37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37"/>
      <c r="B883" s="37"/>
      <c r="C883" s="37"/>
      <c r="D883" s="37"/>
      <c r="E883" s="38"/>
      <c r="F883" s="38"/>
      <c r="G883" s="26"/>
      <c r="H883" s="37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37"/>
      <c r="B884" s="37"/>
      <c r="C884" s="37"/>
      <c r="D884" s="37"/>
      <c r="E884" s="38"/>
      <c r="F884" s="38"/>
      <c r="G884" s="26"/>
      <c r="H884" s="37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37"/>
      <c r="B885" s="37"/>
      <c r="C885" s="37"/>
      <c r="D885" s="37"/>
      <c r="E885" s="38"/>
      <c r="F885" s="38"/>
      <c r="G885" s="26"/>
      <c r="H885" s="37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37"/>
      <c r="B886" s="37"/>
      <c r="C886" s="37"/>
      <c r="D886" s="37"/>
      <c r="E886" s="38"/>
      <c r="F886" s="38"/>
      <c r="G886" s="26"/>
      <c r="H886" s="37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37"/>
      <c r="B887" s="37"/>
      <c r="C887" s="37"/>
      <c r="D887" s="37"/>
      <c r="E887" s="38"/>
      <c r="F887" s="38"/>
      <c r="G887" s="26"/>
      <c r="H887" s="37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37"/>
      <c r="B888" s="37"/>
      <c r="C888" s="37"/>
      <c r="D888" s="37"/>
      <c r="E888" s="38"/>
      <c r="F888" s="38"/>
      <c r="G888" s="26"/>
      <c r="H888" s="37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37"/>
      <c r="B889" s="37"/>
      <c r="C889" s="37"/>
      <c r="D889" s="37"/>
      <c r="E889" s="38"/>
      <c r="F889" s="38"/>
      <c r="G889" s="26"/>
      <c r="H889" s="37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37"/>
      <c r="B890" s="37"/>
      <c r="C890" s="37"/>
      <c r="D890" s="37"/>
      <c r="E890" s="38"/>
      <c r="F890" s="38"/>
      <c r="G890" s="26"/>
      <c r="H890" s="37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37"/>
      <c r="B891" s="37"/>
      <c r="C891" s="37"/>
      <c r="D891" s="37"/>
      <c r="E891" s="38"/>
      <c r="F891" s="38"/>
      <c r="G891" s="26"/>
      <c r="H891" s="37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37"/>
      <c r="B892" s="37"/>
      <c r="C892" s="37"/>
      <c r="D892" s="37"/>
      <c r="E892" s="38"/>
      <c r="F892" s="38"/>
      <c r="G892" s="26"/>
      <c r="H892" s="37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37"/>
      <c r="B893" s="37"/>
      <c r="C893" s="37"/>
      <c r="D893" s="37"/>
      <c r="E893" s="38"/>
      <c r="F893" s="38"/>
      <c r="G893" s="26"/>
      <c r="H893" s="37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37"/>
      <c r="B894" s="37"/>
      <c r="C894" s="37"/>
      <c r="D894" s="37"/>
      <c r="E894" s="38"/>
      <c r="F894" s="38"/>
      <c r="G894" s="26"/>
      <c r="H894" s="37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37"/>
      <c r="B895" s="37"/>
      <c r="C895" s="37"/>
      <c r="D895" s="37"/>
      <c r="E895" s="38"/>
      <c r="F895" s="38"/>
      <c r="G895" s="26"/>
      <c r="H895" s="37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37"/>
      <c r="B896" s="37"/>
      <c r="C896" s="37"/>
      <c r="D896" s="37"/>
      <c r="E896" s="38"/>
      <c r="F896" s="38"/>
      <c r="G896" s="26"/>
      <c r="H896" s="37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37"/>
      <c r="B897" s="37"/>
      <c r="C897" s="37"/>
      <c r="D897" s="37"/>
      <c r="E897" s="38"/>
      <c r="F897" s="38"/>
      <c r="G897" s="26"/>
      <c r="H897" s="37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37"/>
      <c r="B898" s="37"/>
      <c r="C898" s="37"/>
      <c r="D898" s="37"/>
      <c r="E898" s="38"/>
      <c r="F898" s="38"/>
      <c r="G898" s="26"/>
      <c r="H898" s="37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37"/>
      <c r="B899" s="37"/>
      <c r="C899" s="37"/>
      <c r="D899" s="37"/>
      <c r="E899" s="38"/>
      <c r="F899" s="38"/>
      <c r="G899" s="26"/>
      <c r="H899" s="37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37"/>
      <c r="B900" s="37"/>
      <c r="C900" s="37"/>
      <c r="D900" s="37"/>
      <c r="E900" s="38"/>
      <c r="F900" s="38"/>
      <c r="G900" s="26"/>
      <c r="H900" s="37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37"/>
      <c r="B901" s="37"/>
      <c r="C901" s="37"/>
      <c r="D901" s="37"/>
      <c r="E901" s="38"/>
      <c r="F901" s="38"/>
      <c r="G901" s="26"/>
      <c r="H901" s="37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37"/>
      <c r="B902" s="37"/>
      <c r="C902" s="37"/>
      <c r="D902" s="37"/>
      <c r="E902" s="38"/>
      <c r="F902" s="38"/>
      <c r="G902" s="26"/>
      <c r="H902" s="37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37"/>
      <c r="B903" s="37"/>
      <c r="C903" s="37"/>
      <c r="D903" s="37"/>
      <c r="E903" s="38"/>
      <c r="F903" s="38"/>
      <c r="G903" s="26"/>
      <c r="H903" s="37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37"/>
      <c r="B904" s="37"/>
      <c r="C904" s="37"/>
      <c r="D904" s="37"/>
      <c r="E904" s="38"/>
      <c r="F904" s="38"/>
      <c r="G904" s="26"/>
      <c r="H904" s="37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37"/>
      <c r="B905" s="37"/>
      <c r="C905" s="37"/>
      <c r="D905" s="37"/>
      <c r="E905" s="38"/>
      <c r="F905" s="38"/>
      <c r="G905" s="26"/>
      <c r="H905" s="37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37"/>
      <c r="B906" s="37"/>
      <c r="C906" s="37"/>
      <c r="D906" s="37"/>
      <c r="E906" s="38"/>
      <c r="F906" s="38"/>
      <c r="G906" s="26"/>
      <c r="H906" s="37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37"/>
      <c r="B907" s="37"/>
      <c r="C907" s="37"/>
      <c r="D907" s="37"/>
      <c r="E907" s="38"/>
      <c r="F907" s="38"/>
      <c r="G907" s="26"/>
      <c r="H907" s="37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37"/>
      <c r="B908" s="37"/>
      <c r="C908" s="37"/>
      <c r="D908" s="37"/>
      <c r="E908" s="38"/>
      <c r="F908" s="38"/>
      <c r="G908" s="26"/>
      <c r="H908" s="37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37"/>
      <c r="B909" s="37"/>
      <c r="C909" s="37"/>
      <c r="D909" s="37"/>
      <c r="E909" s="38"/>
      <c r="F909" s="38"/>
      <c r="G909" s="26"/>
      <c r="H909" s="37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37"/>
      <c r="B910" s="37"/>
      <c r="C910" s="37"/>
      <c r="D910" s="37"/>
      <c r="E910" s="38"/>
      <c r="F910" s="38"/>
      <c r="G910" s="26"/>
      <c r="H910" s="37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37"/>
      <c r="B911" s="37"/>
      <c r="C911" s="37"/>
      <c r="D911" s="37"/>
      <c r="E911" s="38"/>
      <c r="F911" s="38"/>
      <c r="G911" s="26"/>
      <c r="H911" s="37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37"/>
      <c r="B912" s="37"/>
      <c r="C912" s="37"/>
      <c r="D912" s="37"/>
      <c r="E912" s="38"/>
      <c r="F912" s="38"/>
      <c r="G912" s="26"/>
      <c r="H912" s="37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37"/>
      <c r="B913" s="37"/>
      <c r="C913" s="37"/>
      <c r="D913" s="37"/>
      <c r="E913" s="38"/>
      <c r="F913" s="38"/>
      <c r="G913" s="26"/>
      <c r="H913" s="37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37"/>
      <c r="B914" s="37"/>
      <c r="C914" s="37"/>
      <c r="D914" s="37"/>
      <c r="E914" s="38"/>
      <c r="F914" s="38"/>
      <c r="G914" s="26"/>
      <c r="H914" s="37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37"/>
      <c r="B915" s="37"/>
      <c r="C915" s="37"/>
      <c r="D915" s="37"/>
      <c r="E915" s="38"/>
      <c r="F915" s="38"/>
      <c r="G915" s="26"/>
      <c r="H915" s="37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37"/>
      <c r="B916" s="37"/>
      <c r="C916" s="37"/>
      <c r="D916" s="37"/>
      <c r="E916" s="38"/>
      <c r="F916" s="38"/>
      <c r="G916" s="26"/>
      <c r="H916" s="37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37"/>
      <c r="B917" s="37"/>
      <c r="C917" s="37"/>
      <c r="D917" s="37"/>
      <c r="E917" s="38"/>
      <c r="F917" s="38"/>
      <c r="G917" s="26"/>
      <c r="H917" s="37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37"/>
      <c r="B918" s="37"/>
      <c r="C918" s="37"/>
      <c r="D918" s="37"/>
      <c r="E918" s="38"/>
      <c r="F918" s="38"/>
      <c r="G918" s="26"/>
      <c r="H918" s="37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37"/>
      <c r="B919" s="37"/>
      <c r="C919" s="37"/>
      <c r="D919" s="37"/>
      <c r="E919" s="38"/>
      <c r="F919" s="38"/>
      <c r="G919" s="26"/>
      <c r="H919" s="37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37"/>
      <c r="B920" s="37"/>
      <c r="C920" s="37"/>
      <c r="D920" s="37"/>
      <c r="E920" s="38"/>
      <c r="F920" s="38"/>
      <c r="G920" s="26"/>
      <c r="H920" s="37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37"/>
      <c r="B921" s="37"/>
      <c r="C921" s="37"/>
      <c r="D921" s="37"/>
      <c r="E921" s="38"/>
      <c r="F921" s="38"/>
      <c r="G921" s="26"/>
      <c r="H921" s="37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37"/>
      <c r="B922" s="37"/>
      <c r="C922" s="37"/>
      <c r="D922" s="37"/>
      <c r="E922" s="38"/>
      <c r="F922" s="38"/>
      <c r="G922" s="26"/>
      <c r="H922" s="37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37"/>
      <c r="B923" s="37"/>
      <c r="C923" s="37"/>
      <c r="D923" s="37"/>
      <c r="E923" s="38"/>
      <c r="F923" s="38"/>
      <c r="G923" s="26"/>
      <c r="H923" s="37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37"/>
      <c r="B924" s="37"/>
      <c r="C924" s="37"/>
      <c r="D924" s="37"/>
      <c r="E924" s="38"/>
      <c r="F924" s="38"/>
      <c r="G924" s="26"/>
      <c r="H924" s="37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37"/>
      <c r="B925" s="37"/>
      <c r="C925" s="37"/>
      <c r="D925" s="37"/>
      <c r="E925" s="38"/>
      <c r="F925" s="38"/>
      <c r="G925" s="26"/>
      <c r="H925" s="37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37"/>
      <c r="B926" s="37"/>
      <c r="C926" s="37"/>
      <c r="D926" s="37"/>
      <c r="E926" s="38"/>
      <c r="F926" s="38"/>
      <c r="G926" s="26"/>
      <c r="H926" s="37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37"/>
      <c r="B927" s="37"/>
      <c r="C927" s="37"/>
      <c r="D927" s="37"/>
      <c r="E927" s="38"/>
      <c r="F927" s="38"/>
      <c r="G927" s="26"/>
      <c r="H927" s="37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37"/>
      <c r="B928" s="37"/>
      <c r="C928" s="37"/>
      <c r="D928" s="37"/>
      <c r="E928" s="38"/>
      <c r="F928" s="38"/>
      <c r="G928" s="26"/>
      <c r="H928" s="37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37"/>
      <c r="B929" s="37"/>
      <c r="C929" s="37"/>
      <c r="D929" s="37"/>
      <c r="E929" s="38"/>
      <c r="F929" s="38"/>
      <c r="G929" s="26"/>
      <c r="H929" s="37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37"/>
      <c r="B930" s="37"/>
      <c r="C930" s="37"/>
      <c r="D930" s="37"/>
      <c r="E930" s="38"/>
      <c r="F930" s="38"/>
      <c r="G930" s="26"/>
      <c r="H930" s="37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37"/>
      <c r="B931" s="37"/>
      <c r="C931" s="37"/>
      <c r="D931" s="37"/>
      <c r="E931" s="38"/>
      <c r="F931" s="38"/>
      <c r="G931" s="26"/>
      <c r="H931" s="37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37"/>
      <c r="B932" s="37"/>
      <c r="C932" s="37"/>
      <c r="D932" s="37"/>
      <c r="E932" s="38"/>
      <c r="F932" s="38"/>
      <c r="G932" s="26"/>
      <c r="H932" s="37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37"/>
      <c r="B933" s="37"/>
      <c r="C933" s="37"/>
      <c r="D933" s="37"/>
      <c r="E933" s="38"/>
      <c r="F933" s="38"/>
      <c r="G933" s="26"/>
      <c r="H933" s="37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37"/>
      <c r="B934" s="37"/>
      <c r="C934" s="37"/>
      <c r="D934" s="37"/>
      <c r="E934" s="38"/>
      <c r="F934" s="38"/>
      <c r="G934" s="26"/>
      <c r="H934" s="37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37"/>
      <c r="B935" s="37"/>
      <c r="C935" s="37"/>
      <c r="D935" s="37"/>
      <c r="E935" s="38"/>
      <c r="F935" s="38"/>
      <c r="G935" s="26"/>
      <c r="H935" s="37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37"/>
      <c r="B936" s="37"/>
      <c r="C936" s="37"/>
      <c r="D936" s="37"/>
      <c r="E936" s="38"/>
      <c r="F936" s="38"/>
      <c r="G936" s="26"/>
      <c r="H936" s="37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37"/>
      <c r="B937" s="37"/>
      <c r="C937" s="37"/>
      <c r="D937" s="37"/>
      <c r="E937" s="38"/>
      <c r="F937" s="38"/>
      <c r="G937" s="26"/>
      <c r="H937" s="37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37"/>
      <c r="B938" s="37"/>
      <c r="C938" s="37"/>
      <c r="D938" s="37"/>
      <c r="E938" s="38"/>
      <c r="F938" s="38"/>
      <c r="G938" s="26"/>
      <c r="H938" s="37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37"/>
      <c r="B939" s="37"/>
      <c r="C939" s="37"/>
      <c r="D939" s="37"/>
      <c r="E939" s="38"/>
      <c r="F939" s="38"/>
      <c r="G939" s="26"/>
      <c r="H939" s="37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37"/>
      <c r="B940" s="37"/>
      <c r="C940" s="37"/>
      <c r="D940" s="37"/>
      <c r="E940" s="38"/>
      <c r="F940" s="38"/>
      <c r="G940" s="26"/>
      <c r="H940" s="37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37"/>
      <c r="B941" s="37"/>
      <c r="C941" s="37"/>
      <c r="D941" s="37"/>
      <c r="E941" s="38"/>
      <c r="F941" s="38"/>
      <c r="G941" s="26"/>
      <c r="H941" s="37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37"/>
      <c r="B942" s="37"/>
      <c r="C942" s="37"/>
      <c r="D942" s="37"/>
      <c r="E942" s="38"/>
      <c r="F942" s="38"/>
      <c r="G942" s="26"/>
      <c r="H942" s="37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37"/>
      <c r="B943" s="37"/>
      <c r="C943" s="37"/>
      <c r="D943" s="37"/>
      <c r="E943" s="38"/>
      <c r="F943" s="38"/>
      <c r="G943" s="26"/>
      <c r="H943" s="37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37"/>
      <c r="B944" s="37"/>
      <c r="C944" s="37"/>
      <c r="D944" s="37"/>
      <c r="E944" s="38"/>
      <c r="F944" s="38"/>
      <c r="G944" s="26"/>
      <c r="H944" s="37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37"/>
      <c r="B945" s="37"/>
      <c r="C945" s="37"/>
      <c r="D945" s="37"/>
      <c r="E945" s="38"/>
      <c r="F945" s="38"/>
      <c r="G945" s="26"/>
      <c r="H945" s="37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37"/>
      <c r="B946" s="37"/>
      <c r="C946" s="37"/>
      <c r="D946" s="37"/>
      <c r="E946" s="38"/>
      <c r="F946" s="38"/>
      <c r="G946" s="26"/>
      <c r="H946" s="37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37"/>
      <c r="B947" s="37"/>
      <c r="C947" s="37"/>
      <c r="D947" s="37"/>
      <c r="E947" s="38"/>
      <c r="F947" s="38"/>
      <c r="G947" s="26"/>
      <c r="H947" s="37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37"/>
      <c r="B948" s="37"/>
      <c r="C948" s="37"/>
      <c r="D948" s="37"/>
      <c r="E948" s="38"/>
      <c r="F948" s="38"/>
      <c r="G948" s="26"/>
      <c r="H948" s="37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37"/>
      <c r="B949" s="37"/>
      <c r="C949" s="37"/>
      <c r="D949" s="37"/>
      <c r="E949" s="38"/>
      <c r="F949" s="38"/>
      <c r="G949" s="26"/>
      <c r="H949" s="37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37"/>
      <c r="B950" s="37"/>
      <c r="C950" s="37"/>
      <c r="D950" s="37"/>
      <c r="E950" s="38"/>
      <c r="F950" s="38"/>
      <c r="G950" s="26"/>
      <c r="H950" s="37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37"/>
      <c r="B951" s="37"/>
      <c r="C951" s="37"/>
      <c r="D951" s="37"/>
      <c r="E951" s="38"/>
      <c r="F951" s="38"/>
      <c r="G951" s="26"/>
      <c r="H951" s="37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37"/>
      <c r="B952" s="37"/>
      <c r="C952" s="37"/>
      <c r="D952" s="37"/>
      <c r="E952" s="38"/>
      <c r="F952" s="38"/>
      <c r="G952" s="26"/>
      <c r="H952" s="37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37"/>
      <c r="B953" s="37"/>
      <c r="C953" s="37"/>
      <c r="D953" s="37"/>
      <c r="E953" s="38"/>
      <c r="F953" s="38"/>
      <c r="G953" s="26"/>
      <c r="H953" s="37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37"/>
      <c r="B954" s="37"/>
      <c r="C954" s="37"/>
      <c r="D954" s="37"/>
      <c r="E954" s="38"/>
      <c r="F954" s="38"/>
      <c r="G954" s="26"/>
      <c r="H954" s="37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37"/>
      <c r="B955" s="37"/>
      <c r="C955" s="37"/>
      <c r="D955" s="37"/>
      <c r="E955" s="38"/>
      <c r="F955" s="38"/>
      <c r="G955" s="26"/>
      <c r="H955" s="37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37"/>
      <c r="B956" s="37"/>
      <c r="C956" s="37"/>
      <c r="D956" s="37"/>
      <c r="E956" s="38"/>
      <c r="F956" s="38"/>
      <c r="G956" s="26"/>
      <c r="H956" s="37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37"/>
      <c r="B957" s="37"/>
      <c r="C957" s="37"/>
      <c r="D957" s="37"/>
      <c r="E957" s="38"/>
      <c r="F957" s="38"/>
      <c r="G957" s="26"/>
      <c r="H957" s="37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37"/>
      <c r="B958" s="37"/>
      <c r="C958" s="37"/>
      <c r="D958" s="37"/>
      <c r="E958" s="38"/>
      <c r="F958" s="38"/>
      <c r="G958" s="26"/>
      <c r="H958" s="37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37"/>
      <c r="B959" s="37"/>
      <c r="C959" s="37"/>
      <c r="D959" s="37"/>
      <c r="E959" s="38"/>
      <c r="F959" s="38"/>
      <c r="G959" s="26"/>
      <c r="H959" s="37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37"/>
      <c r="B960" s="37"/>
      <c r="C960" s="37"/>
      <c r="D960" s="37"/>
      <c r="E960" s="38"/>
      <c r="F960" s="38"/>
      <c r="G960" s="26"/>
      <c r="H960" s="37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37"/>
      <c r="B961" s="37"/>
      <c r="C961" s="37"/>
      <c r="D961" s="37"/>
      <c r="E961" s="38"/>
      <c r="F961" s="38"/>
      <c r="G961" s="26"/>
      <c r="H961" s="37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37"/>
      <c r="B962" s="37"/>
      <c r="C962" s="37"/>
      <c r="D962" s="37"/>
      <c r="E962" s="38"/>
      <c r="F962" s="38"/>
      <c r="G962" s="26"/>
      <c r="H962" s="37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37"/>
      <c r="B963" s="37"/>
      <c r="C963" s="37"/>
      <c r="D963" s="37"/>
      <c r="E963" s="38"/>
      <c r="F963" s="38"/>
      <c r="G963" s="26"/>
      <c r="H963" s="37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37"/>
      <c r="B964" s="37"/>
      <c r="C964" s="37"/>
      <c r="D964" s="37"/>
      <c r="E964" s="38"/>
      <c r="F964" s="38"/>
      <c r="G964" s="26"/>
      <c r="H964" s="37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37"/>
      <c r="B965" s="37"/>
      <c r="C965" s="37"/>
      <c r="D965" s="37"/>
      <c r="E965" s="38"/>
      <c r="F965" s="38"/>
      <c r="G965" s="26"/>
      <c r="H965" s="37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37"/>
      <c r="B966" s="37"/>
      <c r="C966" s="37"/>
      <c r="D966" s="37"/>
      <c r="E966" s="38"/>
      <c r="F966" s="38"/>
      <c r="G966" s="26"/>
      <c r="H966" s="37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37"/>
      <c r="B967" s="37"/>
      <c r="C967" s="37"/>
      <c r="D967" s="37"/>
      <c r="E967" s="38"/>
      <c r="F967" s="38"/>
      <c r="G967" s="26"/>
      <c r="H967" s="37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37"/>
      <c r="B968" s="37"/>
      <c r="C968" s="37"/>
      <c r="D968" s="37"/>
      <c r="E968" s="38"/>
      <c r="F968" s="38"/>
      <c r="G968" s="26"/>
      <c r="H968" s="37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37"/>
      <c r="B969" s="37"/>
      <c r="C969" s="37"/>
      <c r="D969" s="37"/>
      <c r="E969" s="38"/>
      <c r="F969" s="38"/>
      <c r="G969" s="26"/>
      <c r="H969" s="37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37"/>
      <c r="B970" s="37"/>
      <c r="C970" s="37"/>
      <c r="D970" s="37"/>
      <c r="E970" s="38"/>
      <c r="F970" s="38"/>
      <c r="G970" s="26"/>
      <c r="H970" s="37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37"/>
      <c r="B971" s="37"/>
      <c r="C971" s="37"/>
      <c r="D971" s="37"/>
      <c r="E971" s="38"/>
      <c r="F971" s="38"/>
      <c r="G971" s="26"/>
      <c r="H971" s="37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37"/>
      <c r="B972" s="37"/>
      <c r="C972" s="37"/>
      <c r="D972" s="37"/>
      <c r="E972" s="38"/>
      <c r="F972" s="38"/>
      <c r="G972" s="26"/>
      <c r="H972" s="37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37"/>
      <c r="B973" s="37"/>
      <c r="C973" s="37"/>
      <c r="D973" s="37"/>
      <c r="E973" s="38"/>
      <c r="F973" s="38"/>
      <c r="G973" s="26"/>
      <c r="H973" s="37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37"/>
      <c r="B974" s="37"/>
      <c r="C974" s="37"/>
      <c r="D974" s="37"/>
      <c r="E974" s="38"/>
      <c r="F974" s="38"/>
      <c r="G974" s="26"/>
      <c r="H974" s="37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37"/>
      <c r="B975" s="37"/>
      <c r="C975" s="37"/>
      <c r="D975" s="37"/>
      <c r="E975" s="38"/>
      <c r="F975" s="38"/>
      <c r="G975" s="26"/>
      <c r="H975" s="37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37"/>
      <c r="B976" s="37"/>
      <c r="C976" s="37"/>
      <c r="D976" s="37"/>
      <c r="E976" s="38"/>
      <c r="F976" s="38"/>
      <c r="G976" s="26"/>
      <c r="H976" s="37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37"/>
      <c r="B977" s="37"/>
      <c r="C977" s="37"/>
      <c r="D977" s="37"/>
      <c r="E977" s="38"/>
      <c r="F977" s="38"/>
      <c r="G977" s="26"/>
      <c r="H977" s="37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37"/>
      <c r="B978" s="37"/>
      <c r="C978" s="37"/>
      <c r="D978" s="37"/>
      <c r="E978" s="38"/>
      <c r="F978" s="38"/>
      <c r="G978" s="26"/>
      <c r="H978" s="37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37"/>
      <c r="B979" s="37"/>
      <c r="C979" s="37"/>
      <c r="D979" s="37"/>
      <c r="E979" s="38"/>
      <c r="F979" s="38"/>
      <c r="G979" s="26"/>
      <c r="H979" s="37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37"/>
      <c r="B980" s="37"/>
      <c r="C980" s="37"/>
      <c r="D980" s="37"/>
      <c r="E980" s="38"/>
      <c r="F980" s="38"/>
      <c r="G980" s="26"/>
      <c r="H980" s="37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37"/>
      <c r="B981" s="37"/>
      <c r="C981" s="37"/>
      <c r="D981" s="37"/>
      <c r="E981" s="38"/>
      <c r="F981" s="38"/>
      <c r="G981" s="26"/>
      <c r="H981" s="37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37"/>
      <c r="B982" s="37"/>
      <c r="C982" s="37"/>
      <c r="D982" s="37"/>
      <c r="E982" s="38"/>
      <c r="F982" s="38"/>
      <c r="G982" s="26"/>
      <c r="H982" s="37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37"/>
      <c r="B983" s="37"/>
      <c r="C983" s="37"/>
      <c r="D983" s="37"/>
      <c r="E983" s="38"/>
      <c r="F983" s="38"/>
      <c r="G983" s="26"/>
      <c r="H983" s="37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37"/>
      <c r="B984" s="37"/>
      <c r="C984" s="37"/>
      <c r="D984" s="37"/>
      <c r="E984" s="38"/>
      <c r="F984" s="38"/>
      <c r="G984" s="26"/>
      <c r="H984" s="37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37"/>
      <c r="B985" s="37"/>
      <c r="C985" s="37"/>
      <c r="D985" s="37"/>
      <c r="E985" s="38"/>
      <c r="F985" s="38"/>
      <c r="G985" s="26"/>
      <c r="H985" s="37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37"/>
      <c r="B986" s="37"/>
      <c r="C986" s="37"/>
      <c r="D986" s="37"/>
      <c r="E986" s="38"/>
      <c r="F986" s="38"/>
      <c r="G986" s="26"/>
      <c r="H986" s="37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37"/>
      <c r="B987" s="37"/>
      <c r="C987" s="37"/>
      <c r="D987" s="37"/>
      <c r="E987" s="38"/>
      <c r="F987" s="38"/>
      <c r="G987" s="26"/>
      <c r="H987" s="37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37"/>
      <c r="B988" s="37"/>
      <c r="C988" s="37"/>
      <c r="D988" s="37"/>
      <c r="E988" s="38"/>
      <c r="F988" s="38"/>
      <c r="G988" s="26"/>
      <c r="H988" s="37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37"/>
      <c r="B989" s="37"/>
      <c r="C989" s="37"/>
      <c r="D989" s="37"/>
      <c r="E989" s="38"/>
      <c r="F989" s="38"/>
      <c r="G989" s="26"/>
      <c r="H989" s="37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37"/>
      <c r="B990" s="37"/>
      <c r="C990" s="37"/>
      <c r="D990" s="37"/>
      <c r="E990" s="38"/>
      <c r="F990" s="38"/>
      <c r="G990" s="26"/>
      <c r="H990" s="37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37"/>
      <c r="B991" s="37"/>
      <c r="C991" s="37"/>
      <c r="D991" s="37"/>
      <c r="E991" s="38"/>
      <c r="F991" s="38"/>
      <c r="G991" s="26"/>
      <c r="H991" s="37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37"/>
      <c r="B992" s="37"/>
      <c r="C992" s="37"/>
      <c r="D992" s="37"/>
      <c r="E992" s="38"/>
      <c r="F992" s="38"/>
      <c r="G992" s="26"/>
      <c r="H992" s="37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37"/>
      <c r="B993" s="37"/>
      <c r="C993" s="37"/>
      <c r="D993" s="37"/>
      <c r="E993" s="38"/>
      <c r="F993" s="38"/>
      <c r="G993" s="26"/>
      <c r="H993" s="37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37"/>
      <c r="B994" s="37"/>
      <c r="C994" s="37"/>
      <c r="D994" s="37"/>
      <c r="E994" s="38"/>
      <c r="F994" s="38"/>
      <c r="G994" s="26"/>
      <c r="H994" s="37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37"/>
      <c r="B995" s="37"/>
      <c r="C995" s="37"/>
      <c r="D995" s="37"/>
      <c r="E995" s="38"/>
      <c r="F995" s="38"/>
      <c r="G995" s="26"/>
      <c r="H995" s="37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37"/>
      <c r="B996" s="37"/>
      <c r="C996" s="37"/>
      <c r="D996" s="37"/>
      <c r="E996" s="38"/>
      <c r="F996" s="38"/>
      <c r="G996" s="26"/>
      <c r="H996" s="37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37"/>
      <c r="B997" s="37"/>
      <c r="C997" s="37"/>
      <c r="D997" s="37"/>
      <c r="E997" s="38"/>
      <c r="F997" s="38"/>
      <c r="G997" s="26"/>
      <c r="H997" s="37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37"/>
      <c r="B998" s="37"/>
      <c r="C998" s="37"/>
      <c r="D998" s="37"/>
      <c r="E998" s="38"/>
      <c r="F998" s="38"/>
      <c r="G998" s="26"/>
      <c r="H998" s="37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37"/>
      <c r="B999" s="37"/>
      <c r="C999" s="37"/>
      <c r="D999" s="37"/>
      <c r="E999" s="38"/>
      <c r="F999" s="38"/>
      <c r="G999" s="26"/>
      <c r="H999" s="37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</sheetData>
  <autoFilter ref="$A$1:$J$105">
    <filterColumn colId="6">
      <filters>
        <filter val="STILL RUNNING"/>
      </filters>
    </filterColumn>
  </autoFilter>
  <mergeCells count="13">
    <mergeCell ref="H23:H25"/>
    <mergeCell ref="H26:H28"/>
    <mergeCell ref="H29:H31"/>
    <mergeCell ref="H93:H94"/>
    <mergeCell ref="H96:H97"/>
    <mergeCell ref="H100:H102"/>
    <mergeCell ref="H2:H4"/>
    <mergeCell ref="H5:H7"/>
    <mergeCell ref="H8:H10"/>
    <mergeCell ref="H11:H13"/>
    <mergeCell ref="H14:H16"/>
    <mergeCell ref="H17:H19"/>
    <mergeCell ref="H20:H22"/>
  </mergeCells>
  <dataValidations>
    <dataValidation type="list" allowBlank="1" showErrorMessage="1" sqref="A2:A999">
      <formula1>"ARROW,FLYING MACHINE,U. S. POLO,U. S. POLO KIDS,LINEN CLUB,SPYKAR"</formula1>
    </dataValidation>
    <dataValidation type="list" allowBlank="1" showErrorMessage="1" sqref="C2:C999">
      <formula1>"AW'25,SS'26,AW'26,SS'27,AW'27,SS'28,AW'28"</formula1>
    </dataValidation>
    <dataValidation type="list" allowBlank="1" showErrorMessage="1" sqref="G2">
      <formula1>"STILL RUNNING,CLOSED,NO OFFER"</formula1>
    </dataValidation>
    <dataValidation type="list" allowBlank="1" showErrorMessage="1" sqref="B2:B999">
      <formula1>"ATV,GWP,EOSS,FRESH"</formula1>
    </dataValidation>
    <dataValidation type="list" allowBlank="1" showErrorMessage="1" sqref="G3:G999">
      <formula1>"STILL RUNNING,CLOSED,NO OFFER"</formula1>
    </dataValidation>
  </dataValidations>
  <hyperlinks>
    <hyperlink r:id="rId1" ref="H2"/>
    <hyperlink r:id="rId2" ref="H5"/>
    <hyperlink r:id="rId3" ref="H8"/>
    <hyperlink r:id="rId4" ref="H11"/>
    <hyperlink r:id="rId5" ref="H14"/>
    <hyperlink r:id="rId6" ref="H17"/>
    <hyperlink r:id="rId7" ref="H20"/>
    <hyperlink r:id="rId8" ref="H23"/>
    <hyperlink r:id="rId9" ref="H26"/>
    <hyperlink r:id="rId10" ref="H29"/>
    <hyperlink r:id="rId11" ref="H32"/>
    <hyperlink r:id="rId12" ref="H33"/>
    <hyperlink r:id="rId13" ref="H34"/>
    <hyperlink r:id="rId14" ref="H35"/>
    <hyperlink r:id="rId15" ref="H36"/>
    <hyperlink r:id="rId16" ref="H37"/>
    <hyperlink r:id="rId17" ref="H38"/>
    <hyperlink r:id="rId18" ref="H39"/>
    <hyperlink r:id="rId19" ref="H40"/>
    <hyperlink r:id="rId20" ref="H41"/>
    <hyperlink r:id="rId21" ref="H42"/>
    <hyperlink r:id="rId22" ref="H43"/>
    <hyperlink r:id="rId23" ref="H44"/>
    <hyperlink r:id="rId24" ref="H45"/>
    <hyperlink r:id="rId25" ref="H46"/>
    <hyperlink r:id="rId26" ref="H47"/>
    <hyperlink r:id="rId27" ref="H48"/>
    <hyperlink r:id="rId28" ref="H49"/>
    <hyperlink r:id="rId29" ref="H50"/>
    <hyperlink r:id="rId30" ref="H51"/>
    <hyperlink r:id="rId31" ref="H52"/>
    <hyperlink r:id="rId32" ref="H53"/>
    <hyperlink r:id="rId33" ref="H54"/>
    <hyperlink r:id="rId34" ref="H55"/>
    <hyperlink r:id="rId35" ref="H56"/>
    <hyperlink r:id="rId36" ref="H57"/>
    <hyperlink r:id="rId37" ref="H58"/>
    <hyperlink r:id="rId38" ref="H59"/>
    <hyperlink r:id="rId39" ref="H60"/>
    <hyperlink r:id="rId40" ref="H61"/>
    <hyperlink r:id="rId41" ref="H62"/>
    <hyperlink r:id="rId42" ref="H63"/>
    <hyperlink r:id="rId43" ref="H64"/>
    <hyperlink r:id="rId44" ref="H65"/>
    <hyperlink r:id="rId45" ref="H66"/>
    <hyperlink r:id="rId46" ref="H67"/>
    <hyperlink r:id="rId47" ref="H68"/>
    <hyperlink r:id="rId48" ref="H69"/>
    <hyperlink r:id="rId49" ref="H70"/>
    <hyperlink r:id="rId50" ref="H71"/>
    <hyperlink r:id="rId51" ref="H72"/>
    <hyperlink r:id="rId52" ref="H73"/>
    <hyperlink r:id="rId53" ref="H74"/>
    <hyperlink r:id="rId54" ref="H75"/>
    <hyperlink r:id="rId55" ref="H76"/>
    <hyperlink r:id="rId56" ref="H78"/>
    <hyperlink r:id="rId57" ref="H79"/>
    <hyperlink r:id="rId58" ref="H80"/>
    <hyperlink r:id="rId59" ref="H81"/>
    <hyperlink r:id="rId60" ref="H82"/>
    <hyperlink r:id="rId61" ref="H83"/>
    <hyperlink r:id="rId62" ref="H84"/>
    <hyperlink r:id="rId63" ref="H85"/>
    <hyperlink r:id="rId64" ref="H90"/>
    <hyperlink r:id="rId65" ref="H91"/>
    <hyperlink r:id="rId66" ref="H92"/>
    <hyperlink r:id="rId67" ref="H93"/>
    <hyperlink r:id="rId68" ref="H96"/>
    <hyperlink r:id="rId69" ref="H98"/>
    <hyperlink r:id="rId70" ref="H99"/>
    <hyperlink r:id="rId71" ref="H100"/>
    <hyperlink r:id="rId72" ref="H103"/>
    <hyperlink r:id="rId73" ref="H104"/>
    <hyperlink r:id="rId74" ref="H105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7.5"/>
    <col customWidth="1" min="2" max="2" width="12.63"/>
    <col customWidth="1" min="3" max="3" width="20.38"/>
    <col customWidth="1" min="4" max="4" width="15.63"/>
    <col customWidth="1" min="5" max="5" width="11.13"/>
    <col customWidth="1" min="6" max="6" width="22.13"/>
    <col customWidth="1" min="7" max="7" width="16.13"/>
    <col customWidth="1" min="8" max="8" width="18.63"/>
    <col customWidth="1" min="9" max="9" width="27.5"/>
    <col customWidth="1" min="10" max="10" width="27.75"/>
    <col customWidth="1" min="11" max="11" width="39.13"/>
    <col customWidth="1" min="12" max="12" width="17.88"/>
    <col customWidth="1" min="13" max="13" width="14.25"/>
    <col customWidth="1" hidden="1" min="14" max="14" width="10.13"/>
  </cols>
  <sheetData>
    <row r="1">
      <c r="A1" s="39" t="s">
        <v>336</v>
      </c>
      <c r="B1" s="40" t="s">
        <v>337</v>
      </c>
      <c r="C1" s="39" t="s">
        <v>7</v>
      </c>
      <c r="D1" s="39" t="s">
        <v>338</v>
      </c>
      <c r="E1" s="39" t="s">
        <v>339</v>
      </c>
      <c r="F1" s="39" t="s">
        <v>340</v>
      </c>
      <c r="G1" s="39" t="s">
        <v>341</v>
      </c>
      <c r="H1" s="39" t="s">
        <v>342</v>
      </c>
      <c r="I1" s="39" t="s">
        <v>343</v>
      </c>
      <c r="J1" s="39" t="s">
        <v>344</v>
      </c>
      <c r="K1" s="39" t="s">
        <v>345</v>
      </c>
      <c r="L1" s="41" t="s">
        <v>346</v>
      </c>
      <c r="M1" s="39" t="s">
        <v>347</v>
      </c>
      <c r="N1" s="40"/>
      <c r="O1" s="42"/>
      <c r="P1" s="42"/>
      <c r="Q1" s="42"/>
      <c r="R1" s="42"/>
      <c r="S1" s="42"/>
      <c r="T1" s="43"/>
    </row>
    <row r="2">
      <c r="A2" s="44" t="s">
        <v>348</v>
      </c>
      <c r="B2" s="44" t="s">
        <v>349</v>
      </c>
      <c r="C2" s="44" t="s">
        <v>349</v>
      </c>
      <c r="D2" s="44" t="s">
        <v>349</v>
      </c>
      <c r="E2" s="44" t="s">
        <v>349</v>
      </c>
      <c r="F2" s="44" t="s">
        <v>349</v>
      </c>
      <c r="G2" s="44" t="s">
        <v>349</v>
      </c>
      <c r="H2" s="44" t="s">
        <v>349</v>
      </c>
      <c r="I2" s="44" t="s">
        <v>349</v>
      </c>
      <c r="J2" s="44" t="s">
        <v>349</v>
      </c>
      <c r="K2" s="44" t="s">
        <v>349</v>
      </c>
      <c r="L2" s="45" t="s">
        <v>349</v>
      </c>
      <c r="M2" s="44" t="s">
        <v>349</v>
      </c>
      <c r="N2" s="46"/>
      <c r="O2" s="47"/>
      <c r="P2" s="47"/>
      <c r="Q2" s="47"/>
      <c r="R2" s="47"/>
      <c r="S2" s="47"/>
      <c r="T2" s="47"/>
    </row>
    <row r="3">
      <c r="A3" s="44" t="s">
        <v>350</v>
      </c>
      <c r="B3" s="44" t="s">
        <v>349</v>
      </c>
      <c r="C3" s="44" t="s">
        <v>349</v>
      </c>
      <c r="D3" s="44" t="s">
        <v>349</v>
      </c>
      <c r="E3" s="44" t="s">
        <v>349</v>
      </c>
      <c r="F3" s="44" t="s">
        <v>349</v>
      </c>
      <c r="G3" s="44" t="s">
        <v>349</v>
      </c>
      <c r="H3" s="44" t="s">
        <v>349</v>
      </c>
      <c r="I3" s="44" t="s">
        <v>349</v>
      </c>
      <c r="J3" s="44" t="s">
        <v>349</v>
      </c>
      <c r="K3" s="44" t="s">
        <v>349</v>
      </c>
      <c r="L3" s="45" t="s">
        <v>349</v>
      </c>
      <c r="M3" s="44" t="s">
        <v>349</v>
      </c>
      <c r="N3" s="46"/>
      <c r="O3" s="47"/>
      <c r="P3" s="47"/>
      <c r="Q3" s="47"/>
      <c r="R3" s="47"/>
      <c r="S3" s="47"/>
      <c r="T3" s="47"/>
    </row>
    <row r="4">
      <c r="A4" s="44" t="s">
        <v>351</v>
      </c>
      <c r="B4" s="44" t="s">
        <v>349</v>
      </c>
      <c r="C4" s="44" t="s">
        <v>349</v>
      </c>
      <c r="D4" s="44" t="s">
        <v>349</v>
      </c>
      <c r="E4" s="44" t="s">
        <v>349</v>
      </c>
      <c r="F4" s="44" t="s">
        <v>349</v>
      </c>
      <c r="G4" s="44" t="s">
        <v>349</v>
      </c>
      <c r="H4" s="44" t="s">
        <v>349</v>
      </c>
      <c r="I4" s="44" t="s">
        <v>349</v>
      </c>
      <c r="J4" s="44" t="s">
        <v>349</v>
      </c>
      <c r="K4" s="44" t="s">
        <v>349</v>
      </c>
      <c r="L4" s="45" t="s">
        <v>349</v>
      </c>
      <c r="M4" s="44" t="s">
        <v>349</v>
      </c>
      <c r="N4" s="46"/>
      <c r="O4" s="47"/>
      <c r="P4" s="47"/>
      <c r="Q4" s="47"/>
      <c r="R4" s="47"/>
      <c r="S4" s="47"/>
      <c r="T4" s="47"/>
    </row>
    <row r="5">
      <c r="A5" s="44" t="s">
        <v>352</v>
      </c>
      <c r="B5" s="44" t="s">
        <v>349</v>
      </c>
      <c r="C5" s="44" t="s">
        <v>349</v>
      </c>
      <c r="D5" s="44" t="s">
        <v>349</v>
      </c>
      <c r="E5" s="44" t="s">
        <v>349</v>
      </c>
      <c r="F5" s="44" t="s">
        <v>349</v>
      </c>
      <c r="G5" s="44" t="s">
        <v>349</v>
      </c>
      <c r="H5" s="44" t="s">
        <v>349</v>
      </c>
      <c r="I5" s="44" t="s">
        <v>349</v>
      </c>
      <c r="J5" s="44" t="s">
        <v>349</v>
      </c>
      <c r="K5" s="44" t="s">
        <v>349</v>
      </c>
      <c r="L5" s="45" t="s">
        <v>349</v>
      </c>
      <c r="M5" s="44" t="s">
        <v>349</v>
      </c>
      <c r="N5" s="46"/>
      <c r="O5" s="47"/>
      <c r="P5" s="47"/>
      <c r="Q5" s="48"/>
      <c r="R5" s="47"/>
      <c r="S5" s="47"/>
      <c r="T5" s="47"/>
    </row>
    <row r="6">
      <c r="A6" s="44" t="s">
        <v>353</v>
      </c>
      <c r="B6" s="44" t="s">
        <v>349</v>
      </c>
      <c r="C6" s="44" t="s">
        <v>349</v>
      </c>
      <c r="D6" s="44" t="s">
        <v>349</v>
      </c>
      <c r="E6" s="44" t="s">
        <v>349</v>
      </c>
      <c r="F6" s="44" t="s">
        <v>349</v>
      </c>
      <c r="G6" s="44" t="s">
        <v>349</v>
      </c>
      <c r="H6" s="44" t="s">
        <v>349</v>
      </c>
      <c r="I6" s="44" t="s">
        <v>349</v>
      </c>
      <c r="J6" s="44" t="s">
        <v>349</v>
      </c>
      <c r="K6" s="44" t="s">
        <v>349</v>
      </c>
      <c r="L6" s="45" t="s">
        <v>349</v>
      </c>
      <c r="M6" s="44" t="s">
        <v>349</v>
      </c>
      <c r="N6" s="46"/>
      <c r="O6" s="47"/>
      <c r="P6" s="47"/>
      <c r="Q6" s="47"/>
      <c r="R6" s="47"/>
      <c r="S6" s="47"/>
      <c r="T6" s="47"/>
    </row>
    <row r="7">
      <c r="A7" s="44" t="s">
        <v>354</v>
      </c>
      <c r="B7" s="44" t="s">
        <v>349</v>
      </c>
      <c r="C7" s="44" t="s">
        <v>349</v>
      </c>
      <c r="D7" s="44" t="s">
        <v>349</v>
      </c>
      <c r="E7" s="44" t="s">
        <v>349</v>
      </c>
      <c r="F7" s="44" t="s">
        <v>349</v>
      </c>
      <c r="G7" s="44" t="s">
        <v>349</v>
      </c>
      <c r="H7" s="44" t="s">
        <v>349</v>
      </c>
      <c r="I7" s="44" t="s">
        <v>349</v>
      </c>
      <c r="J7" s="44" t="s">
        <v>349</v>
      </c>
      <c r="K7" s="44" t="s">
        <v>349</v>
      </c>
      <c r="L7" s="45" t="s">
        <v>349</v>
      </c>
      <c r="M7" s="44" t="s">
        <v>349</v>
      </c>
      <c r="N7" s="46"/>
      <c r="O7" s="47"/>
      <c r="P7" s="47"/>
      <c r="Q7" s="47"/>
      <c r="R7" s="47"/>
      <c r="S7" s="47"/>
      <c r="T7" s="47"/>
    </row>
    <row r="8">
      <c r="A8" s="44" t="s">
        <v>355</v>
      </c>
      <c r="B8" s="44" t="s">
        <v>349</v>
      </c>
      <c r="C8" s="44" t="s">
        <v>349</v>
      </c>
      <c r="D8" s="44" t="s">
        <v>349</v>
      </c>
      <c r="E8" s="44" t="s">
        <v>349</v>
      </c>
      <c r="F8" s="44" t="s">
        <v>349</v>
      </c>
      <c r="G8" s="44" t="s">
        <v>349</v>
      </c>
      <c r="H8" s="44" t="s">
        <v>349</v>
      </c>
      <c r="I8" s="44" t="s">
        <v>349</v>
      </c>
      <c r="J8" s="44" t="s">
        <v>349</v>
      </c>
      <c r="K8" s="44" t="s">
        <v>349</v>
      </c>
      <c r="L8" s="45" t="s">
        <v>349</v>
      </c>
      <c r="M8" s="44" t="s">
        <v>349</v>
      </c>
      <c r="N8" s="46"/>
      <c r="O8" s="47"/>
      <c r="P8" s="47"/>
      <c r="Q8" s="47"/>
      <c r="R8" s="47"/>
      <c r="S8" s="47"/>
      <c r="T8" s="47"/>
    </row>
    <row r="9">
      <c r="A9" s="44" t="s">
        <v>356</v>
      </c>
      <c r="B9" s="44" t="s">
        <v>349</v>
      </c>
      <c r="C9" s="44" t="s">
        <v>357</v>
      </c>
      <c r="D9" s="44" t="s">
        <v>349</v>
      </c>
      <c r="E9" s="44" t="s">
        <v>349</v>
      </c>
      <c r="F9" s="44" t="s">
        <v>349</v>
      </c>
      <c r="G9" s="44" t="s">
        <v>349</v>
      </c>
      <c r="H9" s="44" t="s">
        <v>349</v>
      </c>
      <c r="I9" s="44" t="s">
        <v>349</v>
      </c>
      <c r="J9" s="44" t="s">
        <v>349</v>
      </c>
      <c r="K9" s="44" t="s">
        <v>349</v>
      </c>
      <c r="L9" s="45" t="s">
        <v>349</v>
      </c>
      <c r="M9" s="44" t="s">
        <v>349</v>
      </c>
      <c r="N9" s="46"/>
      <c r="O9" s="47"/>
      <c r="P9" s="47"/>
      <c r="Q9" s="47"/>
      <c r="R9" s="47"/>
      <c r="S9" s="47"/>
      <c r="T9" s="47"/>
    </row>
    <row r="10">
      <c r="A10" s="44" t="s">
        <v>358</v>
      </c>
      <c r="B10" s="44" t="s">
        <v>359</v>
      </c>
      <c r="C10" s="44" t="s">
        <v>349</v>
      </c>
      <c r="D10" s="44" t="s">
        <v>360</v>
      </c>
      <c r="E10" s="44" t="s">
        <v>349</v>
      </c>
      <c r="F10" s="44" t="s">
        <v>361</v>
      </c>
      <c r="G10" s="44" t="s">
        <v>362</v>
      </c>
      <c r="H10" s="44" t="s">
        <v>363</v>
      </c>
      <c r="I10" s="44" t="s">
        <v>349</v>
      </c>
      <c r="J10" s="44" t="s">
        <v>349</v>
      </c>
      <c r="K10" s="44" t="s">
        <v>358</v>
      </c>
      <c r="L10" s="45" t="s">
        <v>364</v>
      </c>
      <c r="M10" s="44" t="s">
        <v>365</v>
      </c>
      <c r="N10" s="46"/>
      <c r="O10" s="47"/>
      <c r="P10" s="47"/>
      <c r="Q10" s="47"/>
      <c r="R10" s="47"/>
      <c r="S10" s="47"/>
      <c r="T10" s="47"/>
    </row>
    <row r="11">
      <c r="A11" s="44" t="s">
        <v>366</v>
      </c>
      <c r="B11" s="44" t="s">
        <v>349</v>
      </c>
      <c r="C11" s="44" t="s">
        <v>349</v>
      </c>
      <c r="D11" s="44" t="s">
        <v>349</v>
      </c>
      <c r="E11" s="44" t="s">
        <v>349</v>
      </c>
      <c r="F11" s="44" t="s">
        <v>349</v>
      </c>
      <c r="G11" s="44" t="s">
        <v>349</v>
      </c>
      <c r="H11" s="44" t="s">
        <v>349</v>
      </c>
      <c r="I11" s="44" t="s">
        <v>349</v>
      </c>
      <c r="J11" s="44" t="s">
        <v>349</v>
      </c>
      <c r="K11" s="44" t="s">
        <v>349</v>
      </c>
      <c r="L11" s="45" t="s">
        <v>349</v>
      </c>
      <c r="M11" s="44" t="s">
        <v>349</v>
      </c>
      <c r="N11" s="46"/>
      <c r="O11" s="47"/>
      <c r="P11" s="47"/>
      <c r="Q11" s="47"/>
      <c r="R11" s="47"/>
      <c r="S11" s="47"/>
      <c r="T11" s="47"/>
    </row>
    <row r="12">
      <c r="A12" s="44" t="s">
        <v>367</v>
      </c>
      <c r="B12" s="44" t="s">
        <v>349</v>
      </c>
      <c r="C12" s="44" t="s">
        <v>349</v>
      </c>
      <c r="D12" s="44" t="s">
        <v>349</v>
      </c>
      <c r="E12" s="44" t="s">
        <v>349</v>
      </c>
      <c r="F12" s="44" t="s">
        <v>349</v>
      </c>
      <c r="G12" s="44" t="s">
        <v>349</v>
      </c>
      <c r="H12" s="44" t="s">
        <v>349</v>
      </c>
      <c r="I12" s="44" t="s">
        <v>349</v>
      </c>
      <c r="J12" s="44" t="s">
        <v>349</v>
      </c>
      <c r="K12" s="44" t="s">
        <v>349</v>
      </c>
      <c r="L12" s="45" t="s">
        <v>349</v>
      </c>
      <c r="M12" s="44" t="s">
        <v>349</v>
      </c>
      <c r="N12" s="46"/>
      <c r="O12" s="47"/>
      <c r="P12" s="47"/>
      <c r="Q12" s="47"/>
      <c r="R12" s="47"/>
      <c r="S12" s="47"/>
      <c r="T12" s="47"/>
    </row>
    <row r="13">
      <c r="A13" s="44" t="s">
        <v>368</v>
      </c>
      <c r="B13" s="44" t="s">
        <v>349</v>
      </c>
      <c r="C13" s="44" t="s">
        <v>349</v>
      </c>
      <c r="D13" s="44" t="s">
        <v>349</v>
      </c>
      <c r="E13" s="44" t="s">
        <v>349</v>
      </c>
      <c r="F13" s="44" t="s">
        <v>349</v>
      </c>
      <c r="G13" s="44" t="s">
        <v>349</v>
      </c>
      <c r="H13" s="44" t="s">
        <v>349</v>
      </c>
      <c r="I13" s="44" t="s">
        <v>349</v>
      </c>
      <c r="J13" s="44" t="s">
        <v>349</v>
      </c>
      <c r="K13" s="44" t="s">
        <v>349</v>
      </c>
      <c r="L13" s="45" t="s">
        <v>349</v>
      </c>
      <c r="M13" s="44" t="s">
        <v>349</v>
      </c>
      <c r="N13" s="46"/>
      <c r="O13" s="47"/>
      <c r="P13" s="47"/>
      <c r="Q13" s="47"/>
      <c r="R13" s="47"/>
      <c r="S13" s="47"/>
      <c r="T13" s="47"/>
    </row>
    <row r="14">
      <c r="A14" s="44" t="s">
        <v>369</v>
      </c>
      <c r="B14" s="44" t="s">
        <v>349</v>
      </c>
      <c r="C14" s="44" t="s">
        <v>349</v>
      </c>
      <c r="D14" s="44" t="s">
        <v>349</v>
      </c>
      <c r="E14" s="44" t="s">
        <v>349</v>
      </c>
      <c r="F14" s="44" t="s">
        <v>349</v>
      </c>
      <c r="G14" s="44" t="s">
        <v>349</v>
      </c>
      <c r="H14" s="44" t="s">
        <v>349</v>
      </c>
      <c r="I14" s="44" t="s">
        <v>349</v>
      </c>
      <c r="J14" s="44" t="s">
        <v>349</v>
      </c>
      <c r="K14" s="44" t="s">
        <v>349</v>
      </c>
      <c r="L14" s="45" t="s">
        <v>349</v>
      </c>
      <c r="M14" s="44" t="s">
        <v>349</v>
      </c>
      <c r="N14" s="46"/>
      <c r="O14" s="47"/>
      <c r="P14" s="47"/>
      <c r="Q14" s="47"/>
      <c r="R14" s="47"/>
      <c r="S14" s="47"/>
      <c r="T14" s="47"/>
    </row>
    <row r="15">
      <c r="A15" s="44" t="s">
        <v>370</v>
      </c>
      <c r="B15" s="44" t="s">
        <v>359</v>
      </c>
      <c r="C15" s="44" t="s">
        <v>349</v>
      </c>
      <c r="D15" s="44">
        <v>30.0</v>
      </c>
      <c r="E15" s="49">
        <v>0.09</v>
      </c>
      <c r="F15" s="44" t="s">
        <v>361</v>
      </c>
      <c r="G15" s="44" t="s">
        <v>362</v>
      </c>
      <c r="H15" s="44" t="s">
        <v>363</v>
      </c>
      <c r="I15" s="44" t="s">
        <v>349</v>
      </c>
      <c r="J15" s="44" t="s">
        <v>349</v>
      </c>
      <c r="K15" s="44" t="s">
        <v>370</v>
      </c>
      <c r="L15" s="45" t="s">
        <v>371</v>
      </c>
      <c r="M15" s="44" t="s">
        <v>372</v>
      </c>
      <c r="N15" s="46"/>
      <c r="O15" s="47"/>
      <c r="P15" s="47"/>
      <c r="Q15" s="47"/>
      <c r="R15" s="47"/>
      <c r="S15" s="47"/>
      <c r="T15" s="47"/>
    </row>
    <row r="16">
      <c r="A16" s="44" t="s">
        <v>373</v>
      </c>
      <c r="B16" s="44" t="s">
        <v>374</v>
      </c>
      <c r="C16" s="44" t="s">
        <v>349</v>
      </c>
      <c r="D16" s="44">
        <v>60.0</v>
      </c>
      <c r="E16" s="49">
        <v>0.03</v>
      </c>
      <c r="F16" s="44" t="s">
        <v>375</v>
      </c>
      <c r="G16" s="44" t="s">
        <v>376</v>
      </c>
      <c r="H16" s="44">
        <v>9.83145167E9</v>
      </c>
      <c r="I16" s="44" t="s">
        <v>349</v>
      </c>
      <c r="J16" s="44" t="s">
        <v>349</v>
      </c>
      <c r="K16" s="44" t="s">
        <v>373</v>
      </c>
      <c r="L16" s="45" t="s">
        <v>377</v>
      </c>
      <c r="M16" s="44" t="s">
        <v>378</v>
      </c>
      <c r="N16" s="46"/>
      <c r="O16" s="47"/>
      <c r="P16" s="47"/>
      <c r="Q16" s="47"/>
      <c r="R16" s="47"/>
      <c r="S16" s="47"/>
      <c r="T16" s="47"/>
    </row>
    <row r="17">
      <c r="A17" s="44" t="s">
        <v>379</v>
      </c>
      <c r="B17" s="44" t="s">
        <v>349</v>
      </c>
      <c r="C17" s="44" t="s">
        <v>349</v>
      </c>
      <c r="D17" s="44" t="s">
        <v>349</v>
      </c>
      <c r="E17" s="44" t="s">
        <v>349</v>
      </c>
      <c r="F17" s="44" t="s">
        <v>349</v>
      </c>
      <c r="G17" s="44" t="s">
        <v>349</v>
      </c>
      <c r="H17" s="44" t="s">
        <v>349</v>
      </c>
      <c r="I17" s="44" t="s">
        <v>349</v>
      </c>
      <c r="J17" s="44" t="s">
        <v>349</v>
      </c>
      <c r="K17" s="44" t="s">
        <v>379</v>
      </c>
      <c r="L17" s="45" t="s">
        <v>380</v>
      </c>
      <c r="M17" s="44" t="s">
        <v>381</v>
      </c>
      <c r="N17" s="46"/>
      <c r="O17" s="47"/>
      <c r="P17" s="47"/>
      <c r="Q17" s="47"/>
      <c r="R17" s="47"/>
      <c r="S17" s="47"/>
      <c r="T17" s="47"/>
    </row>
    <row r="18">
      <c r="A18" s="44" t="s">
        <v>382</v>
      </c>
      <c r="B18" s="44" t="s">
        <v>383</v>
      </c>
      <c r="C18" s="44" t="s">
        <v>384</v>
      </c>
      <c r="D18" s="44" t="s">
        <v>349</v>
      </c>
      <c r="E18" s="44" t="s">
        <v>349</v>
      </c>
      <c r="F18" s="44" t="s">
        <v>349</v>
      </c>
      <c r="G18" s="44" t="s">
        <v>349</v>
      </c>
      <c r="H18" s="44" t="s">
        <v>349</v>
      </c>
      <c r="I18" s="44" t="s">
        <v>349</v>
      </c>
      <c r="J18" s="44" t="s">
        <v>349</v>
      </c>
      <c r="K18" s="44" t="s">
        <v>349</v>
      </c>
      <c r="L18" s="45" t="s">
        <v>349</v>
      </c>
      <c r="M18" s="44" t="s">
        <v>349</v>
      </c>
      <c r="N18" s="46"/>
      <c r="O18" s="47"/>
      <c r="P18" s="47"/>
      <c r="Q18" s="47"/>
      <c r="R18" s="47"/>
      <c r="S18" s="47"/>
      <c r="T18" s="47"/>
    </row>
    <row r="19">
      <c r="A19" s="44" t="s">
        <v>385</v>
      </c>
      <c r="B19" s="44" t="s">
        <v>359</v>
      </c>
      <c r="C19" s="44" t="s">
        <v>349</v>
      </c>
      <c r="D19" s="44" t="s">
        <v>360</v>
      </c>
      <c r="E19" s="44" t="s">
        <v>349</v>
      </c>
      <c r="F19" s="44" t="s">
        <v>361</v>
      </c>
      <c r="G19" s="44" t="s">
        <v>362</v>
      </c>
      <c r="H19" s="44" t="s">
        <v>363</v>
      </c>
      <c r="I19" s="44" t="s">
        <v>349</v>
      </c>
      <c r="J19" s="44" t="s">
        <v>349</v>
      </c>
      <c r="K19" s="44" t="s">
        <v>385</v>
      </c>
      <c r="L19" s="45" t="s">
        <v>386</v>
      </c>
      <c r="M19" s="44" t="s">
        <v>387</v>
      </c>
      <c r="N19" s="46"/>
      <c r="O19" s="47"/>
      <c r="P19" s="47"/>
      <c r="Q19" s="47"/>
      <c r="R19" s="47"/>
      <c r="S19" s="47"/>
      <c r="T19" s="47"/>
    </row>
    <row r="20">
      <c r="A20" s="44" t="s">
        <v>388</v>
      </c>
      <c r="B20" s="44" t="s">
        <v>349</v>
      </c>
      <c r="C20" s="44" t="s">
        <v>349</v>
      </c>
      <c r="D20" s="44" t="s">
        <v>349</v>
      </c>
      <c r="E20" s="44" t="s">
        <v>349</v>
      </c>
      <c r="F20" s="44" t="s">
        <v>349</v>
      </c>
      <c r="G20" s="44" t="s">
        <v>349</v>
      </c>
      <c r="H20" s="44" t="s">
        <v>349</v>
      </c>
      <c r="I20" s="44" t="s">
        <v>349</v>
      </c>
      <c r="J20" s="44" t="s">
        <v>349</v>
      </c>
      <c r="K20" s="44" t="s">
        <v>349</v>
      </c>
      <c r="L20" s="45" t="s">
        <v>349</v>
      </c>
      <c r="M20" s="44" t="s">
        <v>349</v>
      </c>
      <c r="N20" s="46"/>
      <c r="O20" s="47"/>
      <c r="P20" s="47"/>
      <c r="Q20" s="47"/>
      <c r="R20" s="47"/>
      <c r="S20" s="47"/>
      <c r="T20" s="47"/>
    </row>
    <row r="21">
      <c r="A21" s="44" t="s">
        <v>389</v>
      </c>
      <c r="B21" s="44" t="s">
        <v>349</v>
      </c>
      <c r="C21" s="44" t="s">
        <v>349</v>
      </c>
      <c r="D21" s="44" t="s">
        <v>349</v>
      </c>
      <c r="E21" s="44" t="s">
        <v>349</v>
      </c>
      <c r="F21" s="44" t="s">
        <v>349</v>
      </c>
      <c r="G21" s="44" t="s">
        <v>349</v>
      </c>
      <c r="H21" s="44" t="s">
        <v>349</v>
      </c>
      <c r="I21" s="44" t="s">
        <v>349</v>
      </c>
      <c r="J21" s="44" t="s">
        <v>349</v>
      </c>
      <c r="K21" s="44" t="s">
        <v>349</v>
      </c>
      <c r="L21" s="45" t="s">
        <v>349</v>
      </c>
      <c r="M21" s="44" t="s">
        <v>349</v>
      </c>
      <c r="N21" s="46"/>
      <c r="O21" s="47"/>
      <c r="P21" s="47"/>
      <c r="Q21" s="47"/>
      <c r="R21" s="47"/>
      <c r="S21" s="47"/>
      <c r="T21" s="47"/>
    </row>
    <row r="22">
      <c r="A22" s="44" t="s">
        <v>390</v>
      </c>
      <c r="B22" s="44" t="s">
        <v>349</v>
      </c>
      <c r="C22" s="44" t="s">
        <v>349</v>
      </c>
      <c r="D22" s="44" t="s">
        <v>349</v>
      </c>
      <c r="E22" s="44" t="s">
        <v>349</v>
      </c>
      <c r="F22" s="44" t="s">
        <v>349</v>
      </c>
      <c r="G22" s="44" t="s">
        <v>349</v>
      </c>
      <c r="H22" s="44" t="s">
        <v>349</v>
      </c>
      <c r="I22" s="44" t="s">
        <v>349</v>
      </c>
      <c r="J22" s="44" t="s">
        <v>349</v>
      </c>
      <c r="K22" s="44" t="s">
        <v>349</v>
      </c>
      <c r="L22" s="45" t="s">
        <v>349</v>
      </c>
      <c r="M22" s="44" t="s">
        <v>349</v>
      </c>
      <c r="N22" s="46"/>
      <c r="O22" s="47"/>
      <c r="P22" s="47"/>
      <c r="Q22" s="47"/>
      <c r="R22" s="47"/>
      <c r="S22" s="47"/>
      <c r="T22" s="47"/>
    </row>
    <row r="23">
      <c r="A23" s="44" t="s">
        <v>391</v>
      </c>
      <c r="B23" s="44" t="s">
        <v>349</v>
      </c>
      <c r="C23" s="44" t="s">
        <v>392</v>
      </c>
      <c r="D23" s="44" t="s">
        <v>349</v>
      </c>
      <c r="E23" s="44" t="s">
        <v>349</v>
      </c>
      <c r="F23" s="44" t="s">
        <v>349</v>
      </c>
      <c r="G23" s="44" t="s">
        <v>349</v>
      </c>
      <c r="H23" s="44" t="s">
        <v>349</v>
      </c>
      <c r="I23" s="44" t="s">
        <v>349</v>
      </c>
      <c r="J23" s="44" t="s">
        <v>349</v>
      </c>
      <c r="K23" s="44" t="s">
        <v>349</v>
      </c>
      <c r="L23" s="45" t="s">
        <v>349</v>
      </c>
      <c r="M23" s="44" t="s">
        <v>349</v>
      </c>
      <c r="N23" s="46"/>
      <c r="O23" s="47"/>
      <c r="P23" s="47"/>
      <c r="Q23" s="47"/>
      <c r="R23" s="47"/>
      <c r="S23" s="47"/>
      <c r="T23" s="47"/>
    </row>
    <row r="24">
      <c r="A24" s="44" t="s">
        <v>393</v>
      </c>
      <c r="B24" s="44" t="s">
        <v>394</v>
      </c>
      <c r="C24" s="44" t="s">
        <v>395</v>
      </c>
      <c r="D24" s="44">
        <v>15.0</v>
      </c>
      <c r="E24" s="44">
        <v>5.0</v>
      </c>
      <c r="F24" s="44" t="s">
        <v>396</v>
      </c>
      <c r="G24" s="44" t="s">
        <v>349</v>
      </c>
      <c r="H24" s="44" t="s">
        <v>349</v>
      </c>
      <c r="I24" s="44" t="s">
        <v>349</v>
      </c>
      <c r="J24" s="44" t="s">
        <v>349</v>
      </c>
      <c r="K24" s="44" t="s">
        <v>393</v>
      </c>
      <c r="L24" s="45" t="s">
        <v>397</v>
      </c>
      <c r="M24" s="44" t="s">
        <v>398</v>
      </c>
      <c r="N24" s="46"/>
      <c r="O24" s="47"/>
      <c r="P24" s="47"/>
      <c r="Q24" s="47"/>
      <c r="R24" s="47"/>
      <c r="S24" s="47"/>
      <c r="T24" s="47"/>
    </row>
    <row r="25">
      <c r="A25" s="44" t="s">
        <v>399</v>
      </c>
      <c r="B25" s="44" t="s">
        <v>349</v>
      </c>
      <c r="C25" s="44" t="s">
        <v>349</v>
      </c>
      <c r="D25" s="44" t="s">
        <v>349</v>
      </c>
      <c r="E25" s="44" t="s">
        <v>349</v>
      </c>
      <c r="F25" s="44" t="s">
        <v>349</v>
      </c>
      <c r="G25" s="44" t="s">
        <v>349</v>
      </c>
      <c r="H25" s="44" t="s">
        <v>349</v>
      </c>
      <c r="I25" s="44" t="s">
        <v>349</v>
      </c>
      <c r="J25" s="44" t="s">
        <v>349</v>
      </c>
      <c r="K25" s="44" t="s">
        <v>349</v>
      </c>
      <c r="L25" s="45" t="s">
        <v>349</v>
      </c>
      <c r="M25" s="44" t="s">
        <v>349</v>
      </c>
      <c r="N25" s="46"/>
      <c r="O25" s="47"/>
      <c r="P25" s="47"/>
      <c r="Q25" s="47"/>
      <c r="R25" s="47"/>
      <c r="S25" s="47"/>
      <c r="T25" s="47"/>
    </row>
    <row r="26">
      <c r="A26" s="44" t="s">
        <v>400</v>
      </c>
      <c r="B26" s="44" t="s">
        <v>401</v>
      </c>
      <c r="C26" s="44" t="s">
        <v>349</v>
      </c>
      <c r="D26" s="44" t="s">
        <v>349</v>
      </c>
      <c r="E26" s="44" t="s">
        <v>349</v>
      </c>
      <c r="F26" s="44" t="s">
        <v>349</v>
      </c>
      <c r="G26" s="44" t="s">
        <v>349</v>
      </c>
      <c r="H26" s="44" t="s">
        <v>349</v>
      </c>
      <c r="I26" s="44" t="s">
        <v>349</v>
      </c>
      <c r="J26" s="44" t="s">
        <v>349</v>
      </c>
      <c r="K26" s="44" t="s">
        <v>349</v>
      </c>
      <c r="L26" s="45" t="s">
        <v>349</v>
      </c>
      <c r="M26" s="44" t="s">
        <v>349</v>
      </c>
      <c r="N26" s="46"/>
      <c r="O26" s="47"/>
      <c r="P26" s="47"/>
      <c r="Q26" s="47"/>
      <c r="R26" s="47"/>
      <c r="S26" s="47"/>
      <c r="T26" s="47"/>
    </row>
    <row r="27">
      <c r="A27" s="44" t="s">
        <v>402</v>
      </c>
      <c r="B27" s="44" t="s">
        <v>383</v>
      </c>
      <c r="C27" s="44" t="s">
        <v>403</v>
      </c>
      <c r="D27" s="44" t="s">
        <v>349</v>
      </c>
      <c r="E27" s="44" t="s">
        <v>349</v>
      </c>
      <c r="F27" s="44" t="s">
        <v>349</v>
      </c>
      <c r="G27" s="44" t="s">
        <v>349</v>
      </c>
      <c r="H27" s="44" t="s">
        <v>349</v>
      </c>
      <c r="I27" s="44" t="s">
        <v>349</v>
      </c>
      <c r="J27" s="44" t="s">
        <v>349</v>
      </c>
      <c r="K27" s="44" t="s">
        <v>402</v>
      </c>
      <c r="L27" s="45" t="s">
        <v>404</v>
      </c>
      <c r="M27" s="44" t="s">
        <v>405</v>
      </c>
      <c r="N27" s="46"/>
      <c r="O27" s="47"/>
      <c r="P27" s="47"/>
      <c r="Q27" s="47"/>
      <c r="R27" s="47"/>
      <c r="S27" s="47"/>
      <c r="T27" s="47"/>
    </row>
    <row r="28">
      <c r="A28" s="44" t="s">
        <v>406</v>
      </c>
      <c r="B28" s="44" t="s">
        <v>383</v>
      </c>
      <c r="C28" s="44" t="s">
        <v>407</v>
      </c>
      <c r="D28" s="44" t="s">
        <v>360</v>
      </c>
      <c r="E28" s="44" t="s">
        <v>349</v>
      </c>
      <c r="F28" s="44" t="s">
        <v>349</v>
      </c>
      <c r="G28" s="44" t="s">
        <v>349</v>
      </c>
      <c r="H28" s="44" t="s">
        <v>349</v>
      </c>
      <c r="I28" s="44" t="s">
        <v>349</v>
      </c>
      <c r="J28" s="44" t="s">
        <v>349</v>
      </c>
      <c r="K28" s="44" t="s">
        <v>406</v>
      </c>
      <c r="L28" s="45" t="s">
        <v>408</v>
      </c>
      <c r="M28" s="44" t="s">
        <v>409</v>
      </c>
      <c r="N28" s="46"/>
      <c r="O28" s="47"/>
      <c r="P28" s="47"/>
      <c r="Q28" s="47"/>
      <c r="R28" s="47"/>
      <c r="S28" s="47"/>
      <c r="T28" s="47"/>
    </row>
    <row r="29">
      <c r="A29" s="44" t="s">
        <v>410</v>
      </c>
      <c r="B29" s="44" t="s">
        <v>411</v>
      </c>
      <c r="C29" s="44" t="s">
        <v>412</v>
      </c>
      <c r="D29" s="44" t="s">
        <v>349</v>
      </c>
      <c r="E29" s="44" t="s">
        <v>349</v>
      </c>
      <c r="F29" s="44" t="s">
        <v>349</v>
      </c>
      <c r="G29" s="44" t="s">
        <v>349</v>
      </c>
      <c r="H29" s="44" t="s">
        <v>349</v>
      </c>
      <c r="I29" s="44" t="s">
        <v>349</v>
      </c>
      <c r="J29" s="44" t="s">
        <v>349</v>
      </c>
      <c r="K29" s="44" t="s">
        <v>349</v>
      </c>
      <c r="L29" s="45" t="s">
        <v>349</v>
      </c>
      <c r="M29" s="44" t="s">
        <v>349</v>
      </c>
      <c r="N29" s="46"/>
      <c r="O29" s="47"/>
      <c r="P29" s="47"/>
      <c r="Q29" s="47"/>
      <c r="R29" s="47"/>
      <c r="S29" s="47"/>
      <c r="T29" s="47"/>
    </row>
    <row r="30">
      <c r="A30" s="44" t="s">
        <v>413</v>
      </c>
      <c r="B30" s="44" t="s">
        <v>383</v>
      </c>
      <c r="C30" s="44" t="s">
        <v>414</v>
      </c>
      <c r="D30" s="44" t="s">
        <v>360</v>
      </c>
      <c r="E30" s="44" t="s">
        <v>349</v>
      </c>
      <c r="F30" s="44" t="s">
        <v>349</v>
      </c>
      <c r="G30" s="44" t="s">
        <v>349</v>
      </c>
      <c r="H30" s="44" t="s">
        <v>349</v>
      </c>
      <c r="I30" s="44" t="s">
        <v>349</v>
      </c>
      <c r="J30" s="44" t="s">
        <v>349</v>
      </c>
      <c r="K30" s="44" t="s">
        <v>413</v>
      </c>
      <c r="L30" s="45" t="s">
        <v>415</v>
      </c>
      <c r="M30" s="44" t="s">
        <v>409</v>
      </c>
      <c r="N30" s="46"/>
      <c r="O30" s="47"/>
      <c r="P30" s="47"/>
      <c r="Q30" s="47"/>
      <c r="R30" s="47"/>
      <c r="S30" s="47"/>
      <c r="T30" s="47"/>
    </row>
    <row r="31">
      <c r="A31" s="44" t="s">
        <v>416</v>
      </c>
      <c r="B31" s="44" t="s">
        <v>374</v>
      </c>
      <c r="C31" s="44" t="s">
        <v>417</v>
      </c>
      <c r="D31" s="44">
        <v>60.0</v>
      </c>
      <c r="E31" s="49">
        <v>0.03</v>
      </c>
      <c r="F31" s="44" t="s">
        <v>375</v>
      </c>
      <c r="G31" s="44" t="s">
        <v>376</v>
      </c>
      <c r="H31" s="44">
        <v>9.83145167E9</v>
      </c>
      <c r="I31" s="44" t="s">
        <v>349</v>
      </c>
      <c r="J31" s="44" t="s">
        <v>349</v>
      </c>
      <c r="K31" s="44" t="s">
        <v>416</v>
      </c>
      <c r="L31" s="45" t="s">
        <v>418</v>
      </c>
      <c r="M31" s="44" t="s">
        <v>419</v>
      </c>
      <c r="N31" s="46"/>
      <c r="O31" s="47"/>
      <c r="P31" s="47"/>
      <c r="Q31" s="47"/>
      <c r="R31" s="47"/>
      <c r="S31" s="47"/>
      <c r="T31" s="47"/>
    </row>
    <row r="32">
      <c r="A32" s="44" t="s">
        <v>420</v>
      </c>
      <c r="B32" s="44" t="s">
        <v>383</v>
      </c>
      <c r="C32" s="44" t="s">
        <v>421</v>
      </c>
      <c r="D32" s="44" t="s">
        <v>349</v>
      </c>
      <c r="E32" s="44" t="s">
        <v>349</v>
      </c>
      <c r="F32" s="44" t="s">
        <v>349</v>
      </c>
      <c r="G32" s="44" t="s">
        <v>349</v>
      </c>
      <c r="H32" s="44" t="s">
        <v>349</v>
      </c>
      <c r="I32" s="44" t="s">
        <v>349</v>
      </c>
      <c r="J32" s="44" t="s">
        <v>349</v>
      </c>
      <c r="K32" s="44" t="s">
        <v>349</v>
      </c>
      <c r="L32" s="45" t="s">
        <v>349</v>
      </c>
      <c r="M32" s="44" t="s">
        <v>349</v>
      </c>
      <c r="N32" s="46"/>
      <c r="O32" s="47"/>
      <c r="P32" s="47"/>
      <c r="Q32" s="47"/>
      <c r="R32" s="47"/>
      <c r="S32" s="47"/>
      <c r="T32" s="47"/>
    </row>
    <row r="33">
      <c r="A33" s="44" t="s">
        <v>422</v>
      </c>
      <c r="B33" s="44" t="s">
        <v>349</v>
      </c>
      <c r="C33" s="44"/>
      <c r="D33" s="44" t="s">
        <v>349</v>
      </c>
      <c r="E33" s="44" t="s">
        <v>349</v>
      </c>
      <c r="F33" s="44" t="s">
        <v>349</v>
      </c>
      <c r="G33" s="44" t="s">
        <v>349</v>
      </c>
      <c r="H33" s="44" t="s">
        <v>349</v>
      </c>
      <c r="I33" s="44" t="s">
        <v>349</v>
      </c>
      <c r="J33" s="44" t="s">
        <v>349</v>
      </c>
      <c r="K33" s="44" t="s">
        <v>349</v>
      </c>
      <c r="L33" s="45" t="s">
        <v>349</v>
      </c>
      <c r="M33" s="44" t="s">
        <v>349</v>
      </c>
      <c r="N33" s="46"/>
      <c r="O33" s="47"/>
      <c r="P33" s="47"/>
      <c r="Q33" s="47"/>
      <c r="R33" s="47"/>
      <c r="S33" s="47"/>
      <c r="T33" s="47"/>
    </row>
    <row r="34">
      <c r="A34" s="44" t="s">
        <v>423</v>
      </c>
      <c r="B34" s="44" t="s">
        <v>349</v>
      </c>
      <c r="C34" s="44" t="s">
        <v>349</v>
      </c>
      <c r="D34" s="44" t="s">
        <v>349</v>
      </c>
      <c r="E34" s="44" t="s">
        <v>349</v>
      </c>
      <c r="F34" s="44" t="s">
        <v>349</v>
      </c>
      <c r="G34" s="44" t="s">
        <v>349</v>
      </c>
      <c r="H34" s="44" t="s">
        <v>349</v>
      </c>
      <c r="I34" s="44" t="s">
        <v>349</v>
      </c>
      <c r="J34" s="44" t="s">
        <v>349</v>
      </c>
      <c r="K34" s="44" t="s">
        <v>349</v>
      </c>
      <c r="L34" s="45" t="s">
        <v>349</v>
      </c>
      <c r="M34" s="44" t="s">
        <v>349</v>
      </c>
      <c r="N34" s="46"/>
      <c r="O34" s="47"/>
      <c r="P34" s="47"/>
      <c r="Q34" s="47"/>
      <c r="R34" s="47"/>
      <c r="S34" s="47"/>
      <c r="T34" s="47"/>
    </row>
    <row r="35">
      <c r="A35" s="44" t="s">
        <v>424</v>
      </c>
      <c r="B35" s="44" t="s">
        <v>349</v>
      </c>
      <c r="C35" s="44" t="s">
        <v>349</v>
      </c>
      <c r="D35" s="44" t="s">
        <v>349</v>
      </c>
      <c r="E35" s="44" t="s">
        <v>349</v>
      </c>
      <c r="F35" s="44" t="s">
        <v>349</v>
      </c>
      <c r="G35" s="44" t="s">
        <v>349</v>
      </c>
      <c r="H35" s="44" t="s">
        <v>349</v>
      </c>
      <c r="I35" s="44" t="s">
        <v>349</v>
      </c>
      <c r="J35" s="44" t="s">
        <v>349</v>
      </c>
      <c r="K35" s="44" t="s">
        <v>349</v>
      </c>
      <c r="L35" s="45" t="s">
        <v>349</v>
      </c>
      <c r="M35" s="44" t="s">
        <v>349</v>
      </c>
      <c r="N35" s="46"/>
      <c r="O35" s="47"/>
      <c r="P35" s="47"/>
      <c r="Q35" s="47"/>
      <c r="R35" s="47"/>
      <c r="S35" s="47"/>
      <c r="T35" s="47"/>
    </row>
    <row r="36">
      <c r="A36" s="44" t="s">
        <v>425</v>
      </c>
      <c r="B36" s="44" t="s">
        <v>383</v>
      </c>
      <c r="C36" s="44" t="s">
        <v>426</v>
      </c>
      <c r="D36" s="44" t="s">
        <v>349</v>
      </c>
      <c r="E36" s="44" t="s">
        <v>349</v>
      </c>
      <c r="F36" s="44" t="s">
        <v>349</v>
      </c>
      <c r="G36" s="44" t="s">
        <v>349</v>
      </c>
      <c r="H36" s="44" t="s">
        <v>349</v>
      </c>
      <c r="I36" s="44" t="s">
        <v>349</v>
      </c>
      <c r="J36" s="44" t="s">
        <v>349</v>
      </c>
      <c r="K36" s="44" t="s">
        <v>349</v>
      </c>
      <c r="L36" s="45" t="s">
        <v>349</v>
      </c>
      <c r="M36" s="44" t="s">
        <v>349</v>
      </c>
      <c r="N36" s="46"/>
      <c r="O36" s="47"/>
      <c r="P36" s="47"/>
      <c r="Q36" s="47"/>
      <c r="R36" s="47"/>
      <c r="S36" s="47"/>
      <c r="T36" s="47"/>
    </row>
    <row r="37">
      <c r="A37" s="44" t="s">
        <v>427</v>
      </c>
      <c r="B37" s="44" t="s">
        <v>349</v>
      </c>
      <c r="C37" s="44" t="s">
        <v>349</v>
      </c>
      <c r="D37" s="44" t="s">
        <v>349</v>
      </c>
      <c r="E37" s="44" t="s">
        <v>349</v>
      </c>
      <c r="F37" s="44" t="s">
        <v>349</v>
      </c>
      <c r="G37" s="44" t="s">
        <v>349</v>
      </c>
      <c r="H37" s="44" t="s">
        <v>349</v>
      </c>
      <c r="I37" s="44" t="s">
        <v>349</v>
      </c>
      <c r="J37" s="44" t="s">
        <v>349</v>
      </c>
      <c r="K37" s="44" t="s">
        <v>427</v>
      </c>
      <c r="L37" s="45" t="s">
        <v>428</v>
      </c>
      <c r="M37" s="44" t="s">
        <v>429</v>
      </c>
      <c r="N37" s="46"/>
      <c r="O37" s="47"/>
      <c r="P37" s="47"/>
      <c r="Q37" s="47"/>
      <c r="R37" s="47"/>
      <c r="S37" s="47"/>
      <c r="T37" s="47"/>
    </row>
    <row r="38">
      <c r="A38" s="44" t="s">
        <v>430</v>
      </c>
      <c r="B38" s="44" t="s">
        <v>431</v>
      </c>
      <c r="C38" s="44" t="s">
        <v>349</v>
      </c>
      <c r="D38" s="44">
        <v>30.0</v>
      </c>
      <c r="E38" s="49">
        <v>0.05</v>
      </c>
      <c r="F38" s="44" t="s">
        <v>349</v>
      </c>
      <c r="G38" s="44" t="s">
        <v>432</v>
      </c>
      <c r="H38" s="44">
        <v>9.930050607E9</v>
      </c>
      <c r="I38" s="44" t="s">
        <v>349</v>
      </c>
      <c r="J38" s="44" t="s">
        <v>349</v>
      </c>
      <c r="K38" s="44" t="s">
        <v>430</v>
      </c>
      <c r="L38" s="45" t="s">
        <v>433</v>
      </c>
      <c r="M38" s="44" t="s">
        <v>434</v>
      </c>
      <c r="N38" s="46"/>
      <c r="O38" s="47"/>
      <c r="P38" s="47"/>
      <c r="Q38" s="47"/>
      <c r="R38" s="47"/>
      <c r="S38" s="47"/>
      <c r="T38" s="47"/>
    </row>
    <row r="39">
      <c r="A39" s="44" t="s">
        <v>435</v>
      </c>
      <c r="B39" s="44" t="s">
        <v>349</v>
      </c>
      <c r="C39" s="44" t="s">
        <v>349</v>
      </c>
      <c r="D39" s="44" t="s">
        <v>349</v>
      </c>
      <c r="E39" s="44" t="s">
        <v>349</v>
      </c>
      <c r="F39" s="44" t="s">
        <v>349</v>
      </c>
      <c r="G39" s="44" t="s">
        <v>349</v>
      </c>
      <c r="H39" s="44" t="s">
        <v>349</v>
      </c>
      <c r="I39" s="44" t="s">
        <v>349</v>
      </c>
      <c r="J39" s="44" t="s">
        <v>349</v>
      </c>
      <c r="K39" s="44" t="s">
        <v>349</v>
      </c>
      <c r="L39" s="45" t="s">
        <v>349</v>
      </c>
      <c r="M39" s="44" t="s">
        <v>349</v>
      </c>
      <c r="N39" s="46"/>
      <c r="O39" s="47"/>
      <c r="P39" s="47"/>
      <c r="Q39" s="47"/>
      <c r="R39" s="47"/>
      <c r="S39" s="47"/>
      <c r="T39" s="47"/>
    </row>
    <row r="40">
      <c r="A40" s="44" t="s">
        <v>436</v>
      </c>
      <c r="B40" s="44" t="s">
        <v>359</v>
      </c>
      <c r="C40" s="44" t="s">
        <v>349</v>
      </c>
      <c r="D40" s="44">
        <v>70.0</v>
      </c>
      <c r="E40" s="49">
        <v>0.1</v>
      </c>
      <c r="F40" s="44" t="s">
        <v>361</v>
      </c>
      <c r="G40" s="44" t="s">
        <v>362</v>
      </c>
      <c r="H40" s="44" t="s">
        <v>363</v>
      </c>
      <c r="I40" s="44" t="s">
        <v>349</v>
      </c>
      <c r="J40" s="44" t="s">
        <v>349</v>
      </c>
      <c r="K40" s="44" t="s">
        <v>436</v>
      </c>
      <c r="L40" s="45" t="s">
        <v>437</v>
      </c>
      <c r="M40" s="44" t="s">
        <v>438</v>
      </c>
      <c r="N40" s="46"/>
      <c r="O40" s="47"/>
      <c r="P40" s="47"/>
      <c r="Q40" s="47"/>
      <c r="R40" s="47"/>
      <c r="S40" s="47"/>
      <c r="T40" s="47"/>
    </row>
    <row r="41">
      <c r="A41" s="44" t="s">
        <v>439</v>
      </c>
      <c r="B41" s="44" t="s">
        <v>440</v>
      </c>
      <c r="C41" s="44" t="s">
        <v>441</v>
      </c>
      <c r="D41" s="44">
        <v>30.0</v>
      </c>
      <c r="E41" s="49">
        <v>0.02</v>
      </c>
      <c r="F41" s="44" t="s">
        <v>349</v>
      </c>
      <c r="G41" s="44" t="s">
        <v>349</v>
      </c>
      <c r="H41" s="44" t="s">
        <v>349</v>
      </c>
      <c r="I41" s="44" t="s">
        <v>349</v>
      </c>
      <c r="J41" s="44" t="s">
        <v>349</v>
      </c>
      <c r="K41" s="44" t="s">
        <v>439</v>
      </c>
      <c r="L41" s="45" t="s">
        <v>442</v>
      </c>
      <c r="M41" s="44" t="s">
        <v>443</v>
      </c>
      <c r="N41" s="46"/>
      <c r="O41" s="47"/>
      <c r="P41" s="47"/>
      <c r="Q41" s="47"/>
      <c r="R41" s="47"/>
      <c r="S41" s="47"/>
      <c r="T41" s="47"/>
    </row>
    <row r="42">
      <c r="A42" s="44" t="s">
        <v>444</v>
      </c>
      <c r="B42" s="44" t="s">
        <v>359</v>
      </c>
      <c r="C42" s="44" t="s">
        <v>349</v>
      </c>
      <c r="D42" s="44" t="s">
        <v>360</v>
      </c>
      <c r="E42" s="44" t="s">
        <v>349</v>
      </c>
      <c r="F42" s="44" t="s">
        <v>361</v>
      </c>
      <c r="G42" s="44" t="s">
        <v>362</v>
      </c>
      <c r="H42" s="44" t="s">
        <v>363</v>
      </c>
      <c r="I42" s="44" t="s">
        <v>349</v>
      </c>
      <c r="J42" s="44" t="s">
        <v>349</v>
      </c>
      <c r="K42" s="44" t="s">
        <v>444</v>
      </c>
      <c r="L42" s="45" t="s">
        <v>445</v>
      </c>
      <c r="M42" s="44" t="s">
        <v>446</v>
      </c>
      <c r="N42" s="46"/>
      <c r="O42" s="47"/>
      <c r="P42" s="47"/>
      <c r="Q42" s="47"/>
      <c r="R42" s="47"/>
      <c r="S42" s="47"/>
      <c r="T42" s="47"/>
    </row>
    <row r="43">
      <c r="A43" s="44" t="s">
        <v>447</v>
      </c>
      <c r="B43" s="44" t="s">
        <v>349</v>
      </c>
      <c r="C43" s="44" t="s">
        <v>349</v>
      </c>
      <c r="D43" s="44" t="s">
        <v>349</v>
      </c>
      <c r="E43" s="44" t="s">
        <v>349</v>
      </c>
      <c r="F43" s="44" t="s">
        <v>349</v>
      </c>
      <c r="G43" s="44" t="s">
        <v>349</v>
      </c>
      <c r="H43" s="44" t="s">
        <v>349</v>
      </c>
      <c r="I43" s="44" t="s">
        <v>349</v>
      </c>
      <c r="J43" s="44" t="s">
        <v>349</v>
      </c>
      <c r="K43" s="44" t="s">
        <v>349</v>
      </c>
      <c r="L43" s="45" t="s">
        <v>349</v>
      </c>
      <c r="M43" s="44" t="s">
        <v>349</v>
      </c>
      <c r="N43" s="46"/>
      <c r="O43" s="47"/>
      <c r="P43" s="47"/>
      <c r="Q43" s="47"/>
      <c r="R43" s="47"/>
      <c r="S43" s="47"/>
      <c r="T43" s="47"/>
    </row>
    <row r="44">
      <c r="A44" s="44" t="s">
        <v>448</v>
      </c>
      <c r="B44" s="44" t="s">
        <v>431</v>
      </c>
      <c r="C44" s="44" t="s">
        <v>449</v>
      </c>
      <c r="D44" s="44" t="s">
        <v>349</v>
      </c>
      <c r="E44" s="44" t="s">
        <v>349</v>
      </c>
      <c r="F44" s="44" t="s">
        <v>349</v>
      </c>
      <c r="G44" s="44" t="s">
        <v>349</v>
      </c>
      <c r="H44" s="44" t="s">
        <v>349</v>
      </c>
      <c r="I44" s="44" t="s">
        <v>349</v>
      </c>
      <c r="J44" s="44" t="s">
        <v>349</v>
      </c>
      <c r="K44" s="44" t="s">
        <v>448</v>
      </c>
      <c r="L44" s="45" t="s">
        <v>450</v>
      </c>
      <c r="M44" s="44" t="s">
        <v>451</v>
      </c>
      <c r="N44" s="46"/>
      <c r="O44" s="47"/>
      <c r="P44" s="47"/>
      <c r="Q44" s="47"/>
      <c r="R44" s="47"/>
      <c r="S44" s="47"/>
      <c r="T44" s="47"/>
    </row>
    <row r="45">
      <c r="A45" s="44" t="s">
        <v>452</v>
      </c>
      <c r="B45" s="44" t="s">
        <v>349</v>
      </c>
      <c r="C45" s="44" t="s">
        <v>349</v>
      </c>
      <c r="D45" s="44" t="s">
        <v>349</v>
      </c>
      <c r="E45" s="44" t="s">
        <v>349</v>
      </c>
      <c r="F45" s="44" t="s">
        <v>349</v>
      </c>
      <c r="G45" s="44" t="s">
        <v>349</v>
      </c>
      <c r="H45" s="44" t="s">
        <v>349</v>
      </c>
      <c r="I45" s="44" t="s">
        <v>349</v>
      </c>
      <c r="J45" s="44" t="s">
        <v>349</v>
      </c>
      <c r="K45" s="44" t="s">
        <v>349</v>
      </c>
      <c r="L45" s="45" t="s">
        <v>349</v>
      </c>
      <c r="M45" s="44" t="s">
        <v>349</v>
      </c>
      <c r="N45" s="46"/>
      <c r="O45" s="47"/>
      <c r="P45" s="47"/>
      <c r="Q45" s="47"/>
      <c r="R45" s="47"/>
      <c r="S45" s="47"/>
      <c r="T45" s="47"/>
    </row>
    <row r="46">
      <c r="A46" s="44" t="s">
        <v>453</v>
      </c>
      <c r="B46" s="44" t="s">
        <v>454</v>
      </c>
      <c r="C46" s="44" t="s">
        <v>455</v>
      </c>
      <c r="D46" s="44" t="s">
        <v>349</v>
      </c>
      <c r="E46" s="44" t="s">
        <v>349</v>
      </c>
      <c r="F46" s="44" t="s">
        <v>349</v>
      </c>
      <c r="G46" s="44" t="s">
        <v>349</v>
      </c>
      <c r="H46" s="44" t="s">
        <v>349</v>
      </c>
      <c r="I46" s="44" t="s">
        <v>349</v>
      </c>
      <c r="J46" s="44" t="s">
        <v>349</v>
      </c>
      <c r="K46" s="44" t="s">
        <v>349</v>
      </c>
      <c r="L46" s="45" t="s">
        <v>349</v>
      </c>
      <c r="M46" s="44" t="s">
        <v>349</v>
      </c>
      <c r="N46" s="46"/>
      <c r="O46" s="47"/>
      <c r="P46" s="47"/>
      <c r="Q46" s="47"/>
      <c r="R46" s="47"/>
      <c r="S46" s="47"/>
      <c r="T46" s="47"/>
    </row>
    <row r="47">
      <c r="A47" s="44" t="s">
        <v>456</v>
      </c>
      <c r="B47" s="44" t="s">
        <v>359</v>
      </c>
      <c r="C47" s="44" t="s">
        <v>349</v>
      </c>
      <c r="D47" s="44" t="s">
        <v>349</v>
      </c>
      <c r="E47" s="44" t="s">
        <v>349</v>
      </c>
      <c r="F47" s="44" t="s">
        <v>361</v>
      </c>
      <c r="G47" s="44" t="s">
        <v>362</v>
      </c>
      <c r="H47" s="44" t="s">
        <v>363</v>
      </c>
      <c r="I47" s="44" t="s">
        <v>349</v>
      </c>
      <c r="J47" s="44" t="s">
        <v>349</v>
      </c>
      <c r="K47" s="44" t="s">
        <v>456</v>
      </c>
      <c r="L47" s="45" t="s">
        <v>457</v>
      </c>
      <c r="M47" s="44" t="s">
        <v>458</v>
      </c>
      <c r="N47" s="46"/>
      <c r="O47" s="47"/>
      <c r="P47" s="47"/>
      <c r="Q47" s="47"/>
      <c r="R47" s="47"/>
      <c r="S47" s="47"/>
      <c r="T47" s="47"/>
    </row>
    <row r="48">
      <c r="A48" s="44" t="s">
        <v>459</v>
      </c>
      <c r="B48" s="44" t="s">
        <v>374</v>
      </c>
      <c r="C48" s="44" t="s">
        <v>460</v>
      </c>
      <c r="D48" s="44">
        <v>60.0</v>
      </c>
      <c r="E48" s="49">
        <v>0.03</v>
      </c>
      <c r="F48" s="44" t="s">
        <v>375</v>
      </c>
      <c r="G48" s="44" t="s">
        <v>376</v>
      </c>
      <c r="H48" s="44">
        <v>9.83145167E9</v>
      </c>
      <c r="I48" s="44" t="s">
        <v>349</v>
      </c>
      <c r="J48" s="44" t="s">
        <v>349</v>
      </c>
      <c r="K48" s="44" t="s">
        <v>459</v>
      </c>
      <c r="L48" s="45" t="s">
        <v>461</v>
      </c>
      <c r="M48" s="44" t="s">
        <v>462</v>
      </c>
      <c r="N48" s="46"/>
      <c r="O48" s="47"/>
      <c r="P48" s="47"/>
      <c r="Q48" s="47"/>
      <c r="R48" s="47"/>
      <c r="S48" s="47"/>
      <c r="T48" s="47"/>
    </row>
    <row r="49">
      <c r="A49" s="44" t="s">
        <v>463</v>
      </c>
      <c r="B49" s="44" t="s">
        <v>349</v>
      </c>
      <c r="C49" s="44" t="s">
        <v>349</v>
      </c>
      <c r="D49" s="44" t="s">
        <v>349</v>
      </c>
      <c r="E49" s="44" t="s">
        <v>349</v>
      </c>
      <c r="F49" s="44" t="s">
        <v>349</v>
      </c>
      <c r="G49" s="44" t="s">
        <v>349</v>
      </c>
      <c r="H49" s="44" t="s">
        <v>349</v>
      </c>
      <c r="I49" s="44" t="s">
        <v>349</v>
      </c>
      <c r="J49" s="44" t="s">
        <v>349</v>
      </c>
      <c r="K49" s="44" t="s">
        <v>349</v>
      </c>
      <c r="L49" s="45" t="s">
        <v>349</v>
      </c>
      <c r="M49" s="44" t="s">
        <v>349</v>
      </c>
      <c r="N49" s="46"/>
      <c r="O49" s="47"/>
      <c r="P49" s="47"/>
      <c r="Q49" s="47"/>
      <c r="R49" s="47"/>
      <c r="S49" s="47"/>
      <c r="T49" s="47"/>
    </row>
    <row r="50">
      <c r="A50" s="44" t="s">
        <v>464</v>
      </c>
      <c r="B50" s="44" t="s">
        <v>349</v>
      </c>
      <c r="C50" s="44" t="s">
        <v>349</v>
      </c>
      <c r="D50" s="44" t="s">
        <v>349</v>
      </c>
      <c r="E50" s="44" t="s">
        <v>349</v>
      </c>
      <c r="F50" s="44" t="s">
        <v>349</v>
      </c>
      <c r="G50" s="44" t="s">
        <v>349</v>
      </c>
      <c r="H50" s="44" t="s">
        <v>349</v>
      </c>
      <c r="I50" s="44" t="s">
        <v>349</v>
      </c>
      <c r="J50" s="44" t="s">
        <v>349</v>
      </c>
      <c r="K50" s="44" t="s">
        <v>349</v>
      </c>
      <c r="L50" s="45" t="s">
        <v>349</v>
      </c>
      <c r="M50" s="44" t="s">
        <v>349</v>
      </c>
      <c r="N50" s="46"/>
      <c r="O50" s="47"/>
      <c r="P50" s="47"/>
      <c r="Q50" s="47"/>
      <c r="R50" s="47"/>
      <c r="S50" s="47"/>
      <c r="T50" s="47"/>
    </row>
    <row r="51">
      <c r="A51" s="44" t="s">
        <v>465</v>
      </c>
      <c r="B51" s="44" t="s">
        <v>383</v>
      </c>
      <c r="C51" s="44" t="s">
        <v>466</v>
      </c>
      <c r="D51" s="44" t="s">
        <v>349</v>
      </c>
      <c r="E51" s="44" t="s">
        <v>349</v>
      </c>
      <c r="F51" s="44" t="s">
        <v>349</v>
      </c>
      <c r="G51" s="44" t="s">
        <v>349</v>
      </c>
      <c r="H51" s="44" t="s">
        <v>349</v>
      </c>
      <c r="I51" s="44" t="s">
        <v>349</v>
      </c>
      <c r="J51" s="44" t="s">
        <v>349</v>
      </c>
      <c r="K51" s="44" t="s">
        <v>465</v>
      </c>
      <c r="L51" s="45" t="s">
        <v>349</v>
      </c>
      <c r="M51" s="44" t="s">
        <v>349</v>
      </c>
      <c r="N51" s="46"/>
      <c r="O51" s="47"/>
      <c r="P51" s="47"/>
      <c r="Q51" s="47"/>
      <c r="R51" s="47"/>
      <c r="S51" s="47"/>
      <c r="T51" s="47"/>
    </row>
    <row r="52">
      <c r="A52" s="44" t="s">
        <v>467</v>
      </c>
      <c r="B52" s="44" t="s">
        <v>359</v>
      </c>
      <c r="C52" s="44" t="s">
        <v>349</v>
      </c>
      <c r="D52" s="44" t="s">
        <v>360</v>
      </c>
      <c r="E52" s="44" t="s">
        <v>349</v>
      </c>
      <c r="F52" s="44" t="s">
        <v>361</v>
      </c>
      <c r="G52" s="44" t="s">
        <v>362</v>
      </c>
      <c r="H52" s="44" t="s">
        <v>363</v>
      </c>
      <c r="I52" s="44" t="s">
        <v>349</v>
      </c>
      <c r="J52" s="44" t="s">
        <v>349</v>
      </c>
      <c r="K52" s="44" t="s">
        <v>467</v>
      </c>
      <c r="L52" s="45" t="s">
        <v>468</v>
      </c>
      <c r="M52" s="44" t="s">
        <v>469</v>
      </c>
      <c r="N52" s="46"/>
      <c r="O52" s="47"/>
      <c r="P52" s="47"/>
      <c r="Q52" s="47"/>
      <c r="R52" s="47"/>
      <c r="S52" s="47"/>
      <c r="T52" s="47"/>
    </row>
    <row r="53">
      <c r="A53" s="44" t="s">
        <v>470</v>
      </c>
      <c r="B53" s="44" t="s">
        <v>349</v>
      </c>
      <c r="C53" s="44" t="s">
        <v>349</v>
      </c>
      <c r="D53" s="44" t="s">
        <v>349</v>
      </c>
      <c r="E53" s="44" t="s">
        <v>349</v>
      </c>
      <c r="F53" s="44" t="s">
        <v>349</v>
      </c>
      <c r="G53" s="44" t="s">
        <v>349</v>
      </c>
      <c r="H53" s="44" t="s">
        <v>349</v>
      </c>
      <c r="I53" s="44" t="s">
        <v>349</v>
      </c>
      <c r="J53" s="44" t="s">
        <v>349</v>
      </c>
      <c r="K53" s="44" t="s">
        <v>349</v>
      </c>
      <c r="L53" s="45" t="s">
        <v>349</v>
      </c>
      <c r="M53" s="44" t="s">
        <v>349</v>
      </c>
      <c r="N53" s="46"/>
      <c r="O53" s="47"/>
      <c r="P53" s="47"/>
      <c r="Q53" s="47"/>
      <c r="R53" s="47"/>
      <c r="S53" s="47"/>
      <c r="T53" s="47"/>
    </row>
    <row r="54">
      <c r="A54" s="44" t="s">
        <v>471</v>
      </c>
      <c r="B54" s="44" t="s">
        <v>383</v>
      </c>
      <c r="C54" s="44" t="s">
        <v>472</v>
      </c>
      <c r="D54" s="44" t="s">
        <v>349</v>
      </c>
      <c r="E54" s="44" t="s">
        <v>349</v>
      </c>
      <c r="F54" s="44" t="s">
        <v>349</v>
      </c>
      <c r="G54" s="44" t="s">
        <v>349</v>
      </c>
      <c r="H54" s="44" t="s">
        <v>349</v>
      </c>
      <c r="I54" s="44" t="s">
        <v>349</v>
      </c>
      <c r="J54" s="44" t="s">
        <v>349</v>
      </c>
      <c r="K54" s="44" t="s">
        <v>471</v>
      </c>
      <c r="L54" s="45" t="s">
        <v>473</v>
      </c>
      <c r="M54" s="44" t="s">
        <v>474</v>
      </c>
      <c r="N54" s="46"/>
      <c r="O54" s="47"/>
      <c r="P54" s="47"/>
      <c r="Q54" s="47"/>
      <c r="R54" s="47"/>
      <c r="S54" s="47"/>
      <c r="T54" s="47"/>
    </row>
    <row r="55">
      <c r="A55" s="44" t="s">
        <v>475</v>
      </c>
      <c r="B55" s="44" t="s">
        <v>349</v>
      </c>
      <c r="C55" s="44" t="s">
        <v>349</v>
      </c>
      <c r="D55" s="44" t="s">
        <v>349</v>
      </c>
      <c r="E55" s="44" t="s">
        <v>349</v>
      </c>
      <c r="F55" s="44" t="s">
        <v>349</v>
      </c>
      <c r="G55" s="44" t="s">
        <v>349</v>
      </c>
      <c r="H55" s="44" t="s">
        <v>349</v>
      </c>
      <c r="I55" s="44" t="s">
        <v>349</v>
      </c>
      <c r="J55" s="44" t="s">
        <v>349</v>
      </c>
      <c r="K55" s="44" t="s">
        <v>349</v>
      </c>
      <c r="L55" s="45" t="s">
        <v>349</v>
      </c>
      <c r="M55" s="44" t="s">
        <v>349</v>
      </c>
      <c r="N55" s="46"/>
      <c r="O55" s="47"/>
      <c r="P55" s="47"/>
      <c r="Q55" s="47"/>
      <c r="R55" s="47"/>
      <c r="S55" s="47"/>
      <c r="T55" s="47"/>
    </row>
    <row r="56">
      <c r="A56" s="44" t="s">
        <v>476</v>
      </c>
      <c r="B56" s="44" t="s">
        <v>374</v>
      </c>
      <c r="C56" s="44" t="s">
        <v>349</v>
      </c>
      <c r="D56" s="44" t="s">
        <v>349</v>
      </c>
      <c r="E56" s="44" t="s">
        <v>349</v>
      </c>
      <c r="F56" s="44" t="s">
        <v>349</v>
      </c>
      <c r="G56" s="44" t="s">
        <v>349</v>
      </c>
      <c r="H56" s="44" t="s">
        <v>349</v>
      </c>
      <c r="I56" s="44" t="s">
        <v>349</v>
      </c>
      <c r="J56" s="44" t="s">
        <v>349</v>
      </c>
      <c r="K56" s="44" t="s">
        <v>349</v>
      </c>
      <c r="L56" s="45" t="s">
        <v>349</v>
      </c>
      <c r="M56" s="44" t="s">
        <v>349</v>
      </c>
      <c r="N56" s="46"/>
      <c r="O56" s="47"/>
      <c r="P56" s="47"/>
      <c r="Q56" s="47"/>
      <c r="R56" s="47"/>
      <c r="S56" s="47"/>
      <c r="T56" s="47"/>
    </row>
    <row r="57">
      <c r="A57" s="44" t="s">
        <v>477</v>
      </c>
      <c r="B57" s="44" t="s">
        <v>349</v>
      </c>
      <c r="C57" s="44" t="s">
        <v>349</v>
      </c>
      <c r="D57" s="44" t="s">
        <v>349</v>
      </c>
      <c r="E57" s="44" t="s">
        <v>349</v>
      </c>
      <c r="F57" s="44" t="s">
        <v>349</v>
      </c>
      <c r="G57" s="44" t="s">
        <v>349</v>
      </c>
      <c r="H57" s="44" t="s">
        <v>349</v>
      </c>
      <c r="I57" s="44" t="s">
        <v>349</v>
      </c>
      <c r="J57" s="44" t="s">
        <v>349</v>
      </c>
      <c r="K57" s="44" t="s">
        <v>349</v>
      </c>
      <c r="L57" s="45" t="s">
        <v>349</v>
      </c>
      <c r="M57" s="44" t="s">
        <v>349</v>
      </c>
      <c r="N57" s="46"/>
      <c r="O57" s="47"/>
      <c r="P57" s="47"/>
      <c r="Q57" s="47"/>
      <c r="R57" s="47"/>
      <c r="S57" s="47"/>
      <c r="T57" s="47"/>
    </row>
    <row r="58">
      <c r="A58" s="44" t="s">
        <v>478</v>
      </c>
      <c r="B58" s="44" t="s">
        <v>349</v>
      </c>
      <c r="C58" s="44" t="s">
        <v>349</v>
      </c>
      <c r="D58" s="44" t="s">
        <v>349</v>
      </c>
      <c r="E58" s="44" t="s">
        <v>349</v>
      </c>
      <c r="F58" s="44" t="s">
        <v>349</v>
      </c>
      <c r="G58" s="44" t="s">
        <v>349</v>
      </c>
      <c r="H58" s="44" t="s">
        <v>349</v>
      </c>
      <c r="I58" s="44" t="s">
        <v>349</v>
      </c>
      <c r="J58" s="44" t="s">
        <v>349</v>
      </c>
      <c r="K58" s="44" t="s">
        <v>349</v>
      </c>
      <c r="L58" s="45" t="s">
        <v>349</v>
      </c>
      <c r="M58" s="44" t="s">
        <v>349</v>
      </c>
      <c r="N58" s="46"/>
      <c r="O58" s="47"/>
      <c r="P58" s="47"/>
      <c r="Q58" s="47"/>
      <c r="R58" s="47"/>
      <c r="S58" s="47"/>
      <c r="T58" s="47"/>
    </row>
    <row r="59">
      <c r="A59" s="44" t="s">
        <v>479</v>
      </c>
      <c r="B59" s="44" t="s">
        <v>349</v>
      </c>
      <c r="C59" s="44" t="s">
        <v>349</v>
      </c>
      <c r="D59" s="44" t="s">
        <v>349</v>
      </c>
      <c r="E59" s="44" t="s">
        <v>349</v>
      </c>
      <c r="F59" s="44" t="s">
        <v>349</v>
      </c>
      <c r="G59" s="44" t="s">
        <v>349</v>
      </c>
      <c r="H59" s="44" t="s">
        <v>349</v>
      </c>
      <c r="I59" s="44" t="s">
        <v>349</v>
      </c>
      <c r="J59" s="44" t="s">
        <v>349</v>
      </c>
      <c r="K59" s="44" t="s">
        <v>349</v>
      </c>
      <c r="L59" s="45" t="s">
        <v>349</v>
      </c>
      <c r="M59" s="44" t="s">
        <v>349</v>
      </c>
      <c r="N59" s="46"/>
      <c r="O59" s="47"/>
      <c r="P59" s="47"/>
      <c r="Q59" s="47"/>
      <c r="R59" s="47"/>
      <c r="S59" s="47"/>
      <c r="T59" s="47"/>
    </row>
    <row r="60">
      <c r="A60" s="44" t="s">
        <v>480</v>
      </c>
      <c r="B60" s="44" t="s">
        <v>349</v>
      </c>
      <c r="C60" s="44" t="s">
        <v>349</v>
      </c>
      <c r="D60" s="44" t="s">
        <v>349</v>
      </c>
      <c r="E60" s="44" t="s">
        <v>349</v>
      </c>
      <c r="F60" s="44" t="s">
        <v>349</v>
      </c>
      <c r="G60" s="44" t="s">
        <v>349</v>
      </c>
      <c r="H60" s="44" t="s">
        <v>349</v>
      </c>
      <c r="I60" s="44" t="s">
        <v>349</v>
      </c>
      <c r="J60" s="44" t="s">
        <v>349</v>
      </c>
      <c r="K60" s="44" t="s">
        <v>480</v>
      </c>
      <c r="L60" s="45" t="s">
        <v>481</v>
      </c>
      <c r="M60" s="44" t="s">
        <v>482</v>
      </c>
      <c r="N60" s="46"/>
      <c r="O60" s="47"/>
      <c r="P60" s="47"/>
      <c r="Q60" s="47"/>
      <c r="R60" s="47"/>
      <c r="S60" s="47"/>
      <c r="T60" s="47"/>
    </row>
    <row r="61">
      <c r="A61" s="44" t="s">
        <v>483</v>
      </c>
      <c r="B61" s="44" t="s">
        <v>349</v>
      </c>
      <c r="C61" s="44" t="s">
        <v>349</v>
      </c>
      <c r="D61" s="44" t="s">
        <v>349</v>
      </c>
      <c r="E61" s="44" t="s">
        <v>349</v>
      </c>
      <c r="F61" s="44" t="s">
        <v>349</v>
      </c>
      <c r="G61" s="44" t="s">
        <v>349</v>
      </c>
      <c r="H61" s="44" t="s">
        <v>349</v>
      </c>
      <c r="I61" s="44" t="s">
        <v>349</v>
      </c>
      <c r="J61" s="44" t="s">
        <v>349</v>
      </c>
      <c r="K61" s="44" t="s">
        <v>349</v>
      </c>
      <c r="L61" s="45" t="s">
        <v>349</v>
      </c>
      <c r="M61" s="44" t="s">
        <v>349</v>
      </c>
      <c r="N61" s="46"/>
      <c r="O61" s="47"/>
      <c r="P61" s="47"/>
      <c r="Q61" s="47"/>
      <c r="R61" s="47"/>
      <c r="S61" s="47"/>
      <c r="T61" s="47"/>
    </row>
    <row r="62">
      <c r="A62" s="44" t="s">
        <v>484</v>
      </c>
      <c r="B62" s="44" t="s">
        <v>374</v>
      </c>
      <c r="C62" s="44" t="s">
        <v>485</v>
      </c>
      <c r="D62" s="44" t="s">
        <v>349</v>
      </c>
      <c r="E62" s="44" t="s">
        <v>349</v>
      </c>
      <c r="F62" s="44" t="s">
        <v>349</v>
      </c>
      <c r="G62" s="44" t="s">
        <v>349</v>
      </c>
      <c r="H62" s="44" t="s">
        <v>349</v>
      </c>
      <c r="I62" s="44" t="s">
        <v>349</v>
      </c>
      <c r="J62" s="44" t="s">
        <v>349</v>
      </c>
      <c r="K62" s="44" t="s">
        <v>484</v>
      </c>
      <c r="L62" s="50" t="s">
        <v>486</v>
      </c>
      <c r="M62" s="44" t="s">
        <v>487</v>
      </c>
      <c r="N62" s="46"/>
      <c r="O62" s="47"/>
      <c r="P62" s="47"/>
      <c r="Q62" s="47"/>
      <c r="R62" s="47"/>
      <c r="S62" s="47"/>
      <c r="T62" s="47"/>
    </row>
    <row r="63">
      <c r="A63" s="44" t="s">
        <v>488</v>
      </c>
      <c r="B63" s="44" t="s">
        <v>349</v>
      </c>
      <c r="C63" s="44" t="s">
        <v>349</v>
      </c>
      <c r="D63" s="44" t="s">
        <v>349</v>
      </c>
      <c r="E63" s="44" t="s">
        <v>349</v>
      </c>
      <c r="F63" s="44" t="s">
        <v>349</v>
      </c>
      <c r="G63" s="44" t="s">
        <v>349</v>
      </c>
      <c r="H63" s="44" t="s">
        <v>349</v>
      </c>
      <c r="I63" s="44" t="s">
        <v>349</v>
      </c>
      <c r="J63" s="44" t="s">
        <v>349</v>
      </c>
      <c r="K63" s="44" t="s">
        <v>349</v>
      </c>
      <c r="L63" s="45" t="s">
        <v>349</v>
      </c>
      <c r="M63" s="44" t="s">
        <v>349</v>
      </c>
      <c r="N63" s="46"/>
      <c r="O63" s="47"/>
      <c r="P63" s="47"/>
      <c r="Q63" s="47"/>
      <c r="R63" s="47"/>
      <c r="S63" s="47"/>
      <c r="T63" s="47"/>
    </row>
    <row r="64">
      <c r="A64" s="44" t="s">
        <v>489</v>
      </c>
      <c r="B64" s="44" t="s">
        <v>349</v>
      </c>
      <c r="C64" s="44" t="s">
        <v>349</v>
      </c>
      <c r="D64" s="44" t="s">
        <v>349</v>
      </c>
      <c r="E64" s="44" t="s">
        <v>349</v>
      </c>
      <c r="F64" s="44" t="s">
        <v>349</v>
      </c>
      <c r="G64" s="44" t="s">
        <v>349</v>
      </c>
      <c r="H64" s="44" t="s">
        <v>349</v>
      </c>
      <c r="I64" s="44" t="s">
        <v>349</v>
      </c>
      <c r="J64" s="44" t="s">
        <v>349</v>
      </c>
      <c r="K64" s="44" t="s">
        <v>349</v>
      </c>
      <c r="L64" s="45" t="s">
        <v>349</v>
      </c>
      <c r="M64" s="44" t="s">
        <v>349</v>
      </c>
      <c r="N64" s="46"/>
      <c r="O64" s="47"/>
      <c r="P64" s="47"/>
      <c r="Q64" s="47"/>
      <c r="R64" s="47"/>
      <c r="S64" s="47"/>
      <c r="T64" s="47"/>
    </row>
    <row r="65">
      <c r="A65" s="44" t="s">
        <v>490</v>
      </c>
      <c r="B65" s="44" t="s">
        <v>374</v>
      </c>
      <c r="C65" s="44" t="s">
        <v>491</v>
      </c>
      <c r="D65" s="44">
        <v>60.0</v>
      </c>
      <c r="E65" s="49">
        <v>0.03</v>
      </c>
      <c r="F65" s="44" t="s">
        <v>375</v>
      </c>
      <c r="G65" s="44" t="s">
        <v>376</v>
      </c>
      <c r="H65" s="44">
        <v>9.83145167E9</v>
      </c>
      <c r="I65" s="44" t="s">
        <v>349</v>
      </c>
      <c r="J65" s="44" t="s">
        <v>349</v>
      </c>
      <c r="K65" s="44" t="s">
        <v>490</v>
      </c>
      <c r="L65" s="45" t="s">
        <v>492</v>
      </c>
      <c r="M65" s="44" t="s">
        <v>451</v>
      </c>
      <c r="N65" s="46"/>
      <c r="O65" s="47"/>
      <c r="P65" s="47"/>
      <c r="Q65" s="47"/>
      <c r="R65" s="47"/>
      <c r="S65" s="47"/>
      <c r="T65" s="47"/>
    </row>
    <row r="66">
      <c r="A66" s="44" t="s">
        <v>493</v>
      </c>
      <c r="B66" s="44" t="s">
        <v>349</v>
      </c>
      <c r="C66" s="44" t="s">
        <v>349</v>
      </c>
      <c r="D66" s="44" t="s">
        <v>349</v>
      </c>
      <c r="E66" s="44" t="s">
        <v>349</v>
      </c>
      <c r="F66" s="44" t="s">
        <v>349</v>
      </c>
      <c r="G66" s="44" t="s">
        <v>349</v>
      </c>
      <c r="H66" s="44" t="s">
        <v>349</v>
      </c>
      <c r="I66" s="44" t="s">
        <v>349</v>
      </c>
      <c r="J66" s="44" t="s">
        <v>349</v>
      </c>
      <c r="K66" s="44" t="s">
        <v>349</v>
      </c>
      <c r="L66" s="45" t="s">
        <v>349</v>
      </c>
      <c r="M66" s="44" t="s">
        <v>349</v>
      </c>
      <c r="N66" s="46"/>
      <c r="O66" s="47"/>
      <c r="P66" s="47"/>
      <c r="Q66" s="47"/>
      <c r="R66" s="47"/>
      <c r="S66" s="47"/>
      <c r="T66" s="47"/>
    </row>
    <row r="67">
      <c r="A67" s="44" t="s">
        <v>494</v>
      </c>
      <c r="B67" s="44" t="s">
        <v>349</v>
      </c>
      <c r="C67" s="44" t="s">
        <v>349</v>
      </c>
      <c r="D67" s="44" t="s">
        <v>349</v>
      </c>
      <c r="E67" s="44" t="s">
        <v>349</v>
      </c>
      <c r="F67" s="44" t="s">
        <v>349</v>
      </c>
      <c r="G67" s="44" t="s">
        <v>349</v>
      </c>
      <c r="H67" s="44" t="s">
        <v>349</v>
      </c>
      <c r="I67" s="44" t="s">
        <v>349</v>
      </c>
      <c r="J67" s="44" t="s">
        <v>349</v>
      </c>
      <c r="K67" s="44" t="s">
        <v>349</v>
      </c>
      <c r="L67" s="45" t="s">
        <v>349</v>
      </c>
      <c r="M67" s="44" t="s">
        <v>349</v>
      </c>
      <c r="N67" s="46"/>
      <c r="O67" s="47"/>
      <c r="P67" s="47"/>
      <c r="Q67" s="47"/>
      <c r="R67" s="47"/>
      <c r="S67" s="47"/>
      <c r="T67" s="47"/>
    </row>
    <row r="68">
      <c r="A68" s="44" t="s">
        <v>495</v>
      </c>
      <c r="B68" s="44" t="s">
        <v>383</v>
      </c>
      <c r="C68" s="44" t="s">
        <v>349</v>
      </c>
      <c r="D68" s="44" t="s">
        <v>349</v>
      </c>
      <c r="E68" s="44" t="s">
        <v>349</v>
      </c>
      <c r="F68" s="44" t="s">
        <v>349</v>
      </c>
      <c r="G68" s="44" t="s">
        <v>349</v>
      </c>
      <c r="H68" s="44" t="s">
        <v>349</v>
      </c>
      <c r="I68" s="44" t="s">
        <v>349</v>
      </c>
      <c r="J68" s="44" t="s">
        <v>349</v>
      </c>
      <c r="K68" s="44" t="s">
        <v>495</v>
      </c>
      <c r="L68" s="45" t="s">
        <v>496</v>
      </c>
      <c r="M68" s="44" t="s">
        <v>497</v>
      </c>
      <c r="N68" s="46"/>
      <c r="O68" s="47"/>
      <c r="P68" s="47"/>
      <c r="Q68" s="47"/>
      <c r="R68" s="47"/>
      <c r="S68" s="47"/>
      <c r="T68" s="47"/>
    </row>
    <row r="69">
      <c r="A69" s="44" t="s">
        <v>498</v>
      </c>
      <c r="B69" s="44" t="s">
        <v>349</v>
      </c>
      <c r="C69" s="44" t="s">
        <v>349</v>
      </c>
      <c r="D69" s="44" t="s">
        <v>349</v>
      </c>
      <c r="E69" s="44" t="s">
        <v>349</v>
      </c>
      <c r="F69" s="44" t="s">
        <v>349</v>
      </c>
      <c r="G69" s="44" t="s">
        <v>349</v>
      </c>
      <c r="H69" s="44" t="s">
        <v>349</v>
      </c>
      <c r="I69" s="44" t="s">
        <v>349</v>
      </c>
      <c r="J69" s="44" t="s">
        <v>349</v>
      </c>
      <c r="K69" s="44" t="s">
        <v>349</v>
      </c>
      <c r="L69" s="45" t="s">
        <v>349</v>
      </c>
      <c r="M69" s="44" t="s">
        <v>349</v>
      </c>
      <c r="N69" s="46"/>
      <c r="O69" s="47"/>
      <c r="P69" s="47"/>
      <c r="Q69" s="47"/>
      <c r="R69" s="47"/>
      <c r="S69" s="47"/>
      <c r="T69" s="47"/>
    </row>
    <row r="70">
      <c r="A70" s="44" t="s">
        <v>499</v>
      </c>
      <c r="B70" s="44" t="s">
        <v>359</v>
      </c>
      <c r="C70" s="44" t="s">
        <v>349</v>
      </c>
      <c r="D70" s="44" t="s">
        <v>360</v>
      </c>
      <c r="E70" s="44" t="s">
        <v>349</v>
      </c>
      <c r="F70" s="44" t="s">
        <v>361</v>
      </c>
      <c r="G70" s="44" t="s">
        <v>362</v>
      </c>
      <c r="H70" s="44" t="s">
        <v>363</v>
      </c>
      <c r="I70" s="44" t="s">
        <v>349</v>
      </c>
      <c r="J70" s="44" t="s">
        <v>349</v>
      </c>
      <c r="K70" s="44" t="s">
        <v>499</v>
      </c>
      <c r="L70" s="45" t="s">
        <v>500</v>
      </c>
      <c r="M70" s="44" t="s">
        <v>501</v>
      </c>
      <c r="N70" s="46"/>
      <c r="O70" s="47"/>
      <c r="P70" s="47"/>
      <c r="Q70" s="47"/>
      <c r="R70" s="47"/>
      <c r="S70" s="47"/>
      <c r="T70" s="47"/>
    </row>
    <row r="71">
      <c r="A71" s="44" t="s">
        <v>502</v>
      </c>
      <c r="B71" s="44" t="s">
        <v>359</v>
      </c>
      <c r="C71" s="44" t="s">
        <v>349</v>
      </c>
      <c r="D71" s="44">
        <v>70.0</v>
      </c>
      <c r="E71" s="44" t="s">
        <v>503</v>
      </c>
      <c r="F71" s="44" t="s">
        <v>361</v>
      </c>
      <c r="G71" s="44" t="s">
        <v>362</v>
      </c>
      <c r="H71" s="44" t="s">
        <v>363</v>
      </c>
      <c r="I71" s="44" t="s">
        <v>349</v>
      </c>
      <c r="J71" s="44" t="s">
        <v>349</v>
      </c>
      <c r="K71" s="44" t="s">
        <v>502</v>
      </c>
      <c r="L71" s="45" t="s">
        <v>504</v>
      </c>
      <c r="M71" s="44" t="s">
        <v>505</v>
      </c>
      <c r="N71" s="46"/>
      <c r="O71" s="47"/>
      <c r="P71" s="47"/>
      <c r="Q71" s="47"/>
      <c r="R71" s="47"/>
      <c r="S71" s="47"/>
      <c r="T71" s="47"/>
    </row>
    <row r="72">
      <c r="A72" s="44" t="s">
        <v>506</v>
      </c>
      <c r="B72" s="44" t="s">
        <v>359</v>
      </c>
      <c r="C72" s="44" t="s">
        <v>349</v>
      </c>
      <c r="D72" s="44" t="s">
        <v>349</v>
      </c>
      <c r="E72" s="44" t="s">
        <v>349</v>
      </c>
      <c r="F72" s="44" t="s">
        <v>361</v>
      </c>
      <c r="G72" s="44" t="s">
        <v>362</v>
      </c>
      <c r="H72" s="44" t="s">
        <v>363</v>
      </c>
      <c r="I72" s="44" t="s">
        <v>349</v>
      </c>
      <c r="J72" s="44" t="s">
        <v>349</v>
      </c>
      <c r="K72" s="44" t="s">
        <v>506</v>
      </c>
      <c r="L72" s="45" t="s">
        <v>507</v>
      </c>
      <c r="M72" s="44" t="s">
        <v>508</v>
      </c>
      <c r="N72" s="46"/>
      <c r="O72" s="47"/>
      <c r="P72" s="47"/>
      <c r="Q72" s="47"/>
      <c r="R72" s="47"/>
      <c r="S72" s="47"/>
      <c r="T72" s="47"/>
    </row>
    <row r="73">
      <c r="A73" s="44" t="s">
        <v>509</v>
      </c>
      <c r="B73" s="44" t="s">
        <v>349</v>
      </c>
      <c r="C73" s="44" t="s">
        <v>349</v>
      </c>
      <c r="D73" s="44" t="s">
        <v>349</v>
      </c>
      <c r="E73" s="44" t="s">
        <v>349</v>
      </c>
      <c r="F73" s="44" t="s">
        <v>349</v>
      </c>
      <c r="G73" s="44" t="s">
        <v>349</v>
      </c>
      <c r="H73" s="44" t="s">
        <v>349</v>
      </c>
      <c r="I73" s="44" t="s">
        <v>349</v>
      </c>
      <c r="J73" s="44" t="s">
        <v>349</v>
      </c>
      <c r="K73" s="44" t="s">
        <v>349</v>
      </c>
      <c r="L73" s="45" t="s">
        <v>349</v>
      </c>
      <c r="M73" s="44" t="s">
        <v>349</v>
      </c>
      <c r="N73" s="46"/>
      <c r="O73" s="47"/>
      <c r="P73" s="47"/>
      <c r="Q73" s="47"/>
      <c r="R73" s="47"/>
      <c r="S73" s="47"/>
      <c r="T73" s="47"/>
    </row>
    <row r="74">
      <c r="A74" s="44" t="s">
        <v>510</v>
      </c>
      <c r="B74" s="44" t="s">
        <v>349</v>
      </c>
      <c r="C74" s="44" t="s">
        <v>349</v>
      </c>
      <c r="D74" s="44" t="s">
        <v>349</v>
      </c>
      <c r="E74" s="44" t="s">
        <v>349</v>
      </c>
      <c r="F74" s="44" t="s">
        <v>349</v>
      </c>
      <c r="G74" s="44" t="s">
        <v>349</v>
      </c>
      <c r="H74" s="44" t="s">
        <v>349</v>
      </c>
      <c r="I74" s="44" t="s">
        <v>349</v>
      </c>
      <c r="J74" s="44" t="s">
        <v>349</v>
      </c>
      <c r="K74" s="44" t="s">
        <v>349</v>
      </c>
      <c r="L74" s="45" t="s">
        <v>349</v>
      </c>
      <c r="M74" s="44" t="s">
        <v>349</v>
      </c>
      <c r="N74" s="46"/>
      <c r="O74" s="47"/>
      <c r="P74" s="47"/>
      <c r="Q74" s="47"/>
      <c r="R74" s="47"/>
      <c r="S74" s="47"/>
      <c r="T74" s="47"/>
    </row>
    <row r="75">
      <c r="A75" s="44" t="s">
        <v>511</v>
      </c>
      <c r="B75" s="44" t="s">
        <v>431</v>
      </c>
      <c r="C75" s="44" t="s">
        <v>349</v>
      </c>
      <c r="D75" s="44" t="s">
        <v>349</v>
      </c>
      <c r="E75" s="44" t="s">
        <v>349</v>
      </c>
      <c r="F75" s="44" t="s">
        <v>349</v>
      </c>
      <c r="G75" s="44" t="s">
        <v>349</v>
      </c>
      <c r="H75" s="44" t="s">
        <v>349</v>
      </c>
      <c r="I75" s="44" t="s">
        <v>349</v>
      </c>
      <c r="J75" s="44" t="s">
        <v>349</v>
      </c>
      <c r="K75" s="44" t="s">
        <v>511</v>
      </c>
      <c r="L75" s="45" t="s">
        <v>512</v>
      </c>
      <c r="M75" s="44" t="s">
        <v>429</v>
      </c>
      <c r="N75" s="46"/>
      <c r="O75" s="47"/>
      <c r="P75" s="47"/>
      <c r="Q75" s="47"/>
      <c r="R75" s="47"/>
      <c r="S75" s="47"/>
      <c r="T75" s="47"/>
    </row>
    <row r="76">
      <c r="A76" s="44" t="s">
        <v>513</v>
      </c>
      <c r="B76" s="44" t="s">
        <v>349</v>
      </c>
      <c r="C76" s="44" t="s">
        <v>349</v>
      </c>
      <c r="D76" s="44" t="s">
        <v>349</v>
      </c>
      <c r="E76" s="44" t="s">
        <v>349</v>
      </c>
      <c r="F76" s="44" t="s">
        <v>349</v>
      </c>
      <c r="G76" s="44" t="s">
        <v>349</v>
      </c>
      <c r="H76" s="44" t="s">
        <v>349</v>
      </c>
      <c r="I76" s="44" t="s">
        <v>349</v>
      </c>
      <c r="J76" s="44" t="s">
        <v>349</v>
      </c>
      <c r="K76" s="44" t="s">
        <v>349</v>
      </c>
      <c r="L76" s="45" t="s">
        <v>349</v>
      </c>
      <c r="M76" s="44" t="s">
        <v>349</v>
      </c>
      <c r="N76" s="46"/>
      <c r="O76" s="47"/>
      <c r="P76" s="47"/>
      <c r="Q76" s="47"/>
      <c r="R76" s="47"/>
      <c r="S76" s="47"/>
      <c r="T76" s="47"/>
    </row>
    <row r="77">
      <c r="A77" s="44" t="s">
        <v>514</v>
      </c>
      <c r="B77" s="44" t="s">
        <v>349</v>
      </c>
      <c r="C77" s="44" t="s">
        <v>349</v>
      </c>
      <c r="D77" s="44" t="s">
        <v>349</v>
      </c>
      <c r="E77" s="44" t="s">
        <v>349</v>
      </c>
      <c r="F77" s="44" t="s">
        <v>349</v>
      </c>
      <c r="G77" s="44" t="s">
        <v>349</v>
      </c>
      <c r="H77" s="44" t="s">
        <v>349</v>
      </c>
      <c r="I77" s="44" t="s">
        <v>349</v>
      </c>
      <c r="J77" s="44" t="s">
        <v>349</v>
      </c>
      <c r="K77" s="44" t="s">
        <v>349</v>
      </c>
      <c r="L77" s="45" t="s">
        <v>349</v>
      </c>
      <c r="M77" s="44" t="s">
        <v>349</v>
      </c>
      <c r="N77" s="46"/>
      <c r="O77" s="47"/>
      <c r="P77" s="47"/>
      <c r="Q77" s="47"/>
      <c r="R77" s="47"/>
      <c r="S77" s="47"/>
      <c r="T77" s="47"/>
    </row>
    <row r="78">
      <c r="A78" s="44" t="s">
        <v>515</v>
      </c>
      <c r="B78" s="44" t="s">
        <v>349</v>
      </c>
      <c r="C78" s="44" t="s">
        <v>349</v>
      </c>
      <c r="D78" s="44" t="s">
        <v>349</v>
      </c>
      <c r="E78" s="44" t="s">
        <v>349</v>
      </c>
      <c r="F78" s="44" t="s">
        <v>349</v>
      </c>
      <c r="G78" s="44" t="s">
        <v>349</v>
      </c>
      <c r="H78" s="44" t="s">
        <v>349</v>
      </c>
      <c r="I78" s="44" t="s">
        <v>349</v>
      </c>
      <c r="J78" s="44" t="s">
        <v>349</v>
      </c>
      <c r="K78" s="44" t="s">
        <v>349</v>
      </c>
      <c r="L78" s="45" t="s">
        <v>349</v>
      </c>
      <c r="M78" s="44" t="s">
        <v>349</v>
      </c>
      <c r="N78" s="46"/>
      <c r="O78" s="47"/>
      <c r="P78" s="47"/>
      <c r="Q78" s="47"/>
      <c r="R78" s="47"/>
      <c r="S78" s="47"/>
      <c r="T78" s="47"/>
    </row>
    <row r="79">
      <c r="A79" s="44" t="s">
        <v>516</v>
      </c>
      <c r="B79" s="44" t="s">
        <v>349</v>
      </c>
      <c r="C79" s="44" t="s">
        <v>349</v>
      </c>
      <c r="D79" s="44" t="s">
        <v>349</v>
      </c>
      <c r="E79" s="44" t="s">
        <v>349</v>
      </c>
      <c r="F79" s="44" t="s">
        <v>349</v>
      </c>
      <c r="G79" s="44" t="s">
        <v>349</v>
      </c>
      <c r="H79" s="44" t="s">
        <v>349</v>
      </c>
      <c r="I79" s="44" t="s">
        <v>349</v>
      </c>
      <c r="J79" s="44" t="s">
        <v>349</v>
      </c>
      <c r="K79" s="44" t="s">
        <v>349</v>
      </c>
      <c r="L79" s="45" t="s">
        <v>349</v>
      </c>
      <c r="M79" s="44" t="s">
        <v>349</v>
      </c>
      <c r="N79" s="46"/>
      <c r="O79" s="47"/>
      <c r="P79" s="47"/>
      <c r="Q79" s="47"/>
      <c r="R79" s="47"/>
      <c r="S79" s="47"/>
      <c r="T79" s="47"/>
    </row>
    <row r="80">
      <c r="A80" s="44" t="s">
        <v>517</v>
      </c>
      <c r="B80" s="44" t="s">
        <v>359</v>
      </c>
      <c r="C80" s="44" t="s">
        <v>349</v>
      </c>
      <c r="D80" s="44">
        <v>60.0</v>
      </c>
      <c r="E80" s="49">
        <v>0.05</v>
      </c>
      <c r="F80" s="44" t="s">
        <v>361</v>
      </c>
      <c r="G80" s="44" t="s">
        <v>362</v>
      </c>
      <c r="H80" s="44" t="s">
        <v>363</v>
      </c>
      <c r="I80" s="44" t="s">
        <v>349</v>
      </c>
      <c r="J80" s="44" t="s">
        <v>349</v>
      </c>
      <c r="K80" s="44" t="s">
        <v>517</v>
      </c>
      <c r="L80" s="45" t="s">
        <v>518</v>
      </c>
      <c r="M80" s="44" t="s">
        <v>469</v>
      </c>
      <c r="N80" s="46"/>
      <c r="O80" s="47"/>
      <c r="P80" s="47"/>
      <c r="Q80" s="47"/>
      <c r="R80" s="47"/>
      <c r="S80" s="47"/>
      <c r="T80" s="47"/>
    </row>
    <row r="81">
      <c r="A81" s="44" t="s">
        <v>519</v>
      </c>
      <c r="B81" s="44" t="s">
        <v>349</v>
      </c>
      <c r="C81" s="44" t="s">
        <v>349</v>
      </c>
      <c r="D81" s="44" t="s">
        <v>349</v>
      </c>
      <c r="E81" s="44" t="s">
        <v>349</v>
      </c>
      <c r="F81" s="44" t="s">
        <v>349</v>
      </c>
      <c r="G81" s="44" t="s">
        <v>349</v>
      </c>
      <c r="H81" s="44" t="s">
        <v>349</v>
      </c>
      <c r="I81" s="44" t="s">
        <v>349</v>
      </c>
      <c r="J81" s="44" t="s">
        <v>349</v>
      </c>
      <c r="K81" s="44" t="s">
        <v>519</v>
      </c>
      <c r="L81" s="45" t="s">
        <v>520</v>
      </c>
      <c r="M81" s="44" t="s">
        <v>521</v>
      </c>
      <c r="N81" s="46"/>
      <c r="O81" s="47"/>
      <c r="P81" s="47"/>
      <c r="Q81" s="47"/>
      <c r="R81" s="47"/>
      <c r="S81" s="47"/>
      <c r="T81" s="47"/>
    </row>
    <row r="82">
      <c r="A82" s="44" t="s">
        <v>522</v>
      </c>
      <c r="B82" s="44" t="s">
        <v>374</v>
      </c>
      <c r="C82" s="44" t="s">
        <v>523</v>
      </c>
      <c r="D82" s="44">
        <v>60.0</v>
      </c>
      <c r="E82" s="49">
        <v>0.05</v>
      </c>
      <c r="F82" s="44" t="s">
        <v>375</v>
      </c>
      <c r="G82" s="44" t="s">
        <v>376</v>
      </c>
      <c r="H82" s="44">
        <v>9.83145167E9</v>
      </c>
      <c r="I82" s="44" t="s">
        <v>349</v>
      </c>
      <c r="J82" s="44" t="s">
        <v>349</v>
      </c>
      <c r="K82" s="44" t="s">
        <v>522</v>
      </c>
      <c r="L82" s="45" t="s">
        <v>524</v>
      </c>
      <c r="M82" s="44" t="s">
        <v>525</v>
      </c>
      <c r="N82" s="46"/>
      <c r="O82" s="47"/>
      <c r="P82" s="47"/>
      <c r="Q82" s="47"/>
      <c r="R82" s="47"/>
      <c r="S82" s="47"/>
      <c r="T82" s="47"/>
    </row>
    <row r="83">
      <c r="A83" s="44" t="s">
        <v>526</v>
      </c>
      <c r="B83" s="44" t="s">
        <v>349</v>
      </c>
      <c r="C83" s="44" t="s">
        <v>349</v>
      </c>
      <c r="D83" s="44" t="s">
        <v>349</v>
      </c>
      <c r="E83" s="44" t="s">
        <v>349</v>
      </c>
      <c r="F83" s="44" t="s">
        <v>349</v>
      </c>
      <c r="G83" s="44" t="s">
        <v>349</v>
      </c>
      <c r="H83" s="44" t="s">
        <v>349</v>
      </c>
      <c r="I83" s="44" t="s">
        <v>349</v>
      </c>
      <c r="J83" s="44" t="s">
        <v>349</v>
      </c>
      <c r="K83" s="44" t="s">
        <v>349</v>
      </c>
      <c r="L83" s="45" t="s">
        <v>349</v>
      </c>
      <c r="M83" s="44" t="s">
        <v>349</v>
      </c>
      <c r="N83" s="46"/>
      <c r="O83" s="47"/>
      <c r="P83" s="47"/>
      <c r="Q83" s="47"/>
      <c r="R83" s="47"/>
      <c r="S83" s="47"/>
      <c r="T83" s="47"/>
    </row>
    <row r="84">
      <c r="A84" s="44" t="s">
        <v>527</v>
      </c>
      <c r="B84" s="44" t="s">
        <v>374</v>
      </c>
      <c r="C84" s="44" t="s">
        <v>349</v>
      </c>
      <c r="D84" s="44">
        <v>60.0</v>
      </c>
      <c r="E84" s="44" t="s">
        <v>528</v>
      </c>
      <c r="F84" s="44" t="s">
        <v>375</v>
      </c>
      <c r="G84" s="44" t="s">
        <v>376</v>
      </c>
      <c r="H84" s="44">
        <v>9.83145167E9</v>
      </c>
      <c r="I84" s="44" t="s">
        <v>349</v>
      </c>
      <c r="J84" s="44" t="s">
        <v>349</v>
      </c>
      <c r="K84" s="44" t="s">
        <v>527</v>
      </c>
      <c r="L84" s="45" t="s">
        <v>529</v>
      </c>
      <c r="M84" s="44" t="s">
        <v>530</v>
      </c>
      <c r="N84" s="46"/>
      <c r="O84" s="47"/>
      <c r="P84" s="47"/>
      <c r="Q84" s="47"/>
      <c r="R84" s="47"/>
      <c r="S84" s="47"/>
      <c r="T84" s="47"/>
    </row>
    <row r="85">
      <c r="A85" s="44" t="s">
        <v>531</v>
      </c>
      <c r="B85" s="44" t="s">
        <v>349</v>
      </c>
      <c r="C85" s="44" t="s">
        <v>349</v>
      </c>
      <c r="D85" s="44" t="s">
        <v>349</v>
      </c>
      <c r="E85" s="44" t="s">
        <v>349</v>
      </c>
      <c r="F85" s="44" t="s">
        <v>349</v>
      </c>
      <c r="G85" s="44" t="s">
        <v>349</v>
      </c>
      <c r="H85" s="44" t="s">
        <v>349</v>
      </c>
      <c r="I85" s="44" t="s">
        <v>349</v>
      </c>
      <c r="J85" s="44" t="s">
        <v>349</v>
      </c>
      <c r="K85" s="44" t="s">
        <v>349</v>
      </c>
      <c r="L85" s="45" t="s">
        <v>349</v>
      </c>
      <c r="M85" s="44" t="s">
        <v>349</v>
      </c>
      <c r="N85" s="46"/>
      <c r="O85" s="47"/>
      <c r="P85" s="47"/>
      <c r="Q85" s="47"/>
      <c r="R85" s="47"/>
      <c r="S85" s="47"/>
      <c r="T85" s="47"/>
    </row>
    <row r="86">
      <c r="A86" s="44" t="s">
        <v>532</v>
      </c>
      <c r="B86" s="44" t="s">
        <v>349</v>
      </c>
      <c r="C86" s="44" t="s">
        <v>349</v>
      </c>
      <c r="D86" s="44" t="s">
        <v>349</v>
      </c>
      <c r="E86" s="44" t="s">
        <v>349</v>
      </c>
      <c r="F86" s="44" t="s">
        <v>349</v>
      </c>
      <c r="G86" s="44" t="s">
        <v>349</v>
      </c>
      <c r="H86" s="44" t="s">
        <v>349</v>
      </c>
      <c r="I86" s="44" t="s">
        <v>349</v>
      </c>
      <c r="J86" s="44" t="s">
        <v>349</v>
      </c>
      <c r="K86" s="44" t="s">
        <v>349</v>
      </c>
      <c r="L86" s="45" t="s">
        <v>349</v>
      </c>
      <c r="M86" s="44" t="s">
        <v>349</v>
      </c>
      <c r="N86" s="46"/>
      <c r="O86" s="47"/>
      <c r="P86" s="47"/>
      <c r="Q86" s="47"/>
      <c r="R86" s="47"/>
      <c r="S86" s="47"/>
      <c r="T86" s="47"/>
    </row>
    <row r="87">
      <c r="A87" s="44" t="s">
        <v>533</v>
      </c>
      <c r="B87" s="44" t="s">
        <v>349</v>
      </c>
      <c r="C87" s="44" t="s">
        <v>349</v>
      </c>
      <c r="D87" s="44" t="s">
        <v>349</v>
      </c>
      <c r="E87" s="44" t="s">
        <v>349</v>
      </c>
      <c r="F87" s="44" t="s">
        <v>349</v>
      </c>
      <c r="G87" s="44" t="s">
        <v>349</v>
      </c>
      <c r="H87" s="44" t="s">
        <v>349</v>
      </c>
      <c r="I87" s="44" t="s">
        <v>349</v>
      </c>
      <c r="J87" s="44" t="s">
        <v>349</v>
      </c>
      <c r="K87" s="44" t="s">
        <v>533</v>
      </c>
      <c r="L87" s="45" t="s">
        <v>534</v>
      </c>
      <c r="M87" s="44" t="s">
        <v>535</v>
      </c>
      <c r="N87" s="46"/>
      <c r="O87" s="47"/>
      <c r="P87" s="47"/>
      <c r="Q87" s="47"/>
      <c r="R87" s="47"/>
      <c r="S87" s="47"/>
      <c r="T87" s="47"/>
    </row>
    <row r="88">
      <c r="A88" s="44" t="s">
        <v>536</v>
      </c>
      <c r="B88" s="44" t="s">
        <v>349</v>
      </c>
      <c r="C88" s="44" t="s">
        <v>349</v>
      </c>
      <c r="D88" s="44" t="s">
        <v>349</v>
      </c>
      <c r="E88" s="44" t="s">
        <v>349</v>
      </c>
      <c r="F88" s="44" t="s">
        <v>349</v>
      </c>
      <c r="G88" s="44" t="s">
        <v>349</v>
      </c>
      <c r="H88" s="44" t="s">
        <v>349</v>
      </c>
      <c r="I88" s="44" t="s">
        <v>349</v>
      </c>
      <c r="J88" s="44" t="s">
        <v>349</v>
      </c>
      <c r="K88" s="44" t="s">
        <v>349</v>
      </c>
      <c r="L88" s="45" t="s">
        <v>349</v>
      </c>
      <c r="M88" s="44" t="s">
        <v>349</v>
      </c>
      <c r="N88" s="46"/>
      <c r="O88" s="47"/>
      <c r="P88" s="47"/>
      <c r="Q88" s="47"/>
      <c r="R88" s="47"/>
      <c r="S88" s="47"/>
      <c r="T88" s="47"/>
    </row>
    <row r="89">
      <c r="A89" s="44" t="s">
        <v>537</v>
      </c>
      <c r="B89" s="44" t="s">
        <v>383</v>
      </c>
      <c r="C89" s="44" t="s">
        <v>349</v>
      </c>
      <c r="D89" s="44">
        <v>60.0</v>
      </c>
      <c r="E89" s="49">
        <v>0.1</v>
      </c>
      <c r="F89" s="44" t="s">
        <v>349</v>
      </c>
      <c r="G89" s="44" t="s">
        <v>349</v>
      </c>
      <c r="H89" s="44" t="s">
        <v>349</v>
      </c>
      <c r="I89" s="44" t="s">
        <v>349</v>
      </c>
      <c r="J89" s="44" t="s">
        <v>349</v>
      </c>
      <c r="K89" s="44" t="s">
        <v>537</v>
      </c>
      <c r="L89" s="45" t="s">
        <v>538</v>
      </c>
      <c r="M89" s="44" t="s">
        <v>539</v>
      </c>
      <c r="N89" s="46"/>
      <c r="O89" s="47"/>
      <c r="P89" s="47"/>
      <c r="Q89" s="47"/>
      <c r="R89" s="47"/>
      <c r="S89" s="47"/>
      <c r="T89" s="47"/>
    </row>
    <row r="90">
      <c r="A90" s="44" t="s">
        <v>540</v>
      </c>
      <c r="B90" s="44" t="s">
        <v>349</v>
      </c>
      <c r="C90" s="44" t="s">
        <v>349</v>
      </c>
      <c r="D90" s="44" t="s">
        <v>349</v>
      </c>
      <c r="E90" s="44" t="s">
        <v>349</v>
      </c>
      <c r="F90" s="44" t="s">
        <v>349</v>
      </c>
      <c r="G90" s="44" t="s">
        <v>349</v>
      </c>
      <c r="H90" s="44" t="s">
        <v>349</v>
      </c>
      <c r="I90" s="44" t="s">
        <v>349</v>
      </c>
      <c r="J90" s="44" t="s">
        <v>349</v>
      </c>
      <c r="K90" s="44" t="s">
        <v>349</v>
      </c>
      <c r="L90" s="45" t="s">
        <v>349</v>
      </c>
      <c r="M90" s="44" t="s">
        <v>349</v>
      </c>
      <c r="N90" s="46"/>
      <c r="O90" s="47"/>
      <c r="P90" s="47"/>
      <c r="Q90" s="47"/>
      <c r="R90" s="47"/>
      <c r="S90" s="47"/>
      <c r="T90" s="47"/>
    </row>
    <row r="91">
      <c r="A91" s="44" t="s">
        <v>541</v>
      </c>
      <c r="B91" s="44" t="s">
        <v>383</v>
      </c>
      <c r="C91" s="44" t="s">
        <v>542</v>
      </c>
      <c r="D91" s="44" t="s">
        <v>349</v>
      </c>
      <c r="E91" s="44" t="s">
        <v>349</v>
      </c>
      <c r="F91" s="44" t="s">
        <v>349</v>
      </c>
      <c r="G91" s="44" t="s">
        <v>349</v>
      </c>
      <c r="H91" s="44" t="s">
        <v>349</v>
      </c>
      <c r="I91" s="44" t="s">
        <v>349</v>
      </c>
      <c r="J91" s="44" t="s">
        <v>349</v>
      </c>
      <c r="K91" s="44" t="s">
        <v>541</v>
      </c>
      <c r="L91" s="45" t="s">
        <v>543</v>
      </c>
      <c r="M91" s="44" t="s">
        <v>544</v>
      </c>
      <c r="N91" s="46"/>
      <c r="O91" s="47"/>
      <c r="P91" s="47"/>
      <c r="Q91" s="47"/>
      <c r="R91" s="47"/>
      <c r="S91" s="47"/>
      <c r="T91" s="47"/>
    </row>
    <row r="92">
      <c r="A92" s="44" t="s">
        <v>545</v>
      </c>
      <c r="B92" s="44" t="s">
        <v>349</v>
      </c>
      <c r="C92" s="44" t="s">
        <v>349</v>
      </c>
      <c r="D92" s="44" t="s">
        <v>349</v>
      </c>
      <c r="E92" s="44" t="s">
        <v>349</v>
      </c>
      <c r="F92" s="44" t="s">
        <v>349</v>
      </c>
      <c r="G92" s="44" t="s">
        <v>349</v>
      </c>
      <c r="H92" s="44" t="s">
        <v>349</v>
      </c>
      <c r="I92" s="44" t="s">
        <v>349</v>
      </c>
      <c r="J92" s="44" t="s">
        <v>349</v>
      </c>
      <c r="K92" s="44" t="s">
        <v>349</v>
      </c>
      <c r="L92" s="45" t="s">
        <v>349</v>
      </c>
      <c r="M92" s="44" t="s">
        <v>349</v>
      </c>
      <c r="N92" s="46"/>
      <c r="O92" s="47"/>
      <c r="P92" s="47"/>
      <c r="Q92" s="47"/>
      <c r="R92" s="47"/>
      <c r="S92" s="47"/>
      <c r="T92" s="47"/>
    </row>
    <row r="93">
      <c r="A93" s="44" t="s">
        <v>546</v>
      </c>
      <c r="B93" s="44" t="s">
        <v>349</v>
      </c>
      <c r="C93" s="44" t="s">
        <v>349</v>
      </c>
      <c r="D93" s="44" t="s">
        <v>349</v>
      </c>
      <c r="E93" s="44" t="s">
        <v>349</v>
      </c>
      <c r="F93" s="44" t="s">
        <v>349</v>
      </c>
      <c r="G93" s="44" t="s">
        <v>349</v>
      </c>
      <c r="H93" s="44" t="s">
        <v>349</v>
      </c>
      <c r="I93" s="44" t="s">
        <v>349</v>
      </c>
      <c r="J93" s="44" t="s">
        <v>349</v>
      </c>
      <c r="K93" s="44" t="s">
        <v>349</v>
      </c>
      <c r="L93" s="45" t="s">
        <v>349</v>
      </c>
      <c r="M93" s="44" t="s">
        <v>349</v>
      </c>
      <c r="N93" s="46"/>
      <c r="O93" s="47"/>
      <c r="P93" s="47"/>
      <c r="Q93" s="47"/>
      <c r="R93" s="47"/>
      <c r="S93" s="47"/>
      <c r="T93" s="47"/>
    </row>
    <row r="94">
      <c r="A94" s="44" t="s">
        <v>547</v>
      </c>
      <c r="B94" s="44" t="s">
        <v>349</v>
      </c>
      <c r="C94" s="44" t="s">
        <v>349</v>
      </c>
      <c r="D94" s="44" t="s">
        <v>349</v>
      </c>
      <c r="E94" s="44" t="s">
        <v>349</v>
      </c>
      <c r="F94" s="44" t="s">
        <v>349</v>
      </c>
      <c r="G94" s="44" t="s">
        <v>349</v>
      </c>
      <c r="H94" s="44" t="s">
        <v>349</v>
      </c>
      <c r="I94" s="44" t="s">
        <v>349</v>
      </c>
      <c r="J94" s="44" t="s">
        <v>349</v>
      </c>
      <c r="K94" s="44" t="s">
        <v>349</v>
      </c>
      <c r="L94" s="45" t="s">
        <v>349</v>
      </c>
      <c r="M94" s="44" t="s">
        <v>349</v>
      </c>
      <c r="N94" s="46"/>
      <c r="O94" s="47"/>
      <c r="P94" s="47"/>
      <c r="Q94" s="47"/>
      <c r="R94" s="47"/>
      <c r="S94" s="47"/>
      <c r="T94" s="47"/>
    </row>
    <row r="95">
      <c r="A95" s="44" t="s">
        <v>548</v>
      </c>
      <c r="B95" s="44" t="s">
        <v>349</v>
      </c>
      <c r="C95" s="44" t="s">
        <v>349</v>
      </c>
      <c r="D95" s="44" t="s">
        <v>349</v>
      </c>
      <c r="E95" s="44" t="s">
        <v>349</v>
      </c>
      <c r="F95" s="44" t="s">
        <v>349</v>
      </c>
      <c r="G95" s="44" t="s">
        <v>349</v>
      </c>
      <c r="H95" s="44" t="s">
        <v>349</v>
      </c>
      <c r="I95" s="44" t="s">
        <v>349</v>
      </c>
      <c r="J95" s="44" t="s">
        <v>349</v>
      </c>
      <c r="K95" s="44" t="s">
        <v>349</v>
      </c>
      <c r="L95" s="45" t="s">
        <v>349</v>
      </c>
      <c r="M95" s="44" t="s">
        <v>349</v>
      </c>
      <c r="N95" s="46"/>
      <c r="O95" s="47"/>
      <c r="P95" s="47"/>
      <c r="Q95" s="47"/>
      <c r="R95" s="47"/>
      <c r="S95" s="47"/>
      <c r="T95" s="47"/>
    </row>
    <row r="96">
      <c r="A96" s="44" t="s">
        <v>549</v>
      </c>
      <c r="B96" s="44" t="s">
        <v>383</v>
      </c>
      <c r="C96" s="44" t="s">
        <v>349</v>
      </c>
      <c r="D96" s="44" t="s">
        <v>349</v>
      </c>
      <c r="E96" s="44" t="s">
        <v>349</v>
      </c>
      <c r="F96" s="44" t="s">
        <v>349</v>
      </c>
      <c r="G96" s="44" t="s">
        <v>349</v>
      </c>
      <c r="H96" s="44" t="s">
        <v>349</v>
      </c>
      <c r="I96" s="44" t="s">
        <v>349</v>
      </c>
      <c r="J96" s="44" t="s">
        <v>349</v>
      </c>
      <c r="K96" s="44" t="s">
        <v>549</v>
      </c>
      <c r="L96" s="45" t="s">
        <v>550</v>
      </c>
      <c r="M96" s="44" t="s">
        <v>551</v>
      </c>
      <c r="N96" s="46"/>
      <c r="O96" s="47"/>
      <c r="P96" s="47"/>
      <c r="Q96" s="47"/>
      <c r="R96" s="47"/>
      <c r="S96" s="47"/>
      <c r="T96" s="47"/>
    </row>
    <row r="97">
      <c r="A97" s="44" t="s">
        <v>552</v>
      </c>
      <c r="B97" s="44" t="s">
        <v>349</v>
      </c>
      <c r="C97" s="44" t="s">
        <v>349</v>
      </c>
      <c r="D97" s="44" t="s">
        <v>349</v>
      </c>
      <c r="E97" s="44" t="s">
        <v>349</v>
      </c>
      <c r="F97" s="44" t="s">
        <v>349</v>
      </c>
      <c r="G97" s="44" t="s">
        <v>349</v>
      </c>
      <c r="H97" s="44" t="s">
        <v>349</v>
      </c>
      <c r="I97" s="44" t="s">
        <v>349</v>
      </c>
      <c r="J97" s="44" t="s">
        <v>349</v>
      </c>
      <c r="K97" s="44" t="s">
        <v>349</v>
      </c>
      <c r="L97" s="45" t="s">
        <v>349</v>
      </c>
      <c r="M97" s="44" t="s">
        <v>349</v>
      </c>
      <c r="N97" s="46"/>
      <c r="O97" s="47"/>
      <c r="P97" s="47"/>
      <c r="Q97" s="47"/>
      <c r="R97" s="47"/>
      <c r="S97" s="47"/>
      <c r="T97" s="47"/>
    </row>
    <row r="98">
      <c r="A98" s="44" t="s">
        <v>553</v>
      </c>
      <c r="B98" s="44" t="s">
        <v>349</v>
      </c>
      <c r="C98" s="44" t="s">
        <v>349</v>
      </c>
      <c r="D98" s="44" t="s">
        <v>349</v>
      </c>
      <c r="E98" s="44" t="s">
        <v>349</v>
      </c>
      <c r="F98" s="44" t="s">
        <v>349</v>
      </c>
      <c r="G98" s="44" t="s">
        <v>349</v>
      </c>
      <c r="H98" s="44" t="s">
        <v>349</v>
      </c>
      <c r="I98" s="44" t="s">
        <v>349</v>
      </c>
      <c r="J98" s="44" t="s">
        <v>349</v>
      </c>
      <c r="K98" s="44" t="s">
        <v>349</v>
      </c>
      <c r="L98" s="45" t="s">
        <v>349</v>
      </c>
      <c r="M98" s="44" t="s">
        <v>349</v>
      </c>
      <c r="N98" s="46"/>
      <c r="O98" s="47"/>
      <c r="P98" s="47"/>
      <c r="Q98" s="47"/>
      <c r="R98" s="47"/>
      <c r="S98" s="47"/>
      <c r="T98" s="47"/>
    </row>
    <row r="99">
      <c r="A99" s="44" t="s">
        <v>554</v>
      </c>
      <c r="B99" s="44" t="s">
        <v>349</v>
      </c>
      <c r="C99" s="44" t="s">
        <v>349</v>
      </c>
      <c r="D99" s="44" t="s">
        <v>349</v>
      </c>
      <c r="E99" s="44" t="s">
        <v>349</v>
      </c>
      <c r="F99" s="44" t="s">
        <v>349</v>
      </c>
      <c r="G99" s="44" t="s">
        <v>349</v>
      </c>
      <c r="H99" s="44" t="s">
        <v>349</v>
      </c>
      <c r="I99" s="44" t="s">
        <v>349</v>
      </c>
      <c r="J99" s="44" t="s">
        <v>349</v>
      </c>
      <c r="K99" s="44" t="s">
        <v>349</v>
      </c>
      <c r="L99" s="45" t="s">
        <v>349</v>
      </c>
      <c r="M99" s="44" t="s">
        <v>349</v>
      </c>
      <c r="N99" s="46"/>
      <c r="O99" s="47"/>
      <c r="P99" s="47"/>
      <c r="Q99" s="47"/>
      <c r="R99" s="47"/>
      <c r="S99" s="47"/>
      <c r="T99" s="47"/>
    </row>
    <row r="100">
      <c r="A100" s="44" t="s">
        <v>555</v>
      </c>
      <c r="B100" s="44" t="s">
        <v>349</v>
      </c>
      <c r="C100" s="44" t="s">
        <v>349</v>
      </c>
      <c r="D100" s="44" t="s">
        <v>349</v>
      </c>
      <c r="E100" s="44" t="s">
        <v>349</v>
      </c>
      <c r="F100" s="44" t="s">
        <v>349</v>
      </c>
      <c r="G100" s="44" t="s">
        <v>349</v>
      </c>
      <c r="H100" s="44" t="s">
        <v>349</v>
      </c>
      <c r="I100" s="44" t="s">
        <v>349</v>
      </c>
      <c r="J100" s="44" t="s">
        <v>349</v>
      </c>
      <c r="K100" s="44" t="s">
        <v>349</v>
      </c>
      <c r="L100" s="45" t="s">
        <v>349</v>
      </c>
      <c r="M100" s="44" t="s">
        <v>349</v>
      </c>
      <c r="N100" s="46"/>
      <c r="O100" s="47"/>
      <c r="P100" s="47"/>
      <c r="Q100" s="47"/>
      <c r="R100" s="47"/>
      <c r="S100" s="47"/>
      <c r="T100" s="47"/>
    </row>
    <row r="101">
      <c r="A101" s="44" t="s">
        <v>556</v>
      </c>
      <c r="B101" s="44" t="s">
        <v>349</v>
      </c>
      <c r="C101" s="44" t="s">
        <v>349</v>
      </c>
      <c r="D101" s="44" t="s">
        <v>349</v>
      </c>
      <c r="E101" s="44" t="s">
        <v>349</v>
      </c>
      <c r="F101" s="44" t="s">
        <v>349</v>
      </c>
      <c r="G101" s="44" t="s">
        <v>349</v>
      </c>
      <c r="H101" s="44" t="s">
        <v>349</v>
      </c>
      <c r="I101" s="44" t="s">
        <v>349</v>
      </c>
      <c r="J101" s="44" t="s">
        <v>349</v>
      </c>
      <c r="K101" s="44" t="s">
        <v>349</v>
      </c>
      <c r="L101" s="45" t="s">
        <v>349</v>
      </c>
      <c r="M101" s="44" t="s">
        <v>349</v>
      </c>
      <c r="N101" s="46"/>
      <c r="O101" s="47"/>
      <c r="P101" s="47"/>
      <c r="Q101" s="47"/>
      <c r="R101" s="47"/>
      <c r="S101" s="47"/>
      <c r="T101" s="47"/>
    </row>
    <row r="102">
      <c r="A102" s="44" t="s">
        <v>557</v>
      </c>
      <c r="B102" s="44" t="s">
        <v>349</v>
      </c>
      <c r="C102" s="44" t="s">
        <v>349</v>
      </c>
      <c r="D102" s="44" t="s">
        <v>349</v>
      </c>
      <c r="E102" s="44" t="s">
        <v>349</v>
      </c>
      <c r="F102" s="44" t="s">
        <v>349</v>
      </c>
      <c r="G102" s="44" t="s">
        <v>349</v>
      </c>
      <c r="H102" s="44" t="s">
        <v>349</v>
      </c>
      <c r="I102" s="44" t="s">
        <v>349</v>
      </c>
      <c r="J102" s="44" t="s">
        <v>349</v>
      </c>
      <c r="K102" s="44" t="s">
        <v>349</v>
      </c>
      <c r="L102" s="45" t="s">
        <v>349</v>
      </c>
      <c r="M102" s="44" t="s">
        <v>349</v>
      </c>
      <c r="N102" s="46"/>
      <c r="O102" s="47"/>
      <c r="P102" s="47"/>
      <c r="Q102" s="47"/>
      <c r="R102" s="47"/>
      <c r="S102" s="47"/>
      <c r="T102" s="47"/>
    </row>
    <row r="103">
      <c r="A103" s="44" t="s">
        <v>558</v>
      </c>
      <c r="B103" s="44" t="s">
        <v>359</v>
      </c>
      <c r="C103" s="44" t="s">
        <v>349</v>
      </c>
      <c r="D103" s="44">
        <v>60.0</v>
      </c>
      <c r="E103" s="49">
        <v>0.03</v>
      </c>
      <c r="F103" s="44" t="s">
        <v>361</v>
      </c>
      <c r="G103" s="44" t="s">
        <v>362</v>
      </c>
      <c r="H103" s="44" t="s">
        <v>363</v>
      </c>
      <c r="I103" s="44" t="s">
        <v>349</v>
      </c>
      <c r="J103" s="44" t="s">
        <v>349</v>
      </c>
      <c r="K103" s="44" t="s">
        <v>558</v>
      </c>
      <c r="L103" s="45" t="s">
        <v>559</v>
      </c>
      <c r="M103" s="44" t="s">
        <v>560</v>
      </c>
      <c r="N103" s="46"/>
      <c r="O103" s="47"/>
      <c r="P103" s="47"/>
      <c r="Q103" s="47"/>
      <c r="R103" s="47"/>
      <c r="S103" s="47"/>
      <c r="T103" s="47"/>
    </row>
    <row r="104">
      <c r="A104" s="44" t="s">
        <v>561</v>
      </c>
      <c r="B104" s="44" t="s">
        <v>359</v>
      </c>
      <c r="C104" s="44" t="s">
        <v>349</v>
      </c>
      <c r="D104" s="44" t="s">
        <v>360</v>
      </c>
      <c r="E104" s="44" t="s">
        <v>349</v>
      </c>
      <c r="F104" s="44" t="s">
        <v>361</v>
      </c>
      <c r="G104" s="44" t="s">
        <v>362</v>
      </c>
      <c r="H104" s="44" t="s">
        <v>363</v>
      </c>
      <c r="I104" s="44" t="s">
        <v>349</v>
      </c>
      <c r="J104" s="44" t="s">
        <v>349</v>
      </c>
      <c r="K104" s="44" t="s">
        <v>561</v>
      </c>
      <c r="L104" s="45" t="s">
        <v>562</v>
      </c>
      <c r="M104" s="44" t="s">
        <v>563</v>
      </c>
      <c r="N104" s="46"/>
      <c r="O104" s="47"/>
      <c r="P104" s="47"/>
      <c r="Q104" s="47"/>
      <c r="R104" s="47"/>
      <c r="S104" s="47"/>
      <c r="T104" s="47"/>
    </row>
    <row r="105">
      <c r="A105" s="44" t="s">
        <v>564</v>
      </c>
      <c r="B105" s="44" t="s">
        <v>565</v>
      </c>
      <c r="C105" s="44" t="s">
        <v>349</v>
      </c>
      <c r="D105" s="44" t="s">
        <v>349</v>
      </c>
      <c r="E105" s="44" t="s">
        <v>349</v>
      </c>
      <c r="F105" s="44" t="s">
        <v>566</v>
      </c>
      <c r="G105" s="44" t="s">
        <v>349</v>
      </c>
      <c r="H105" s="44" t="s">
        <v>567</v>
      </c>
      <c r="I105" s="44" t="s">
        <v>349</v>
      </c>
      <c r="J105" s="44" t="s">
        <v>349</v>
      </c>
      <c r="K105" s="44" t="s">
        <v>568</v>
      </c>
      <c r="L105" s="45" t="s">
        <v>569</v>
      </c>
      <c r="M105" s="44" t="s">
        <v>570</v>
      </c>
      <c r="N105" s="46"/>
      <c r="O105" s="47"/>
      <c r="P105" s="47"/>
      <c r="Q105" s="47"/>
      <c r="R105" s="47"/>
      <c r="S105" s="47"/>
      <c r="T105" s="47"/>
    </row>
    <row r="106">
      <c r="A106" s="44" t="s">
        <v>571</v>
      </c>
      <c r="B106" s="44" t="s">
        <v>349</v>
      </c>
      <c r="C106" s="44" t="s">
        <v>349</v>
      </c>
      <c r="D106" s="44" t="s">
        <v>349</v>
      </c>
      <c r="E106" s="44" t="s">
        <v>349</v>
      </c>
      <c r="F106" s="44" t="s">
        <v>349</v>
      </c>
      <c r="G106" s="44" t="s">
        <v>349</v>
      </c>
      <c r="H106" s="44" t="s">
        <v>349</v>
      </c>
      <c r="I106" s="44" t="s">
        <v>349</v>
      </c>
      <c r="J106" s="44" t="s">
        <v>349</v>
      </c>
      <c r="K106" s="44" t="s">
        <v>349</v>
      </c>
      <c r="L106" s="45" t="s">
        <v>349</v>
      </c>
      <c r="M106" s="44" t="s">
        <v>349</v>
      </c>
      <c r="N106" s="46"/>
      <c r="O106" s="47"/>
      <c r="P106" s="47"/>
      <c r="Q106" s="47"/>
      <c r="R106" s="47"/>
      <c r="S106" s="47"/>
      <c r="T106" s="47"/>
    </row>
    <row r="107">
      <c r="A107" s="44" t="s">
        <v>572</v>
      </c>
      <c r="B107" s="44" t="s">
        <v>374</v>
      </c>
      <c r="C107" s="44" t="s">
        <v>523</v>
      </c>
      <c r="D107" s="44">
        <v>60.0</v>
      </c>
      <c r="E107" s="49">
        <v>0.03</v>
      </c>
      <c r="F107" s="44" t="s">
        <v>375</v>
      </c>
      <c r="G107" s="44" t="s">
        <v>376</v>
      </c>
      <c r="H107" s="44">
        <v>9.83145167E9</v>
      </c>
      <c r="I107" s="44" t="s">
        <v>349</v>
      </c>
      <c r="J107" s="44" t="s">
        <v>349</v>
      </c>
      <c r="K107" s="44" t="s">
        <v>572</v>
      </c>
      <c r="L107" s="45" t="s">
        <v>573</v>
      </c>
      <c r="M107" s="44" t="s">
        <v>574</v>
      </c>
      <c r="N107" s="46"/>
      <c r="O107" s="47"/>
      <c r="P107" s="47"/>
      <c r="Q107" s="47"/>
      <c r="R107" s="47"/>
      <c r="S107" s="47"/>
      <c r="T107" s="47"/>
    </row>
    <row r="108">
      <c r="A108" s="44" t="s">
        <v>575</v>
      </c>
      <c r="B108" s="44" t="s">
        <v>576</v>
      </c>
      <c r="C108" s="44" t="s">
        <v>577</v>
      </c>
      <c r="D108" s="44" t="s">
        <v>349</v>
      </c>
      <c r="E108" s="44" t="s">
        <v>349</v>
      </c>
      <c r="F108" s="44" t="s">
        <v>349</v>
      </c>
      <c r="G108" s="44" t="s">
        <v>349</v>
      </c>
      <c r="H108" s="44" t="s">
        <v>349</v>
      </c>
      <c r="I108" s="44" t="s">
        <v>349</v>
      </c>
      <c r="J108" s="44" t="s">
        <v>349</v>
      </c>
      <c r="K108" s="44" t="s">
        <v>575</v>
      </c>
      <c r="L108" s="50" t="s">
        <v>578</v>
      </c>
      <c r="M108" s="44" t="s">
        <v>579</v>
      </c>
      <c r="N108" s="46"/>
      <c r="O108" s="47"/>
      <c r="P108" s="47"/>
      <c r="Q108" s="47"/>
      <c r="R108" s="47"/>
      <c r="S108" s="47"/>
      <c r="T108" s="47"/>
    </row>
    <row r="109">
      <c r="A109" s="44" t="s">
        <v>580</v>
      </c>
      <c r="B109" s="44" t="s">
        <v>359</v>
      </c>
      <c r="C109" s="44" t="s">
        <v>349</v>
      </c>
      <c r="D109" s="44" t="s">
        <v>360</v>
      </c>
      <c r="E109" s="44" t="s">
        <v>349</v>
      </c>
      <c r="F109" s="44" t="s">
        <v>361</v>
      </c>
      <c r="G109" s="44" t="s">
        <v>362</v>
      </c>
      <c r="H109" s="44" t="s">
        <v>363</v>
      </c>
      <c r="I109" s="44" t="s">
        <v>349</v>
      </c>
      <c r="J109" s="44" t="s">
        <v>349</v>
      </c>
      <c r="K109" s="44" t="s">
        <v>349</v>
      </c>
      <c r="L109" s="45" t="s">
        <v>349</v>
      </c>
      <c r="M109" s="44" t="s">
        <v>349</v>
      </c>
      <c r="N109" s="46"/>
      <c r="O109" s="47"/>
      <c r="P109" s="47"/>
      <c r="Q109" s="47"/>
      <c r="R109" s="47"/>
      <c r="S109" s="47"/>
      <c r="T109" s="47"/>
    </row>
    <row r="110">
      <c r="A110" s="44" t="s">
        <v>581</v>
      </c>
      <c r="B110" s="44" t="s">
        <v>582</v>
      </c>
      <c r="C110" s="44" t="s">
        <v>349</v>
      </c>
      <c r="D110" s="44" t="s">
        <v>349</v>
      </c>
      <c r="E110" s="44" t="s">
        <v>349</v>
      </c>
      <c r="F110" s="44" t="s">
        <v>349</v>
      </c>
      <c r="G110" s="44" t="s">
        <v>349</v>
      </c>
      <c r="H110" s="44" t="s">
        <v>349</v>
      </c>
      <c r="I110" s="44" t="s">
        <v>349</v>
      </c>
      <c r="J110" s="44" t="s">
        <v>349</v>
      </c>
      <c r="K110" s="44" t="s">
        <v>581</v>
      </c>
      <c r="L110" s="45" t="s">
        <v>583</v>
      </c>
      <c r="M110" s="44" t="s">
        <v>584</v>
      </c>
      <c r="N110" s="46"/>
      <c r="O110" s="47"/>
      <c r="P110" s="47"/>
      <c r="Q110" s="47"/>
      <c r="R110" s="47"/>
      <c r="S110" s="47"/>
      <c r="T110" s="47"/>
    </row>
    <row r="111">
      <c r="A111" s="44" t="s">
        <v>585</v>
      </c>
      <c r="B111" s="44" t="s">
        <v>349</v>
      </c>
      <c r="C111" s="44" t="s">
        <v>349</v>
      </c>
      <c r="D111" s="44" t="s">
        <v>349</v>
      </c>
      <c r="E111" s="44" t="s">
        <v>349</v>
      </c>
      <c r="F111" s="44" t="s">
        <v>349</v>
      </c>
      <c r="G111" s="44" t="s">
        <v>349</v>
      </c>
      <c r="H111" s="44" t="s">
        <v>349</v>
      </c>
      <c r="I111" s="44" t="s">
        <v>349</v>
      </c>
      <c r="J111" s="44" t="s">
        <v>349</v>
      </c>
      <c r="K111" s="44" t="s">
        <v>349</v>
      </c>
      <c r="L111" s="45" t="s">
        <v>349</v>
      </c>
      <c r="M111" s="44" t="s">
        <v>349</v>
      </c>
      <c r="N111" s="46"/>
      <c r="O111" s="47"/>
      <c r="P111" s="47"/>
      <c r="Q111" s="47"/>
      <c r="R111" s="47"/>
      <c r="S111" s="47"/>
      <c r="T111" s="47"/>
    </row>
    <row r="112">
      <c r="A112" s="44" t="s">
        <v>586</v>
      </c>
      <c r="B112" s="44" t="s">
        <v>349</v>
      </c>
      <c r="C112" s="44" t="s">
        <v>349</v>
      </c>
      <c r="D112" s="44" t="s">
        <v>349</v>
      </c>
      <c r="E112" s="44" t="s">
        <v>349</v>
      </c>
      <c r="F112" s="44" t="s">
        <v>349</v>
      </c>
      <c r="G112" s="44" t="s">
        <v>349</v>
      </c>
      <c r="H112" s="44" t="s">
        <v>349</v>
      </c>
      <c r="I112" s="44" t="s">
        <v>349</v>
      </c>
      <c r="J112" s="44" t="s">
        <v>349</v>
      </c>
      <c r="K112" s="44" t="s">
        <v>349</v>
      </c>
      <c r="L112" s="45" t="s">
        <v>349</v>
      </c>
      <c r="M112" s="44" t="s">
        <v>349</v>
      </c>
      <c r="N112" s="46"/>
      <c r="O112" s="47"/>
      <c r="P112" s="47"/>
      <c r="Q112" s="47"/>
      <c r="R112" s="47"/>
      <c r="S112" s="47"/>
      <c r="T112" s="47"/>
    </row>
    <row r="113">
      <c r="A113" s="44" t="s">
        <v>587</v>
      </c>
      <c r="B113" s="44" t="s">
        <v>349</v>
      </c>
      <c r="C113" s="44" t="s">
        <v>349</v>
      </c>
      <c r="D113" s="44" t="s">
        <v>349</v>
      </c>
      <c r="E113" s="44" t="s">
        <v>349</v>
      </c>
      <c r="F113" s="44" t="s">
        <v>349</v>
      </c>
      <c r="G113" s="44" t="s">
        <v>349</v>
      </c>
      <c r="H113" s="44" t="s">
        <v>349</v>
      </c>
      <c r="I113" s="44" t="s">
        <v>349</v>
      </c>
      <c r="J113" s="44" t="s">
        <v>349</v>
      </c>
      <c r="K113" s="44" t="s">
        <v>349</v>
      </c>
      <c r="L113" s="45" t="s">
        <v>349</v>
      </c>
      <c r="M113" s="44" t="s">
        <v>349</v>
      </c>
      <c r="N113" s="46"/>
      <c r="O113" s="47"/>
      <c r="P113" s="47"/>
      <c r="Q113" s="47"/>
      <c r="R113" s="47"/>
      <c r="S113" s="47"/>
      <c r="T113" s="47"/>
    </row>
    <row r="114">
      <c r="A114" s="44" t="s">
        <v>588</v>
      </c>
      <c r="B114" s="44" t="s">
        <v>349</v>
      </c>
      <c r="C114" s="44" t="s">
        <v>349</v>
      </c>
      <c r="D114" s="44" t="s">
        <v>349</v>
      </c>
      <c r="E114" s="44" t="s">
        <v>349</v>
      </c>
      <c r="F114" s="44" t="s">
        <v>349</v>
      </c>
      <c r="G114" s="44" t="s">
        <v>349</v>
      </c>
      <c r="H114" s="44" t="s">
        <v>349</v>
      </c>
      <c r="I114" s="44" t="s">
        <v>349</v>
      </c>
      <c r="J114" s="44" t="s">
        <v>349</v>
      </c>
      <c r="K114" s="44" t="s">
        <v>349</v>
      </c>
      <c r="L114" s="45" t="s">
        <v>349</v>
      </c>
      <c r="M114" s="44" t="s">
        <v>349</v>
      </c>
      <c r="N114" s="46"/>
      <c r="O114" s="47"/>
      <c r="P114" s="47"/>
      <c r="Q114" s="47"/>
      <c r="R114" s="47"/>
      <c r="S114" s="47"/>
      <c r="T114" s="47"/>
    </row>
    <row r="115">
      <c r="A115" s="44" t="s">
        <v>589</v>
      </c>
      <c r="B115" s="44" t="s">
        <v>359</v>
      </c>
      <c r="C115" s="44" t="s">
        <v>349</v>
      </c>
      <c r="D115" s="44">
        <v>80.0</v>
      </c>
      <c r="E115" s="49">
        <v>0.05</v>
      </c>
      <c r="F115" s="44" t="s">
        <v>361</v>
      </c>
      <c r="G115" s="44" t="s">
        <v>362</v>
      </c>
      <c r="H115" s="44" t="s">
        <v>363</v>
      </c>
      <c r="I115" s="44" t="s">
        <v>349</v>
      </c>
      <c r="J115" s="44" t="s">
        <v>349</v>
      </c>
      <c r="K115" s="44" t="s">
        <v>589</v>
      </c>
      <c r="L115" s="45" t="s">
        <v>590</v>
      </c>
      <c r="M115" s="44" t="s">
        <v>591</v>
      </c>
      <c r="N115" s="46"/>
      <c r="O115" s="47"/>
      <c r="P115" s="47"/>
      <c r="Q115" s="47"/>
      <c r="R115" s="47"/>
      <c r="S115" s="47"/>
      <c r="T115" s="47"/>
    </row>
    <row r="116">
      <c r="A116" s="44" t="s">
        <v>592</v>
      </c>
      <c r="B116" s="44" t="s">
        <v>359</v>
      </c>
      <c r="C116" s="44" t="s">
        <v>349</v>
      </c>
      <c r="D116" s="44" t="s">
        <v>360</v>
      </c>
      <c r="E116" s="44" t="s">
        <v>349</v>
      </c>
      <c r="F116" s="44" t="s">
        <v>361</v>
      </c>
      <c r="G116" s="44" t="s">
        <v>362</v>
      </c>
      <c r="H116" s="44" t="s">
        <v>363</v>
      </c>
      <c r="I116" s="44" t="s">
        <v>349</v>
      </c>
      <c r="J116" s="44" t="s">
        <v>349</v>
      </c>
      <c r="K116" s="44" t="s">
        <v>592</v>
      </c>
      <c r="L116" s="50" t="s">
        <v>593</v>
      </c>
      <c r="M116" s="44" t="s">
        <v>594</v>
      </c>
      <c r="N116" s="46"/>
      <c r="O116" s="47"/>
      <c r="P116" s="47"/>
      <c r="Q116" s="47"/>
      <c r="R116" s="47"/>
      <c r="S116" s="47"/>
      <c r="T116" s="47"/>
    </row>
    <row r="117">
      <c r="A117" s="44" t="s">
        <v>595</v>
      </c>
      <c r="B117" s="44" t="s">
        <v>349</v>
      </c>
      <c r="C117" s="44" t="s">
        <v>349</v>
      </c>
      <c r="D117" s="44" t="s">
        <v>349</v>
      </c>
      <c r="E117" s="44" t="s">
        <v>349</v>
      </c>
      <c r="F117" s="44" t="s">
        <v>349</v>
      </c>
      <c r="G117" s="44" t="s">
        <v>349</v>
      </c>
      <c r="H117" s="44" t="s">
        <v>349</v>
      </c>
      <c r="I117" s="44" t="s">
        <v>349</v>
      </c>
      <c r="J117" s="44" t="s">
        <v>349</v>
      </c>
      <c r="K117" s="44" t="s">
        <v>349</v>
      </c>
      <c r="L117" s="45" t="s">
        <v>349</v>
      </c>
      <c r="M117" s="44" t="s">
        <v>349</v>
      </c>
      <c r="N117" s="46"/>
      <c r="O117" s="47"/>
      <c r="P117" s="47"/>
      <c r="Q117" s="47"/>
      <c r="R117" s="47"/>
      <c r="S117" s="47"/>
      <c r="T117" s="47"/>
    </row>
    <row r="118">
      <c r="A118" s="44" t="s">
        <v>596</v>
      </c>
      <c r="B118" s="44" t="s">
        <v>383</v>
      </c>
      <c r="C118" s="44" t="s">
        <v>412</v>
      </c>
      <c r="D118" s="44">
        <v>21.0</v>
      </c>
      <c r="E118" s="49">
        <v>0.02</v>
      </c>
      <c r="F118" s="44" t="s">
        <v>396</v>
      </c>
      <c r="G118" s="44" t="s">
        <v>349</v>
      </c>
      <c r="H118" s="44" t="s">
        <v>349</v>
      </c>
      <c r="I118" s="44" t="s">
        <v>349</v>
      </c>
      <c r="J118" s="44" t="s">
        <v>349</v>
      </c>
      <c r="K118" s="44" t="s">
        <v>596</v>
      </c>
      <c r="L118" s="45" t="s">
        <v>597</v>
      </c>
      <c r="M118" s="44" t="s">
        <v>598</v>
      </c>
      <c r="N118" s="46"/>
      <c r="O118" s="47"/>
      <c r="P118" s="47"/>
      <c r="Q118" s="47"/>
      <c r="R118" s="47"/>
      <c r="S118" s="47"/>
      <c r="T118" s="47"/>
    </row>
    <row r="119">
      <c r="A119" s="44" t="s">
        <v>599</v>
      </c>
      <c r="B119" s="44" t="s">
        <v>349</v>
      </c>
      <c r="C119" s="44" t="s">
        <v>349</v>
      </c>
      <c r="D119" s="44" t="s">
        <v>349</v>
      </c>
      <c r="E119" s="44" t="s">
        <v>349</v>
      </c>
      <c r="F119" s="44" t="s">
        <v>349</v>
      </c>
      <c r="G119" s="44" t="s">
        <v>349</v>
      </c>
      <c r="H119" s="44" t="s">
        <v>349</v>
      </c>
      <c r="I119" s="44" t="s">
        <v>349</v>
      </c>
      <c r="J119" s="44" t="s">
        <v>349</v>
      </c>
      <c r="K119" s="44" t="s">
        <v>349</v>
      </c>
      <c r="L119" s="45" t="s">
        <v>349</v>
      </c>
      <c r="M119" s="44" t="s">
        <v>349</v>
      </c>
      <c r="N119" s="46"/>
      <c r="O119" s="47"/>
      <c r="P119" s="47"/>
      <c r="Q119" s="47"/>
      <c r="R119" s="47"/>
      <c r="S119" s="47"/>
      <c r="T119" s="47"/>
    </row>
    <row r="120">
      <c r="A120" s="44" t="s">
        <v>600</v>
      </c>
      <c r="B120" s="44" t="s">
        <v>349</v>
      </c>
      <c r="C120" s="44" t="s">
        <v>349</v>
      </c>
      <c r="D120" s="44" t="s">
        <v>349</v>
      </c>
      <c r="E120" s="44" t="s">
        <v>349</v>
      </c>
      <c r="F120" s="44" t="s">
        <v>349</v>
      </c>
      <c r="G120" s="44" t="s">
        <v>349</v>
      </c>
      <c r="H120" s="44" t="s">
        <v>349</v>
      </c>
      <c r="I120" s="44" t="s">
        <v>349</v>
      </c>
      <c r="J120" s="44" t="s">
        <v>349</v>
      </c>
      <c r="K120" s="44" t="s">
        <v>349</v>
      </c>
      <c r="L120" s="45" t="s">
        <v>349</v>
      </c>
      <c r="M120" s="44" t="s">
        <v>349</v>
      </c>
      <c r="N120" s="46"/>
      <c r="O120" s="47"/>
      <c r="P120" s="47"/>
      <c r="Q120" s="47"/>
      <c r="R120" s="47"/>
      <c r="S120" s="47"/>
      <c r="T120" s="47"/>
    </row>
    <row r="121">
      <c r="A121" s="44" t="s">
        <v>601</v>
      </c>
      <c r="B121" s="44" t="s">
        <v>565</v>
      </c>
      <c r="C121" s="44" t="s">
        <v>349</v>
      </c>
      <c r="D121" s="44" t="s">
        <v>349</v>
      </c>
      <c r="E121" s="44" t="s">
        <v>349</v>
      </c>
      <c r="F121" s="44" t="s">
        <v>566</v>
      </c>
      <c r="G121" s="44" t="s">
        <v>349</v>
      </c>
      <c r="H121" s="44" t="s">
        <v>567</v>
      </c>
      <c r="I121" s="44" t="s">
        <v>349</v>
      </c>
      <c r="J121" s="44" t="s">
        <v>349</v>
      </c>
      <c r="K121" s="44" t="s">
        <v>568</v>
      </c>
      <c r="L121" s="45" t="s">
        <v>569</v>
      </c>
      <c r="M121" s="44" t="s">
        <v>570</v>
      </c>
      <c r="N121" s="46"/>
      <c r="O121" s="47"/>
      <c r="P121" s="47"/>
      <c r="Q121" s="47"/>
      <c r="R121" s="47"/>
      <c r="S121" s="47"/>
      <c r="T121" s="47"/>
    </row>
    <row r="122">
      <c r="A122" s="44" t="s">
        <v>602</v>
      </c>
      <c r="B122" s="44" t="s">
        <v>349</v>
      </c>
      <c r="C122" s="44" t="s">
        <v>349</v>
      </c>
      <c r="D122" s="44" t="s">
        <v>349</v>
      </c>
      <c r="E122" s="44" t="s">
        <v>349</v>
      </c>
      <c r="F122" s="44" t="s">
        <v>349</v>
      </c>
      <c r="G122" s="44" t="s">
        <v>349</v>
      </c>
      <c r="H122" s="44" t="s">
        <v>349</v>
      </c>
      <c r="I122" s="44" t="s">
        <v>349</v>
      </c>
      <c r="J122" s="44" t="s">
        <v>349</v>
      </c>
      <c r="K122" s="44" t="s">
        <v>349</v>
      </c>
      <c r="L122" s="45" t="s">
        <v>349</v>
      </c>
      <c r="M122" s="44" t="s">
        <v>349</v>
      </c>
      <c r="N122" s="46"/>
      <c r="O122" s="47"/>
      <c r="P122" s="47"/>
      <c r="Q122" s="47"/>
      <c r="R122" s="47"/>
      <c r="S122" s="47"/>
      <c r="T122" s="47"/>
    </row>
    <row r="123">
      <c r="A123" s="44" t="s">
        <v>603</v>
      </c>
      <c r="B123" s="44" t="s">
        <v>349</v>
      </c>
      <c r="C123" s="44" t="s">
        <v>349</v>
      </c>
      <c r="D123" s="44" t="s">
        <v>349</v>
      </c>
      <c r="E123" s="44" t="s">
        <v>349</v>
      </c>
      <c r="F123" s="44" t="s">
        <v>349</v>
      </c>
      <c r="G123" s="44" t="s">
        <v>349</v>
      </c>
      <c r="H123" s="44" t="s">
        <v>349</v>
      </c>
      <c r="I123" s="44" t="s">
        <v>349</v>
      </c>
      <c r="J123" s="44" t="s">
        <v>349</v>
      </c>
      <c r="K123" s="44" t="s">
        <v>349</v>
      </c>
      <c r="L123" s="45" t="s">
        <v>349</v>
      </c>
      <c r="M123" s="44" t="s">
        <v>349</v>
      </c>
      <c r="N123" s="46"/>
      <c r="O123" s="47"/>
      <c r="P123" s="47"/>
      <c r="Q123" s="47"/>
      <c r="R123" s="47"/>
      <c r="S123" s="47"/>
      <c r="T123" s="47"/>
    </row>
    <row r="124">
      <c r="A124" s="44" t="s">
        <v>604</v>
      </c>
      <c r="B124" s="44" t="s">
        <v>349</v>
      </c>
      <c r="C124" s="44" t="s">
        <v>349</v>
      </c>
      <c r="D124" s="44" t="s">
        <v>349</v>
      </c>
      <c r="E124" s="44" t="s">
        <v>349</v>
      </c>
      <c r="F124" s="44" t="s">
        <v>349</v>
      </c>
      <c r="G124" s="44" t="s">
        <v>349</v>
      </c>
      <c r="H124" s="44" t="s">
        <v>349</v>
      </c>
      <c r="I124" s="44" t="s">
        <v>349</v>
      </c>
      <c r="J124" s="44" t="s">
        <v>349</v>
      </c>
      <c r="K124" s="44" t="s">
        <v>349</v>
      </c>
      <c r="L124" s="45" t="s">
        <v>349</v>
      </c>
      <c r="M124" s="44" t="s">
        <v>349</v>
      </c>
      <c r="N124" s="46"/>
      <c r="O124" s="47"/>
      <c r="P124" s="47"/>
      <c r="Q124" s="47"/>
      <c r="R124" s="47"/>
      <c r="S124" s="47"/>
      <c r="T124" s="47"/>
    </row>
    <row r="125">
      <c r="A125" s="44" t="s">
        <v>605</v>
      </c>
      <c r="B125" s="44" t="s">
        <v>349</v>
      </c>
      <c r="C125" s="44" t="s">
        <v>349</v>
      </c>
      <c r="D125" s="44" t="s">
        <v>349</v>
      </c>
      <c r="E125" s="44" t="s">
        <v>349</v>
      </c>
      <c r="F125" s="44" t="s">
        <v>349</v>
      </c>
      <c r="G125" s="44" t="s">
        <v>349</v>
      </c>
      <c r="H125" s="44" t="s">
        <v>349</v>
      </c>
      <c r="I125" s="44" t="s">
        <v>349</v>
      </c>
      <c r="J125" s="44" t="s">
        <v>349</v>
      </c>
      <c r="K125" s="44" t="s">
        <v>349</v>
      </c>
      <c r="L125" s="45" t="s">
        <v>349</v>
      </c>
      <c r="M125" s="44" t="s">
        <v>349</v>
      </c>
      <c r="N125" s="46"/>
      <c r="O125" s="47"/>
      <c r="P125" s="47"/>
      <c r="Q125" s="47"/>
      <c r="R125" s="47"/>
      <c r="S125" s="47"/>
      <c r="T125" s="47"/>
    </row>
    <row r="126">
      <c r="A126" s="44" t="s">
        <v>606</v>
      </c>
      <c r="B126" s="44" t="s">
        <v>383</v>
      </c>
      <c r="C126" s="44" t="s">
        <v>349</v>
      </c>
      <c r="D126" s="44" t="s">
        <v>349</v>
      </c>
      <c r="E126" s="44" t="s">
        <v>349</v>
      </c>
      <c r="F126" s="44" t="s">
        <v>349</v>
      </c>
      <c r="G126" s="44" t="s">
        <v>349</v>
      </c>
      <c r="H126" s="44" t="s">
        <v>349</v>
      </c>
      <c r="I126" s="44" t="s">
        <v>349</v>
      </c>
      <c r="J126" s="44" t="s">
        <v>349</v>
      </c>
      <c r="K126" s="44" t="s">
        <v>606</v>
      </c>
      <c r="L126" s="45" t="s">
        <v>607</v>
      </c>
      <c r="M126" s="44" t="s">
        <v>608</v>
      </c>
      <c r="N126" s="46"/>
      <c r="O126" s="47"/>
      <c r="P126" s="47"/>
      <c r="Q126" s="47"/>
      <c r="R126" s="47"/>
      <c r="S126" s="47"/>
      <c r="T126" s="47"/>
    </row>
    <row r="127">
      <c r="A127" s="44" t="s">
        <v>609</v>
      </c>
      <c r="B127" s="44" t="s">
        <v>383</v>
      </c>
      <c r="C127" s="44" t="s">
        <v>349</v>
      </c>
      <c r="D127" s="44" t="s">
        <v>349</v>
      </c>
      <c r="E127" s="44" t="s">
        <v>349</v>
      </c>
      <c r="F127" s="44" t="s">
        <v>349</v>
      </c>
      <c r="G127" s="44" t="s">
        <v>349</v>
      </c>
      <c r="H127" s="44" t="s">
        <v>349</v>
      </c>
      <c r="I127" s="44" t="s">
        <v>349</v>
      </c>
      <c r="J127" s="44" t="s">
        <v>349</v>
      </c>
      <c r="K127" s="44" t="s">
        <v>609</v>
      </c>
      <c r="L127" s="45" t="s">
        <v>610</v>
      </c>
      <c r="M127" s="44" t="s">
        <v>611</v>
      </c>
      <c r="N127" s="46"/>
      <c r="O127" s="47"/>
      <c r="P127" s="47"/>
      <c r="Q127" s="47"/>
      <c r="R127" s="47"/>
      <c r="S127" s="47"/>
      <c r="T127" s="47"/>
    </row>
    <row r="128">
      <c r="A128" s="44" t="s">
        <v>612</v>
      </c>
      <c r="B128" s="44" t="s">
        <v>349</v>
      </c>
      <c r="C128" s="44" t="s">
        <v>349</v>
      </c>
      <c r="D128" s="44" t="s">
        <v>349</v>
      </c>
      <c r="E128" s="44" t="s">
        <v>349</v>
      </c>
      <c r="F128" s="44" t="s">
        <v>349</v>
      </c>
      <c r="G128" s="44" t="s">
        <v>349</v>
      </c>
      <c r="H128" s="44" t="s">
        <v>349</v>
      </c>
      <c r="I128" s="44" t="s">
        <v>349</v>
      </c>
      <c r="J128" s="44" t="s">
        <v>349</v>
      </c>
      <c r="K128" s="44" t="s">
        <v>612</v>
      </c>
      <c r="L128" s="45" t="s">
        <v>613</v>
      </c>
      <c r="M128" s="44" t="s">
        <v>614</v>
      </c>
      <c r="N128" s="46"/>
      <c r="O128" s="47"/>
      <c r="P128" s="47"/>
      <c r="Q128" s="47"/>
      <c r="R128" s="47"/>
      <c r="S128" s="47"/>
      <c r="T128" s="47"/>
    </row>
    <row r="129">
      <c r="A129" s="44" t="s">
        <v>615</v>
      </c>
      <c r="B129" s="44" t="s">
        <v>383</v>
      </c>
      <c r="C129" s="44" t="s">
        <v>412</v>
      </c>
      <c r="D129" s="44">
        <v>10.0</v>
      </c>
      <c r="E129" s="49">
        <v>0.02</v>
      </c>
      <c r="F129" s="44" t="s">
        <v>349</v>
      </c>
      <c r="G129" s="44" t="s">
        <v>349</v>
      </c>
      <c r="H129" s="44" t="s">
        <v>349</v>
      </c>
      <c r="I129" s="44" t="s">
        <v>349</v>
      </c>
      <c r="J129" s="44" t="s">
        <v>349</v>
      </c>
      <c r="K129" s="44" t="s">
        <v>615</v>
      </c>
      <c r="L129" s="45" t="s">
        <v>616</v>
      </c>
      <c r="M129" s="44" t="s">
        <v>617</v>
      </c>
      <c r="N129" s="46"/>
      <c r="O129" s="47"/>
      <c r="P129" s="47"/>
      <c r="Q129" s="47"/>
      <c r="R129" s="47"/>
      <c r="S129" s="47"/>
      <c r="T129" s="47"/>
    </row>
    <row r="130">
      <c r="A130" s="44" t="s">
        <v>618</v>
      </c>
      <c r="B130" s="44" t="s">
        <v>349</v>
      </c>
      <c r="C130" s="44" t="s">
        <v>349</v>
      </c>
      <c r="D130" s="44" t="s">
        <v>349</v>
      </c>
      <c r="E130" s="44" t="s">
        <v>349</v>
      </c>
      <c r="F130" s="44" t="s">
        <v>349</v>
      </c>
      <c r="G130" s="44" t="s">
        <v>349</v>
      </c>
      <c r="H130" s="44" t="s">
        <v>349</v>
      </c>
      <c r="I130" s="44" t="s">
        <v>349</v>
      </c>
      <c r="J130" s="44" t="s">
        <v>349</v>
      </c>
      <c r="K130" s="44" t="s">
        <v>349</v>
      </c>
      <c r="L130" s="45" t="s">
        <v>349</v>
      </c>
      <c r="M130" s="44" t="s">
        <v>349</v>
      </c>
      <c r="N130" s="46"/>
      <c r="O130" s="47"/>
      <c r="P130" s="47"/>
      <c r="Q130" s="47"/>
      <c r="R130" s="47"/>
      <c r="S130" s="47"/>
      <c r="T130" s="47"/>
    </row>
    <row r="131">
      <c r="A131" s="44" t="s">
        <v>619</v>
      </c>
      <c r="B131" s="44" t="s">
        <v>349</v>
      </c>
      <c r="C131" s="44" t="s">
        <v>349</v>
      </c>
      <c r="D131" s="44" t="s">
        <v>349</v>
      </c>
      <c r="E131" s="44" t="s">
        <v>349</v>
      </c>
      <c r="F131" s="44" t="s">
        <v>349</v>
      </c>
      <c r="G131" s="44" t="s">
        <v>349</v>
      </c>
      <c r="H131" s="44" t="s">
        <v>349</v>
      </c>
      <c r="I131" s="44" t="s">
        <v>349</v>
      </c>
      <c r="J131" s="44" t="s">
        <v>349</v>
      </c>
      <c r="K131" s="44" t="s">
        <v>349</v>
      </c>
      <c r="L131" s="45" t="s">
        <v>349</v>
      </c>
      <c r="M131" s="44" t="s">
        <v>349</v>
      </c>
      <c r="N131" s="46"/>
      <c r="O131" s="47"/>
      <c r="P131" s="47"/>
      <c r="Q131" s="47"/>
      <c r="R131" s="47"/>
      <c r="S131" s="47"/>
      <c r="T131" s="47"/>
    </row>
    <row r="132">
      <c r="A132" s="44" t="s">
        <v>620</v>
      </c>
      <c r="B132" s="44" t="s">
        <v>383</v>
      </c>
      <c r="C132" s="44" t="s">
        <v>621</v>
      </c>
      <c r="D132" s="44" t="s">
        <v>349</v>
      </c>
      <c r="E132" s="44" t="s">
        <v>349</v>
      </c>
      <c r="F132" s="44" t="s">
        <v>349</v>
      </c>
      <c r="G132" s="44" t="s">
        <v>349</v>
      </c>
      <c r="H132" s="44" t="s">
        <v>349</v>
      </c>
      <c r="I132" s="44" t="s">
        <v>349</v>
      </c>
      <c r="J132" s="44" t="s">
        <v>349</v>
      </c>
      <c r="K132" s="44" t="s">
        <v>620</v>
      </c>
      <c r="L132" s="45" t="s">
        <v>622</v>
      </c>
      <c r="M132" s="44" t="s">
        <v>539</v>
      </c>
      <c r="N132" s="46"/>
      <c r="O132" s="47"/>
      <c r="P132" s="47"/>
      <c r="Q132" s="47"/>
      <c r="R132" s="47"/>
      <c r="S132" s="47"/>
      <c r="T132" s="47"/>
    </row>
    <row r="133">
      <c r="A133" s="44" t="s">
        <v>623</v>
      </c>
      <c r="B133" s="44" t="s">
        <v>383</v>
      </c>
      <c r="C133" s="44" t="s">
        <v>349</v>
      </c>
      <c r="D133" s="44" t="s">
        <v>349</v>
      </c>
      <c r="E133" s="44" t="s">
        <v>349</v>
      </c>
      <c r="F133" s="44" t="s">
        <v>349</v>
      </c>
      <c r="G133" s="44" t="s">
        <v>349</v>
      </c>
      <c r="H133" s="44" t="s">
        <v>349</v>
      </c>
      <c r="I133" s="44" t="s">
        <v>349</v>
      </c>
      <c r="J133" s="44" t="s">
        <v>349</v>
      </c>
      <c r="K133" s="44" t="s">
        <v>623</v>
      </c>
      <c r="L133" s="45" t="s">
        <v>624</v>
      </c>
      <c r="M133" s="44" t="s">
        <v>539</v>
      </c>
      <c r="N133" s="46"/>
      <c r="O133" s="47"/>
      <c r="P133" s="47"/>
      <c r="Q133" s="47"/>
      <c r="R133" s="47"/>
      <c r="S133" s="47"/>
      <c r="T133" s="47"/>
    </row>
    <row r="134">
      <c r="A134" s="44" t="s">
        <v>625</v>
      </c>
      <c r="B134" s="44" t="s">
        <v>383</v>
      </c>
      <c r="C134" s="44" t="s">
        <v>349</v>
      </c>
      <c r="D134" s="44">
        <v>30.0</v>
      </c>
      <c r="E134" s="49">
        <v>0.02</v>
      </c>
      <c r="F134" s="44" t="s">
        <v>396</v>
      </c>
      <c r="G134" s="44" t="s">
        <v>349</v>
      </c>
      <c r="H134" s="44" t="s">
        <v>349</v>
      </c>
      <c r="I134" s="44" t="s">
        <v>349</v>
      </c>
      <c r="J134" s="44" t="s">
        <v>349</v>
      </c>
      <c r="K134" s="44" t="s">
        <v>625</v>
      </c>
      <c r="L134" s="45" t="s">
        <v>626</v>
      </c>
      <c r="M134" s="44" t="s">
        <v>627</v>
      </c>
      <c r="N134" s="46"/>
      <c r="O134" s="47"/>
      <c r="P134" s="47"/>
      <c r="Q134" s="47"/>
      <c r="R134" s="47"/>
      <c r="S134" s="47"/>
      <c r="T134" s="47"/>
    </row>
    <row r="135">
      <c r="A135" s="44" t="s">
        <v>628</v>
      </c>
      <c r="B135" s="44" t="s">
        <v>349</v>
      </c>
      <c r="C135" s="44" t="s">
        <v>349</v>
      </c>
      <c r="D135" s="44" t="s">
        <v>349</v>
      </c>
      <c r="E135" s="44" t="s">
        <v>349</v>
      </c>
      <c r="F135" s="44" t="s">
        <v>349</v>
      </c>
      <c r="G135" s="44" t="s">
        <v>349</v>
      </c>
      <c r="H135" s="44" t="s">
        <v>349</v>
      </c>
      <c r="I135" s="44" t="s">
        <v>349</v>
      </c>
      <c r="J135" s="44" t="s">
        <v>349</v>
      </c>
      <c r="K135" s="44" t="s">
        <v>349</v>
      </c>
      <c r="L135" s="45" t="s">
        <v>349</v>
      </c>
      <c r="M135" s="44" t="s">
        <v>349</v>
      </c>
      <c r="N135" s="46"/>
      <c r="O135" s="47"/>
      <c r="P135" s="47"/>
      <c r="Q135" s="47"/>
      <c r="R135" s="47"/>
      <c r="S135" s="47"/>
      <c r="T135" s="47"/>
    </row>
    <row r="136">
      <c r="A136" s="44" t="s">
        <v>629</v>
      </c>
      <c r="B136" s="44" t="s">
        <v>359</v>
      </c>
      <c r="C136" s="44" t="s">
        <v>349</v>
      </c>
      <c r="D136" s="44" t="s">
        <v>360</v>
      </c>
      <c r="E136" s="44" t="s">
        <v>349</v>
      </c>
      <c r="F136" s="44" t="s">
        <v>361</v>
      </c>
      <c r="G136" s="44" t="s">
        <v>362</v>
      </c>
      <c r="H136" s="44" t="s">
        <v>363</v>
      </c>
      <c r="I136" s="44" t="s">
        <v>349</v>
      </c>
      <c r="J136" s="44" t="s">
        <v>349</v>
      </c>
      <c r="K136" s="44" t="s">
        <v>629</v>
      </c>
      <c r="L136" s="45" t="s">
        <v>630</v>
      </c>
      <c r="M136" s="44" t="s">
        <v>631</v>
      </c>
      <c r="N136" s="46"/>
      <c r="O136" s="47"/>
      <c r="P136" s="47"/>
      <c r="Q136" s="47"/>
      <c r="R136" s="47"/>
      <c r="S136" s="47"/>
      <c r="T136" s="47"/>
    </row>
    <row r="137">
      <c r="A137" s="44" t="s">
        <v>632</v>
      </c>
      <c r="B137" s="44" t="s">
        <v>349</v>
      </c>
      <c r="C137" s="44" t="s">
        <v>349</v>
      </c>
      <c r="D137" s="44" t="s">
        <v>349</v>
      </c>
      <c r="E137" s="44" t="s">
        <v>349</v>
      </c>
      <c r="F137" s="44" t="s">
        <v>349</v>
      </c>
      <c r="G137" s="44" t="s">
        <v>349</v>
      </c>
      <c r="H137" s="44" t="s">
        <v>349</v>
      </c>
      <c r="I137" s="44" t="s">
        <v>349</v>
      </c>
      <c r="J137" s="44" t="s">
        <v>349</v>
      </c>
      <c r="K137" s="44" t="s">
        <v>349</v>
      </c>
      <c r="L137" s="45" t="s">
        <v>349</v>
      </c>
      <c r="M137" s="44" t="s">
        <v>349</v>
      </c>
      <c r="N137" s="46"/>
      <c r="O137" s="47"/>
      <c r="P137" s="47"/>
      <c r="Q137" s="47"/>
      <c r="R137" s="47"/>
      <c r="S137" s="47"/>
      <c r="T137" s="47"/>
    </row>
    <row r="138">
      <c r="A138" s="44" t="s">
        <v>633</v>
      </c>
      <c r="B138" s="44" t="s">
        <v>349</v>
      </c>
      <c r="C138" s="44" t="s">
        <v>349</v>
      </c>
      <c r="D138" s="44" t="s">
        <v>349</v>
      </c>
      <c r="E138" s="44" t="s">
        <v>349</v>
      </c>
      <c r="F138" s="44" t="s">
        <v>349</v>
      </c>
      <c r="G138" s="44" t="s">
        <v>349</v>
      </c>
      <c r="H138" s="44" t="s">
        <v>349</v>
      </c>
      <c r="I138" s="44" t="s">
        <v>349</v>
      </c>
      <c r="J138" s="44" t="s">
        <v>349</v>
      </c>
      <c r="K138" s="44" t="s">
        <v>349</v>
      </c>
      <c r="L138" s="45" t="s">
        <v>349</v>
      </c>
      <c r="M138" s="44" t="s">
        <v>349</v>
      </c>
      <c r="N138" s="46"/>
      <c r="O138" s="47"/>
      <c r="P138" s="47"/>
      <c r="Q138" s="47"/>
      <c r="R138" s="47"/>
      <c r="S138" s="47"/>
      <c r="T138" s="47"/>
    </row>
    <row r="139">
      <c r="A139" s="44" t="s">
        <v>634</v>
      </c>
      <c r="B139" s="44" t="s">
        <v>359</v>
      </c>
      <c r="C139" s="44" t="s">
        <v>349</v>
      </c>
      <c r="D139" s="44" t="s">
        <v>360</v>
      </c>
      <c r="E139" s="44" t="s">
        <v>349</v>
      </c>
      <c r="F139" s="44" t="s">
        <v>361</v>
      </c>
      <c r="G139" s="44" t="s">
        <v>362</v>
      </c>
      <c r="H139" s="44" t="s">
        <v>363</v>
      </c>
      <c r="I139" s="44" t="s">
        <v>349</v>
      </c>
      <c r="J139" s="44" t="s">
        <v>349</v>
      </c>
      <c r="K139" s="44" t="s">
        <v>634</v>
      </c>
      <c r="L139" s="45" t="s">
        <v>635</v>
      </c>
      <c r="M139" s="44" t="s">
        <v>636</v>
      </c>
      <c r="N139" s="46"/>
      <c r="O139" s="47"/>
      <c r="P139" s="47"/>
      <c r="Q139" s="47"/>
      <c r="R139" s="47"/>
      <c r="S139" s="47"/>
      <c r="T139" s="47"/>
    </row>
    <row r="140">
      <c r="A140" s="44" t="s">
        <v>637</v>
      </c>
      <c r="B140" s="44" t="s">
        <v>565</v>
      </c>
      <c r="C140" s="44" t="s">
        <v>638</v>
      </c>
      <c r="D140" s="44" t="s">
        <v>360</v>
      </c>
      <c r="E140" s="44" t="s">
        <v>349</v>
      </c>
      <c r="F140" s="44" t="s">
        <v>566</v>
      </c>
      <c r="G140" s="44" t="s">
        <v>349</v>
      </c>
      <c r="H140" s="44" t="s">
        <v>567</v>
      </c>
      <c r="I140" s="44" t="s">
        <v>349</v>
      </c>
      <c r="J140" s="44" t="s">
        <v>349</v>
      </c>
      <c r="K140" s="44" t="s">
        <v>568</v>
      </c>
      <c r="L140" s="45" t="s">
        <v>569</v>
      </c>
      <c r="M140" s="44" t="s">
        <v>570</v>
      </c>
      <c r="N140" s="46"/>
      <c r="O140" s="47"/>
      <c r="P140" s="47"/>
      <c r="Q140" s="47"/>
      <c r="R140" s="47"/>
      <c r="S140" s="47"/>
      <c r="T140" s="47"/>
    </row>
    <row r="141">
      <c r="A141" s="44" t="s">
        <v>639</v>
      </c>
      <c r="B141" s="44" t="s">
        <v>349</v>
      </c>
      <c r="C141" s="44" t="s">
        <v>349</v>
      </c>
      <c r="D141" s="44" t="s">
        <v>349</v>
      </c>
      <c r="E141" s="44" t="s">
        <v>349</v>
      </c>
      <c r="F141" s="44" t="s">
        <v>349</v>
      </c>
      <c r="G141" s="44" t="s">
        <v>349</v>
      </c>
      <c r="H141" s="44" t="s">
        <v>349</v>
      </c>
      <c r="I141" s="44" t="s">
        <v>349</v>
      </c>
      <c r="J141" s="44" t="s">
        <v>349</v>
      </c>
      <c r="K141" s="44" t="s">
        <v>349</v>
      </c>
      <c r="L141" s="45" t="s">
        <v>349</v>
      </c>
      <c r="M141" s="44" t="s">
        <v>349</v>
      </c>
      <c r="N141" s="46"/>
      <c r="O141" s="47"/>
      <c r="P141" s="47"/>
      <c r="Q141" s="47"/>
      <c r="R141" s="47"/>
      <c r="S141" s="47"/>
      <c r="T141" s="47"/>
    </row>
    <row r="142">
      <c r="A142" s="44" t="s">
        <v>640</v>
      </c>
      <c r="B142" s="44" t="s">
        <v>349</v>
      </c>
      <c r="C142" s="44" t="s">
        <v>349</v>
      </c>
      <c r="D142" s="44" t="s">
        <v>349</v>
      </c>
      <c r="E142" s="44" t="s">
        <v>349</v>
      </c>
      <c r="F142" s="44" t="s">
        <v>349</v>
      </c>
      <c r="G142" s="44" t="s">
        <v>349</v>
      </c>
      <c r="H142" s="44" t="s">
        <v>349</v>
      </c>
      <c r="I142" s="44" t="s">
        <v>349</v>
      </c>
      <c r="J142" s="44" t="s">
        <v>349</v>
      </c>
      <c r="K142" s="44" t="s">
        <v>349</v>
      </c>
      <c r="L142" s="45" t="s">
        <v>349</v>
      </c>
      <c r="M142" s="44" t="s">
        <v>349</v>
      </c>
      <c r="N142" s="46"/>
      <c r="O142" s="47"/>
      <c r="P142" s="47"/>
      <c r="Q142" s="47"/>
      <c r="R142" s="47"/>
      <c r="S142" s="47"/>
      <c r="T142" s="47"/>
    </row>
    <row r="143">
      <c r="A143" s="44" t="s">
        <v>641</v>
      </c>
      <c r="B143" s="44" t="s">
        <v>349</v>
      </c>
      <c r="C143" s="44" t="s">
        <v>349</v>
      </c>
      <c r="D143" s="44" t="s">
        <v>349</v>
      </c>
      <c r="E143" s="44" t="s">
        <v>349</v>
      </c>
      <c r="F143" s="44" t="s">
        <v>349</v>
      </c>
      <c r="G143" s="44" t="s">
        <v>349</v>
      </c>
      <c r="H143" s="44" t="s">
        <v>349</v>
      </c>
      <c r="I143" s="44" t="s">
        <v>349</v>
      </c>
      <c r="J143" s="44" t="s">
        <v>349</v>
      </c>
      <c r="K143" s="44" t="s">
        <v>349</v>
      </c>
      <c r="L143" s="45" t="s">
        <v>349</v>
      </c>
      <c r="M143" s="44" t="s">
        <v>349</v>
      </c>
      <c r="N143" s="46"/>
      <c r="O143" s="47"/>
      <c r="P143" s="47"/>
      <c r="Q143" s="47"/>
      <c r="R143" s="47"/>
      <c r="S143" s="47"/>
      <c r="T143" s="47"/>
    </row>
    <row r="144">
      <c r="A144" s="44" t="s">
        <v>642</v>
      </c>
      <c r="B144" s="44" t="s">
        <v>359</v>
      </c>
      <c r="C144" s="44" t="s">
        <v>349</v>
      </c>
      <c r="D144" s="44" t="s">
        <v>360</v>
      </c>
      <c r="E144" s="44" t="s">
        <v>349</v>
      </c>
      <c r="F144" s="44" t="s">
        <v>361</v>
      </c>
      <c r="G144" s="44" t="s">
        <v>362</v>
      </c>
      <c r="H144" s="44" t="s">
        <v>363</v>
      </c>
      <c r="I144" s="44" t="s">
        <v>349</v>
      </c>
      <c r="J144" s="44" t="s">
        <v>349</v>
      </c>
      <c r="K144" s="44" t="s">
        <v>642</v>
      </c>
      <c r="L144" s="45" t="s">
        <v>643</v>
      </c>
      <c r="M144" s="44" t="s">
        <v>644</v>
      </c>
      <c r="N144" s="46"/>
      <c r="O144" s="47"/>
      <c r="P144" s="47"/>
      <c r="Q144" s="47"/>
      <c r="R144" s="47"/>
      <c r="S144" s="47"/>
      <c r="T144" s="47"/>
    </row>
    <row r="145">
      <c r="A145" s="44" t="s">
        <v>645</v>
      </c>
      <c r="B145" s="44" t="s">
        <v>359</v>
      </c>
      <c r="C145" s="44" t="s">
        <v>349</v>
      </c>
      <c r="D145" s="44">
        <v>60.0</v>
      </c>
      <c r="E145" s="49">
        <v>0.05</v>
      </c>
      <c r="F145" s="44" t="s">
        <v>361</v>
      </c>
      <c r="G145" s="44" t="s">
        <v>362</v>
      </c>
      <c r="H145" s="44" t="s">
        <v>363</v>
      </c>
      <c r="I145" s="44" t="s">
        <v>349</v>
      </c>
      <c r="J145" s="44" t="s">
        <v>349</v>
      </c>
      <c r="K145" s="44" t="s">
        <v>645</v>
      </c>
      <c r="L145" s="45" t="s">
        <v>646</v>
      </c>
      <c r="M145" s="44" t="s">
        <v>647</v>
      </c>
      <c r="N145" s="46"/>
      <c r="O145" s="47"/>
      <c r="P145" s="47"/>
      <c r="Q145" s="47"/>
      <c r="R145" s="47"/>
      <c r="S145" s="47"/>
      <c r="T145" s="47"/>
    </row>
    <row r="146">
      <c r="A146" s="44" t="s">
        <v>648</v>
      </c>
      <c r="B146" s="44" t="s">
        <v>349</v>
      </c>
      <c r="C146" s="44" t="s">
        <v>349</v>
      </c>
      <c r="D146" s="44" t="s">
        <v>349</v>
      </c>
      <c r="E146" s="44" t="s">
        <v>349</v>
      </c>
      <c r="F146" s="44" t="s">
        <v>349</v>
      </c>
      <c r="G146" s="44" t="s">
        <v>349</v>
      </c>
      <c r="H146" s="44" t="s">
        <v>349</v>
      </c>
      <c r="I146" s="44" t="s">
        <v>349</v>
      </c>
      <c r="J146" s="44" t="s">
        <v>349</v>
      </c>
      <c r="K146" s="44" t="s">
        <v>349</v>
      </c>
      <c r="L146" s="45" t="s">
        <v>349</v>
      </c>
      <c r="M146" s="44" t="s">
        <v>349</v>
      </c>
      <c r="N146" s="46"/>
      <c r="O146" s="47"/>
      <c r="P146" s="47"/>
      <c r="Q146" s="47"/>
      <c r="R146" s="47"/>
      <c r="S146" s="47"/>
      <c r="T146" s="47"/>
    </row>
    <row r="147">
      <c r="A147" s="44" t="s">
        <v>649</v>
      </c>
      <c r="B147" s="44" t="s">
        <v>349</v>
      </c>
      <c r="C147" s="44" t="s">
        <v>349</v>
      </c>
      <c r="D147" s="44" t="s">
        <v>349</v>
      </c>
      <c r="E147" s="44" t="s">
        <v>349</v>
      </c>
      <c r="F147" s="44" t="s">
        <v>349</v>
      </c>
      <c r="G147" s="44" t="s">
        <v>349</v>
      </c>
      <c r="H147" s="44" t="s">
        <v>349</v>
      </c>
      <c r="I147" s="44" t="s">
        <v>349</v>
      </c>
      <c r="J147" s="44" t="s">
        <v>349</v>
      </c>
      <c r="K147" s="44" t="s">
        <v>349</v>
      </c>
      <c r="L147" s="45" t="s">
        <v>349</v>
      </c>
      <c r="M147" s="44" t="s">
        <v>349</v>
      </c>
      <c r="N147" s="46"/>
      <c r="O147" s="47"/>
      <c r="P147" s="47"/>
      <c r="Q147" s="47"/>
      <c r="R147" s="47"/>
      <c r="S147" s="47"/>
      <c r="T147" s="47"/>
    </row>
    <row r="148">
      <c r="A148" s="44" t="s">
        <v>650</v>
      </c>
      <c r="B148" s="44" t="s">
        <v>349</v>
      </c>
      <c r="C148" s="44" t="s">
        <v>349</v>
      </c>
      <c r="D148" s="44" t="s">
        <v>349</v>
      </c>
      <c r="E148" s="44" t="s">
        <v>349</v>
      </c>
      <c r="F148" s="44" t="s">
        <v>349</v>
      </c>
      <c r="G148" s="44" t="s">
        <v>349</v>
      </c>
      <c r="H148" s="44" t="s">
        <v>349</v>
      </c>
      <c r="I148" s="44" t="s">
        <v>349</v>
      </c>
      <c r="J148" s="44" t="s">
        <v>349</v>
      </c>
      <c r="K148" s="44" t="s">
        <v>349</v>
      </c>
      <c r="L148" s="45" t="s">
        <v>349</v>
      </c>
      <c r="M148" s="44" t="s">
        <v>349</v>
      </c>
      <c r="N148" s="46"/>
      <c r="O148" s="47"/>
      <c r="P148" s="47"/>
      <c r="Q148" s="47"/>
      <c r="R148" s="47"/>
      <c r="S148" s="47"/>
      <c r="T148" s="47"/>
    </row>
    <row r="149">
      <c r="A149" s="44" t="s">
        <v>651</v>
      </c>
      <c r="B149" s="44" t="s">
        <v>349</v>
      </c>
      <c r="C149" s="44" t="s">
        <v>349</v>
      </c>
      <c r="D149" s="44" t="s">
        <v>349</v>
      </c>
      <c r="E149" s="44" t="s">
        <v>349</v>
      </c>
      <c r="F149" s="44" t="s">
        <v>349</v>
      </c>
      <c r="G149" s="44" t="s">
        <v>349</v>
      </c>
      <c r="H149" s="44" t="s">
        <v>349</v>
      </c>
      <c r="I149" s="44" t="s">
        <v>349</v>
      </c>
      <c r="J149" s="44" t="s">
        <v>349</v>
      </c>
      <c r="K149" s="44" t="s">
        <v>349</v>
      </c>
      <c r="L149" s="45" t="s">
        <v>349</v>
      </c>
      <c r="M149" s="44" t="s">
        <v>349</v>
      </c>
      <c r="N149" s="46"/>
      <c r="O149" s="47"/>
      <c r="P149" s="47"/>
      <c r="Q149" s="47"/>
      <c r="R149" s="47"/>
      <c r="S149" s="47"/>
      <c r="T149" s="47"/>
    </row>
    <row r="150">
      <c r="A150" s="44" t="s">
        <v>652</v>
      </c>
      <c r="B150" s="44" t="s">
        <v>401</v>
      </c>
      <c r="C150" s="44" t="s">
        <v>653</v>
      </c>
      <c r="D150" s="44" t="s">
        <v>349</v>
      </c>
      <c r="E150" s="44" t="s">
        <v>349</v>
      </c>
      <c r="F150" s="44" t="s">
        <v>349</v>
      </c>
      <c r="G150" s="44" t="s">
        <v>349</v>
      </c>
      <c r="H150" s="44" t="s">
        <v>349</v>
      </c>
      <c r="I150" s="44" t="s">
        <v>349</v>
      </c>
      <c r="J150" s="44" t="s">
        <v>349</v>
      </c>
      <c r="K150" s="44" t="s">
        <v>652</v>
      </c>
      <c r="L150" s="45" t="s">
        <v>654</v>
      </c>
      <c r="M150" s="44" t="s">
        <v>655</v>
      </c>
      <c r="N150" s="46"/>
      <c r="O150" s="47"/>
      <c r="P150" s="47"/>
      <c r="Q150" s="47"/>
      <c r="R150" s="47"/>
      <c r="S150" s="47"/>
      <c r="T150" s="47"/>
    </row>
    <row r="151">
      <c r="A151" s="44" t="s">
        <v>656</v>
      </c>
      <c r="B151" s="44" t="s">
        <v>349</v>
      </c>
      <c r="C151" s="44" t="s">
        <v>349</v>
      </c>
      <c r="D151" s="44" t="s">
        <v>349</v>
      </c>
      <c r="E151" s="44" t="s">
        <v>349</v>
      </c>
      <c r="F151" s="44" t="s">
        <v>349</v>
      </c>
      <c r="G151" s="44" t="s">
        <v>349</v>
      </c>
      <c r="H151" s="44" t="s">
        <v>349</v>
      </c>
      <c r="I151" s="44" t="s">
        <v>349</v>
      </c>
      <c r="J151" s="44" t="s">
        <v>349</v>
      </c>
      <c r="K151" s="44" t="s">
        <v>349</v>
      </c>
      <c r="L151" s="45" t="s">
        <v>349</v>
      </c>
      <c r="M151" s="44" t="s">
        <v>349</v>
      </c>
      <c r="N151" s="46"/>
      <c r="O151" s="47"/>
      <c r="P151" s="47"/>
      <c r="Q151" s="47"/>
      <c r="R151" s="47"/>
      <c r="S151" s="47"/>
      <c r="T151" s="47"/>
    </row>
    <row r="152">
      <c r="A152" s="44" t="s">
        <v>657</v>
      </c>
      <c r="B152" s="44" t="s">
        <v>565</v>
      </c>
      <c r="C152" s="44" t="s">
        <v>349</v>
      </c>
      <c r="D152" s="44" t="s">
        <v>349</v>
      </c>
      <c r="E152" s="44" t="s">
        <v>349</v>
      </c>
      <c r="F152" s="44" t="s">
        <v>566</v>
      </c>
      <c r="G152" s="44" t="s">
        <v>349</v>
      </c>
      <c r="H152" s="44" t="s">
        <v>567</v>
      </c>
      <c r="I152" s="44" t="s">
        <v>349</v>
      </c>
      <c r="J152" s="44" t="s">
        <v>349</v>
      </c>
      <c r="K152" s="44" t="s">
        <v>568</v>
      </c>
      <c r="L152" s="45" t="s">
        <v>569</v>
      </c>
      <c r="M152" s="44" t="s">
        <v>570</v>
      </c>
      <c r="N152" s="46"/>
      <c r="O152" s="47"/>
      <c r="P152" s="47"/>
      <c r="Q152" s="47"/>
      <c r="R152" s="47"/>
      <c r="S152" s="47"/>
      <c r="T152" s="47"/>
    </row>
    <row r="153">
      <c r="A153" s="44" t="s">
        <v>658</v>
      </c>
      <c r="B153" s="44" t="s">
        <v>349</v>
      </c>
      <c r="C153" s="44" t="s">
        <v>349</v>
      </c>
      <c r="D153" s="44" t="s">
        <v>349</v>
      </c>
      <c r="E153" s="44" t="s">
        <v>349</v>
      </c>
      <c r="F153" s="44" t="s">
        <v>349</v>
      </c>
      <c r="G153" s="44" t="s">
        <v>349</v>
      </c>
      <c r="H153" s="44" t="s">
        <v>349</v>
      </c>
      <c r="I153" s="44" t="s">
        <v>349</v>
      </c>
      <c r="J153" s="44" t="s">
        <v>349</v>
      </c>
      <c r="K153" s="44" t="s">
        <v>349</v>
      </c>
      <c r="L153" s="45" t="s">
        <v>349</v>
      </c>
      <c r="M153" s="44" t="s">
        <v>349</v>
      </c>
      <c r="N153" s="46"/>
      <c r="O153" s="47"/>
      <c r="P153" s="47"/>
      <c r="Q153" s="47"/>
      <c r="R153" s="47"/>
      <c r="S153" s="47"/>
      <c r="T153" s="47"/>
    </row>
    <row r="154">
      <c r="A154" s="44" t="s">
        <v>659</v>
      </c>
      <c r="B154" s="44" t="s">
        <v>401</v>
      </c>
      <c r="C154" s="44" t="s">
        <v>349</v>
      </c>
      <c r="D154" s="44" t="s">
        <v>349</v>
      </c>
      <c r="E154" s="44" t="s">
        <v>349</v>
      </c>
      <c r="F154" s="44" t="s">
        <v>349</v>
      </c>
      <c r="G154" s="44" t="s">
        <v>349</v>
      </c>
      <c r="H154" s="44" t="s">
        <v>349</v>
      </c>
      <c r="I154" s="44" t="s">
        <v>349</v>
      </c>
      <c r="J154" s="44" t="s">
        <v>349</v>
      </c>
      <c r="K154" s="44" t="s">
        <v>659</v>
      </c>
      <c r="L154" s="50" t="s">
        <v>660</v>
      </c>
      <c r="M154" s="44" t="s">
        <v>661</v>
      </c>
      <c r="N154" s="46"/>
      <c r="O154" s="47"/>
      <c r="P154" s="47"/>
      <c r="Q154" s="47"/>
      <c r="R154" s="47"/>
      <c r="S154" s="47"/>
      <c r="T154" s="47"/>
    </row>
    <row r="155">
      <c r="A155" s="44" t="s">
        <v>662</v>
      </c>
      <c r="B155" s="44" t="s">
        <v>349</v>
      </c>
      <c r="C155" s="44" t="s">
        <v>349</v>
      </c>
      <c r="D155" s="44" t="s">
        <v>349</v>
      </c>
      <c r="E155" s="44" t="s">
        <v>349</v>
      </c>
      <c r="F155" s="44" t="s">
        <v>349</v>
      </c>
      <c r="G155" s="44" t="s">
        <v>349</v>
      </c>
      <c r="H155" s="44" t="s">
        <v>349</v>
      </c>
      <c r="I155" s="44" t="s">
        <v>349</v>
      </c>
      <c r="J155" s="44" t="s">
        <v>349</v>
      </c>
      <c r="K155" s="44" t="s">
        <v>349</v>
      </c>
      <c r="L155" s="45" t="s">
        <v>349</v>
      </c>
      <c r="M155" s="44" t="s">
        <v>349</v>
      </c>
      <c r="N155" s="46"/>
      <c r="O155" s="47"/>
      <c r="P155" s="47"/>
      <c r="Q155" s="47"/>
      <c r="R155" s="47"/>
      <c r="S155" s="47"/>
      <c r="T155" s="47"/>
    </row>
    <row r="156">
      <c r="A156" s="44" t="s">
        <v>663</v>
      </c>
      <c r="B156" s="44" t="s">
        <v>349</v>
      </c>
      <c r="C156" s="44" t="s">
        <v>349</v>
      </c>
      <c r="D156" s="44" t="s">
        <v>349</v>
      </c>
      <c r="E156" s="44" t="s">
        <v>349</v>
      </c>
      <c r="F156" s="44" t="s">
        <v>349</v>
      </c>
      <c r="G156" s="44" t="s">
        <v>349</v>
      </c>
      <c r="H156" s="44" t="s">
        <v>349</v>
      </c>
      <c r="I156" s="44" t="s">
        <v>349</v>
      </c>
      <c r="J156" s="44" t="s">
        <v>349</v>
      </c>
      <c r="K156" s="44" t="s">
        <v>349</v>
      </c>
      <c r="L156" s="45" t="s">
        <v>349</v>
      </c>
      <c r="M156" s="44" t="s">
        <v>349</v>
      </c>
      <c r="N156" s="46"/>
      <c r="O156" s="47"/>
      <c r="P156" s="47"/>
      <c r="Q156" s="47"/>
      <c r="R156" s="47"/>
      <c r="S156" s="47"/>
      <c r="T156" s="47"/>
    </row>
    <row r="157">
      <c r="A157" s="44" t="s">
        <v>664</v>
      </c>
      <c r="B157" s="44" t="s">
        <v>359</v>
      </c>
      <c r="C157" s="44" t="s">
        <v>349</v>
      </c>
      <c r="D157" s="44" t="s">
        <v>349</v>
      </c>
      <c r="E157" s="44" t="s">
        <v>349</v>
      </c>
      <c r="F157" s="44" t="s">
        <v>361</v>
      </c>
      <c r="G157" s="44" t="s">
        <v>362</v>
      </c>
      <c r="H157" s="44" t="s">
        <v>363</v>
      </c>
      <c r="I157" s="44" t="s">
        <v>349</v>
      </c>
      <c r="J157" s="44" t="s">
        <v>349</v>
      </c>
      <c r="K157" s="44" t="s">
        <v>664</v>
      </c>
      <c r="L157" s="45" t="s">
        <v>665</v>
      </c>
      <c r="M157" s="44" t="s">
        <v>666</v>
      </c>
      <c r="N157" s="46"/>
      <c r="O157" s="47"/>
      <c r="P157" s="47"/>
      <c r="Q157" s="47"/>
      <c r="R157" s="47"/>
      <c r="S157" s="47"/>
      <c r="T157" s="47"/>
    </row>
    <row r="158">
      <c r="A158" s="44" t="s">
        <v>667</v>
      </c>
      <c r="B158" s="44" t="s">
        <v>349</v>
      </c>
      <c r="C158" s="44" t="s">
        <v>349</v>
      </c>
      <c r="D158" s="44" t="s">
        <v>349</v>
      </c>
      <c r="E158" s="44" t="s">
        <v>349</v>
      </c>
      <c r="F158" s="44" t="s">
        <v>349</v>
      </c>
      <c r="G158" s="44" t="s">
        <v>349</v>
      </c>
      <c r="H158" s="44" t="s">
        <v>349</v>
      </c>
      <c r="I158" s="44" t="s">
        <v>349</v>
      </c>
      <c r="J158" s="44" t="s">
        <v>349</v>
      </c>
      <c r="K158" s="44" t="s">
        <v>349</v>
      </c>
      <c r="L158" s="45" t="s">
        <v>349</v>
      </c>
      <c r="M158" s="44" t="s">
        <v>349</v>
      </c>
      <c r="N158" s="46"/>
      <c r="O158" s="47"/>
      <c r="P158" s="47"/>
      <c r="Q158" s="47"/>
      <c r="R158" s="47"/>
      <c r="S158" s="47"/>
      <c r="T158" s="47"/>
    </row>
    <row r="159">
      <c r="A159" s="44" t="s">
        <v>668</v>
      </c>
      <c r="B159" s="44" t="s">
        <v>359</v>
      </c>
      <c r="C159" s="44" t="s">
        <v>349</v>
      </c>
      <c r="D159" s="44" t="s">
        <v>360</v>
      </c>
      <c r="E159" s="44" t="s">
        <v>349</v>
      </c>
      <c r="F159" s="44" t="s">
        <v>361</v>
      </c>
      <c r="G159" s="44" t="s">
        <v>362</v>
      </c>
      <c r="H159" s="44" t="s">
        <v>363</v>
      </c>
      <c r="I159" s="44" t="s">
        <v>349</v>
      </c>
      <c r="J159" s="44" t="s">
        <v>349</v>
      </c>
      <c r="K159" s="44" t="s">
        <v>668</v>
      </c>
      <c r="L159" s="45" t="s">
        <v>669</v>
      </c>
      <c r="M159" s="44" t="s">
        <v>670</v>
      </c>
      <c r="N159" s="46"/>
      <c r="O159" s="47"/>
      <c r="P159" s="47"/>
      <c r="Q159" s="47"/>
      <c r="R159" s="47"/>
      <c r="S159" s="47"/>
      <c r="T159" s="47"/>
    </row>
    <row r="160">
      <c r="A160" s="44" t="s">
        <v>671</v>
      </c>
      <c r="B160" s="44" t="s">
        <v>374</v>
      </c>
      <c r="C160" s="44" t="s">
        <v>672</v>
      </c>
      <c r="D160" s="44">
        <v>60.0</v>
      </c>
      <c r="E160" s="49">
        <v>0.03</v>
      </c>
      <c r="F160" s="44" t="s">
        <v>375</v>
      </c>
      <c r="G160" s="44" t="s">
        <v>376</v>
      </c>
      <c r="H160" s="44">
        <v>9.83145167E9</v>
      </c>
      <c r="I160" s="44" t="s">
        <v>349</v>
      </c>
      <c r="J160" s="44" t="s">
        <v>349</v>
      </c>
      <c r="K160" s="44" t="s">
        <v>671</v>
      </c>
      <c r="L160" s="45" t="s">
        <v>673</v>
      </c>
      <c r="M160" s="44" t="s">
        <v>674</v>
      </c>
      <c r="N160" s="46"/>
      <c r="O160" s="47"/>
      <c r="P160" s="47"/>
      <c r="Q160" s="47"/>
      <c r="R160" s="47"/>
      <c r="S160" s="47"/>
      <c r="T160" s="47"/>
    </row>
    <row r="161">
      <c r="A161" s="44" t="s">
        <v>675</v>
      </c>
      <c r="B161" s="44" t="s">
        <v>349</v>
      </c>
      <c r="C161" s="44" t="s">
        <v>349</v>
      </c>
      <c r="D161" s="44" t="s">
        <v>349</v>
      </c>
      <c r="E161" s="44" t="s">
        <v>349</v>
      </c>
      <c r="F161" s="44" t="s">
        <v>349</v>
      </c>
      <c r="G161" s="44" t="s">
        <v>349</v>
      </c>
      <c r="H161" s="44" t="s">
        <v>349</v>
      </c>
      <c r="I161" s="44" t="s">
        <v>349</v>
      </c>
      <c r="J161" s="44" t="s">
        <v>349</v>
      </c>
      <c r="K161" s="44" t="s">
        <v>349</v>
      </c>
      <c r="L161" s="45" t="s">
        <v>349</v>
      </c>
      <c r="M161" s="44" t="s">
        <v>349</v>
      </c>
      <c r="N161" s="46"/>
      <c r="O161" s="47"/>
      <c r="P161" s="47"/>
      <c r="Q161" s="47"/>
      <c r="R161" s="47"/>
      <c r="S161" s="47"/>
      <c r="T161" s="47"/>
    </row>
    <row r="162">
      <c r="A162" s="44" t="s">
        <v>676</v>
      </c>
      <c r="B162" s="44" t="s">
        <v>349</v>
      </c>
      <c r="C162" s="44" t="s">
        <v>349</v>
      </c>
      <c r="D162" s="44" t="s">
        <v>349</v>
      </c>
      <c r="E162" s="44" t="s">
        <v>349</v>
      </c>
      <c r="F162" s="44" t="s">
        <v>349</v>
      </c>
      <c r="G162" s="44" t="s">
        <v>349</v>
      </c>
      <c r="H162" s="44" t="s">
        <v>349</v>
      </c>
      <c r="I162" s="44" t="s">
        <v>349</v>
      </c>
      <c r="J162" s="44" t="s">
        <v>349</v>
      </c>
      <c r="K162" s="44" t="s">
        <v>349</v>
      </c>
      <c r="L162" s="45" t="s">
        <v>349</v>
      </c>
      <c r="M162" s="44" t="s">
        <v>349</v>
      </c>
      <c r="N162" s="46"/>
      <c r="O162" s="47"/>
      <c r="P162" s="47"/>
      <c r="Q162" s="47"/>
      <c r="R162" s="47"/>
      <c r="S162" s="47"/>
      <c r="T162" s="47"/>
    </row>
    <row r="163">
      <c r="A163" s="44" t="s">
        <v>677</v>
      </c>
      <c r="B163" s="44" t="s">
        <v>349</v>
      </c>
      <c r="C163" s="44" t="s">
        <v>349</v>
      </c>
      <c r="D163" s="44" t="s">
        <v>349</v>
      </c>
      <c r="E163" s="44" t="s">
        <v>349</v>
      </c>
      <c r="F163" s="44" t="s">
        <v>349</v>
      </c>
      <c r="G163" s="44" t="s">
        <v>349</v>
      </c>
      <c r="H163" s="44" t="s">
        <v>349</v>
      </c>
      <c r="I163" s="44" t="s">
        <v>349</v>
      </c>
      <c r="J163" s="44" t="s">
        <v>349</v>
      </c>
      <c r="K163" s="44" t="s">
        <v>677</v>
      </c>
      <c r="L163" s="45" t="s">
        <v>678</v>
      </c>
      <c r="M163" s="44" t="s">
        <v>679</v>
      </c>
      <c r="N163" s="46"/>
      <c r="O163" s="47"/>
      <c r="P163" s="47"/>
      <c r="Q163" s="47"/>
      <c r="R163" s="47"/>
      <c r="S163" s="47"/>
      <c r="T163" s="47"/>
    </row>
    <row r="164">
      <c r="A164" s="44" t="s">
        <v>680</v>
      </c>
      <c r="B164" s="44" t="s">
        <v>349</v>
      </c>
      <c r="C164" s="44" t="s">
        <v>349</v>
      </c>
      <c r="D164" s="44" t="s">
        <v>349</v>
      </c>
      <c r="E164" s="44" t="s">
        <v>349</v>
      </c>
      <c r="F164" s="44" t="s">
        <v>349</v>
      </c>
      <c r="G164" s="44" t="s">
        <v>349</v>
      </c>
      <c r="H164" s="44" t="s">
        <v>349</v>
      </c>
      <c r="I164" s="44" t="s">
        <v>349</v>
      </c>
      <c r="J164" s="44" t="s">
        <v>349</v>
      </c>
      <c r="K164" s="44" t="s">
        <v>349</v>
      </c>
      <c r="L164" s="45" t="s">
        <v>349</v>
      </c>
      <c r="M164" s="44" t="s">
        <v>349</v>
      </c>
      <c r="N164" s="46"/>
      <c r="O164" s="47"/>
      <c r="P164" s="47"/>
      <c r="Q164" s="47"/>
      <c r="R164" s="47"/>
      <c r="S164" s="47"/>
      <c r="T164" s="47"/>
    </row>
    <row r="165">
      <c r="A165" s="44" t="s">
        <v>681</v>
      </c>
      <c r="B165" s="44" t="s">
        <v>349</v>
      </c>
      <c r="C165" s="44" t="s">
        <v>349</v>
      </c>
      <c r="D165" s="44" t="s">
        <v>349</v>
      </c>
      <c r="E165" s="44" t="s">
        <v>349</v>
      </c>
      <c r="F165" s="44" t="s">
        <v>349</v>
      </c>
      <c r="G165" s="44" t="s">
        <v>349</v>
      </c>
      <c r="H165" s="44" t="s">
        <v>349</v>
      </c>
      <c r="I165" s="44" t="s">
        <v>349</v>
      </c>
      <c r="J165" s="44" t="s">
        <v>349</v>
      </c>
      <c r="K165" s="44" t="s">
        <v>349</v>
      </c>
      <c r="L165" s="45" t="s">
        <v>349</v>
      </c>
      <c r="M165" s="44" t="s">
        <v>349</v>
      </c>
      <c r="N165" s="46"/>
      <c r="O165" s="47"/>
      <c r="P165" s="47"/>
      <c r="Q165" s="47"/>
      <c r="R165" s="47"/>
      <c r="S165" s="47"/>
      <c r="T165" s="47"/>
    </row>
    <row r="166">
      <c r="A166" s="44" t="s">
        <v>682</v>
      </c>
      <c r="B166" s="44" t="s">
        <v>374</v>
      </c>
      <c r="C166" s="44" t="s">
        <v>672</v>
      </c>
      <c r="D166" s="44">
        <v>60.0</v>
      </c>
      <c r="E166" s="49">
        <v>0.03</v>
      </c>
      <c r="F166" s="44" t="s">
        <v>375</v>
      </c>
      <c r="G166" s="44" t="s">
        <v>376</v>
      </c>
      <c r="H166" s="44">
        <v>9.83145167E9</v>
      </c>
      <c r="I166" s="44" t="s">
        <v>349</v>
      </c>
      <c r="J166" s="44" t="s">
        <v>349</v>
      </c>
      <c r="K166" s="44" t="s">
        <v>682</v>
      </c>
      <c r="L166" s="45" t="s">
        <v>683</v>
      </c>
      <c r="M166" s="44" t="s">
        <v>462</v>
      </c>
      <c r="N166" s="46"/>
      <c r="O166" s="47"/>
      <c r="P166" s="47"/>
      <c r="Q166" s="47"/>
      <c r="R166" s="47"/>
      <c r="S166" s="47"/>
      <c r="T166" s="47"/>
    </row>
    <row r="167">
      <c r="A167" s="44" t="s">
        <v>684</v>
      </c>
      <c r="B167" s="44" t="s">
        <v>349</v>
      </c>
      <c r="C167" s="44" t="s">
        <v>349</v>
      </c>
      <c r="D167" s="44" t="s">
        <v>349</v>
      </c>
      <c r="E167" s="44" t="s">
        <v>349</v>
      </c>
      <c r="F167" s="44" t="s">
        <v>349</v>
      </c>
      <c r="G167" s="44" t="s">
        <v>349</v>
      </c>
      <c r="H167" s="44" t="s">
        <v>349</v>
      </c>
      <c r="I167" s="44" t="s">
        <v>349</v>
      </c>
      <c r="J167" s="44" t="s">
        <v>349</v>
      </c>
      <c r="K167" s="44" t="s">
        <v>349</v>
      </c>
      <c r="L167" s="45" t="s">
        <v>349</v>
      </c>
      <c r="M167" s="44" t="s">
        <v>349</v>
      </c>
      <c r="N167" s="46"/>
      <c r="O167" s="47"/>
      <c r="P167" s="47"/>
      <c r="Q167" s="47"/>
      <c r="R167" s="47"/>
      <c r="S167" s="47"/>
      <c r="T167" s="47"/>
    </row>
    <row r="168">
      <c r="A168" s="44" t="s">
        <v>685</v>
      </c>
      <c r="B168" s="44" t="s">
        <v>374</v>
      </c>
      <c r="C168" s="44" t="s">
        <v>686</v>
      </c>
      <c r="D168" s="44">
        <v>60.0</v>
      </c>
      <c r="E168" s="49">
        <v>0.05</v>
      </c>
      <c r="F168" s="44" t="s">
        <v>375</v>
      </c>
      <c r="G168" s="44" t="s">
        <v>376</v>
      </c>
      <c r="H168" s="44">
        <v>9.83145167E9</v>
      </c>
      <c r="I168" s="44" t="s">
        <v>349</v>
      </c>
      <c r="J168" s="44" t="s">
        <v>349</v>
      </c>
      <c r="K168" s="44" t="s">
        <v>685</v>
      </c>
      <c r="L168" s="45" t="s">
        <v>687</v>
      </c>
      <c r="M168" s="44" t="s">
        <v>688</v>
      </c>
      <c r="N168" s="46"/>
      <c r="O168" s="47"/>
      <c r="P168" s="47"/>
      <c r="Q168" s="47"/>
      <c r="R168" s="47"/>
      <c r="S168" s="47"/>
      <c r="T168" s="47"/>
    </row>
    <row r="169">
      <c r="A169" s="44" t="s">
        <v>689</v>
      </c>
      <c r="B169" s="44" t="s">
        <v>349</v>
      </c>
      <c r="C169" s="44" t="s">
        <v>349</v>
      </c>
      <c r="D169" s="44" t="s">
        <v>349</v>
      </c>
      <c r="E169" s="44" t="s">
        <v>349</v>
      </c>
      <c r="F169" s="44" t="s">
        <v>349</v>
      </c>
      <c r="G169" s="44" t="s">
        <v>349</v>
      </c>
      <c r="H169" s="44" t="s">
        <v>349</v>
      </c>
      <c r="I169" s="44" t="s">
        <v>349</v>
      </c>
      <c r="J169" s="44" t="s">
        <v>349</v>
      </c>
      <c r="K169" s="44" t="s">
        <v>349</v>
      </c>
      <c r="L169" s="45" t="s">
        <v>349</v>
      </c>
      <c r="M169" s="44" t="s">
        <v>349</v>
      </c>
      <c r="N169" s="46"/>
      <c r="O169" s="47"/>
      <c r="P169" s="47"/>
      <c r="Q169" s="47"/>
      <c r="R169" s="47"/>
      <c r="S169" s="47"/>
      <c r="T169" s="47"/>
    </row>
    <row r="170">
      <c r="A170" s="44" t="s">
        <v>690</v>
      </c>
      <c r="B170" s="44" t="s">
        <v>349</v>
      </c>
      <c r="C170" s="44" t="s">
        <v>349</v>
      </c>
      <c r="D170" s="44" t="s">
        <v>349</v>
      </c>
      <c r="E170" s="44" t="s">
        <v>349</v>
      </c>
      <c r="F170" s="44" t="s">
        <v>349</v>
      </c>
      <c r="G170" s="44" t="s">
        <v>349</v>
      </c>
      <c r="H170" s="44" t="s">
        <v>349</v>
      </c>
      <c r="I170" s="44" t="s">
        <v>349</v>
      </c>
      <c r="J170" s="44" t="s">
        <v>349</v>
      </c>
      <c r="K170" s="44" t="s">
        <v>349</v>
      </c>
      <c r="L170" s="45" t="s">
        <v>349</v>
      </c>
      <c r="M170" s="44" t="s">
        <v>349</v>
      </c>
      <c r="N170" s="46"/>
      <c r="O170" s="47"/>
      <c r="P170" s="47"/>
      <c r="Q170" s="47"/>
      <c r="R170" s="47"/>
      <c r="S170" s="47"/>
      <c r="T170" s="47"/>
    </row>
    <row r="171">
      <c r="A171" s="44" t="s">
        <v>691</v>
      </c>
      <c r="B171" s="44" t="s">
        <v>349</v>
      </c>
      <c r="C171" s="44" t="s">
        <v>349</v>
      </c>
      <c r="D171" s="44" t="s">
        <v>349</v>
      </c>
      <c r="E171" s="44" t="s">
        <v>349</v>
      </c>
      <c r="F171" s="44" t="s">
        <v>349</v>
      </c>
      <c r="G171" s="44" t="s">
        <v>349</v>
      </c>
      <c r="H171" s="44" t="s">
        <v>349</v>
      </c>
      <c r="I171" s="44" t="s">
        <v>349</v>
      </c>
      <c r="J171" s="44" t="s">
        <v>349</v>
      </c>
      <c r="K171" s="44" t="s">
        <v>349</v>
      </c>
      <c r="L171" s="45" t="s">
        <v>349</v>
      </c>
      <c r="M171" s="44" t="s">
        <v>349</v>
      </c>
      <c r="N171" s="46"/>
      <c r="O171" s="47"/>
      <c r="P171" s="47"/>
      <c r="Q171" s="47"/>
      <c r="R171" s="47"/>
      <c r="S171" s="47"/>
      <c r="T171" s="47"/>
    </row>
    <row r="172">
      <c r="A172" s="44" t="s">
        <v>692</v>
      </c>
      <c r="B172" s="44" t="s">
        <v>383</v>
      </c>
      <c r="C172" s="44" t="s">
        <v>412</v>
      </c>
      <c r="D172" s="44">
        <v>30.0</v>
      </c>
      <c r="E172" s="44">
        <v>2.0</v>
      </c>
      <c r="F172" s="44" t="s">
        <v>396</v>
      </c>
      <c r="G172" s="44" t="s">
        <v>349</v>
      </c>
      <c r="H172" s="44" t="s">
        <v>349</v>
      </c>
      <c r="I172" s="44" t="s">
        <v>349</v>
      </c>
      <c r="J172" s="44" t="s">
        <v>349</v>
      </c>
      <c r="K172" s="44" t="s">
        <v>692</v>
      </c>
      <c r="L172" s="45" t="s">
        <v>693</v>
      </c>
      <c r="M172" s="44" t="s">
        <v>409</v>
      </c>
      <c r="N172" s="46"/>
      <c r="O172" s="47"/>
      <c r="P172" s="47"/>
      <c r="Q172" s="47"/>
      <c r="R172" s="47"/>
      <c r="S172" s="47"/>
      <c r="T172" s="47"/>
    </row>
    <row r="173">
      <c r="A173" s="44" t="s">
        <v>694</v>
      </c>
      <c r="B173" s="44" t="s">
        <v>349</v>
      </c>
      <c r="C173" s="44" t="s">
        <v>349</v>
      </c>
      <c r="D173" s="44" t="s">
        <v>349</v>
      </c>
      <c r="E173" s="44" t="s">
        <v>349</v>
      </c>
      <c r="F173" s="44" t="s">
        <v>349</v>
      </c>
      <c r="G173" s="44" t="s">
        <v>349</v>
      </c>
      <c r="H173" s="44" t="s">
        <v>349</v>
      </c>
      <c r="I173" s="44" t="s">
        <v>349</v>
      </c>
      <c r="J173" s="44" t="s">
        <v>349</v>
      </c>
      <c r="K173" s="44" t="s">
        <v>349</v>
      </c>
      <c r="L173" s="45" t="s">
        <v>349</v>
      </c>
      <c r="M173" s="44" t="s">
        <v>349</v>
      </c>
      <c r="N173" s="46"/>
      <c r="O173" s="47"/>
      <c r="P173" s="47"/>
      <c r="Q173" s="47"/>
      <c r="R173" s="47"/>
      <c r="S173" s="47"/>
      <c r="T173" s="47"/>
    </row>
    <row r="174">
      <c r="A174" s="44" t="s">
        <v>695</v>
      </c>
      <c r="B174" s="44" t="s">
        <v>374</v>
      </c>
      <c r="C174" s="44" t="s">
        <v>349</v>
      </c>
      <c r="D174" s="44">
        <v>60.0</v>
      </c>
      <c r="E174" s="44" t="s">
        <v>528</v>
      </c>
      <c r="F174" s="44" t="s">
        <v>375</v>
      </c>
      <c r="G174" s="44" t="s">
        <v>376</v>
      </c>
      <c r="H174" s="44">
        <v>9.83145167E9</v>
      </c>
      <c r="I174" s="44" t="s">
        <v>349</v>
      </c>
      <c r="J174" s="44" t="s">
        <v>349</v>
      </c>
      <c r="K174" s="44" t="s">
        <v>695</v>
      </c>
      <c r="L174" s="45" t="s">
        <v>696</v>
      </c>
      <c r="M174" s="44" t="s">
        <v>697</v>
      </c>
      <c r="N174" s="46"/>
      <c r="O174" s="47"/>
      <c r="P174" s="47"/>
      <c r="Q174" s="47"/>
      <c r="R174" s="47"/>
      <c r="S174" s="47"/>
      <c r="T174" s="47"/>
    </row>
    <row r="175">
      <c r="A175" s="44" t="s">
        <v>698</v>
      </c>
      <c r="B175" s="44" t="s">
        <v>349</v>
      </c>
      <c r="C175" s="44" t="s">
        <v>349</v>
      </c>
      <c r="D175" s="44" t="s">
        <v>349</v>
      </c>
      <c r="E175" s="44" t="s">
        <v>349</v>
      </c>
      <c r="F175" s="44" t="s">
        <v>349</v>
      </c>
      <c r="G175" s="44" t="s">
        <v>349</v>
      </c>
      <c r="H175" s="44" t="s">
        <v>349</v>
      </c>
      <c r="I175" s="44" t="s">
        <v>349</v>
      </c>
      <c r="J175" s="44" t="s">
        <v>349</v>
      </c>
      <c r="K175" s="44" t="s">
        <v>349</v>
      </c>
      <c r="L175" s="45" t="s">
        <v>349</v>
      </c>
      <c r="M175" s="44" t="s">
        <v>349</v>
      </c>
      <c r="N175" s="46"/>
      <c r="O175" s="47"/>
      <c r="P175" s="47"/>
      <c r="Q175" s="47"/>
      <c r="R175" s="47"/>
      <c r="S175" s="47"/>
      <c r="T175" s="47"/>
    </row>
    <row r="176">
      <c r="A176" s="44" t="s">
        <v>699</v>
      </c>
      <c r="B176" s="44" t="s">
        <v>565</v>
      </c>
      <c r="C176" s="44" t="s">
        <v>349</v>
      </c>
      <c r="D176" s="44" t="s">
        <v>349</v>
      </c>
      <c r="E176" s="44" t="s">
        <v>349</v>
      </c>
      <c r="F176" s="44" t="s">
        <v>566</v>
      </c>
      <c r="G176" s="44" t="s">
        <v>349</v>
      </c>
      <c r="H176" s="44" t="s">
        <v>567</v>
      </c>
      <c r="I176" s="44" t="s">
        <v>349</v>
      </c>
      <c r="J176" s="44" t="s">
        <v>349</v>
      </c>
      <c r="K176" s="44" t="s">
        <v>568</v>
      </c>
      <c r="L176" s="45" t="s">
        <v>569</v>
      </c>
      <c r="M176" s="44" t="s">
        <v>570</v>
      </c>
      <c r="N176" s="46"/>
      <c r="O176" s="47"/>
      <c r="P176" s="47"/>
      <c r="Q176" s="47"/>
      <c r="R176" s="47"/>
      <c r="S176" s="47"/>
      <c r="T176" s="47"/>
    </row>
    <row r="177">
      <c r="A177" s="44" t="s">
        <v>700</v>
      </c>
      <c r="B177" s="44" t="s">
        <v>565</v>
      </c>
      <c r="C177" s="44" t="s">
        <v>349</v>
      </c>
      <c r="D177" s="44" t="s">
        <v>349</v>
      </c>
      <c r="E177" s="44" t="s">
        <v>349</v>
      </c>
      <c r="F177" s="44" t="s">
        <v>566</v>
      </c>
      <c r="G177" s="44" t="s">
        <v>349</v>
      </c>
      <c r="H177" s="44" t="s">
        <v>567</v>
      </c>
      <c r="I177" s="44" t="s">
        <v>349</v>
      </c>
      <c r="J177" s="44" t="s">
        <v>349</v>
      </c>
      <c r="K177" s="44" t="s">
        <v>568</v>
      </c>
      <c r="L177" s="45" t="s">
        <v>569</v>
      </c>
      <c r="M177" s="44" t="s">
        <v>570</v>
      </c>
      <c r="N177" s="46"/>
      <c r="O177" s="47"/>
      <c r="P177" s="47"/>
      <c r="Q177" s="47"/>
      <c r="R177" s="47"/>
      <c r="S177" s="47"/>
      <c r="T177" s="47"/>
    </row>
    <row r="178">
      <c r="A178" s="44" t="s">
        <v>701</v>
      </c>
      <c r="B178" s="44" t="s">
        <v>349</v>
      </c>
      <c r="C178" s="44" t="s">
        <v>349</v>
      </c>
      <c r="D178" s="44" t="s">
        <v>349</v>
      </c>
      <c r="E178" s="44" t="s">
        <v>349</v>
      </c>
      <c r="F178" s="44" t="s">
        <v>349</v>
      </c>
      <c r="G178" s="44" t="s">
        <v>349</v>
      </c>
      <c r="H178" s="44" t="s">
        <v>349</v>
      </c>
      <c r="I178" s="44" t="s">
        <v>349</v>
      </c>
      <c r="J178" s="44" t="s">
        <v>349</v>
      </c>
      <c r="K178" s="44" t="s">
        <v>349</v>
      </c>
      <c r="L178" s="45" t="s">
        <v>349</v>
      </c>
      <c r="M178" s="44" t="s">
        <v>349</v>
      </c>
      <c r="N178" s="46"/>
      <c r="O178" s="47"/>
      <c r="P178" s="47"/>
      <c r="Q178" s="47"/>
      <c r="R178" s="47"/>
      <c r="S178" s="47"/>
      <c r="T178" s="47"/>
    </row>
    <row r="179">
      <c r="A179" s="44" t="s">
        <v>702</v>
      </c>
      <c r="B179" s="44" t="s">
        <v>582</v>
      </c>
      <c r="C179" s="44" t="s">
        <v>412</v>
      </c>
      <c r="D179" s="44">
        <v>15.0</v>
      </c>
      <c r="E179" s="49">
        <v>0.02</v>
      </c>
      <c r="F179" s="44" t="s">
        <v>349</v>
      </c>
      <c r="G179" s="44" t="s">
        <v>349</v>
      </c>
      <c r="H179" s="44" t="s">
        <v>349</v>
      </c>
      <c r="I179" s="44" t="s">
        <v>349</v>
      </c>
      <c r="J179" s="44" t="s">
        <v>349</v>
      </c>
      <c r="K179" s="44" t="s">
        <v>702</v>
      </c>
      <c r="L179" s="50" t="s">
        <v>703</v>
      </c>
      <c r="M179" s="44" t="s">
        <v>704</v>
      </c>
      <c r="N179" s="46"/>
      <c r="O179" s="47"/>
      <c r="P179" s="47"/>
      <c r="Q179" s="47"/>
      <c r="R179" s="47"/>
      <c r="S179" s="47"/>
      <c r="T179" s="47"/>
    </row>
    <row r="180">
      <c r="A180" s="44" t="s">
        <v>705</v>
      </c>
      <c r="B180" s="44" t="s">
        <v>349</v>
      </c>
      <c r="C180" s="44" t="s">
        <v>349</v>
      </c>
      <c r="D180" s="44" t="s">
        <v>349</v>
      </c>
      <c r="E180" s="44" t="s">
        <v>349</v>
      </c>
      <c r="F180" s="44" t="s">
        <v>349</v>
      </c>
      <c r="G180" s="44" t="s">
        <v>349</v>
      </c>
      <c r="H180" s="44" t="s">
        <v>349</v>
      </c>
      <c r="I180" s="44" t="s">
        <v>349</v>
      </c>
      <c r="J180" s="44" t="s">
        <v>349</v>
      </c>
      <c r="K180" s="44" t="s">
        <v>349</v>
      </c>
      <c r="L180" s="45" t="s">
        <v>349</v>
      </c>
      <c r="M180" s="44" t="s">
        <v>349</v>
      </c>
      <c r="N180" s="46"/>
      <c r="O180" s="47"/>
      <c r="P180" s="47"/>
      <c r="Q180" s="47"/>
      <c r="R180" s="47"/>
      <c r="S180" s="47"/>
      <c r="T180" s="47"/>
    </row>
    <row r="181">
      <c r="A181" s="44" t="s">
        <v>706</v>
      </c>
      <c r="B181" s="44" t="s">
        <v>349</v>
      </c>
      <c r="C181" s="44" t="s">
        <v>349</v>
      </c>
      <c r="D181" s="44" t="s">
        <v>349</v>
      </c>
      <c r="E181" s="44" t="s">
        <v>349</v>
      </c>
      <c r="F181" s="44" t="s">
        <v>349</v>
      </c>
      <c r="G181" s="44" t="s">
        <v>349</v>
      </c>
      <c r="H181" s="44" t="s">
        <v>349</v>
      </c>
      <c r="I181" s="44" t="s">
        <v>349</v>
      </c>
      <c r="J181" s="44" t="s">
        <v>349</v>
      </c>
      <c r="K181" s="44" t="s">
        <v>706</v>
      </c>
      <c r="L181" s="45" t="s">
        <v>707</v>
      </c>
      <c r="M181" s="44" t="s">
        <v>708</v>
      </c>
      <c r="N181" s="46"/>
      <c r="O181" s="47"/>
      <c r="P181" s="47"/>
      <c r="Q181" s="47"/>
      <c r="R181" s="47"/>
      <c r="S181" s="47"/>
      <c r="T181" s="47"/>
    </row>
    <row r="182">
      <c r="A182" s="44" t="s">
        <v>709</v>
      </c>
      <c r="B182" s="44" t="s">
        <v>440</v>
      </c>
      <c r="C182" s="44" t="s">
        <v>710</v>
      </c>
      <c r="D182" s="44" t="s">
        <v>349</v>
      </c>
      <c r="E182" s="44" t="s">
        <v>349</v>
      </c>
      <c r="F182" s="44" t="s">
        <v>349</v>
      </c>
      <c r="G182" s="44" t="s">
        <v>349</v>
      </c>
      <c r="H182" s="44" t="s">
        <v>349</v>
      </c>
      <c r="I182" s="44" t="s">
        <v>349</v>
      </c>
      <c r="J182" s="44" t="s">
        <v>349</v>
      </c>
      <c r="K182" s="44" t="s">
        <v>709</v>
      </c>
      <c r="L182" s="45" t="s">
        <v>711</v>
      </c>
      <c r="M182" s="44" t="s">
        <v>712</v>
      </c>
      <c r="N182" s="46"/>
      <c r="O182" s="47"/>
      <c r="P182" s="47"/>
      <c r="Q182" s="47"/>
      <c r="R182" s="47"/>
      <c r="S182" s="47"/>
      <c r="T182" s="47"/>
    </row>
    <row r="183">
      <c r="A183" s="44" t="s">
        <v>713</v>
      </c>
      <c r="B183" s="44" t="s">
        <v>359</v>
      </c>
      <c r="C183" s="44" t="s">
        <v>349</v>
      </c>
      <c r="D183" s="44" t="s">
        <v>360</v>
      </c>
      <c r="E183" s="44" t="s">
        <v>349</v>
      </c>
      <c r="F183" s="44" t="s">
        <v>361</v>
      </c>
      <c r="G183" s="44" t="s">
        <v>362</v>
      </c>
      <c r="H183" s="44" t="s">
        <v>363</v>
      </c>
      <c r="I183" s="44" t="s">
        <v>349</v>
      </c>
      <c r="J183" s="44" t="s">
        <v>349</v>
      </c>
      <c r="K183" s="44" t="s">
        <v>713</v>
      </c>
      <c r="L183" s="45" t="s">
        <v>714</v>
      </c>
      <c r="M183" s="44" t="s">
        <v>715</v>
      </c>
      <c r="N183" s="46"/>
      <c r="O183" s="47"/>
      <c r="P183" s="47"/>
      <c r="Q183" s="47"/>
      <c r="R183" s="47"/>
      <c r="S183" s="47"/>
      <c r="T183" s="47"/>
    </row>
    <row r="184">
      <c r="A184" s="44" t="s">
        <v>716</v>
      </c>
      <c r="B184" s="44" t="s">
        <v>349</v>
      </c>
      <c r="C184" s="44" t="s">
        <v>349</v>
      </c>
      <c r="D184" s="44" t="s">
        <v>349</v>
      </c>
      <c r="E184" s="44" t="s">
        <v>349</v>
      </c>
      <c r="F184" s="44" t="s">
        <v>349</v>
      </c>
      <c r="G184" s="44" t="s">
        <v>349</v>
      </c>
      <c r="H184" s="44" t="s">
        <v>349</v>
      </c>
      <c r="I184" s="44" t="s">
        <v>349</v>
      </c>
      <c r="J184" s="44" t="s">
        <v>349</v>
      </c>
      <c r="K184" s="44" t="s">
        <v>349</v>
      </c>
      <c r="L184" s="45" t="s">
        <v>349</v>
      </c>
      <c r="M184" s="44" t="s">
        <v>349</v>
      </c>
      <c r="N184" s="46"/>
      <c r="O184" s="47"/>
      <c r="P184" s="47"/>
      <c r="Q184" s="47"/>
      <c r="R184" s="47"/>
      <c r="S184" s="47"/>
      <c r="T184" s="47"/>
    </row>
    <row r="185">
      <c r="A185" s="44" t="s">
        <v>717</v>
      </c>
      <c r="B185" s="44" t="s">
        <v>718</v>
      </c>
      <c r="C185" s="44" t="s">
        <v>719</v>
      </c>
      <c r="D185" s="44">
        <v>45.0</v>
      </c>
      <c r="E185" s="49">
        <v>0.1</v>
      </c>
      <c r="F185" s="44" t="s">
        <v>349</v>
      </c>
      <c r="G185" s="44" t="s">
        <v>349</v>
      </c>
      <c r="H185" s="44" t="s">
        <v>349</v>
      </c>
      <c r="I185" s="44" t="s">
        <v>349</v>
      </c>
      <c r="J185" s="44" t="s">
        <v>349</v>
      </c>
      <c r="K185" s="44" t="s">
        <v>717</v>
      </c>
      <c r="L185" s="50" t="s">
        <v>720</v>
      </c>
      <c r="M185" s="44" t="s">
        <v>721</v>
      </c>
      <c r="N185" s="46"/>
      <c r="O185" s="47"/>
      <c r="P185" s="47"/>
      <c r="Q185" s="47"/>
      <c r="R185" s="47"/>
      <c r="S185" s="47"/>
      <c r="T185" s="47"/>
    </row>
    <row r="186">
      <c r="A186" s="44" t="s">
        <v>722</v>
      </c>
      <c r="B186" s="44" t="s">
        <v>349</v>
      </c>
      <c r="C186" s="44" t="s">
        <v>349</v>
      </c>
      <c r="D186" s="44" t="s">
        <v>349</v>
      </c>
      <c r="E186" s="44" t="s">
        <v>349</v>
      </c>
      <c r="F186" s="44" t="s">
        <v>349</v>
      </c>
      <c r="G186" s="44" t="s">
        <v>349</v>
      </c>
      <c r="H186" s="44" t="s">
        <v>349</v>
      </c>
      <c r="I186" s="44" t="s">
        <v>349</v>
      </c>
      <c r="J186" s="44" t="s">
        <v>349</v>
      </c>
      <c r="K186" s="44" t="s">
        <v>349</v>
      </c>
      <c r="L186" s="45" t="s">
        <v>349</v>
      </c>
      <c r="M186" s="44" t="s">
        <v>349</v>
      </c>
      <c r="N186" s="46"/>
      <c r="O186" s="47"/>
      <c r="P186" s="47"/>
      <c r="Q186" s="47"/>
      <c r="R186" s="47"/>
      <c r="S186" s="47"/>
      <c r="T186" s="47"/>
    </row>
    <row r="187">
      <c r="A187" s="44" t="s">
        <v>723</v>
      </c>
      <c r="B187" s="44" t="s">
        <v>349</v>
      </c>
      <c r="C187" s="44" t="s">
        <v>349</v>
      </c>
      <c r="D187" s="44" t="s">
        <v>349</v>
      </c>
      <c r="E187" s="44" t="s">
        <v>349</v>
      </c>
      <c r="F187" s="44" t="s">
        <v>349</v>
      </c>
      <c r="G187" s="44" t="s">
        <v>349</v>
      </c>
      <c r="H187" s="44" t="s">
        <v>349</v>
      </c>
      <c r="I187" s="44" t="s">
        <v>349</v>
      </c>
      <c r="J187" s="44" t="s">
        <v>349</v>
      </c>
      <c r="K187" s="44" t="s">
        <v>349</v>
      </c>
      <c r="L187" s="45" t="s">
        <v>349</v>
      </c>
      <c r="M187" s="44" t="s">
        <v>349</v>
      </c>
      <c r="N187" s="46"/>
      <c r="O187" s="47"/>
      <c r="P187" s="47"/>
      <c r="Q187" s="47"/>
      <c r="R187" s="47"/>
      <c r="S187" s="47"/>
      <c r="T187" s="47"/>
    </row>
    <row r="188">
      <c r="A188" s="44" t="s">
        <v>724</v>
      </c>
      <c r="B188" s="44" t="s">
        <v>349</v>
      </c>
      <c r="C188" s="44" t="s">
        <v>349</v>
      </c>
      <c r="D188" s="44" t="s">
        <v>349</v>
      </c>
      <c r="E188" s="44" t="s">
        <v>349</v>
      </c>
      <c r="F188" s="44" t="s">
        <v>349</v>
      </c>
      <c r="G188" s="44" t="s">
        <v>349</v>
      </c>
      <c r="H188" s="44" t="s">
        <v>349</v>
      </c>
      <c r="I188" s="44" t="s">
        <v>349</v>
      </c>
      <c r="J188" s="44" t="s">
        <v>349</v>
      </c>
      <c r="K188" s="44" t="s">
        <v>349</v>
      </c>
      <c r="L188" s="45" t="s">
        <v>349</v>
      </c>
      <c r="M188" s="44" t="s">
        <v>349</v>
      </c>
      <c r="N188" s="46"/>
      <c r="O188" s="47"/>
      <c r="P188" s="47"/>
      <c r="Q188" s="47"/>
      <c r="R188" s="47"/>
      <c r="S188" s="47"/>
      <c r="T188" s="47"/>
    </row>
    <row r="189">
      <c r="A189" s="44" t="s">
        <v>725</v>
      </c>
      <c r="B189" s="44" t="s">
        <v>349</v>
      </c>
      <c r="C189" s="44" t="s">
        <v>349</v>
      </c>
      <c r="D189" s="44" t="s">
        <v>349</v>
      </c>
      <c r="E189" s="44" t="s">
        <v>349</v>
      </c>
      <c r="F189" s="44" t="s">
        <v>349</v>
      </c>
      <c r="G189" s="44" t="s">
        <v>349</v>
      </c>
      <c r="H189" s="44" t="s">
        <v>349</v>
      </c>
      <c r="I189" s="44" t="s">
        <v>349</v>
      </c>
      <c r="J189" s="44" t="s">
        <v>349</v>
      </c>
      <c r="K189" s="44" t="s">
        <v>349</v>
      </c>
      <c r="L189" s="45" t="s">
        <v>349</v>
      </c>
      <c r="M189" s="44" t="s">
        <v>349</v>
      </c>
      <c r="N189" s="46"/>
      <c r="O189" s="47"/>
      <c r="P189" s="47"/>
      <c r="Q189" s="47"/>
      <c r="R189" s="47"/>
      <c r="S189" s="47"/>
      <c r="T189" s="47"/>
    </row>
    <row r="190">
      <c r="A190" s="44" t="s">
        <v>726</v>
      </c>
      <c r="B190" s="44" t="s">
        <v>431</v>
      </c>
      <c r="C190" s="44" t="s">
        <v>349</v>
      </c>
      <c r="D190" s="44" t="s">
        <v>349</v>
      </c>
      <c r="E190" s="44" t="s">
        <v>349</v>
      </c>
      <c r="F190" s="44" t="s">
        <v>349</v>
      </c>
      <c r="G190" s="44" t="s">
        <v>349</v>
      </c>
      <c r="H190" s="44" t="s">
        <v>349</v>
      </c>
      <c r="I190" s="44" t="s">
        <v>349</v>
      </c>
      <c r="J190" s="44" t="s">
        <v>349</v>
      </c>
      <c r="K190" s="44" t="s">
        <v>726</v>
      </c>
      <c r="L190" s="50" t="s">
        <v>727</v>
      </c>
      <c r="M190" s="44" t="s">
        <v>728</v>
      </c>
      <c r="N190" s="46"/>
      <c r="O190" s="47"/>
      <c r="P190" s="47"/>
      <c r="Q190" s="47"/>
      <c r="R190" s="47"/>
      <c r="S190" s="47"/>
      <c r="T190" s="47"/>
    </row>
    <row r="191">
      <c r="A191" s="44" t="s">
        <v>729</v>
      </c>
      <c r="B191" s="44" t="s">
        <v>349</v>
      </c>
      <c r="C191" s="44" t="s">
        <v>349</v>
      </c>
      <c r="D191" s="44" t="s">
        <v>349</v>
      </c>
      <c r="E191" s="44" t="s">
        <v>349</v>
      </c>
      <c r="F191" s="44" t="s">
        <v>349</v>
      </c>
      <c r="G191" s="44" t="s">
        <v>349</v>
      </c>
      <c r="H191" s="44" t="s">
        <v>349</v>
      </c>
      <c r="I191" s="44" t="s">
        <v>349</v>
      </c>
      <c r="J191" s="44" t="s">
        <v>349</v>
      </c>
      <c r="K191" s="44" t="s">
        <v>349</v>
      </c>
      <c r="L191" s="45" t="s">
        <v>349</v>
      </c>
      <c r="M191" s="44" t="s">
        <v>349</v>
      </c>
      <c r="N191" s="46"/>
      <c r="O191" s="47"/>
      <c r="P191" s="47"/>
      <c r="Q191" s="47"/>
      <c r="R191" s="47"/>
      <c r="S191" s="47"/>
      <c r="T191" s="47"/>
    </row>
    <row r="192">
      <c r="A192" s="44" t="s">
        <v>730</v>
      </c>
      <c r="B192" s="44" t="s">
        <v>349</v>
      </c>
      <c r="C192" s="44" t="s">
        <v>349</v>
      </c>
      <c r="D192" s="44" t="s">
        <v>349</v>
      </c>
      <c r="E192" s="44" t="s">
        <v>349</v>
      </c>
      <c r="F192" s="44" t="s">
        <v>349</v>
      </c>
      <c r="G192" s="44" t="s">
        <v>349</v>
      </c>
      <c r="H192" s="44" t="s">
        <v>349</v>
      </c>
      <c r="I192" s="44" t="s">
        <v>349</v>
      </c>
      <c r="J192" s="44" t="s">
        <v>349</v>
      </c>
      <c r="K192" s="44" t="s">
        <v>349</v>
      </c>
      <c r="L192" s="45" t="s">
        <v>349</v>
      </c>
      <c r="M192" s="44" t="s">
        <v>349</v>
      </c>
      <c r="N192" s="46"/>
      <c r="O192" s="47"/>
      <c r="P192" s="47"/>
      <c r="Q192" s="47"/>
      <c r="R192" s="47"/>
      <c r="S192" s="47"/>
      <c r="T192" s="47"/>
    </row>
    <row r="193">
      <c r="A193" s="44" t="s">
        <v>731</v>
      </c>
      <c r="B193" s="44" t="s">
        <v>565</v>
      </c>
      <c r="C193" s="44" t="s">
        <v>349</v>
      </c>
      <c r="D193" s="44" t="s">
        <v>349</v>
      </c>
      <c r="E193" s="44" t="s">
        <v>349</v>
      </c>
      <c r="F193" s="44" t="s">
        <v>566</v>
      </c>
      <c r="G193" s="44" t="s">
        <v>349</v>
      </c>
      <c r="H193" s="44" t="s">
        <v>567</v>
      </c>
      <c r="I193" s="44" t="s">
        <v>349</v>
      </c>
      <c r="J193" s="44" t="s">
        <v>349</v>
      </c>
      <c r="K193" s="44" t="s">
        <v>568</v>
      </c>
      <c r="L193" s="45" t="s">
        <v>569</v>
      </c>
      <c r="M193" s="44" t="s">
        <v>570</v>
      </c>
      <c r="N193" s="46"/>
      <c r="O193" s="47"/>
      <c r="P193" s="47"/>
      <c r="Q193" s="47"/>
      <c r="R193" s="47"/>
      <c r="S193" s="47"/>
      <c r="T193" s="47"/>
    </row>
    <row r="194">
      <c r="A194" s="44" t="s">
        <v>732</v>
      </c>
      <c r="B194" s="44" t="s">
        <v>349</v>
      </c>
      <c r="C194" s="44" t="s">
        <v>349</v>
      </c>
      <c r="D194" s="44" t="s">
        <v>349</v>
      </c>
      <c r="E194" s="44" t="s">
        <v>349</v>
      </c>
      <c r="F194" s="44" t="s">
        <v>349</v>
      </c>
      <c r="G194" s="44" t="s">
        <v>349</v>
      </c>
      <c r="H194" s="44" t="s">
        <v>349</v>
      </c>
      <c r="I194" s="44" t="s">
        <v>349</v>
      </c>
      <c r="J194" s="44" t="s">
        <v>349</v>
      </c>
      <c r="K194" s="44" t="s">
        <v>349</v>
      </c>
      <c r="L194" s="45" t="s">
        <v>349</v>
      </c>
      <c r="M194" s="44" t="s">
        <v>349</v>
      </c>
      <c r="N194" s="46"/>
      <c r="O194" s="47"/>
      <c r="P194" s="47"/>
      <c r="Q194" s="47"/>
      <c r="R194" s="47"/>
      <c r="S194" s="47"/>
      <c r="T194" s="47"/>
    </row>
    <row r="195">
      <c r="A195" s="44" t="s">
        <v>733</v>
      </c>
      <c r="B195" s="44" t="s">
        <v>440</v>
      </c>
      <c r="C195" s="44" t="s">
        <v>349</v>
      </c>
      <c r="D195" s="44" t="s">
        <v>349</v>
      </c>
      <c r="E195" s="44" t="s">
        <v>349</v>
      </c>
      <c r="F195" s="44" t="s">
        <v>349</v>
      </c>
      <c r="G195" s="44" t="s">
        <v>349</v>
      </c>
      <c r="H195" s="44" t="s">
        <v>349</v>
      </c>
      <c r="I195" s="44" t="s">
        <v>349</v>
      </c>
      <c r="J195" s="44" t="s">
        <v>349</v>
      </c>
      <c r="K195" s="44" t="s">
        <v>733</v>
      </c>
      <c r="L195" s="45" t="s">
        <v>734</v>
      </c>
      <c r="M195" s="44" t="s">
        <v>735</v>
      </c>
      <c r="N195" s="46"/>
      <c r="O195" s="47"/>
      <c r="P195" s="47"/>
      <c r="Q195" s="47"/>
      <c r="R195" s="47"/>
      <c r="S195" s="47"/>
      <c r="T195" s="47"/>
    </row>
    <row r="196">
      <c r="A196" s="44" t="s">
        <v>736</v>
      </c>
      <c r="B196" s="44" t="s">
        <v>401</v>
      </c>
      <c r="C196" s="44" t="s">
        <v>349</v>
      </c>
      <c r="D196" s="44">
        <v>60.0</v>
      </c>
      <c r="E196" s="49">
        <v>0.05</v>
      </c>
      <c r="F196" s="44" t="s">
        <v>349</v>
      </c>
      <c r="G196" s="44" t="s">
        <v>737</v>
      </c>
      <c r="H196" s="44">
        <v>9.999997049E9</v>
      </c>
      <c r="I196" s="44" t="s">
        <v>349</v>
      </c>
      <c r="J196" s="44" t="s">
        <v>349</v>
      </c>
      <c r="K196" s="44" t="s">
        <v>736</v>
      </c>
      <c r="L196" s="50" t="s">
        <v>738</v>
      </c>
      <c r="M196" s="44" t="s">
        <v>739</v>
      </c>
      <c r="N196" s="46"/>
      <c r="O196" s="47"/>
      <c r="P196" s="47"/>
      <c r="Q196" s="47"/>
      <c r="R196" s="47"/>
      <c r="S196" s="47"/>
      <c r="T196" s="47"/>
    </row>
    <row r="197">
      <c r="A197" s="44" t="s">
        <v>740</v>
      </c>
      <c r="B197" s="44" t="s">
        <v>349</v>
      </c>
      <c r="C197" s="44" t="s">
        <v>349</v>
      </c>
      <c r="D197" s="44" t="s">
        <v>349</v>
      </c>
      <c r="E197" s="44" t="s">
        <v>349</v>
      </c>
      <c r="F197" s="44" t="s">
        <v>349</v>
      </c>
      <c r="G197" s="44" t="s">
        <v>349</v>
      </c>
      <c r="H197" s="44" t="s">
        <v>349</v>
      </c>
      <c r="I197" s="44" t="s">
        <v>349</v>
      </c>
      <c r="J197" s="44" t="s">
        <v>349</v>
      </c>
      <c r="K197" s="44" t="s">
        <v>349</v>
      </c>
      <c r="L197" s="45" t="s">
        <v>349</v>
      </c>
      <c r="M197" s="44" t="s">
        <v>349</v>
      </c>
      <c r="N197" s="46"/>
      <c r="O197" s="47"/>
      <c r="P197" s="47"/>
      <c r="Q197" s="47"/>
      <c r="R197" s="47"/>
      <c r="S197" s="47"/>
      <c r="T197" s="47"/>
    </row>
    <row r="198">
      <c r="A198" s="44" t="s">
        <v>741</v>
      </c>
      <c r="B198" s="44" t="s">
        <v>349</v>
      </c>
      <c r="C198" s="44" t="s">
        <v>349</v>
      </c>
      <c r="D198" s="44" t="s">
        <v>349</v>
      </c>
      <c r="E198" s="44" t="s">
        <v>349</v>
      </c>
      <c r="F198" s="44" t="s">
        <v>349</v>
      </c>
      <c r="G198" s="44" t="s">
        <v>349</v>
      </c>
      <c r="H198" s="44" t="s">
        <v>349</v>
      </c>
      <c r="I198" s="44" t="s">
        <v>349</v>
      </c>
      <c r="J198" s="44" t="s">
        <v>349</v>
      </c>
      <c r="K198" s="44" t="s">
        <v>349</v>
      </c>
      <c r="L198" s="45" t="s">
        <v>349</v>
      </c>
      <c r="M198" s="44" t="s">
        <v>349</v>
      </c>
      <c r="N198" s="46"/>
      <c r="O198" s="47"/>
      <c r="P198" s="47"/>
      <c r="Q198" s="47"/>
      <c r="R198" s="47"/>
      <c r="S198" s="47"/>
      <c r="T198" s="47"/>
    </row>
    <row r="199">
      <c r="A199" s="44" t="s">
        <v>742</v>
      </c>
      <c r="B199" s="44" t="s">
        <v>349</v>
      </c>
      <c r="C199" s="44" t="s">
        <v>349</v>
      </c>
      <c r="D199" s="44" t="s">
        <v>349</v>
      </c>
      <c r="E199" s="44" t="s">
        <v>349</v>
      </c>
      <c r="F199" s="44" t="s">
        <v>349</v>
      </c>
      <c r="G199" s="44" t="s">
        <v>349</v>
      </c>
      <c r="H199" s="44" t="s">
        <v>349</v>
      </c>
      <c r="I199" s="44" t="s">
        <v>349</v>
      </c>
      <c r="J199" s="44" t="s">
        <v>349</v>
      </c>
      <c r="K199" s="44" t="s">
        <v>349</v>
      </c>
      <c r="L199" s="45" t="s">
        <v>349</v>
      </c>
      <c r="M199" s="44" t="s">
        <v>349</v>
      </c>
      <c r="N199" s="46"/>
      <c r="O199" s="47"/>
      <c r="P199" s="47"/>
      <c r="Q199" s="47"/>
      <c r="R199" s="47"/>
      <c r="S199" s="47"/>
      <c r="T199" s="47"/>
    </row>
    <row r="200">
      <c r="A200" s="44" t="s">
        <v>743</v>
      </c>
      <c r="B200" s="44" t="s">
        <v>383</v>
      </c>
      <c r="C200" s="44" t="s">
        <v>744</v>
      </c>
      <c r="D200" s="44" t="s">
        <v>349</v>
      </c>
      <c r="E200" s="44" t="s">
        <v>349</v>
      </c>
      <c r="F200" s="44" t="s">
        <v>349</v>
      </c>
      <c r="G200" s="44" t="s">
        <v>349</v>
      </c>
      <c r="H200" s="44" t="s">
        <v>349</v>
      </c>
      <c r="I200" s="44" t="s">
        <v>349</v>
      </c>
      <c r="J200" s="44" t="s">
        <v>349</v>
      </c>
      <c r="K200" s="44" t="s">
        <v>743</v>
      </c>
      <c r="L200" s="45" t="s">
        <v>745</v>
      </c>
      <c r="M200" s="44" t="s">
        <v>617</v>
      </c>
      <c r="N200" s="46"/>
      <c r="O200" s="47"/>
      <c r="P200" s="47"/>
      <c r="Q200" s="47"/>
      <c r="R200" s="47"/>
      <c r="S200" s="47"/>
      <c r="T200" s="47"/>
    </row>
    <row r="201">
      <c r="A201" s="44" t="s">
        <v>746</v>
      </c>
      <c r="B201" s="44" t="s">
        <v>349</v>
      </c>
      <c r="C201" s="44" t="s">
        <v>349</v>
      </c>
      <c r="D201" s="44" t="s">
        <v>349</v>
      </c>
      <c r="E201" s="44" t="s">
        <v>349</v>
      </c>
      <c r="F201" s="44" t="s">
        <v>349</v>
      </c>
      <c r="G201" s="44" t="s">
        <v>349</v>
      </c>
      <c r="H201" s="44" t="s">
        <v>349</v>
      </c>
      <c r="I201" s="44" t="s">
        <v>349</v>
      </c>
      <c r="J201" s="44" t="s">
        <v>349</v>
      </c>
      <c r="K201" s="44" t="s">
        <v>349</v>
      </c>
      <c r="L201" s="45" t="s">
        <v>349</v>
      </c>
      <c r="M201" s="44" t="s">
        <v>349</v>
      </c>
      <c r="N201" s="46"/>
      <c r="O201" s="47"/>
      <c r="P201" s="47"/>
      <c r="Q201" s="47"/>
      <c r="R201" s="47"/>
      <c r="S201" s="47"/>
      <c r="T201" s="47"/>
    </row>
    <row r="202">
      <c r="A202" s="44" t="s">
        <v>747</v>
      </c>
      <c r="B202" s="44" t="s">
        <v>349</v>
      </c>
      <c r="C202" s="44" t="s">
        <v>349</v>
      </c>
      <c r="D202" s="44" t="s">
        <v>349</v>
      </c>
      <c r="E202" s="44" t="s">
        <v>349</v>
      </c>
      <c r="F202" s="44" t="s">
        <v>349</v>
      </c>
      <c r="G202" s="44" t="s">
        <v>349</v>
      </c>
      <c r="H202" s="44" t="s">
        <v>349</v>
      </c>
      <c r="I202" s="44" t="s">
        <v>349</v>
      </c>
      <c r="J202" s="44" t="s">
        <v>349</v>
      </c>
      <c r="K202" s="44" t="s">
        <v>349</v>
      </c>
      <c r="L202" s="45" t="s">
        <v>349</v>
      </c>
      <c r="M202" s="44" t="s">
        <v>349</v>
      </c>
      <c r="N202" s="46"/>
      <c r="O202" s="47"/>
      <c r="P202" s="47"/>
      <c r="Q202" s="47"/>
      <c r="R202" s="47"/>
      <c r="S202" s="47"/>
      <c r="T202" s="47"/>
    </row>
    <row r="203">
      <c r="A203" s="44" t="s">
        <v>748</v>
      </c>
      <c r="B203" s="44" t="s">
        <v>349</v>
      </c>
      <c r="C203" s="44" t="s">
        <v>349</v>
      </c>
      <c r="D203" s="44" t="s">
        <v>349</v>
      </c>
      <c r="E203" s="44" t="s">
        <v>349</v>
      </c>
      <c r="F203" s="44" t="s">
        <v>349</v>
      </c>
      <c r="G203" s="44" t="s">
        <v>349</v>
      </c>
      <c r="H203" s="44" t="s">
        <v>349</v>
      </c>
      <c r="I203" s="44" t="s">
        <v>349</v>
      </c>
      <c r="J203" s="44" t="s">
        <v>349</v>
      </c>
      <c r="K203" s="44" t="s">
        <v>349</v>
      </c>
      <c r="L203" s="45" t="s">
        <v>349</v>
      </c>
      <c r="M203" s="44" t="s">
        <v>349</v>
      </c>
      <c r="N203" s="46"/>
      <c r="O203" s="47"/>
      <c r="P203" s="47"/>
      <c r="Q203" s="47"/>
      <c r="R203" s="47"/>
      <c r="S203" s="47"/>
      <c r="T203" s="47"/>
    </row>
    <row r="204">
      <c r="A204" s="44" t="s">
        <v>749</v>
      </c>
      <c r="B204" s="44" t="s">
        <v>411</v>
      </c>
      <c r="C204" s="44" t="s">
        <v>750</v>
      </c>
      <c r="D204" s="44" t="s">
        <v>349</v>
      </c>
      <c r="E204" s="44" t="s">
        <v>349</v>
      </c>
      <c r="F204" s="44" t="s">
        <v>349</v>
      </c>
      <c r="G204" s="44" t="s">
        <v>349</v>
      </c>
      <c r="H204" s="44" t="s">
        <v>349</v>
      </c>
      <c r="I204" s="44" t="s">
        <v>349</v>
      </c>
      <c r="J204" s="44" t="s">
        <v>349</v>
      </c>
      <c r="K204" s="44" t="s">
        <v>749</v>
      </c>
      <c r="L204" s="45" t="s">
        <v>751</v>
      </c>
      <c r="M204" s="44" t="s">
        <v>752</v>
      </c>
      <c r="N204" s="46"/>
      <c r="O204" s="47"/>
      <c r="P204" s="47"/>
      <c r="Q204" s="47"/>
      <c r="R204" s="47"/>
      <c r="S204" s="47"/>
      <c r="T204" s="47"/>
    </row>
    <row r="205">
      <c r="A205" s="44" t="s">
        <v>753</v>
      </c>
      <c r="B205" s="44" t="s">
        <v>349</v>
      </c>
      <c r="C205" s="44" t="s">
        <v>349</v>
      </c>
      <c r="D205" s="44" t="s">
        <v>349</v>
      </c>
      <c r="E205" s="44" t="s">
        <v>349</v>
      </c>
      <c r="F205" s="44" t="s">
        <v>349</v>
      </c>
      <c r="G205" s="44" t="s">
        <v>349</v>
      </c>
      <c r="H205" s="44" t="s">
        <v>349</v>
      </c>
      <c r="I205" s="44" t="s">
        <v>349</v>
      </c>
      <c r="J205" s="44" t="s">
        <v>349</v>
      </c>
      <c r="K205" s="44" t="s">
        <v>349</v>
      </c>
      <c r="L205" s="45" t="s">
        <v>349</v>
      </c>
      <c r="M205" s="44" t="s">
        <v>349</v>
      </c>
      <c r="N205" s="46"/>
      <c r="O205" s="47"/>
      <c r="P205" s="47"/>
      <c r="Q205" s="47"/>
      <c r="R205" s="47"/>
      <c r="S205" s="47"/>
      <c r="T205" s="47"/>
    </row>
    <row r="206">
      <c r="A206" s="44" t="s">
        <v>754</v>
      </c>
      <c r="B206" s="44" t="s">
        <v>349</v>
      </c>
      <c r="C206" s="44" t="s">
        <v>349</v>
      </c>
      <c r="D206" s="44" t="s">
        <v>349</v>
      </c>
      <c r="E206" s="44" t="s">
        <v>349</v>
      </c>
      <c r="F206" s="44" t="s">
        <v>349</v>
      </c>
      <c r="G206" s="44" t="s">
        <v>349</v>
      </c>
      <c r="H206" s="44" t="s">
        <v>349</v>
      </c>
      <c r="I206" s="44" t="s">
        <v>349</v>
      </c>
      <c r="J206" s="44" t="s">
        <v>349</v>
      </c>
      <c r="K206" s="44" t="s">
        <v>349</v>
      </c>
      <c r="L206" s="45" t="s">
        <v>349</v>
      </c>
      <c r="M206" s="44" t="s">
        <v>349</v>
      </c>
      <c r="N206" s="46"/>
      <c r="O206" s="47"/>
      <c r="P206" s="47"/>
      <c r="Q206" s="47"/>
      <c r="R206" s="47"/>
      <c r="S206" s="47"/>
      <c r="T206" s="47"/>
    </row>
    <row r="207">
      <c r="A207" s="44" t="s">
        <v>755</v>
      </c>
      <c r="B207" s="44" t="s">
        <v>349</v>
      </c>
      <c r="C207" s="44" t="s">
        <v>349</v>
      </c>
      <c r="D207" s="44" t="s">
        <v>349</v>
      </c>
      <c r="E207" s="44" t="s">
        <v>349</v>
      </c>
      <c r="F207" s="44" t="s">
        <v>349</v>
      </c>
      <c r="G207" s="44" t="s">
        <v>349</v>
      </c>
      <c r="H207" s="44" t="s">
        <v>349</v>
      </c>
      <c r="I207" s="44" t="s">
        <v>349</v>
      </c>
      <c r="J207" s="44" t="s">
        <v>349</v>
      </c>
      <c r="K207" s="44" t="s">
        <v>349</v>
      </c>
      <c r="L207" s="45" t="s">
        <v>349</v>
      </c>
      <c r="M207" s="44" t="s">
        <v>349</v>
      </c>
      <c r="N207" s="46"/>
      <c r="O207" s="47"/>
      <c r="P207" s="47"/>
      <c r="Q207" s="47"/>
      <c r="R207" s="47"/>
      <c r="S207" s="47"/>
      <c r="T207" s="47"/>
    </row>
    <row r="208">
      <c r="A208" s="44" t="s">
        <v>756</v>
      </c>
      <c r="B208" s="44" t="s">
        <v>383</v>
      </c>
      <c r="C208" s="44" t="s">
        <v>412</v>
      </c>
      <c r="D208" s="44">
        <v>15.0</v>
      </c>
      <c r="E208" s="49">
        <v>0.02</v>
      </c>
      <c r="F208" s="44" t="s">
        <v>396</v>
      </c>
      <c r="G208" s="44" t="s">
        <v>349</v>
      </c>
      <c r="H208" s="44" t="s">
        <v>349</v>
      </c>
      <c r="I208" s="44" t="s">
        <v>349</v>
      </c>
      <c r="J208" s="44" t="s">
        <v>349</v>
      </c>
      <c r="K208" s="44" t="s">
        <v>349</v>
      </c>
      <c r="L208" s="45" t="s">
        <v>349</v>
      </c>
      <c r="M208" s="44" t="s">
        <v>349</v>
      </c>
      <c r="N208" s="46"/>
      <c r="O208" s="47"/>
      <c r="P208" s="47"/>
      <c r="Q208" s="47"/>
      <c r="R208" s="47"/>
      <c r="S208" s="47"/>
      <c r="T208" s="47"/>
    </row>
    <row r="209">
      <c r="A209" s="44" t="s">
        <v>757</v>
      </c>
      <c r="B209" s="44" t="s">
        <v>359</v>
      </c>
      <c r="C209" s="44" t="s">
        <v>349</v>
      </c>
      <c r="D209" s="44">
        <v>50.0</v>
      </c>
      <c r="E209" s="44" t="s">
        <v>758</v>
      </c>
      <c r="F209" s="44" t="s">
        <v>361</v>
      </c>
      <c r="G209" s="44" t="s">
        <v>362</v>
      </c>
      <c r="H209" s="44" t="s">
        <v>363</v>
      </c>
      <c r="I209" s="44" t="s">
        <v>349</v>
      </c>
      <c r="J209" s="44">
        <v>9.081051516E9</v>
      </c>
      <c r="K209" s="44" t="s">
        <v>757</v>
      </c>
      <c r="L209" s="45" t="s">
        <v>759</v>
      </c>
      <c r="M209" s="44" t="s">
        <v>760</v>
      </c>
      <c r="N209" s="46"/>
      <c r="O209" s="47"/>
      <c r="P209" s="47"/>
      <c r="Q209" s="47"/>
      <c r="R209" s="47"/>
      <c r="S209" s="47"/>
      <c r="T209" s="47"/>
    </row>
    <row r="210">
      <c r="A210" s="44" t="s">
        <v>761</v>
      </c>
      <c r="B210" s="44" t="s">
        <v>383</v>
      </c>
      <c r="C210" s="51" t="s">
        <v>762</v>
      </c>
      <c r="D210" s="44">
        <v>7.0</v>
      </c>
      <c r="E210" s="49">
        <v>0.02</v>
      </c>
      <c r="F210" s="44" t="s">
        <v>396</v>
      </c>
      <c r="G210" s="44" t="s">
        <v>349</v>
      </c>
      <c r="H210" s="44" t="s">
        <v>349</v>
      </c>
      <c r="I210" s="44" t="s">
        <v>349</v>
      </c>
      <c r="J210" s="44" t="s">
        <v>349</v>
      </c>
      <c r="K210" s="44" t="s">
        <v>761</v>
      </c>
      <c r="L210" s="45" t="s">
        <v>763</v>
      </c>
      <c r="M210" s="44" t="s">
        <v>764</v>
      </c>
      <c r="N210" s="46"/>
      <c r="O210" s="47"/>
      <c r="P210" s="47"/>
      <c r="Q210" s="47"/>
      <c r="R210" s="47"/>
      <c r="S210" s="47"/>
      <c r="T210" s="47"/>
    </row>
    <row r="211">
      <c r="A211" s="44" t="s">
        <v>765</v>
      </c>
      <c r="B211" s="44" t="s">
        <v>349</v>
      </c>
      <c r="C211" s="44" t="s">
        <v>349</v>
      </c>
      <c r="D211" s="44" t="s">
        <v>349</v>
      </c>
      <c r="E211" s="44" t="s">
        <v>349</v>
      </c>
      <c r="F211" s="44" t="s">
        <v>349</v>
      </c>
      <c r="G211" s="44" t="s">
        <v>349</v>
      </c>
      <c r="H211" s="44" t="s">
        <v>349</v>
      </c>
      <c r="I211" s="44" t="s">
        <v>349</v>
      </c>
      <c r="J211" s="44" t="s">
        <v>349</v>
      </c>
      <c r="K211" s="44" t="s">
        <v>349</v>
      </c>
      <c r="L211" s="45" t="s">
        <v>349</v>
      </c>
      <c r="M211" s="44" t="s">
        <v>349</v>
      </c>
      <c r="N211" s="46"/>
      <c r="O211" s="47"/>
      <c r="P211" s="47"/>
      <c r="Q211" s="47"/>
      <c r="R211" s="47"/>
      <c r="S211" s="47"/>
      <c r="T211" s="47"/>
    </row>
    <row r="212">
      <c r="A212" s="44" t="s">
        <v>766</v>
      </c>
      <c r="B212" s="44" t="s">
        <v>374</v>
      </c>
      <c r="C212" s="44" t="s">
        <v>767</v>
      </c>
      <c r="D212" s="44">
        <v>60.0</v>
      </c>
      <c r="E212" s="49">
        <v>0.05</v>
      </c>
      <c r="F212" s="44" t="s">
        <v>375</v>
      </c>
      <c r="G212" s="44" t="s">
        <v>376</v>
      </c>
      <c r="H212" s="44">
        <v>9.83145167E9</v>
      </c>
      <c r="I212" s="44" t="s">
        <v>349</v>
      </c>
      <c r="J212" s="44" t="s">
        <v>349</v>
      </c>
      <c r="K212" s="44" t="s">
        <v>766</v>
      </c>
      <c r="L212" s="45" t="s">
        <v>768</v>
      </c>
      <c r="M212" s="44" t="s">
        <v>769</v>
      </c>
      <c r="N212" s="46"/>
      <c r="O212" s="47"/>
      <c r="P212" s="47"/>
      <c r="Q212" s="47"/>
      <c r="R212" s="47"/>
      <c r="S212" s="47"/>
      <c r="T212" s="47"/>
    </row>
    <row r="213">
      <c r="A213" s="44" t="s">
        <v>770</v>
      </c>
      <c r="B213" s="44" t="s">
        <v>349</v>
      </c>
      <c r="C213" s="44" t="s">
        <v>349</v>
      </c>
      <c r="D213" s="44" t="s">
        <v>349</v>
      </c>
      <c r="E213" s="44" t="s">
        <v>349</v>
      </c>
      <c r="F213" s="44" t="s">
        <v>349</v>
      </c>
      <c r="G213" s="44" t="s">
        <v>349</v>
      </c>
      <c r="H213" s="44" t="s">
        <v>349</v>
      </c>
      <c r="I213" s="44" t="s">
        <v>349</v>
      </c>
      <c r="J213" s="44" t="s">
        <v>349</v>
      </c>
      <c r="K213" s="44" t="s">
        <v>349</v>
      </c>
      <c r="L213" s="45" t="s">
        <v>349</v>
      </c>
      <c r="M213" s="44" t="s">
        <v>349</v>
      </c>
      <c r="N213" s="46"/>
      <c r="O213" s="47"/>
      <c r="P213" s="47"/>
      <c r="Q213" s="47"/>
      <c r="R213" s="47"/>
      <c r="S213" s="47"/>
      <c r="T213" s="47"/>
    </row>
    <row r="214">
      <c r="A214" s="44" t="s">
        <v>771</v>
      </c>
      <c r="B214" s="44" t="s">
        <v>349</v>
      </c>
      <c r="C214" s="44" t="s">
        <v>349</v>
      </c>
      <c r="D214" s="44" t="s">
        <v>349</v>
      </c>
      <c r="E214" s="44" t="s">
        <v>349</v>
      </c>
      <c r="F214" s="44" t="s">
        <v>349</v>
      </c>
      <c r="G214" s="44" t="s">
        <v>349</v>
      </c>
      <c r="H214" s="44" t="s">
        <v>349</v>
      </c>
      <c r="I214" s="44" t="s">
        <v>349</v>
      </c>
      <c r="J214" s="44" t="s">
        <v>349</v>
      </c>
      <c r="K214" s="44" t="s">
        <v>349</v>
      </c>
      <c r="L214" s="45" t="s">
        <v>349</v>
      </c>
      <c r="M214" s="44" t="s">
        <v>349</v>
      </c>
      <c r="N214" s="46"/>
      <c r="O214" s="47"/>
      <c r="P214" s="47"/>
      <c r="Q214" s="47"/>
      <c r="R214" s="47"/>
      <c r="S214" s="47"/>
      <c r="T214" s="47"/>
    </row>
    <row r="215">
      <c r="A215" s="44" t="s">
        <v>772</v>
      </c>
      <c r="B215" s="44" t="s">
        <v>349</v>
      </c>
      <c r="C215" s="44" t="s">
        <v>349</v>
      </c>
      <c r="D215" s="44" t="s">
        <v>349</v>
      </c>
      <c r="E215" s="44" t="s">
        <v>349</v>
      </c>
      <c r="F215" s="44" t="s">
        <v>349</v>
      </c>
      <c r="G215" s="44" t="s">
        <v>349</v>
      </c>
      <c r="H215" s="44" t="s">
        <v>349</v>
      </c>
      <c r="I215" s="44" t="s">
        <v>349</v>
      </c>
      <c r="J215" s="44" t="s">
        <v>349</v>
      </c>
      <c r="K215" s="44" t="s">
        <v>349</v>
      </c>
      <c r="L215" s="45" t="s">
        <v>349</v>
      </c>
      <c r="M215" s="44" t="s">
        <v>349</v>
      </c>
      <c r="N215" s="46"/>
      <c r="O215" s="47"/>
      <c r="P215" s="47"/>
      <c r="Q215" s="47"/>
      <c r="R215" s="47"/>
      <c r="S215" s="47"/>
      <c r="T215" s="47"/>
    </row>
    <row r="216">
      <c r="A216" s="44" t="s">
        <v>773</v>
      </c>
      <c r="B216" s="44" t="s">
        <v>349</v>
      </c>
      <c r="C216" s="44" t="s">
        <v>349</v>
      </c>
      <c r="D216" s="44" t="s">
        <v>349</v>
      </c>
      <c r="E216" s="44" t="s">
        <v>349</v>
      </c>
      <c r="F216" s="44" t="s">
        <v>349</v>
      </c>
      <c r="G216" s="44" t="s">
        <v>349</v>
      </c>
      <c r="H216" s="44" t="s">
        <v>349</v>
      </c>
      <c r="I216" s="44" t="s">
        <v>349</v>
      </c>
      <c r="J216" s="44" t="s">
        <v>349</v>
      </c>
      <c r="K216" s="44" t="s">
        <v>349</v>
      </c>
      <c r="L216" s="45" t="s">
        <v>349</v>
      </c>
      <c r="M216" s="44" t="s">
        <v>349</v>
      </c>
      <c r="N216" s="46"/>
      <c r="O216" s="47"/>
      <c r="P216" s="47"/>
      <c r="Q216" s="47"/>
      <c r="R216" s="47"/>
      <c r="S216" s="47"/>
      <c r="T216" s="47"/>
    </row>
    <row r="217">
      <c r="A217" s="44" t="s">
        <v>774</v>
      </c>
      <c r="B217" s="44" t="s">
        <v>349</v>
      </c>
      <c r="C217" s="44" t="s">
        <v>349</v>
      </c>
      <c r="D217" s="44" t="s">
        <v>349</v>
      </c>
      <c r="E217" s="44" t="s">
        <v>349</v>
      </c>
      <c r="F217" s="44" t="s">
        <v>349</v>
      </c>
      <c r="G217" s="44" t="s">
        <v>349</v>
      </c>
      <c r="H217" s="44" t="s">
        <v>349</v>
      </c>
      <c r="I217" s="44" t="s">
        <v>349</v>
      </c>
      <c r="J217" s="44" t="s">
        <v>349</v>
      </c>
      <c r="K217" s="44" t="s">
        <v>349</v>
      </c>
      <c r="L217" s="45" t="s">
        <v>349</v>
      </c>
      <c r="M217" s="44" t="s">
        <v>349</v>
      </c>
      <c r="N217" s="46"/>
      <c r="O217" s="47"/>
      <c r="P217" s="47"/>
      <c r="Q217" s="47"/>
      <c r="R217" s="47"/>
      <c r="S217" s="47"/>
      <c r="T217" s="47"/>
    </row>
    <row r="218">
      <c r="A218" s="44" t="s">
        <v>775</v>
      </c>
      <c r="B218" s="44" t="s">
        <v>349</v>
      </c>
      <c r="C218" s="44" t="s">
        <v>349</v>
      </c>
      <c r="D218" s="44" t="s">
        <v>349</v>
      </c>
      <c r="E218" s="44" t="s">
        <v>349</v>
      </c>
      <c r="F218" s="44" t="s">
        <v>349</v>
      </c>
      <c r="G218" s="44" t="s">
        <v>349</v>
      </c>
      <c r="H218" s="44" t="s">
        <v>349</v>
      </c>
      <c r="I218" s="44" t="s">
        <v>349</v>
      </c>
      <c r="J218" s="44" t="s">
        <v>349</v>
      </c>
      <c r="K218" s="44" t="s">
        <v>349</v>
      </c>
      <c r="L218" s="45" t="s">
        <v>349</v>
      </c>
      <c r="M218" s="44" t="s">
        <v>349</v>
      </c>
      <c r="N218" s="46"/>
      <c r="O218" s="47"/>
      <c r="P218" s="47"/>
      <c r="Q218" s="47"/>
      <c r="R218" s="47"/>
      <c r="S218" s="47"/>
      <c r="T218" s="47"/>
    </row>
    <row r="219">
      <c r="A219" s="44" t="s">
        <v>776</v>
      </c>
      <c r="B219" s="44" t="s">
        <v>359</v>
      </c>
      <c r="C219" s="44" t="s">
        <v>349</v>
      </c>
      <c r="D219" s="44">
        <v>60.0</v>
      </c>
      <c r="E219" s="44" t="s">
        <v>503</v>
      </c>
      <c r="F219" s="44" t="s">
        <v>361</v>
      </c>
      <c r="G219" s="44" t="s">
        <v>362</v>
      </c>
      <c r="H219" s="44" t="s">
        <v>363</v>
      </c>
      <c r="I219" s="44" t="s">
        <v>349</v>
      </c>
      <c r="J219" s="44" t="s">
        <v>349</v>
      </c>
      <c r="K219" s="44" t="s">
        <v>776</v>
      </c>
      <c r="L219" s="45" t="s">
        <v>777</v>
      </c>
      <c r="M219" s="44" t="s">
        <v>778</v>
      </c>
      <c r="N219" s="46"/>
      <c r="O219" s="47"/>
      <c r="P219" s="47"/>
      <c r="Q219" s="47"/>
      <c r="R219" s="47"/>
      <c r="S219" s="47"/>
      <c r="T219" s="47"/>
    </row>
    <row r="220">
      <c r="A220" s="44" t="s">
        <v>779</v>
      </c>
      <c r="B220" s="44" t="s">
        <v>359</v>
      </c>
      <c r="C220" s="44" t="s">
        <v>349</v>
      </c>
      <c r="D220" s="44" t="s">
        <v>780</v>
      </c>
      <c r="E220" s="44" t="s">
        <v>349</v>
      </c>
      <c r="F220" s="44" t="s">
        <v>361</v>
      </c>
      <c r="G220" s="44" t="s">
        <v>362</v>
      </c>
      <c r="H220" s="44" t="s">
        <v>363</v>
      </c>
      <c r="I220" s="44" t="s">
        <v>349</v>
      </c>
      <c r="J220" s="44" t="s">
        <v>349</v>
      </c>
      <c r="K220" s="44" t="s">
        <v>779</v>
      </c>
      <c r="L220" s="45" t="s">
        <v>781</v>
      </c>
      <c r="M220" s="44" t="s">
        <v>782</v>
      </c>
      <c r="N220" s="46"/>
      <c r="O220" s="47"/>
      <c r="P220" s="47"/>
      <c r="Q220" s="47"/>
      <c r="R220" s="47"/>
      <c r="S220" s="47"/>
      <c r="T220" s="47"/>
    </row>
    <row r="221">
      <c r="A221" s="44" t="s">
        <v>783</v>
      </c>
      <c r="B221" s="44" t="s">
        <v>383</v>
      </c>
      <c r="C221" s="44" t="s">
        <v>412</v>
      </c>
      <c r="D221" s="44">
        <v>21.0</v>
      </c>
      <c r="E221" s="49">
        <v>0.02</v>
      </c>
      <c r="F221" s="44" t="s">
        <v>396</v>
      </c>
      <c r="G221" s="44" t="s">
        <v>349</v>
      </c>
      <c r="H221" s="44" t="s">
        <v>349</v>
      </c>
      <c r="I221" s="44" t="s">
        <v>349</v>
      </c>
      <c r="J221" s="44" t="s">
        <v>349</v>
      </c>
      <c r="K221" s="44" t="s">
        <v>783</v>
      </c>
      <c r="L221" s="45" t="s">
        <v>784</v>
      </c>
      <c r="M221" s="44" t="s">
        <v>785</v>
      </c>
      <c r="N221" s="46"/>
      <c r="O221" s="47"/>
      <c r="P221" s="47"/>
      <c r="Q221" s="47"/>
      <c r="R221" s="47"/>
      <c r="S221" s="47"/>
      <c r="T221" s="47"/>
    </row>
    <row r="222">
      <c r="A222" s="44" t="s">
        <v>786</v>
      </c>
      <c r="B222" s="44" t="s">
        <v>359</v>
      </c>
      <c r="C222" s="44" t="s">
        <v>349</v>
      </c>
      <c r="D222" s="44" t="s">
        <v>360</v>
      </c>
      <c r="E222" s="44" t="s">
        <v>349</v>
      </c>
      <c r="F222" s="44" t="s">
        <v>361</v>
      </c>
      <c r="G222" s="44" t="s">
        <v>362</v>
      </c>
      <c r="H222" s="44" t="s">
        <v>363</v>
      </c>
      <c r="I222" s="44" t="s">
        <v>349</v>
      </c>
      <c r="J222" s="44" t="s">
        <v>349</v>
      </c>
      <c r="K222" s="44" t="s">
        <v>786</v>
      </c>
      <c r="L222" s="45" t="s">
        <v>787</v>
      </c>
      <c r="M222" s="44" t="s">
        <v>788</v>
      </c>
      <c r="N222" s="46"/>
      <c r="O222" s="47"/>
      <c r="P222" s="47"/>
      <c r="Q222" s="47"/>
      <c r="R222" s="47"/>
      <c r="S222" s="47"/>
      <c r="T222" s="47"/>
    </row>
    <row r="223">
      <c r="A223" s="44" t="s">
        <v>789</v>
      </c>
      <c r="B223" s="44" t="s">
        <v>383</v>
      </c>
      <c r="C223" s="44" t="s">
        <v>349</v>
      </c>
      <c r="D223" s="44" t="s">
        <v>349</v>
      </c>
      <c r="E223" s="44" t="s">
        <v>349</v>
      </c>
      <c r="F223" s="44" t="s">
        <v>349</v>
      </c>
      <c r="G223" s="44" t="s">
        <v>349</v>
      </c>
      <c r="H223" s="44" t="s">
        <v>349</v>
      </c>
      <c r="I223" s="44" t="s">
        <v>349</v>
      </c>
      <c r="J223" s="44" t="s">
        <v>349</v>
      </c>
      <c r="K223" s="44" t="s">
        <v>349</v>
      </c>
      <c r="L223" s="45" t="s">
        <v>349</v>
      </c>
      <c r="M223" s="44" t="s">
        <v>349</v>
      </c>
      <c r="N223" s="46"/>
      <c r="O223" s="47"/>
      <c r="P223" s="47"/>
      <c r="Q223" s="47"/>
      <c r="R223" s="47"/>
      <c r="S223" s="47"/>
      <c r="T223" s="47"/>
    </row>
    <row r="224">
      <c r="A224" s="44" t="s">
        <v>790</v>
      </c>
      <c r="B224" s="44" t="s">
        <v>374</v>
      </c>
      <c r="C224" s="44" t="s">
        <v>349</v>
      </c>
      <c r="D224" s="44" t="s">
        <v>349</v>
      </c>
      <c r="E224" s="44" t="s">
        <v>349</v>
      </c>
      <c r="F224" s="44" t="s">
        <v>349</v>
      </c>
      <c r="G224" s="44" t="s">
        <v>349</v>
      </c>
      <c r="H224" s="44" t="s">
        <v>349</v>
      </c>
      <c r="I224" s="44" t="s">
        <v>349</v>
      </c>
      <c r="J224" s="44" t="s">
        <v>349</v>
      </c>
      <c r="K224" s="44" t="s">
        <v>790</v>
      </c>
      <c r="L224" s="45" t="s">
        <v>791</v>
      </c>
      <c r="M224" s="44" t="s">
        <v>792</v>
      </c>
      <c r="N224" s="46"/>
      <c r="O224" s="47"/>
      <c r="P224" s="47"/>
      <c r="Q224" s="47"/>
      <c r="R224" s="47"/>
      <c r="S224" s="47"/>
      <c r="T224" s="47"/>
    </row>
    <row r="225">
      <c r="A225" s="44" t="s">
        <v>793</v>
      </c>
      <c r="B225" s="44" t="s">
        <v>349</v>
      </c>
      <c r="C225" s="44" t="s">
        <v>349</v>
      </c>
      <c r="D225" s="44" t="s">
        <v>349</v>
      </c>
      <c r="E225" s="44" t="s">
        <v>349</v>
      </c>
      <c r="F225" s="44" t="s">
        <v>349</v>
      </c>
      <c r="G225" s="44" t="s">
        <v>349</v>
      </c>
      <c r="H225" s="44" t="s">
        <v>349</v>
      </c>
      <c r="I225" s="44" t="s">
        <v>349</v>
      </c>
      <c r="J225" s="44" t="s">
        <v>349</v>
      </c>
      <c r="K225" s="44" t="s">
        <v>349</v>
      </c>
      <c r="L225" s="45" t="s">
        <v>349</v>
      </c>
      <c r="M225" s="44" t="s">
        <v>349</v>
      </c>
      <c r="N225" s="46"/>
      <c r="O225" s="47"/>
      <c r="P225" s="47"/>
      <c r="Q225" s="47"/>
      <c r="R225" s="47"/>
      <c r="S225" s="47"/>
      <c r="T225" s="47"/>
    </row>
    <row r="226">
      <c r="A226" s="44" t="s">
        <v>794</v>
      </c>
      <c r="B226" s="44" t="s">
        <v>349</v>
      </c>
      <c r="C226" s="44" t="s">
        <v>349</v>
      </c>
      <c r="D226" s="44" t="s">
        <v>349</v>
      </c>
      <c r="E226" s="44" t="s">
        <v>349</v>
      </c>
      <c r="F226" s="44" t="s">
        <v>349</v>
      </c>
      <c r="G226" s="44" t="s">
        <v>349</v>
      </c>
      <c r="H226" s="44" t="s">
        <v>349</v>
      </c>
      <c r="I226" s="44" t="s">
        <v>349</v>
      </c>
      <c r="J226" s="44" t="s">
        <v>349</v>
      </c>
      <c r="K226" s="44" t="s">
        <v>349</v>
      </c>
      <c r="L226" s="45" t="s">
        <v>349</v>
      </c>
      <c r="M226" s="44" t="s">
        <v>349</v>
      </c>
      <c r="N226" s="46"/>
      <c r="O226" s="47"/>
      <c r="P226" s="47"/>
      <c r="Q226" s="47"/>
      <c r="R226" s="47"/>
      <c r="S226" s="47"/>
      <c r="T226" s="47"/>
    </row>
    <row r="227">
      <c r="A227" s="44" t="s">
        <v>795</v>
      </c>
      <c r="B227" s="44" t="s">
        <v>374</v>
      </c>
      <c r="C227" s="44" t="s">
        <v>796</v>
      </c>
      <c r="D227" s="44" t="s">
        <v>349</v>
      </c>
      <c r="E227" s="44" t="s">
        <v>349</v>
      </c>
      <c r="F227" s="44" t="s">
        <v>375</v>
      </c>
      <c r="G227" s="44" t="s">
        <v>376</v>
      </c>
      <c r="H227" s="44">
        <v>9.83145167E9</v>
      </c>
      <c r="I227" s="44" t="s">
        <v>349</v>
      </c>
      <c r="J227" s="44" t="s">
        <v>349</v>
      </c>
      <c r="K227" s="44" t="s">
        <v>795</v>
      </c>
      <c r="L227" s="45" t="s">
        <v>797</v>
      </c>
      <c r="M227" s="44" t="s">
        <v>451</v>
      </c>
      <c r="N227" s="46"/>
      <c r="O227" s="47"/>
      <c r="P227" s="47"/>
      <c r="Q227" s="47"/>
      <c r="R227" s="47"/>
      <c r="S227" s="47"/>
      <c r="T227" s="47"/>
    </row>
    <row r="228">
      <c r="A228" s="44" t="s">
        <v>798</v>
      </c>
      <c r="B228" s="44" t="s">
        <v>349</v>
      </c>
      <c r="C228" s="44" t="s">
        <v>349</v>
      </c>
      <c r="D228" s="44" t="s">
        <v>349</v>
      </c>
      <c r="E228" s="44" t="s">
        <v>349</v>
      </c>
      <c r="F228" s="44" t="s">
        <v>349</v>
      </c>
      <c r="G228" s="44" t="s">
        <v>349</v>
      </c>
      <c r="H228" s="44" t="s">
        <v>349</v>
      </c>
      <c r="I228" s="44" t="s">
        <v>349</v>
      </c>
      <c r="J228" s="44" t="s">
        <v>349</v>
      </c>
      <c r="K228" s="44" t="s">
        <v>349</v>
      </c>
      <c r="L228" s="45" t="s">
        <v>349</v>
      </c>
      <c r="M228" s="44" t="s">
        <v>349</v>
      </c>
      <c r="N228" s="46"/>
      <c r="O228" s="47"/>
      <c r="P228" s="47"/>
      <c r="Q228" s="47"/>
      <c r="R228" s="47"/>
      <c r="S228" s="47"/>
      <c r="T228" s="47"/>
    </row>
    <row r="229">
      <c r="A229" s="44" t="s">
        <v>799</v>
      </c>
      <c r="B229" s="44" t="s">
        <v>349</v>
      </c>
      <c r="C229" s="44" t="s">
        <v>349</v>
      </c>
      <c r="D229" s="44" t="s">
        <v>349</v>
      </c>
      <c r="E229" s="44" t="s">
        <v>349</v>
      </c>
      <c r="F229" s="44" t="s">
        <v>349</v>
      </c>
      <c r="G229" s="44" t="s">
        <v>349</v>
      </c>
      <c r="H229" s="44" t="s">
        <v>349</v>
      </c>
      <c r="I229" s="44" t="s">
        <v>349</v>
      </c>
      <c r="J229" s="44" t="s">
        <v>349</v>
      </c>
      <c r="K229" s="44" t="s">
        <v>799</v>
      </c>
      <c r="L229" s="45" t="s">
        <v>800</v>
      </c>
      <c r="M229" s="44" t="s">
        <v>801</v>
      </c>
      <c r="N229" s="46"/>
      <c r="O229" s="47"/>
      <c r="P229" s="47"/>
      <c r="Q229" s="47"/>
      <c r="R229" s="47"/>
      <c r="S229" s="47"/>
      <c r="T229" s="47"/>
    </row>
    <row r="230">
      <c r="A230" s="44" t="s">
        <v>802</v>
      </c>
      <c r="B230" s="44" t="s">
        <v>374</v>
      </c>
      <c r="C230" s="44" t="s">
        <v>803</v>
      </c>
      <c r="D230" s="44">
        <v>60.0</v>
      </c>
      <c r="E230" s="49">
        <v>0.03</v>
      </c>
      <c r="F230" s="44" t="s">
        <v>375</v>
      </c>
      <c r="G230" s="44" t="s">
        <v>376</v>
      </c>
      <c r="H230" s="44">
        <v>9.83145167E9</v>
      </c>
      <c r="I230" s="44" t="s">
        <v>349</v>
      </c>
      <c r="J230" s="44" t="s">
        <v>349</v>
      </c>
      <c r="K230" s="44" t="s">
        <v>802</v>
      </c>
      <c r="L230" s="45" t="s">
        <v>804</v>
      </c>
      <c r="M230" s="44" t="s">
        <v>697</v>
      </c>
      <c r="N230" s="46"/>
      <c r="O230" s="47"/>
      <c r="P230" s="47"/>
      <c r="Q230" s="47"/>
      <c r="R230" s="47"/>
      <c r="S230" s="47"/>
      <c r="T230" s="47"/>
    </row>
    <row r="231">
      <c r="A231" s="44" t="s">
        <v>805</v>
      </c>
      <c r="B231" s="44" t="s">
        <v>359</v>
      </c>
      <c r="C231" s="44" t="s">
        <v>349</v>
      </c>
      <c r="D231" s="44" t="s">
        <v>360</v>
      </c>
      <c r="E231" s="44" t="s">
        <v>349</v>
      </c>
      <c r="F231" s="44" t="s">
        <v>361</v>
      </c>
      <c r="G231" s="44" t="s">
        <v>362</v>
      </c>
      <c r="H231" s="44" t="s">
        <v>363</v>
      </c>
      <c r="I231" s="44" t="s">
        <v>349</v>
      </c>
      <c r="J231" s="44" t="s">
        <v>349</v>
      </c>
      <c r="K231" s="44" t="s">
        <v>805</v>
      </c>
      <c r="L231" s="45" t="s">
        <v>806</v>
      </c>
      <c r="M231" s="44" t="s">
        <v>666</v>
      </c>
      <c r="N231" s="46"/>
      <c r="O231" s="47"/>
      <c r="P231" s="47"/>
      <c r="Q231" s="47"/>
      <c r="R231" s="47"/>
      <c r="S231" s="47"/>
      <c r="T231" s="47"/>
    </row>
    <row r="232">
      <c r="A232" s="44" t="s">
        <v>807</v>
      </c>
      <c r="B232" s="44" t="s">
        <v>349</v>
      </c>
      <c r="C232" s="44" t="s">
        <v>349</v>
      </c>
      <c r="D232" s="44" t="s">
        <v>349</v>
      </c>
      <c r="E232" s="44" t="s">
        <v>349</v>
      </c>
      <c r="F232" s="44" t="s">
        <v>349</v>
      </c>
      <c r="G232" s="44" t="s">
        <v>349</v>
      </c>
      <c r="H232" s="44" t="s">
        <v>349</v>
      </c>
      <c r="I232" s="44" t="s">
        <v>349</v>
      </c>
      <c r="J232" s="44" t="s">
        <v>349</v>
      </c>
      <c r="K232" s="44" t="s">
        <v>349</v>
      </c>
      <c r="L232" s="45" t="s">
        <v>349</v>
      </c>
      <c r="M232" s="44" t="s">
        <v>349</v>
      </c>
      <c r="N232" s="46"/>
      <c r="O232" s="48"/>
      <c r="P232" s="47"/>
      <c r="Q232" s="47"/>
      <c r="R232" s="47"/>
      <c r="S232" s="47"/>
      <c r="T232" s="47"/>
    </row>
    <row r="233">
      <c r="A233" s="44" t="s">
        <v>808</v>
      </c>
      <c r="B233" s="44" t="s">
        <v>349</v>
      </c>
      <c r="C233" s="44" t="s">
        <v>349</v>
      </c>
      <c r="D233" s="44" t="s">
        <v>349</v>
      </c>
      <c r="E233" s="44" t="s">
        <v>349</v>
      </c>
      <c r="F233" s="44" t="s">
        <v>349</v>
      </c>
      <c r="G233" s="44" t="s">
        <v>349</v>
      </c>
      <c r="H233" s="44" t="s">
        <v>349</v>
      </c>
      <c r="I233" s="44" t="s">
        <v>349</v>
      </c>
      <c r="J233" s="44" t="s">
        <v>349</v>
      </c>
      <c r="K233" s="44" t="s">
        <v>349</v>
      </c>
      <c r="L233" s="45" t="s">
        <v>349</v>
      </c>
      <c r="M233" s="44" t="s">
        <v>349</v>
      </c>
      <c r="N233" s="46"/>
      <c r="O233" s="47"/>
      <c r="P233" s="47"/>
      <c r="Q233" s="47"/>
      <c r="R233" s="47"/>
      <c r="S233" s="47"/>
      <c r="T233" s="47"/>
    </row>
    <row r="234">
      <c r="A234" s="44" t="s">
        <v>809</v>
      </c>
      <c r="B234" s="44" t="s">
        <v>359</v>
      </c>
      <c r="C234" s="44" t="s">
        <v>349</v>
      </c>
      <c r="D234" s="44" t="s">
        <v>349</v>
      </c>
      <c r="E234" s="44" t="s">
        <v>349</v>
      </c>
      <c r="F234" s="44" t="s">
        <v>361</v>
      </c>
      <c r="G234" s="44" t="s">
        <v>362</v>
      </c>
      <c r="H234" s="44" t="s">
        <v>363</v>
      </c>
      <c r="I234" s="44" t="s">
        <v>349</v>
      </c>
      <c r="J234" s="44" t="s">
        <v>349</v>
      </c>
      <c r="K234" s="44" t="s">
        <v>809</v>
      </c>
      <c r="L234" s="45" t="s">
        <v>810</v>
      </c>
      <c r="M234" s="44" t="s">
        <v>811</v>
      </c>
      <c r="N234" s="46"/>
      <c r="O234" s="47"/>
      <c r="P234" s="47"/>
      <c r="Q234" s="47"/>
      <c r="R234" s="47"/>
      <c r="S234" s="47"/>
      <c r="T234" s="47"/>
    </row>
    <row r="235">
      <c r="A235" s="44" t="s">
        <v>812</v>
      </c>
      <c r="B235" s="44" t="s">
        <v>431</v>
      </c>
      <c r="C235" s="44" t="s">
        <v>349</v>
      </c>
      <c r="D235" s="44" t="s">
        <v>349</v>
      </c>
      <c r="E235" s="44" t="s">
        <v>349</v>
      </c>
      <c r="F235" s="44"/>
      <c r="G235" s="44" t="s">
        <v>349</v>
      </c>
      <c r="H235" s="44" t="s">
        <v>349</v>
      </c>
      <c r="I235" s="44" t="s">
        <v>349</v>
      </c>
      <c r="J235" s="44" t="s">
        <v>349</v>
      </c>
      <c r="K235" s="44"/>
      <c r="L235" s="45"/>
      <c r="M235" s="44"/>
      <c r="N235" s="46"/>
      <c r="O235" s="47"/>
      <c r="P235" s="47"/>
      <c r="Q235" s="47"/>
      <c r="R235" s="47"/>
      <c r="S235" s="47"/>
      <c r="T235" s="47"/>
    </row>
    <row r="236">
      <c r="A236" s="44" t="s">
        <v>813</v>
      </c>
      <c r="B236" s="44" t="s">
        <v>431</v>
      </c>
      <c r="C236" s="44" t="s">
        <v>349</v>
      </c>
      <c r="D236" s="44">
        <v>60.0</v>
      </c>
      <c r="E236" s="44" t="s">
        <v>528</v>
      </c>
      <c r="F236" s="44" t="s">
        <v>814</v>
      </c>
      <c r="G236" s="44" t="s">
        <v>432</v>
      </c>
      <c r="H236" s="44" t="s">
        <v>815</v>
      </c>
      <c r="I236" s="44" t="s">
        <v>349</v>
      </c>
      <c r="J236" s="44" t="s">
        <v>349</v>
      </c>
      <c r="K236" s="44" t="s">
        <v>813</v>
      </c>
      <c r="L236" s="45" t="s">
        <v>816</v>
      </c>
      <c r="M236" s="44" t="s">
        <v>817</v>
      </c>
      <c r="N236" s="46"/>
      <c r="O236" s="47"/>
      <c r="P236" s="47"/>
      <c r="Q236" s="47"/>
      <c r="R236" s="47"/>
      <c r="S236" s="47"/>
      <c r="T236" s="47"/>
    </row>
    <row r="237">
      <c r="A237" s="44" t="s">
        <v>818</v>
      </c>
      <c r="B237" s="44" t="s">
        <v>401</v>
      </c>
      <c r="C237" s="44" t="s">
        <v>818</v>
      </c>
      <c r="D237" s="44" t="s">
        <v>349</v>
      </c>
      <c r="E237" s="44" t="s">
        <v>349</v>
      </c>
      <c r="F237" s="44"/>
      <c r="G237" s="44" t="s">
        <v>349</v>
      </c>
      <c r="H237" s="44" t="s">
        <v>349</v>
      </c>
      <c r="I237" s="44" t="s">
        <v>349</v>
      </c>
      <c r="J237" s="44" t="s">
        <v>349</v>
      </c>
      <c r="K237" s="44" t="s">
        <v>818</v>
      </c>
      <c r="L237" s="45" t="s">
        <v>819</v>
      </c>
      <c r="M237" s="44" t="s">
        <v>820</v>
      </c>
      <c r="N237" s="46"/>
      <c r="O237" s="47"/>
      <c r="P237" s="47"/>
      <c r="Q237" s="47"/>
      <c r="R237" s="47"/>
      <c r="S237" s="47"/>
      <c r="T237" s="47"/>
    </row>
    <row r="238">
      <c r="A238" s="44" t="s">
        <v>821</v>
      </c>
      <c r="B238" s="44" t="s">
        <v>431</v>
      </c>
      <c r="C238" s="44" t="s">
        <v>822</v>
      </c>
      <c r="D238" s="44">
        <v>30.0</v>
      </c>
      <c r="E238" s="49">
        <v>0.03</v>
      </c>
      <c r="F238" s="44" t="s">
        <v>814</v>
      </c>
      <c r="G238" s="44" t="s">
        <v>432</v>
      </c>
      <c r="H238" s="44" t="s">
        <v>815</v>
      </c>
      <c r="I238" s="44" t="s">
        <v>349</v>
      </c>
      <c r="J238" s="44" t="s">
        <v>349</v>
      </c>
      <c r="K238" s="44" t="s">
        <v>821</v>
      </c>
      <c r="L238" s="45" t="s">
        <v>823</v>
      </c>
      <c r="M238" s="44" t="s">
        <v>824</v>
      </c>
      <c r="N238" s="46"/>
      <c r="O238" s="47"/>
      <c r="P238" s="47"/>
      <c r="Q238" s="47"/>
      <c r="R238" s="47"/>
      <c r="S238" s="47"/>
      <c r="T238" s="47"/>
    </row>
    <row r="239">
      <c r="A239" s="44" t="s">
        <v>825</v>
      </c>
      <c r="B239" s="44" t="s">
        <v>374</v>
      </c>
      <c r="C239" s="44" t="s">
        <v>825</v>
      </c>
      <c r="D239" s="44">
        <v>60.0</v>
      </c>
      <c r="E239" s="49">
        <v>0.03</v>
      </c>
      <c r="F239" s="44" t="s">
        <v>375</v>
      </c>
      <c r="G239" s="44" t="s">
        <v>376</v>
      </c>
      <c r="H239" s="44">
        <v>9.83145167E9</v>
      </c>
      <c r="I239" s="44" t="s">
        <v>349</v>
      </c>
      <c r="J239" s="44" t="s">
        <v>349</v>
      </c>
      <c r="K239" s="44" t="s">
        <v>825</v>
      </c>
      <c r="L239" s="45" t="s">
        <v>826</v>
      </c>
      <c r="M239" s="44" t="s">
        <v>827</v>
      </c>
      <c r="N239" s="46"/>
      <c r="O239" s="47"/>
      <c r="P239" s="47"/>
      <c r="Q239" s="47"/>
      <c r="R239" s="47"/>
      <c r="S239" s="47"/>
      <c r="T239" s="47"/>
    </row>
    <row r="240">
      <c r="A240" s="44" t="s">
        <v>828</v>
      </c>
      <c r="B240" s="44" t="s">
        <v>374</v>
      </c>
      <c r="C240" s="44"/>
      <c r="D240" s="44"/>
      <c r="E240" s="44"/>
      <c r="F240" s="44" t="s">
        <v>375</v>
      </c>
      <c r="G240" s="44" t="s">
        <v>376</v>
      </c>
      <c r="H240" s="44">
        <v>9.83145167E9</v>
      </c>
      <c r="I240" s="44" t="s">
        <v>349</v>
      </c>
      <c r="J240" s="44" t="s">
        <v>349</v>
      </c>
      <c r="K240" s="44" t="s">
        <v>828</v>
      </c>
      <c r="L240" s="45" t="s">
        <v>829</v>
      </c>
      <c r="M240" s="44" t="s">
        <v>827</v>
      </c>
      <c r="N240" s="46"/>
      <c r="O240" s="47"/>
      <c r="P240" s="47"/>
      <c r="Q240" s="47"/>
      <c r="R240" s="47"/>
      <c r="S240" s="47"/>
      <c r="T240" s="47"/>
    </row>
    <row r="241">
      <c r="A241" s="44" t="s">
        <v>830</v>
      </c>
      <c r="B241" s="44" t="s">
        <v>401</v>
      </c>
      <c r="C241" s="44"/>
      <c r="D241" s="44"/>
      <c r="E241" s="44"/>
      <c r="F241" s="44" t="s">
        <v>396</v>
      </c>
      <c r="G241" s="44"/>
      <c r="H241" s="44"/>
      <c r="I241" s="44"/>
      <c r="J241" s="44"/>
      <c r="K241" s="44" t="s">
        <v>830</v>
      </c>
      <c r="L241" s="45" t="s">
        <v>831</v>
      </c>
      <c r="M241" s="44" t="s">
        <v>832</v>
      </c>
      <c r="N241" s="46"/>
      <c r="O241" s="47"/>
      <c r="P241" s="47"/>
      <c r="Q241" s="47"/>
      <c r="R241" s="47"/>
      <c r="S241" s="47"/>
      <c r="T241" s="47"/>
    </row>
    <row r="242">
      <c r="A242" s="44" t="s">
        <v>833</v>
      </c>
      <c r="B242" s="44" t="s">
        <v>431</v>
      </c>
      <c r="C242" s="44"/>
      <c r="D242" s="44">
        <v>30.0</v>
      </c>
      <c r="E242" s="49">
        <v>0.05</v>
      </c>
      <c r="F242" s="44" t="s">
        <v>814</v>
      </c>
      <c r="G242" s="44" t="s">
        <v>432</v>
      </c>
      <c r="H242" s="44" t="s">
        <v>815</v>
      </c>
      <c r="I242" s="44"/>
      <c r="J242" s="44"/>
      <c r="K242" s="44" t="s">
        <v>833</v>
      </c>
      <c r="L242" s="45" t="s">
        <v>834</v>
      </c>
      <c r="M242" s="44" t="s">
        <v>429</v>
      </c>
      <c r="N242" s="46"/>
      <c r="O242" s="47"/>
      <c r="P242" s="47"/>
      <c r="Q242" s="47"/>
      <c r="R242" s="47"/>
      <c r="S242" s="47"/>
      <c r="T242" s="47"/>
    </row>
    <row r="243">
      <c r="A243" s="44" t="s">
        <v>835</v>
      </c>
      <c r="B243" s="44" t="s">
        <v>383</v>
      </c>
      <c r="C243" s="44"/>
      <c r="D243" s="44"/>
      <c r="E243" s="44"/>
      <c r="F243" s="44" t="s">
        <v>396</v>
      </c>
      <c r="G243" s="44"/>
      <c r="H243" s="44"/>
      <c r="I243" s="44"/>
      <c r="J243" s="44"/>
      <c r="K243" s="44" t="s">
        <v>835</v>
      </c>
      <c r="L243" s="45" t="s">
        <v>836</v>
      </c>
      <c r="M243" s="44" t="s">
        <v>837</v>
      </c>
      <c r="N243" s="46"/>
      <c r="O243" s="47"/>
      <c r="P243" s="47"/>
      <c r="Q243" s="47"/>
      <c r="R243" s="47"/>
      <c r="S243" s="47"/>
      <c r="T243" s="47"/>
    </row>
    <row r="244">
      <c r="A244" s="44" t="s">
        <v>838</v>
      </c>
      <c r="B244" s="44" t="s">
        <v>374</v>
      </c>
      <c r="C244" s="44"/>
      <c r="D244" s="44"/>
      <c r="E244" s="44"/>
      <c r="F244" s="44" t="s">
        <v>375</v>
      </c>
      <c r="G244" s="44" t="s">
        <v>376</v>
      </c>
      <c r="H244" s="44">
        <v>9.83145167E9</v>
      </c>
      <c r="I244" s="44"/>
      <c r="J244" s="44"/>
      <c r="K244" s="44" t="s">
        <v>838</v>
      </c>
      <c r="L244" s="45" t="s">
        <v>839</v>
      </c>
      <c r="M244" s="44" t="s">
        <v>840</v>
      </c>
      <c r="N244" s="46"/>
      <c r="O244" s="47"/>
      <c r="P244" s="47"/>
      <c r="Q244" s="47"/>
      <c r="R244" s="47"/>
      <c r="S244" s="47"/>
      <c r="T244" s="47"/>
    </row>
    <row r="245">
      <c r="A245" s="44" t="s">
        <v>841</v>
      </c>
      <c r="B245" s="44" t="s">
        <v>842</v>
      </c>
      <c r="C245" s="44"/>
      <c r="D245" s="44">
        <v>30.0</v>
      </c>
      <c r="E245" s="49">
        <v>0.05</v>
      </c>
      <c r="F245" s="44"/>
      <c r="G245" s="44"/>
      <c r="H245" s="44"/>
      <c r="I245" s="44"/>
      <c r="J245" s="44"/>
      <c r="K245" s="44" t="s">
        <v>841</v>
      </c>
      <c r="L245" s="45" t="s">
        <v>843</v>
      </c>
      <c r="M245" s="44" t="s">
        <v>844</v>
      </c>
      <c r="N245" s="46"/>
      <c r="O245" s="47"/>
      <c r="P245" s="47"/>
      <c r="Q245" s="47"/>
      <c r="R245" s="47"/>
      <c r="S245" s="47"/>
      <c r="T245" s="47"/>
    </row>
    <row r="246">
      <c r="A246" s="44" t="s">
        <v>845</v>
      </c>
      <c r="B246" s="44" t="s">
        <v>846</v>
      </c>
      <c r="C246" s="44"/>
      <c r="D246" s="44"/>
      <c r="E246" s="44"/>
      <c r="F246" s="44"/>
      <c r="G246" s="44"/>
      <c r="H246" s="44"/>
      <c r="I246" s="44"/>
      <c r="J246" s="44"/>
      <c r="K246" s="44"/>
      <c r="L246" s="45"/>
      <c r="M246" s="44"/>
      <c r="N246" s="46"/>
      <c r="O246" s="47"/>
      <c r="P246" s="47"/>
      <c r="Q246" s="47"/>
      <c r="R246" s="47"/>
      <c r="S246" s="47"/>
      <c r="T246" s="47"/>
    </row>
    <row r="247">
      <c r="A247" s="44" t="s">
        <v>847</v>
      </c>
      <c r="B247" s="44" t="s">
        <v>846</v>
      </c>
      <c r="C247" s="44"/>
      <c r="D247" s="44"/>
      <c r="E247" s="44"/>
      <c r="F247" s="44"/>
      <c r="G247" s="44"/>
      <c r="H247" s="44"/>
      <c r="I247" s="44"/>
      <c r="J247" s="44"/>
      <c r="K247" s="44"/>
      <c r="L247" s="45"/>
      <c r="M247" s="44"/>
      <c r="N247" s="46"/>
      <c r="O247" s="47"/>
      <c r="P247" s="47"/>
      <c r="Q247" s="47"/>
      <c r="R247" s="47"/>
      <c r="S247" s="47"/>
      <c r="T247" s="47"/>
    </row>
    <row r="248">
      <c r="A248" s="44" t="s">
        <v>848</v>
      </c>
      <c r="B248" s="44" t="s">
        <v>440</v>
      </c>
      <c r="C248" s="44" t="s">
        <v>349</v>
      </c>
      <c r="D248" s="44" t="s">
        <v>349</v>
      </c>
      <c r="E248" s="44" t="s">
        <v>349</v>
      </c>
      <c r="F248" s="44" t="s">
        <v>349</v>
      </c>
      <c r="G248" s="44" t="s">
        <v>349</v>
      </c>
      <c r="H248" s="44" t="s">
        <v>349</v>
      </c>
      <c r="I248" s="44" t="s">
        <v>349</v>
      </c>
      <c r="J248" s="44" t="s">
        <v>349</v>
      </c>
      <c r="K248" s="44" t="s">
        <v>349</v>
      </c>
      <c r="L248" s="45" t="s">
        <v>349</v>
      </c>
      <c r="M248" s="44" t="s">
        <v>349</v>
      </c>
      <c r="N248" s="46"/>
      <c r="O248" s="47"/>
      <c r="P248" s="47"/>
      <c r="Q248" s="47"/>
      <c r="R248" s="47"/>
      <c r="S248" s="47"/>
      <c r="T248" s="47"/>
    </row>
    <row r="249">
      <c r="A249" s="44" t="s">
        <v>849</v>
      </c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5"/>
      <c r="M249" s="44"/>
      <c r="N249" s="46"/>
      <c r="O249" s="47"/>
      <c r="P249" s="47"/>
      <c r="Q249" s="47"/>
      <c r="R249" s="47"/>
      <c r="S249" s="47"/>
      <c r="T249" s="47"/>
    </row>
    <row r="250">
      <c r="A250" s="44" t="s">
        <v>850</v>
      </c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5"/>
      <c r="M250" s="44"/>
      <c r="N250" s="46"/>
      <c r="O250" s="47"/>
      <c r="P250" s="47"/>
      <c r="Q250" s="47"/>
      <c r="R250" s="47"/>
      <c r="S250" s="47"/>
      <c r="T250" s="47"/>
    </row>
    <row r="251">
      <c r="A251" s="44" t="s">
        <v>851</v>
      </c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5"/>
      <c r="M251" s="44"/>
      <c r="N251" s="46"/>
      <c r="O251" s="47"/>
      <c r="P251" s="47"/>
      <c r="Q251" s="47"/>
      <c r="R251" s="47"/>
      <c r="S251" s="47"/>
      <c r="T251" s="47"/>
    </row>
    <row r="252">
      <c r="A252" s="44" t="s">
        <v>852</v>
      </c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5"/>
      <c r="M252" s="44"/>
      <c r="N252" s="46"/>
      <c r="O252" s="47"/>
      <c r="P252" s="47"/>
      <c r="Q252" s="47"/>
      <c r="R252" s="47"/>
      <c r="S252" s="47"/>
      <c r="T252" s="47"/>
    </row>
    <row r="253">
      <c r="A253" s="44" t="s">
        <v>853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5"/>
      <c r="M253" s="44"/>
      <c r="N253" s="46"/>
      <c r="O253" s="47"/>
      <c r="P253" s="47"/>
      <c r="Q253" s="47"/>
      <c r="R253" s="47"/>
      <c r="S253" s="47"/>
      <c r="T253" s="47"/>
    </row>
    <row r="254">
      <c r="A254" s="44" t="s">
        <v>854</v>
      </c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5"/>
      <c r="M254" s="44"/>
      <c r="N254" s="46"/>
      <c r="O254" s="47"/>
      <c r="P254" s="47"/>
      <c r="Q254" s="47"/>
      <c r="R254" s="47"/>
      <c r="S254" s="47"/>
      <c r="T254" s="47"/>
    </row>
    <row r="255">
      <c r="A255" s="44" t="s">
        <v>855</v>
      </c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5"/>
      <c r="M255" s="44"/>
      <c r="N255" s="46"/>
      <c r="O255" s="47"/>
      <c r="P255" s="47"/>
      <c r="Q255" s="47"/>
      <c r="R255" s="47"/>
      <c r="S255" s="47"/>
      <c r="T255" s="47"/>
    </row>
    <row r="256">
      <c r="A256" s="44" t="s">
        <v>856</v>
      </c>
      <c r="B256" s="44" t="s">
        <v>394</v>
      </c>
      <c r="C256" s="44" t="s">
        <v>857</v>
      </c>
      <c r="D256" s="44">
        <v>15.0</v>
      </c>
      <c r="E256" s="49">
        <v>0.05</v>
      </c>
      <c r="F256" s="44"/>
      <c r="G256" s="44"/>
      <c r="H256" s="44"/>
      <c r="I256" s="44"/>
      <c r="J256" s="44"/>
      <c r="K256" s="44" t="s">
        <v>856</v>
      </c>
      <c r="L256" s="45" t="s">
        <v>858</v>
      </c>
      <c r="M256" s="44" t="s">
        <v>398</v>
      </c>
      <c r="N256" s="46"/>
      <c r="O256" s="47"/>
      <c r="P256" s="47"/>
      <c r="Q256" s="47"/>
      <c r="R256" s="47"/>
      <c r="S256" s="47"/>
      <c r="T256" s="47"/>
    </row>
    <row r="257">
      <c r="A257" s="44" t="s">
        <v>859</v>
      </c>
      <c r="B257" s="44" t="s">
        <v>846</v>
      </c>
      <c r="C257" s="44"/>
      <c r="D257" s="44"/>
      <c r="E257" s="44"/>
      <c r="F257" s="44"/>
      <c r="G257" s="44"/>
      <c r="H257" s="44"/>
      <c r="I257" s="44"/>
      <c r="J257" s="44"/>
      <c r="K257" s="44"/>
      <c r="L257" s="45"/>
      <c r="M257" s="44"/>
      <c r="N257" s="46"/>
      <c r="O257" s="47"/>
      <c r="P257" s="47"/>
      <c r="Q257" s="47"/>
      <c r="R257" s="47"/>
      <c r="S257" s="47"/>
      <c r="T257" s="47"/>
    </row>
    <row r="258">
      <c r="A258" s="44" t="s">
        <v>860</v>
      </c>
      <c r="B258" s="44" t="s">
        <v>846</v>
      </c>
      <c r="C258" s="44"/>
      <c r="D258" s="44"/>
      <c r="E258" s="44"/>
      <c r="F258" s="44"/>
      <c r="G258" s="44"/>
      <c r="H258" s="44"/>
      <c r="I258" s="44"/>
      <c r="J258" s="44"/>
      <c r="K258" s="44" t="s">
        <v>860</v>
      </c>
      <c r="L258" s="45" t="s">
        <v>861</v>
      </c>
      <c r="M258" s="44" t="s">
        <v>862</v>
      </c>
      <c r="N258" s="46"/>
      <c r="O258" s="47"/>
      <c r="P258" s="47"/>
      <c r="Q258" s="47"/>
      <c r="R258" s="47"/>
      <c r="S258" s="47"/>
      <c r="T258" s="47"/>
    </row>
    <row r="259">
      <c r="A259" s="44" t="s">
        <v>863</v>
      </c>
      <c r="B259" s="44" t="s">
        <v>576</v>
      </c>
      <c r="C259" s="44"/>
      <c r="D259" s="44"/>
      <c r="E259" s="44"/>
      <c r="F259" s="44"/>
      <c r="G259" s="44"/>
      <c r="H259" s="44"/>
      <c r="I259" s="44"/>
      <c r="J259" s="44"/>
      <c r="K259" s="44" t="s">
        <v>863</v>
      </c>
      <c r="L259" s="45" t="s">
        <v>864</v>
      </c>
      <c r="M259" s="44" t="s">
        <v>570</v>
      </c>
      <c r="N259" s="46"/>
      <c r="O259" s="47"/>
      <c r="P259" s="47"/>
      <c r="Q259" s="47"/>
      <c r="R259" s="47"/>
      <c r="S259" s="47"/>
      <c r="T259" s="47"/>
    </row>
    <row r="260">
      <c r="A260" s="44" t="s">
        <v>865</v>
      </c>
      <c r="B260" s="44" t="s">
        <v>431</v>
      </c>
      <c r="C260" s="44"/>
      <c r="D260" s="44"/>
      <c r="E260" s="44"/>
      <c r="F260" s="44"/>
      <c r="G260" s="44"/>
      <c r="H260" s="44"/>
      <c r="I260" s="44"/>
      <c r="J260" s="44"/>
      <c r="K260" s="44" t="s">
        <v>865</v>
      </c>
      <c r="L260" s="45" t="s">
        <v>866</v>
      </c>
      <c r="M260" s="44" t="s">
        <v>867</v>
      </c>
      <c r="N260" s="46"/>
      <c r="O260" s="47"/>
      <c r="P260" s="47"/>
      <c r="Q260" s="47"/>
      <c r="R260" s="47"/>
      <c r="S260" s="47"/>
      <c r="T260" s="47"/>
    </row>
    <row r="261">
      <c r="A261" s="44" t="s">
        <v>868</v>
      </c>
      <c r="B261" s="44" t="s">
        <v>431</v>
      </c>
      <c r="C261" s="46"/>
      <c r="D261" s="46"/>
      <c r="E261" s="46"/>
      <c r="F261" s="46"/>
      <c r="G261" s="44"/>
      <c r="H261" s="46"/>
      <c r="I261" s="46"/>
      <c r="J261" s="46"/>
      <c r="K261" s="44" t="s">
        <v>868</v>
      </c>
      <c r="L261" s="50" t="s">
        <v>869</v>
      </c>
      <c r="M261" s="44" t="s">
        <v>870</v>
      </c>
      <c r="N261" s="46"/>
      <c r="O261" s="47"/>
      <c r="P261" s="47"/>
      <c r="Q261" s="47"/>
      <c r="R261" s="47"/>
      <c r="S261" s="47"/>
      <c r="T261" s="47"/>
    </row>
    <row r="262">
      <c r="A262" s="44" t="s">
        <v>871</v>
      </c>
      <c r="B262" s="44"/>
      <c r="C262" s="46"/>
      <c r="D262" s="46"/>
      <c r="E262" s="46"/>
      <c r="F262" s="46"/>
      <c r="G262" s="44"/>
      <c r="H262" s="46"/>
      <c r="I262" s="46"/>
      <c r="J262" s="46"/>
      <c r="K262" s="44" t="s">
        <v>872</v>
      </c>
      <c r="L262" s="45" t="s">
        <v>873</v>
      </c>
      <c r="M262" s="44" t="s">
        <v>874</v>
      </c>
      <c r="N262" s="46"/>
      <c r="O262" s="47"/>
      <c r="P262" s="47"/>
      <c r="Q262" s="47"/>
      <c r="R262" s="47"/>
      <c r="S262" s="47"/>
      <c r="T262" s="47"/>
    </row>
    <row r="263">
      <c r="A263" s="44"/>
      <c r="B263" s="44"/>
      <c r="C263" s="46"/>
      <c r="D263" s="46"/>
      <c r="E263" s="46"/>
      <c r="F263" s="46"/>
      <c r="G263" s="44"/>
      <c r="H263" s="46"/>
      <c r="I263" s="46"/>
      <c r="J263" s="46"/>
      <c r="K263" s="44"/>
      <c r="L263" s="52"/>
      <c r="M263" s="46"/>
      <c r="N263" s="46"/>
      <c r="O263" s="47"/>
      <c r="P263" s="47"/>
      <c r="Q263" s="47"/>
      <c r="R263" s="47"/>
      <c r="S263" s="47"/>
      <c r="T263" s="47"/>
    </row>
    <row r="264">
      <c r="A264" s="44"/>
      <c r="B264" s="44"/>
      <c r="C264" s="46"/>
      <c r="D264" s="46"/>
      <c r="E264" s="46"/>
      <c r="F264" s="46"/>
      <c r="G264" s="44"/>
      <c r="H264" s="46"/>
      <c r="I264" s="46"/>
      <c r="J264" s="46"/>
      <c r="K264" s="44"/>
      <c r="L264" s="52"/>
      <c r="M264" s="46"/>
      <c r="N264" s="46"/>
      <c r="O264" s="47"/>
      <c r="P264" s="47"/>
      <c r="Q264" s="47"/>
      <c r="R264" s="47"/>
      <c r="S264" s="47"/>
      <c r="T264" s="47"/>
    </row>
    <row r="265">
      <c r="A265" s="44"/>
      <c r="B265" s="44"/>
      <c r="C265" s="46"/>
      <c r="D265" s="46"/>
      <c r="E265" s="46"/>
      <c r="F265" s="46"/>
      <c r="G265" s="44"/>
      <c r="H265" s="46"/>
      <c r="I265" s="46"/>
      <c r="J265" s="46"/>
      <c r="K265" s="44"/>
      <c r="L265" s="52"/>
      <c r="M265" s="46"/>
      <c r="N265" s="46"/>
      <c r="O265" s="47"/>
      <c r="P265" s="47"/>
      <c r="Q265" s="47"/>
      <c r="R265" s="47"/>
      <c r="S265" s="47"/>
      <c r="T265" s="47"/>
    </row>
    <row r="266">
      <c r="A266" s="44"/>
      <c r="B266" s="44"/>
      <c r="C266" s="46"/>
      <c r="D266" s="46"/>
      <c r="E266" s="46"/>
      <c r="F266" s="46"/>
      <c r="G266" s="44"/>
      <c r="H266" s="46"/>
      <c r="I266" s="46"/>
      <c r="J266" s="46"/>
      <c r="K266" s="44"/>
      <c r="L266" s="52"/>
      <c r="M266" s="46"/>
      <c r="N266" s="46"/>
      <c r="O266" s="47"/>
      <c r="P266" s="47"/>
      <c r="Q266" s="47"/>
      <c r="R266" s="47"/>
      <c r="S266" s="47"/>
      <c r="T266" s="47"/>
    </row>
    <row r="267">
      <c r="A267" s="44"/>
      <c r="B267" s="44"/>
      <c r="C267" s="46"/>
      <c r="D267" s="46"/>
      <c r="E267" s="46"/>
      <c r="F267" s="46"/>
      <c r="G267" s="44"/>
      <c r="H267" s="46"/>
      <c r="I267" s="46"/>
      <c r="J267" s="46"/>
      <c r="K267" s="44"/>
      <c r="L267" s="52"/>
      <c r="M267" s="46"/>
      <c r="N267" s="46"/>
      <c r="O267" s="47"/>
      <c r="P267" s="47"/>
      <c r="Q267" s="47"/>
      <c r="R267" s="47"/>
      <c r="S267" s="47"/>
      <c r="T267" s="47"/>
    </row>
    <row r="268">
      <c r="A268" s="44"/>
      <c r="B268" s="44"/>
      <c r="C268" s="46"/>
      <c r="D268" s="46"/>
      <c r="E268" s="46"/>
      <c r="F268" s="46"/>
      <c r="G268" s="44"/>
      <c r="H268" s="46"/>
      <c r="I268" s="46"/>
      <c r="J268" s="46"/>
      <c r="K268" s="44"/>
      <c r="L268" s="52"/>
      <c r="M268" s="46"/>
      <c r="N268" s="46"/>
      <c r="O268" s="47"/>
      <c r="P268" s="47"/>
      <c r="Q268" s="47"/>
      <c r="R268" s="47"/>
      <c r="S268" s="47"/>
      <c r="T268" s="47"/>
    </row>
    <row r="269">
      <c r="A269" s="44"/>
      <c r="B269" s="44"/>
      <c r="C269" s="46"/>
      <c r="D269" s="46"/>
      <c r="E269" s="46"/>
      <c r="F269" s="46"/>
      <c r="G269" s="44"/>
      <c r="H269" s="46"/>
      <c r="I269" s="46"/>
      <c r="J269" s="46"/>
      <c r="K269" s="44"/>
      <c r="L269" s="52"/>
      <c r="M269" s="46"/>
      <c r="N269" s="46"/>
      <c r="O269" s="47"/>
      <c r="P269" s="47"/>
      <c r="Q269" s="47"/>
      <c r="R269" s="47"/>
      <c r="S269" s="47"/>
      <c r="T269" s="47"/>
    </row>
    <row r="270">
      <c r="A270" s="44"/>
      <c r="B270" s="44"/>
      <c r="C270" s="46"/>
      <c r="D270" s="46"/>
      <c r="E270" s="46"/>
      <c r="F270" s="46"/>
      <c r="G270" s="44"/>
      <c r="H270" s="46"/>
      <c r="I270" s="46"/>
      <c r="J270" s="46"/>
      <c r="K270" s="44"/>
      <c r="L270" s="52"/>
      <c r="M270" s="46"/>
      <c r="N270" s="46"/>
      <c r="O270" s="47"/>
      <c r="P270" s="47"/>
      <c r="Q270" s="47"/>
      <c r="R270" s="47"/>
      <c r="S270" s="47"/>
      <c r="T270" s="47"/>
    </row>
    <row r="271">
      <c r="A271" s="44"/>
      <c r="B271" s="44"/>
      <c r="C271" s="46"/>
      <c r="D271" s="46"/>
      <c r="E271" s="46"/>
      <c r="F271" s="46"/>
      <c r="G271" s="44"/>
      <c r="H271" s="46"/>
      <c r="I271" s="46"/>
      <c r="J271" s="46"/>
      <c r="K271" s="44"/>
      <c r="L271" s="52"/>
      <c r="M271" s="46"/>
      <c r="N271" s="46"/>
      <c r="O271" s="47"/>
      <c r="P271" s="47"/>
      <c r="Q271" s="47"/>
      <c r="R271" s="47"/>
      <c r="S271" s="47"/>
      <c r="T271" s="47"/>
    </row>
    <row r="272">
      <c r="A272" s="44"/>
      <c r="B272" s="44"/>
      <c r="C272" s="46"/>
      <c r="D272" s="46"/>
      <c r="E272" s="46"/>
      <c r="F272" s="46"/>
      <c r="G272" s="44"/>
      <c r="H272" s="46"/>
      <c r="I272" s="46"/>
      <c r="J272" s="46"/>
      <c r="K272" s="44"/>
      <c r="L272" s="52"/>
      <c r="M272" s="46"/>
      <c r="N272" s="46"/>
      <c r="O272" s="47"/>
      <c r="P272" s="47"/>
      <c r="Q272" s="47"/>
      <c r="R272" s="47"/>
      <c r="S272" s="47"/>
      <c r="T272" s="47"/>
    </row>
    <row r="273">
      <c r="A273" s="44"/>
      <c r="B273" s="44"/>
      <c r="C273" s="46"/>
      <c r="D273" s="46"/>
      <c r="E273" s="46"/>
      <c r="F273" s="46"/>
      <c r="G273" s="44"/>
      <c r="H273" s="46"/>
      <c r="I273" s="46"/>
      <c r="J273" s="46"/>
      <c r="K273" s="44"/>
      <c r="L273" s="52"/>
      <c r="M273" s="46"/>
      <c r="N273" s="46"/>
      <c r="O273" s="47"/>
      <c r="P273" s="47"/>
      <c r="Q273" s="47"/>
      <c r="R273" s="47"/>
      <c r="S273" s="47"/>
      <c r="T273" s="47"/>
    </row>
    <row r="274">
      <c r="A274" s="44"/>
      <c r="B274" s="44"/>
      <c r="C274" s="46"/>
      <c r="D274" s="46"/>
      <c r="E274" s="46"/>
      <c r="F274" s="46"/>
      <c r="G274" s="44"/>
      <c r="H274" s="46"/>
      <c r="I274" s="46"/>
      <c r="J274" s="46"/>
      <c r="K274" s="44"/>
      <c r="L274" s="52"/>
      <c r="M274" s="46"/>
      <c r="N274" s="46"/>
      <c r="O274" s="47"/>
      <c r="P274" s="47"/>
      <c r="Q274" s="47"/>
      <c r="R274" s="47"/>
      <c r="S274" s="47"/>
      <c r="T274" s="47"/>
    </row>
    <row r="275">
      <c r="A275" s="44"/>
      <c r="B275" s="44"/>
      <c r="C275" s="46"/>
      <c r="D275" s="46"/>
      <c r="E275" s="46"/>
      <c r="F275" s="46"/>
      <c r="G275" s="44"/>
      <c r="H275" s="46"/>
      <c r="I275" s="46"/>
      <c r="J275" s="46"/>
      <c r="K275" s="44"/>
      <c r="L275" s="52"/>
      <c r="M275" s="46"/>
      <c r="N275" s="46"/>
      <c r="O275" s="47"/>
      <c r="P275" s="47"/>
      <c r="Q275" s="47"/>
      <c r="R275" s="47"/>
      <c r="S275" s="47"/>
      <c r="T275" s="47"/>
    </row>
    <row r="276">
      <c r="A276" s="44"/>
      <c r="B276" s="44"/>
      <c r="C276" s="46"/>
      <c r="D276" s="46"/>
      <c r="E276" s="46"/>
      <c r="F276" s="46"/>
      <c r="G276" s="44"/>
      <c r="H276" s="46"/>
      <c r="I276" s="46"/>
      <c r="J276" s="46"/>
      <c r="K276" s="44"/>
      <c r="L276" s="52"/>
      <c r="M276" s="46"/>
      <c r="N276" s="46"/>
      <c r="O276" s="47"/>
      <c r="P276" s="47"/>
      <c r="Q276" s="47"/>
      <c r="R276" s="47"/>
      <c r="S276" s="47"/>
      <c r="T276" s="47"/>
    </row>
    <row r="277">
      <c r="A277" s="44"/>
      <c r="B277" s="44"/>
      <c r="C277" s="46"/>
      <c r="D277" s="46"/>
      <c r="E277" s="46"/>
      <c r="F277" s="46"/>
      <c r="G277" s="44"/>
      <c r="H277" s="46"/>
      <c r="I277" s="46"/>
      <c r="J277" s="46"/>
      <c r="K277" s="44"/>
      <c r="L277" s="52"/>
      <c r="M277" s="46"/>
      <c r="N277" s="46"/>
      <c r="O277" s="47"/>
      <c r="P277" s="47"/>
      <c r="Q277" s="47"/>
      <c r="R277" s="47"/>
      <c r="S277" s="47"/>
      <c r="T277" s="47"/>
    </row>
    <row r="278">
      <c r="A278" s="44"/>
      <c r="B278" s="44"/>
      <c r="C278" s="46"/>
      <c r="D278" s="46"/>
      <c r="E278" s="46"/>
      <c r="F278" s="46"/>
      <c r="G278" s="44"/>
      <c r="H278" s="46"/>
      <c r="I278" s="46"/>
      <c r="J278" s="46"/>
      <c r="K278" s="44"/>
      <c r="L278" s="52"/>
      <c r="M278" s="46"/>
      <c r="N278" s="46"/>
      <c r="O278" s="47"/>
      <c r="P278" s="47"/>
      <c r="Q278" s="47"/>
      <c r="R278" s="47"/>
      <c r="S278" s="47"/>
      <c r="T278" s="47"/>
    </row>
    <row r="279">
      <c r="A279" s="44"/>
      <c r="B279" s="44"/>
      <c r="C279" s="46"/>
      <c r="D279" s="46"/>
      <c r="E279" s="46"/>
      <c r="F279" s="46"/>
      <c r="G279" s="44"/>
      <c r="H279" s="46"/>
      <c r="I279" s="46"/>
      <c r="J279" s="46"/>
      <c r="K279" s="44"/>
      <c r="L279" s="52"/>
      <c r="M279" s="46"/>
      <c r="N279" s="46"/>
      <c r="O279" s="47"/>
      <c r="P279" s="47"/>
      <c r="Q279" s="47"/>
      <c r="R279" s="47"/>
      <c r="S279" s="47"/>
      <c r="T279" s="47"/>
    </row>
    <row r="280">
      <c r="A280" s="44"/>
      <c r="B280" s="44"/>
      <c r="C280" s="46"/>
      <c r="D280" s="46"/>
      <c r="E280" s="46"/>
      <c r="F280" s="46"/>
      <c r="G280" s="44"/>
      <c r="H280" s="46"/>
      <c r="I280" s="46"/>
      <c r="J280" s="46"/>
      <c r="K280" s="44"/>
      <c r="L280" s="52"/>
      <c r="M280" s="46"/>
      <c r="N280" s="46"/>
      <c r="O280" s="47"/>
      <c r="P280" s="47"/>
      <c r="Q280" s="47"/>
      <c r="R280" s="47"/>
      <c r="S280" s="47"/>
      <c r="T280" s="47"/>
    </row>
    <row r="281">
      <c r="A281" s="44"/>
      <c r="B281" s="44"/>
      <c r="C281" s="46"/>
      <c r="D281" s="46"/>
      <c r="E281" s="46"/>
      <c r="F281" s="46"/>
      <c r="G281" s="44"/>
      <c r="H281" s="46"/>
      <c r="I281" s="46"/>
      <c r="J281" s="46"/>
      <c r="K281" s="44"/>
      <c r="L281" s="52"/>
      <c r="M281" s="46"/>
      <c r="N281" s="46"/>
      <c r="O281" s="47"/>
      <c r="P281" s="47"/>
      <c r="Q281" s="47"/>
      <c r="R281" s="47"/>
      <c r="S281" s="47"/>
      <c r="T281" s="47"/>
    </row>
    <row r="282">
      <c r="A282" s="44"/>
      <c r="B282" s="44"/>
      <c r="C282" s="46"/>
      <c r="D282" s="46"/>
      <c r="E282" s="46"/>
      <c r="F282" s="46"/>
      <c r="G282" s="44"/>
      <c r="H282" s="46"/>
      <c r="I282" s="46"/>
      <c r="J282" s="46"/>
      <c r="K282" s="44"/>
      <c r="L282" s="52"/>
      <c r="M282" s="46"/>
      <c r="N282" s="46"/>
      <c r="O282" s="47"/>
      <c r="P282" s="47"/>
      <c r="Q282" s="47"/>
      <c r="R282" s="47"/>
      <c r="S282" s="47"/>
      <c r="T282" s="47"/>
    </row>
    <row r="283">
      <c r="A283" s="44"/>
      <c r="B283" s="44"/>
      <c r="C283" s="46"/>
      <c r="D283" s="46"/>
      <c r="E283" s="46"/>
      <c r="F283" s="46"/>
      <c r="G283" s="44"/>
      <c r="H283" s="46"/>
      <c r="I283" s="46"/>
      <c r="J283" s="46"/>
      <c r="K283" s="44"/>
      <c r="L283" s="52"/>
      <c r="M283" s="46"/>
      <c r="N283" s="46"/>
      <c r="O283" s="47"/>
      <c r="P283" s="47"/>
      <c r="Q283" s="47"/>
      <c r="R283" s="47"/>
      <c r="S283" s="47"/>
      <c r="T283" s="47"/>
    </row>
    <row r="284">
      <c r="A284" s="44"/>
      <c r="B284" s="44"/>
      <c r="C284" s="46"/>
      <c r="D284" s="46"/>
      <c r="E284" s="46"/>
      <c r="F284" s="46"/>
      <c r="G284" s="44"/>
      <c r="H284" s="46"/>
      <c r="I284" s="46"/>
      <c r="J284" s="46"/>
      <c r="K284" s="44"/>
      <c r="L284" s="52"/>
      <c r="M284" s="46"/>
      <c r="N284" s="46"/>
      <c r="O284" s="47"/>
      <c r="P284" s="47"/>
      <c r="Q284" s="47"/>
      <c r="R284" s="47"/>
      <c r="S284" s="47"/>
      <c r="T284" s="47"/>
    </row>
    <row r="285">
      <c r="A285" s="44"/>
      <c r="B285" s="44"/>
      <c r="C285" s="46"/>
      <c r="D285" s="46"/>
      <c r="E285" s="46"/>
      <c r="F285" s="46"/>
      <c r="G285" s="44"/>
      <c r="H285" s="46"/>
      <c r="I285" s="46"/>
      <c r="J285" s="46"/>
      <c r="K285" s="44"/>
      <c r="L285" s="52"/>
      <c r="M285" s="46"/>
      <c r="N285" s="46"/>
      <c r="O285" s="47"/>
      <c r="P285" s="47"/>
      <c r="Q285" s="47"/>
      <c r="R285" s="47"/>
      <c r="S285" s="47"/>
      <c r="T285" s="47"/>
    </row>
    <row r="286">
      <c r="A286" s="44"/>
      <c r="B286" s="44"/>
      <c r="C286" s="46"/>
      <c r="D286" s="46"/>
      <c r="E286" s="46"/>
      <c r="F286" s="46"/>
      <c r="G286" s="44"/>
      <c r="H286" s="46"/>
      <c r="I286" s="46"/>
      <c r="J286" s="46"/>
      <c r="K286" s="44"/>
      <c r="L286" s="52"/>
      <c r="M286" s="46"/>
      <c r="N286" s="46"/>
      <c r="O286" s="47"/>
      <c r="P286" s="47"/>
      <c r="Q286" s="47"/>
      <c r="R286" s="47"/>
      <c r="S286" s="47"/>
      <c r="T286" s="47"/>
    </row>
    <row r="287">
      <c r="A287" s="44"/>
      <c r="B287" s="44"/>
      <c r="C287" s="46"/>
      <c r="D287" s="46"/>
      <c r="E287" s="46"/>
      <c r="F287" s="46"/>
      <c r="G287" s="44"/>
      <c r="H287" s="46"/>
      <c r="I287" s="46"/>
      <c r="J287" s="46"/>
      <c r="K287" s="44"/>
      <c r="L287" s="52"/>
      <c r="M287" s="46"/>
      <c r="N287" s="46"/>
      <c r="O287" s="47"/>
      <c r="P287" s="47"/>
      <c r="Q287" s="47"/>
      <c r="R287" s="47"/>
      <c r="S287" s="47"/>
      <c r="T287" s="47"/>
    </row>
    <row r="288">
      <c r="A288" s="44"/>
      <c r="B288" s="44"/>
      <c r="C288" s="46"/>
      <c r="D288" s="46"/>
      <c r="E288" s="46"/>
      <c r="F288" s="46"/>
      <c r="G288" s="44"/>
      <c r="H288" s="46"/>
      <c r="I288" s="46"/>
      <c r="J288" s="46"/>
      <c r="K288" s="44"/>
      <c r="L288" s="52"/>
      <c r="M288" s="46"/>
      <c r="N288" s="46"/>
      <c r="O288" s="47"/>
      <c r="P288" s="47"/>
      <c r="Q288" s="47"/>
      <c r="R288" s="47"/>
      <c r="S288" s="47"/>
      <c r="T288" s="47"/>
    </row>
    <row r="289">
      <c r="A289" s="44"/>
      <c r="B289" s="44"/>
      <c r="C289" s="46"/>
      <c r="D289" s="46"/>
      <c r="E289" s="46"/>
      <c r="F289" s="46"/>
      <c r="G289" s="44"/>
      <c r="H289" s="46"/>
      <c r="I289" s="46"/>
      <c r="J289" s="46"/>
      <c r="K289" s="44"/>
      <c r="L289" s="52"/>
      <c r="M289" s="46"/>
      <c r="N289" s="46"/>
      <c r="O289" s="47"/>
      <c r="P289" s="47"/>
      <c r="Q289" s="47"/>
      <c r="R289" s="47"/>
      <c r="S289" s="47"/>
      <c r="T289" s="47"/>
    </row>
    <row r="290">
      <c r="A290" s="44"/>
      <c r="B290" s="44"/>
      <c r="C290" s="46"/>
      <c r="D290" s="46"/>
      <c r="E290" s="46"/>
      <c r="F290" s="46"/>
      <c r="G290" s="44"/>
      <c r="H290" s="46"/>
      <c r="I290" s="46"/>
      <c r="J290" s="46"/>
      <c r="K290" s="44"/>
      <c r="L290" s="52"/>
      <c r="M290" s="46"/>
      <c r="N290" s="46"/>
      <c r="O290" s="47"/>
      <c r="P290" s="47"/>
      <c r="Q290" s="47"/>
      <c r="R290" s="47"/>
      <c r="S290" s="47"/>
      <c r="T290" s="47"/>
    </row>
    <row r="291">
      <c r="A291" s="44"/>
      <c r="B291" s="44"/>
      <c r="C291" s="46"/>
      <c r="D291" s="46"/>
      <c r="E291" s="46"/>
      <c r="F291" s="46"/>
      <c r="G291" s="44"/>
      <c r="H291" s="46"/>
      <c r="I291" s="46"/>
      <c r="J291" s="46"/>
      <c r="K291" s="44"/>
      <c r="L291" s="52"/>
      <c r="M291" s="46"/>
      <c r="N291" s="46"/>
      <c r="O291" s="47"/>
      <c r="P291" s="47"/>
      <c r="Q291" s="47"/>
      <c r="R291" s="47"/>
      <c r="S291" s="47"/>
      <c r="T291" s="47"/>
    </row>
    <row r="292">
      <c r="A292" s="44"/>
      <c r="B292" s="44"/>
      <c r="C292" s="46"/>
      <c r="D292" s="46"/>
      <c r="E292" s="46"/>
      <c r="F292" s="46"/>
      <c r="G292" s="44"/>
      <c r="H292" s="46"/>
      <c r="I292" s="46"/>
      <c r="J292" s="46"/>
      <c r="K292" s="44"/>
      <c r="L292" s="52"/>
      <c r="M292" s="46"/>
      <c r="N292" s="46"/>
      <c r="O292" s="47"/>
      <c r="P292" s="47"/>
      <c r="Q292" s="47"/>
      <c r="R292" s="47"/>
      <c r="S292" s="47"/>
      <c r="T292" s="47"/>
    </row>
    <row r="293">
      <c r="A293" s="44"/>
      <c r="B293" s="44"/>
      <c r="C293" s="46"/>
      <c r="D293" s="46"/>
      <c r="E293" s="46"/>
      <c r="F293" s="46"/>
      <c r="G293" s="44"/>
      <c r="H293" s="46"/>
      <c r="I293" s="46"/>
      <c r="J293" s="46"/>
      <c r="K293" s="44"/>
      <c r="L293" s="52"/>
      <c r="M293" s="46"/>
      <c r="N293" s="46"/>
      <c r="O293" s="47"/>
      <c r="P293" s="47"/>
      <c r="Q293" s="47"/>
      <c r="R293" s="47"/>
      <c r="S293" s="47"/>
      <c r="T293" s="47"/>
    </row>
    <row r="294">
      <c r="A294" s="44"/>
      <c r="B294" s="44"/>
      <c r="C294" s="46"/>
      <c r="D294" s="46"/>
      <c r="E294" s="46"/>
      <c r="F294" s="46"/>
      <c r="G294" s="44"/>
      <c r="H294" s="46"/>
      <c r="I294" s="46"/>
      <c r="J294" s="46"/>
      <c r="K294" s="44"/>
      <c r="L294" s="52"/>
      <c r="M294" s="46"/>
      <c r="N294" s="46"/>
      <c r="O294" s="47"/>
      <c r="P294" s="47"/>
      <c r="Q294" s="47"/>
      <c r="R294" s="47"/>
      <c r="S294" s="47"/>
      <c r="T294" s="47"/>
    </row>
    <row r="295">
      <c r="A295" s="44"/>
      <c r="B295" s="44"/>
      <c r="C295" s="46"/>
      <c r="D295" s="46"/>
      <c r="E295" s="46"/>
      <c r="F295" s="46"/>
      <c r="G295" s="44"/>
      <c r="H295" s="46"/>
      <c r="I295" s="46"/>
      <c r="J295" s="46"/>
      <c r="K295" s="44"/>
      <c r="L295" s="52"/>
      <c r="M295" s="46"/>
      <c r="N295" s="46"/>
      <c r="O295" s="47"/>
      <c r="P295" s="47"/>
      <c r="Q295" s="47"/>
      <c r="R295" s="47"/>
      <c r="S295" s="47"/>
      <c r="T295" s="47"/>
    </row>
    <row r="296">
      <c r="A296" s="44"/>
      <c r="B296" s="44"/>
      <c r="C296" s="46"/>
      <c r="D296" s="46"/>
      <c r="E296" s="46"/>
      <c r="F296" s="46"/>
      <c r="G296" s="44"/>
      <c r="H296" s="46"/>
      <c r="I296" s="46"/>
      <c r="J296" s="46"/>
      <c r="K296" s="44"/>
      <c r="L296" s="52"/>
      <c r="M296" s="46"/>
      <c r="N296" s="46"/>
      <c r="O296" s="47"/>
      <c r="P296" s="47"/>
      <c r="Q296" s="47"/>
      <c r="R296" s="47"/>
      <c r="S296" s="47"/>
      <c r="T296" s="47"/>
    </row>
    <row r="297">
      <c r="A297" s="44"/>
      <c r="B297" s="44"/>
      <c r="C297" s="46"/>
      <c r="D297" s="46"/>
      <c r="E297" s="46"/>
      <c r="F297" s="46"/>
      <c r="G297" s="44"/>
      <c r="H297" s="46"/>
      <c r="I297" s="46"/>
      <c r="J297" s="46"/>
      <c r="K297" s="44"/>
      <c r="L297" s="52"/>
      <c r="M297" s="46"/>
      <c r="N297" s="46"/>
      <c r="O297" s="47"/>
      <c r="P297" s="47"/>
      <c r="Q297" s="47"/>
      <c r="R297" s="47"/>
      <c r="S297" s="47"/>
      <c r="T297" s="47"/>
    </row>
    <row r="298">
      <c r="A298" s="44"/>
      <c r="B298" s="44"/>
      <c r="C298" s="46"/>
      <c r="D298" s="46"/>
      <c r="E298" s="46"/>
      <c r="F298" s="46"/>
      <c r="G298" s="44"/>
      <c r="H298" s="46"/>
      <c r="I298" s="46"/>
      <c r="J298" s="46"/>
      <c r="K298" s="44"/>
      <c r="L298" s="52"/>
      <c r="M298" s="46"/>
      <c r="N298" s="46"/>
      <c r="O298" s="47"/>
      <c r="P298" s="47"/>
      <c r="Q298" s="47"/>
      <c r="R298" s="47"/>
      <c r="S298" s="47"/>
      <c r="T298" s="47"/>
    </row>
    <row r="299">
      <c r="A299" s="44"/>
      <c r="B299" s="44"/>
      <c r="C299" s="46"/>
      <c r="D299" s="46"/>
      <c r="E299" s="46"/>
      <c r="F299" s="46"/>
      <c r="G299" s="44"/>
      <c r="H299" s="46"/>
      <c r="I299" s="46"/>
      <c r="J299" s="46"/>
      <c r="K299" s="44"/>
      <c r="L299" s="52"/>
      <c r="M299" s="46"/>
      <c r="N299" s="46"/>
      <c r="O299" s="47"/>
      <c r="P299" s="47"/>
      <c r="Q299" s="47"/>
      <c r="R299" s="47"/>
      <c r="S299" s="47"/>
      <c r="T299" s="47"/>
    </row>
    <row r="300">
      <c r="A300" s="44"/>
      <c r="B300" s="44"/>
      <c r="C300" s="46"/>
      <c r="D300" s="46"/>
      <c r="E300" s="46"/>
      <c r="F300" s="46"/>
      <c r="G300" s="44"/>
      <c r="H300" s="46"/>
      <c r="I300" s="46"/>
      <c r="J300" s="46"/>
      <c r="K300" s="44"/>
      <c r="L300" s="52"/>
      <c r="M300" s="46"/>
      <c r="N300" s="46"/>
      <c r="O300" s="47"/>
      <c r="P300" s="47"/>
      <c r="Q300" s="47"/>
      <c r="R300" s="47"/>
      <c r="S300" s="47"/>
      <c r="T300" s="47"/>
    </row>
    <row r="301">
      <c r="A301" s="44"/>
      <c r="B301" s="44"/>
      <c r="C301" s="46"/>
      <c r="D301" s="46"/>
      <c r="E301" s="46"/>
      <c r="F301" s="46"/>
      <c r="G301" s="44"/>
      <c r="H301" s="46"/>
      <c r="I301" s="46"/>
      <c r="J301" s="46"/>
      <c r="K301" s="44"/>
      <c r="L301" s="52"/>
      <c r="M301" s="46"/>
      <c r="N301" s="46"/>
      <c r="O301" s="47"/>
      <c r="P301" s="47"/>
      <c r="Q301" s="47"/>
      <c r="R301" s="47"/>
      <c r="S301" s="47"/>
      <c r="T301" s="47"/>
    </row>
    <row r="302">
      <c r="A302" s="44"/>
      <c r="B302" s="44"/>
      <c r="C302" s="46"/>
      <c r="D302" s="46"/>
      <c r="E302" s="46"/>
      <c r="F302" s="46"/>
      <c r="G302" s="44"/>
      <c r="H302" s="46"/>
      <c r="I302" s="46"/>
      <c r="J302" s="46"/>
      <c r="K302" s="44"/>
      <c r="L302" s="52"/>
      <c r="M302" s="46"/>
      <c r="N302" s="46"/>
      <c r="O302" s="47"/>
      <c r="P302" s="47"/>
      <c r="Q302" s="47"/>
      <c r="R302" s="47"/>
      <c r="S302" s="47"/>
      <c r="T302" s="47"/>
    </row>
    <row r="303">
      <c r="A303" s="44"/>
      <c r="B303" s="44"/>
      <c r="C303" s="46"/>
      <c r="D303" s="46"/>
      <c r="E303" s="46"/>
      <c r="F303" s="46"/>
      <c r="G303" s="44"/>
      <c r="H303" s="46"/>
      <c r="I303" s="46"/>
      <c r="J303" s="46"/>
      <c r="K303" s="44"/>
      <c r="L303" s="52"/>
      <c r="M303" s="46"/>
      <c r="N303" s="46"/>
      <c r="O303" s="47"/>
      <c r="P303" s="47"/>
      <c r="Q303" s="47"/>
      <c r="R303" s="47"/>
      <c r="S303" s="47"/>
      <c r="T303" s="47"/>
    </row>
    <row r="304">
      <c r="A304" s="44"/>
      <c r="B304" s="44"/>
      <c r="C304" s="46"/>
      <c r="D304" s="46"/>
      <c r="E304" s="46"/>
      <c r="F304" s="46"/>
      <c r="G304" s="44"/>
      <c r="H304" s="46"/>
      <c r="I304" s="46"/>
      <c r="J304" s="46"/>
      <c r="K304" s="44"/>
      <c r="L304" s="52"/>
      <c r="M304" s="46"/>
      <c r="N304" s="46"/>
      <c r="O304" s="47"/>
      <c r="P304" s="47"/>
      <c r="Q304" s="47"/>
      <c r="R304" s="47"/>
      <c r="S304" s="47"/>
      <c r="T304" s="47"/>
    </row>
    <row r="305">
      <c r="A305" s="44"/>
      <c r="B305" s="44"/>
      <c r="C305" s="46"/>
      <c r="D305" s="46"/>
      <c r="E305" s="46"/>
      <c r="F305" s="46"/>
      <c r="G305" s="44"/>
      <c r="H305" s="46"/>
      <c r="I305" s="46"/>
      <c r="J305" s="46"/>
      <c r="K305" s="44"/>
      <c r="L305" s="52"/>
      <c r="M305" s="46"/>
      <c r="N305" s="46"/>
      <c r="O305" s="47"/>
      <c r="P305" s="47"/>
      <c r="Q305" s="47"/>
      <c r="R305" s="47"/>
      <c r="S305" s="47"/>
      <c r="T305" s="47"/>
    </row>
    <row r="306">
      <c r="A306" s="44"/>
      <c r="B306" s="44"/>
      <c r="C306" s="46"/>
      <c r="D306" s="46"/>
      <c r="E306" s="46"/>
      <c r="F306" s="46"/>
      <c r="G306" s="44"/>
      <c r="H306" s="46"/>
      <c r="I306" s="46"/>
      <c r="J306" s="46"/>
      <c r="K306" s="44"/>
      <c r="L306" s="52"/>
      <c r="M306" s="46"/>
      <c r="N306" s="46"/>
      <c r="O306" s="47"/>
      <c r="P306" s="47"/>
      <c r="Q306" s="47"/>
      <c r="R306" s="47"/>
      <c r="S306" s="47"/>
      <c r="T306" s="47"/>
    </row>
    <row r="307">
      <c r="A307" s="44"/>
      <c r="B307" s="44"/>
      <c r="C307" s="46"/>
      <c r="D307" s="46"/>
      <c r="E307" s="46"/>
      <c r="F307" s="46"/>
      <c r="G307" s="44"/>
      <c r="H307" s="46"/>
      <c r="I307" s="46"/>
      <c r="J307" s="46"/>
      <c r="K307" s="44"/>
      <c r="L307" s="52"/>
      <c r="M307" s="46"/>
      <c r="N307" s="46"/>
      <c r="O307" s="47"/>
      <c r="P307" s="47"/>
      <c r="Q307" s="47"/>
      <c r="R307" s="47"/>
      <c r="S307" s="47"/>
      <c r="T307" s="47"/>
    </row>
    <row r="308">
      <c r="A308" s="44"/>
      <c r="B308" s="44"/>
      <c r="C308" s="46"/>
      <c r="D308" s="46"/>
      <c r="E308" s="46"/>
      <c r="F308" s="46"/>
      <c r="G308" s="44"/>
      <c r="H308" s="46"/>
      <c r="I308" s="46"/>
      <c r="J308" s="46"/>
      <c r="K308" s="44"/>
      <c r="L308" s="52"/>
      <c r="M308" s="46"/>
      <c r="N308" s="46"/>
      <c r="O308" s="47"/>
      <c r="P308" s="47"/>
      <c r="Q308" s="47"/>
      <c r="R308" s="47"/>
      <c r="S308" s="47"/>
      <c r="T308" s="47"/>
    </row>
    <row r="309">
      <c r="A309" s="46"/>
      <c r="B309" s="44"/>
      <c r="C309" s="46"/>
      <c r="D309" s="46"/>
      <c r="E309" s="46"/>
      <c r="F309" s="46"/>
      <c r="G309" s="44"/>
      <c r="H309" s="46"/>
      <c r="I309" s="46"/>
      <c r="J309" s="46"/>
      <c r="K309" s="44"/>
      <c r="L309" s="52"/>
      <c r="M309" s="46"/>
      <c r="N309" s="46"/>
      <c r="O309" s="47"/>
      <c r="P309" s="47"/>
      <c r="Q309" s="47"/>
      <c r="R309" s="47"/>
      <c r="S309" s="47"/>
      <c r="T309" s="47"/>
    </row>
    <row r="310">
      <c r="A310" s="46"/>
      <c r="B310" s="44"/>
      <c r="C310" s="46"/>
      <c r="D310" s="46"/>
      <c r="E310" s="46"/>
      <c r="F310" s="46"/>
      <c r="G310" s="44"/>
      <c r="H310" s="46"/>
      <c r="I310" s="46"/>
      <c r="J310" s="46"/>
      <c r="K310" s="44"/>
      <c r="L310" s="52"/>
      <c r="M310" s="46"/>
      <c r="N310" s="46"/>
      <c r="O310" s="47"/>
      <c r="P310" s="47"/>
      <c r="Q310" s="47"/>
      <c r="R310" s="47"/>
      <c r="S310" s="47"/>
      <c r="T310" s="47"/>
    </row>
    <row r="311">
      <c r="A311" s="46"/>
      <c r="B311" s="44"/>
      <c r="C311" s="46"/>
      <c r="D311" s="46"/>
      <c r="E311" s="46"/>
      <c r="F311" s="46"/>
      <c r="G311" s="44"/>
      <c r="H311" s="46"/>
      <c r="I311" s="46"/>
      <c r="J311" s="46"/>
      <c r="K311" s="44"/>
      <c r="L311" s="52"/>
      <c r="M311" s="46"/>
      <c r="N311" s="46"/>
      <c r="O311" s="47"/>
      <c r="P311" s="47"/>
      <c r="Q311" s="47"/>
      <c r="R311" s="47"/>
      <c r="S311" s="47"/>
      <c r="T311" s="47"/>
    </row>
    <row r="312">
      <c r="A312" s="46"/>
      <c r="B312" s="44"/>
      <c r="C312" s="46"/>
      <c r="D312" s="46"/>
      <c r="E312" s="46"/>
      <c r="F312" s="46"/>
      <c r="G312" s="44"/>
      <c r="H312" s="46"/>
      <c r="I312" s="46"/>
      <c r="J312" s="46"/>
      <c r="K312" s="44"/>
      <c r="L312" s="52"/>
      <c r="M312" s="46"/>
      <c r="N312" s="46"/>
      <c r="O312" s="47"/>
      <c r="P312" s="47"/>
      <c r="Q312" s="47"/>
      <c r="R312" s="47"/>
      <c r="S312" s="47"/>
      <c r="T312" s="47"/>
    </row>
    <row r="313">
      <c r="A313" s="46"/>
      <c r="B313" s="44"/>
      <c r="C313" s="46"/>
      <c r="D313" s="46"/>
      <c r="E313" s="46"/>
      <c r="F313" s="46"/>
      <c r="G313" s="44"/>
      <c r="H313" s="46"/>
      <c r="I313" s="46"/>
      <c r="J313" s="46"/>
      <c r="K313" s="44"/>
      <c r="L313" s="52"/>
      <c r="M313" s="46"/>
      <c r="N313" s="46"/>
      <c r="O313" s="47"/>
      <c r="P313" s="47"/>
      <c r="Q313" s="47"/>
      <c r="R313" s="47"/>
      <c r="S313" s="47"/>
      <c r="T313" s="47"/>
    </row>
    <row r="314">
      <c r="A314" s="46"/>
      <c r="B314" s="44"/>
      <c r="C314" s="46"/>
      <c r="D314" s="46"/>
      <c r="E314" s="46"/>
      <c r="F314" s="46"/>
      <c r="G314" s="44"/>
      <c r="H314" s="46"/>
      <c r="I314" s="46"/>
      <c r="J314" s="46"/>
      <c r="K314" s="44"/>
      <c r="L314" s="52"/>
      <c r="M314" s="46"/>
      <c r="N314" s="46"/>
      <c r="O314" s="47"/>
      <c r="P314" s="47"/>
      <c r="Q314" s="47"/>
      <c r="R314" s="47"/>
      <c r="S314" s="47"/>
      <c r="T314" s="47"/>
    </row>
    <row r="315">
      <c r="A315" s="46"/>
      <c r="B315" s="44"/>
      <c r="C315" s="46"/>
      <c r="D315" s="46"/>
      <c r="E315" s="46"/>
      <c r="F315" s="46"/>
      <c r="G315" s="44"/>
      <c r="H315" s="46"/>
      <c r="I315" s="46"/>
      <c r="J315" s="46"/>
      <c r="K315" s="44"/>
      <c r="L315" s="52"/>
      <c r="M315" s="46"/>
      <c r="N315" s="46"/>
      <c r="O315" s="47"/>
      <c r="P315" s="47"/>
      <c r="Q315" s="47"/>
      <c r="R315" s="47"/>
      <c r="S315" s="47"/>
      <c r="T315" s="47"/>
    </row>
    <row r="316">
      <c r="A316" s="46"/>
      <c r="B316" s="44"/>
      <c r="C316" s="46"/>
      <c r="D316" s="46"/>
      <c r="E316" s="46"/>
      <c r="F316" s="46"/>
      <c r="G316" s="44"/>
      <c r="H316" s="46"/>
      <c r="I316" s="46"/>
      <c r="J316" s="46"/>
      <c r="K316" s="44"/>
      <c r="L316" s="52"/>
      <c r="M316" s="46"/>
      <c r="N316" s="46"/>
      <c r="O316" s="47"/>
      <c r="P316" s="47"/>
      <c r="Q316" s="47"/>
      <c r="R316" s="47"/>
      <c r="S316" s="47"/>
      <c r="T316" s="47"/>
    </row>
    <row r="317">
      <c r="A317" s="46"/>
      <c r="B317" s="44"/>
      <c r="C317" s="46"/>
      <c r="D317" s="46"/>
      <c r="E317" s="46"/>
      <c r="F317" s="46"/>
      <c r="G317" s="44"/>
      <c r="H317" s="46"/>
      <c r="I317" s="46"/>
      <c r="J317" s="46"/>
      <c r="K317" s="44"/>
      <c r="L317" s="52"/>
      <c r="M317" s="46"/>
      <c r="N317" s="46"/>
      <c r="O317" s="47"/>
      <c r="P317" s="47"/>
      <c r="Q317" s="47"/>
      <c r="R317" s="47"/>
      <c r="S317" s="47"/>
      <c r="T317" s="47"/>
    </row>
    <row r="318">
      <c r="A318" s="46"/>
      <c r="B318" s="44"/>
      <c r="C318" s="46"/>
      <c r="D318" s="46"/>
      <c r="E318" s="46"/>
      <c r="F318" s="46"/>
      <c r="G318" s="44"/>
      <c r="H318" s="46"/>
      <c r="I318" s="46"/>
      <c r="J318" s="46"/>
      <c r="K318" s="44"/>
      <c r="L318" s="52"/>
      <c r="M318" s="46"/>
      <c r="N318" s="46"/>
      <c r="O318" s="47"/>
      <c r="P318" s="47"/>
      <c r="Q318" s="47"/>
      <c r="R318" s="47"/>
      <c r="S318" s="47"/>
      <c r="T318" s="47"/>
    </row>
    <row r="319">
      <c r="A319" s="46"/>
      <c r="B319" s="44"/>
      <c r="C319" s="46"/>
      <c r="D319" s="46"/>
      <c r="E319" s="46"/>
      <c r="F319" s="46"/>
      <c r="G319" s="44"/>
      <c r="H319" s="46"/>
      <c r="I319" s="46"/>
      <c r="J319" s="46"/>
      <c r="K319" s="44"/>
      <c r="L319" s="52"/>
      <c r="M319" s="46"/>
      <c r="N319" s="46"/>
      <c r="O319" s="47"/>
      <c r="P319" s="47"/>
      <c r="Q319" s="47"/>
      <c r="R319" s="47"/>
      <c r="S319" s="47"/>
      <c r="T319" s="47"/>
    </row>
    <row r="320">
      <c r="A320" s="46"/>
      <c r="B320" s="44"/>
      <c r="C320" s="46"/>
      <c r="D320" s="46"/>
      <c r="E320" s="46"/>
      <c r="F320" s="46"/>
      <c r="G320" s="44"/>
      <c r="H320" s="46"/>
      <c r="I320" s="46"/>
      <c r="J320" s="46"/>
      <c r="K320" s="44"/>
      <c r="L320" s="52"/>
      <c r="M320" s="46"/>
      <c r="N320" s="46"/>
      <c r="O320" s="47"/>
      <c r="P320" s="47"/>
      <c r="Q320" s="47"/>
      <c r="R320" s="47"/>
      <c r="S320" s="47"/>
      <c r="T320" s="47"/>
    </row>
    <row r="321">
      <c r="A321" s="46"/>
      <c r="B321" s="44"/>
      <c r="C321" s="46"/>
      <c r="D321" s="46"/>
      <c r="E321" s="46"/>
      <c r="F321" s="46"/>
      <c r="G321" s="44"/>
      <c r="H321" s="46"/>
      <c r="I321" s="46"/>
      <c r="J321" s="46"/>
      <c r="K321" s="44"/>
      <c r="L321" s="52"/>
      <c r="M321" s="46"/>
      <c r="N321" s="46"/>
      <c r="O321" s="47"/>
      <c r="P321" s="47"/>
      <c r="Q321" s="47"/>
      <c r="R321" s="47"/>
      <c r="S321" s="47"/>
      <c r="T321" s="47"/>
    </row>
    <row r="322">
      <c r="A322" s="46"/>
      <c r="B322" s="44"/>
      <c r="C322" s="46"/>
      <c r="D322" s="46"/>
      <c r="E322" s="46"/>
      <c r="F322" s="46"/>
      <c r="G322" s="44"/>
      <c r="H322" s="46"/>
      <c r="I322" s="46"/>
      <c r="J322" s="46"/>
      <c r="K322" s="44"/>
      <c r="L322" s="52"/>
      <c r="M322" s="46"/>
      <c r="N322" s="46"/>
      <c r="O322" s="47"/>
      <c r="P322" s="47"/>
      <c r="Q322" s="47"/>
      <c r="R322" s="47"/>
      <c r="S322" s="47"/>
      <c r="T322" s="47"/>
    </row>
    <row r="323">
      <c r="A323" s="46"/>
      <c r="B323" s="44"/>
      <c r="C323" s="46"/>
      <c r="D323" s="46"/>
      <c r="E323" s="46"/>
      <c r="F323" s="46"/>
      <c r="G323" s="44"/>
      <c r="H323" s="46"/>
      <c r="I323" s="46"/>
      <c r="J323" s="46"/>
      <c r="K323" s="44"/>
      <c r="L323" s="52"/>
      <c r="M323" s="46"/>
      <c r="N323" s="46"/>
      <c r="O323" s="47"/>
      <c r="P323" s="47"/>
      <c r="Q323" s="47"/>
      <c r="R323" s="47"/>
      <c r="S323" s="47"/>
      <c r="T323" s="47"/>
    </row>
    <row r="324">
      <c r="A324" s="46"/>
      <c r="B324" s="44"/>
      <c r="C324" s="46"/>
      <c r="D324" s="46"/>
      <c r="E324" s="46"/>
      <c r="F324" s="46"/>
      <c r="G324" s="44"/>
      <c r="H324" s="46"/>
      <c r="I324" s="46"/>
      <c r="J324" s="46"/>
      <c r="K324" s="44"/>
      <c r="L324" s="52"/>
      <c r="M324" s="46"/>
      <c r="N324" s="46"/>
      <c r="O324" s="47"/>
      <c r="P324" s="47"/>
      <c r="Q324" s="47"/>
      <c r="R324" s="47"/>
      <c r="S324" s="47"/>
      <c r="T324" s="47"/>
    </row>
    <row r="325">
      <c r="A325" s="46"/>
      <c r="B325" s="44"/>
      <c r="C325" s="46"/>
      <c r="D325" s="46"/>
      <c r="E325" s="46"/>
      <c r="F325" s="46"/>
      <c r="G325" s="44"/>
      <c r="H325" s="46"/>
      <c r="I325" s="46"/>
      <c r="J325" s="46"/>
      <c r="K325" s="44"/>
      <c r="L325" s="52"/>
      <c r="M325" s="46"/>
      <c r="N325" s="46"/>
      <c r="O325" s="47"/>
      <c r="P325" s="47"/>
      <c r="Q325" s="47"/>
      <c r="R325" s="47"/>
      <c r="S325" s="47"/>
      <c r="T325" s="47"/>
    </row>
    <row r="326">
      <c r="A326" s="46"/>
      <c r="B326" s="44"/>
      <c r="C326" s="46"/>
      <c r="D326" s="46"/>
      <c r="E326" s="46"/>
      <c r="F326" s="46"/>
      <c r="G326" s="44"/>
      <c r="H326" s="46"/>
      <c r="I326" s="46"/>
      <c r="J326" s="46"/>
      <c r="K326" s="44"/>
      <c r="L326" s="52"/>
      <c r="M326" s="46"/>
      <c r="N326" s="46"/>
      <c r="O326" s="47"/>
      <c r="P326" s="47"/>
      <c r="Q326" s="47"/>
      <c r="R326" s="47"/>
      <c r="S326" s="47"/>
      <c r="T326" s="47"/>
    </row>
    <row r="327">
      <c r="A327" s="46"/>
      <c r="B327" s="44"/>
      <c r="C327" s="46"/>
      <c r="D327" s="46"/>
      <c r="E327" s="46"/>
      <c r="F327" s="46"/>
      <c r="G327" s="44"/>
      <c r="H327" s="46"/>
      <c r="I327" s="46"/>
      <c r="J327" s="46"/>
      <c r="K327" s="44"/>
      <c r="L327" s="52"/>
      <c r="M327" s="46"/>
      <c r="N327" s="46"/>
      <c r="O327" s="47"/>
      <c r="P327" s="47"/>
      <c r="Q327" s="47"/>
      <c r="R327" s="47"/>
      <c r="S327" s="47"/>
      <c r="T327" s="47"/>
    </row>
    <row r="328">
      <c r="A328" s="46"/>
      <c r="B328" s="44"/>
      <c r="C328" s="46"/>
      <c r="D328" s="46"/>
      <c r="E328" s="46"/>
      <c r="F328" s="46"/>
      <c r="G328" s="44"/>
      <c r="H328" s="46"/>
      <c r="I328" s="46"/>
      <c r="J328" s="46"/>
      <c r="K328" s="44"/>
      <c r="L328" s="52"/>
      <c r="M328" s="46"/>
      <c r="N328" s="46"/>
      <c r="O328" s="47"/>
      <c r="P328" s="47"/>
      <c r="Q328" s="47"/>
      <c r="R328" s="47"/>
      <c r="S328" s="47"/>
      <c r="T328" s="47"/>
    </row>
    <row r="329">
      <c r="A329" s="46"/>
      <c r="B329" s="44"/>
      <c r="C329" s="46"/>
      <c r="D329" s="46"/>
      <c r="E329" s="46"/>
      <c r="F329" s="46"/>
      <c r="G329" s="44"/>
      <c r="H329" s="46"/>
      <c r="I329" s="46"/>
      <c r="J329" s="46"/>
      <c r="K329" s="44"/>
      <c r="L329" s="52"/>
      <c r="M329" s="46"/>
      <c r="N329" s="46"/>
      <c r="O329" s="47"/>
      <c r="P329" s="47"/>
      <c r="Q329" s="47"/>
      <c r="R329" s="47"/>
      <c r="S329" s="47"/>
      <c r="T329" s="47"/>
    </row>
    <row r="330">
      <c r="A330" s="46"/>
      <c r="B330" s="44"/>
      <c r="C330" s="46"/>
      <c r="D330" s="46"/>
      <c r="E330" s="46"/>
      <c r="F330" s="46"/>
      <c r="G330" s="44"/>
      <c r="H330" s="46"/>
      <c r="I330" s="46"/>
      <c r="J330" s="46"/>
      <c r="K330" s="44"/>
      <c r="L330" s="52"/>
      <c r="M330" s="46"/>
      <c r="N330" s="46"/>
      <c r="O330" s="47"/>
      <c r="P330" s="47"/>
      <c r="Q330" s="47"/>
      <c r="R330" s="47"/>
      <c r="S330" s="47"/>
      <c r="T330" s="47"/>
    </row>
    <row r="331">
      <c r="A331" s="46"/>
      <c r="B331" s="44"/>
      <c r="C331" s="46"/>
      <c r="D331" s="46"/>
      <c r="E331" s="46"/>
      <c r="F331" s="46"/>
      <c r="G331" s="44"/>
      <c r="H331" s="46"/>
      <c r="I331" s="46"/>
      <c r="J331" s="46"/>
      <c r="K331" s="44"/>
      <c r="L331" s="52"/>
      <c r="M331" s="46"/>
      <c r="N331" s="46"/>
      <c r="O331" s="47"/>
      <c r="P331" s="47"/>
      <c r="Q331" s="47"/>
      <c r="R331" s="47"/>
      <c r="S331" s="47"/>
      <c r="T331" s="47"/>
    </row>
    <row r="332">
      <c r="A332" s="46"/>
      <c r="B332" s="44"/>
      <c r="C332" s="46"/>
      <c r="D332" s="46"/>
      <c r="E332" s="46"/>
      <c r="F332" s="46"/>
      <c r="G332" s="44"/>
      <c r="H332" s="46"/>
      <c r="I332" s="46"/>
      <c r="J332" s="46"/>
      <c r="K332" s="44"/>
      <c r="L332" s="52"/>
      <c r="M332" s="46"/>
      <c r="N332" s="46"/>
      <c r="O332" s="47"/>
      <c r="P332" s="47"/>
      <c r="Q332" s="47"/>
      <c r="R332" s="47"/>
      <c r="S332" s="47"/>
      <c r="T332" s="47"/>
    </row>
    <row r="333">
      <c r="A333" s="46"/>
      <c r="B333" s="44"/>
      <c r="C333" s="46"/>
      <c r="D333" s="46"/>
      <c r="E333" s="46"/>
      <c r="F333" s="46"/>
      <c r="G333" s="44"/>
      <c r="H333" s="46"/>
      <c r="I333" s="46"/>
      <c r="J333" s="46"/>
      <c r="K333" s="44"/>
      <c r="L333" s="52"/>
      <c r="M333" s="46"/>
      <c r="N333" s="46"/>
      <c r="O333" s="47"/>
      <c r="P333" s="47"/>
      <c r="Q333" s="47"/>
      <c r="R333" s="47"/>
      <c r="S333" s="47"/>
      <c r="T333" s="47"/>
    </row>
    <row r="334">
      <c r="A334" s="46"/>
      <c r="B334" s="44"/>
      <c r="C334" s="46"/>
      <c r="D334" s="46"/>
      <c r="E334" s="46"/>
      <c r="F334" s="46"/>
      <c r="G334" s="44"/>
      <c r="H334" s="46"/>
      <c r="I334" s="46"/>
      <c r="J334" s="46"/>
      <c r="K334" s="44"/>
      <c r="L334" s="52"/>
      <c r="M334" s="46"/>
      <c r="N334" s="46"/>
      <c r="O334" s="47"/>
      <c r="P334" s="47"/>
      <c r="Q334" s="47"/>
      <c r="R334" s="47"/>
      <c r="S334" s="47"/>
      <c r="T334" s="47"/>
    </row>
    <row r="335">
      <c r="A335" s="46"/>
      <c r="B335" s="44"/>
      <c r="C335" s="46"/>
      <c r="D335" s="46"/>
      <c r="E335" s="46"/>
      <c r="F335" s="46"/>
      <c r="G335" s="44"/>
      <c r="H335" s="46"/>
      <c r="I335" s="46"/>
      <c r="J335" s="46"/>
      <c r="K335" s="44"/>
      <c r="L335" s="52"/>
      <c r="M335" s="46"/>
      <c r="N335" s="46"/>
      <c r="O335" s="47"/>
      <c r="P335" s="47"/>
      <c r="Q335" s="47"/>
      <c r="R335" s="47"/>
      <c r="S335" s="47"/>
      <c r="T335" s="47"/>
    </row>
    <row r="336">
      <c r="A336" s="46"/>
      <c r="B336" s="44"/>
      <c r="C336" s="46"/>
      <c r="D336" s="46"/>
      <c r="E336" s="46"/>
      <c r="F336" s="46"/>
      <c r="G336" s="44"/>
      <c r="H336" s="46"/>
      <c r="I336" s="46"/>
      <c r="J336" s="46"/>
      <c r="K336" s="44"/>
      <c r="L336" s="52"/>
      <c r="M336" s="46"/>
      <c r="N336" s="46"/>
      <c r="O336" s="47"/>
      <c r="P336" s="47"/>
      <c r="Q336" s="47"/>
      <c r="R336" s="47"/>
      <c r="S336" s="47"/>
      <c r="T336" s="47"/>
    </row>
    <row r="337">
      <c r="A337" s="46"/>
      <c r="B337" s="44"/>
      <c r="C337" s="46"/>
      <c r="D337" s="46"/>
      <c r="E337" s="46"/>
      <c r="F337" s="46"/>
      <c r="G337" s="44"/>
      <c r="H337" s="46"/>
      <c r="I337" s="46"/>
      <c r="J337" s="46"/>
      <c r="K337" s="44"/>
      <c r="L337" s="52"/>
      <c r="M337" s="46"/>
      <c r="N337" s="46"/>
      <c r="O337" s="47"/>
      <c r="P337" s="47"/>
      <c r="Q337" s="47"/>
      <c r="R337" s="47"/>
      <c r="S337" s="47"/>
      <c r="T337" s="47"/>
    </row>
    <row r="338">
      <c r="A338" s="46"/>
      <c r="B338" s="44"/>
      <c r="C338" s="46"/>
      <c r="D338" s="46"/>
      <c r="E338" s="46"/>
      <c r="F338" s="46"/>
      <c r="G338" s="44"/>
      <c r="H338" s="46"/>
      <c r="I338" s="46"/>
      <c r="J338" s="46"/>
      <c r="K338" s="44"/>
      <c r="L338" s="52"/>
      <c r="M338" s="46"/>
      <c r="N338" s="46"/>
      <c r="O338" s="47"/>
      <c r="P338" s="47"/>
      <c r="Q338" s="47"/>
      <c r="R338" s="47"/>
      <c r="S338" s="47"/>
      <c r="T338" s="47"/>
    </row>
    <row r="339">
      <c r="A339" s="46"/>
      <c r="B339" s="44"/>
      <c r="C339" s="46"/>
      <c r="D339" s="46"/>
      <c r="E339" s="46"/>
      <c r="F339" s="46"/>
      <c r="G339" s="44"/>
      <c r="H339" s="46"/>
      <c r="I339" s="46"/>
      <c r="J339" s="46"/>
      <c r="K339" s="44"/>
      <c r="L339" s="52"/>
      <c r="M339" s="46"/>
      <c r="N339" s="46"/>
      <c r="O339" s="47"/>
      <c r="P339" s="47"/>
      <c r="Q339" s="47"/>
      <c r="R339" s="47"/>
      <c r="S339" s="47"/>
      <c r="T339" s="47"/>
    </row>
    <row r="340">
      <c r="A340" s="46"/>
      <c r="B340" s="44"/>
      <c r="C340" s="46"/>
      <c r="D340" s="46"/>
      <c r="E340" s="46"/>
      <c r="F340" s="46"/>
      <c r="G340" s="44"/>
      <c r="H340" s="46"/>
      <c r="I340" s="46"/>
      <c r="J340" s="46"/>
      <c r="K340" s="44"/>
      <c r="L340" s="52"/>
      <c r="M340" s="46"/>
      <c r="N340" s="46"/>
      <c r="O340" s="47"/>
      <c r="P340" s="47"/>
      <c r="Q340" s="47"/>
      <c r="R340" s="47"/>
      <c r="S340" s="47"/>
      <c r="T340" s="47"/>
    </row>
    <row r="341">
      <c r="A341" s="46"/>
      <c r="B341" s="44"/>
      <c r="C341" s="46"/>
      <c r="D341" s="46"/>
      <c r="E341" s="46"/>
      <c r="F341" s="46"/>
      <c r="G341" s="44"/>
      <c r="H341" s="46"/>
      <c r="I341" s="46"/>
      <c r="J341" s="46"/>
      <c r="K341" s="44"/>
      <c r="L341" s="52"/>
      <c r="M341" s="46"/>
      <c r="N341" s="46"/>
      <c r="O341" s="47"/>
      <c r="P341" s="47"/>
      <c r="Q341" s="47"/>
      <c r="R341" s="47"/>
      <c r="S341" s="47"/>
      <c r="T341" s="47"/>
    </row>
    <row r="342">
      <c r="A342" s="46"/>
      <c r="B342" s="44"/>
      <c r="C342" s="46"/>
      <c r="D342" s="46"/>
      <c r="E342" s="46"/>
      <c r="F342" s="46"/>
      <c r="G342" s="44"/>
      <c r="H342" s="46"/>
      <c r="I342" s="46"/>
      <c r="J342" s="46"/>
      <c r="K342" s="44"/>
      <c r="L342" s="52"/>
      <c r="M342" s="46"/>
      <c r="N342" s="46"/>
      <c r="O342" s="47"/>
      <c r="P342" s="47"/>
      <c r="Q342" s="47"/>
      <c r="R342" s="47"/>
      <c r="S342" s="47"/>
      <c r="T342" s="47"/>
    </row>
    <row r="343">
      <c r="A343" s="46"/>
      <c r="B343" s="44"/>
      <c r="C343" s="46"/>
      <c r="D343" s="46"/>
      <c r="E343" s="46"/>
      <c r="F343" s="46"/>
      <c r="G343" s="44"/>
      <c r="H343" s="46"/>
      <c r="I343" s="46"/>
      <c r="J343" s="46"/>
      <c r="K343" s="44"/>
      <c r="L343" s="52"/>
      <c r="M343" s="46"/>
      <c r="N343" s="46"/>
      <c r="O343" s="47"/>
      <c r="P343" s="47"/>
      <c r="Q343" s="47"/>
      <c r="R343" s="47"/>
      <c r="S343" s="47"/>
      <c r="T343" s="47"/>
    </row>
    <row r="344">
      <c r="A344" s="46"/>
      <c r="B344" s="44"/>
      <c r="C344" s="46"/>
      <c r="D344" s="46"/>
      <c r="E344" s="46"/>
      <c r="F344" s="46"/>
      <c r="G344" s="44"/>
      <c r="H344" s="46"/>
      <c r="I344" s="46"/>
      <c r="J344" s="46"/>
      <c r="K344" s="44"/>
      <c r="L344" s="52"/>
      <c r="M344" s="46"/>
      <c r="N344" s="46"/>
      <c r="O344" s="47"/>
      <c r="P344" s="47"/>
      <c r="Q344" s="47"/>
      <c r="R344" s="47"/>
      <c r="S344" s="47"/>
      <c r="T344" s="47"/>
    </row>
    <row r="345">
      <c r="A345" s="46"/>
      <c r="B345" s="44"/>
      <c r="C345" s="46"/>
      <c r="D345" s="46"/>
      <c r="E345" s="46"/>
      <c r="F345" s="46"/>
      <c r="G345" s="44"/>
      <c r="H345" s="46"/>
      <c r="I345" s="46"/>
      <c r="J345" s="46"/>
      <c r="K345" s="44"/>
      <c r="L345" s="52"/>
      <c r="M345" s="46"/>
      <c r="N345" s="46"/>
      <c r="O345" s="47"/>
      <c r="P345" s="47"/>
      <c r="Q345" s="47"/>
      <c r="R345" s="47"/>
      <c r="S345" s="47"/>
      <c r="T345" s="47"/>
    </row>
    <row r="346">
      <c r="A346" s="46"/>
      <c r="B346" s="44"/>
      <c r="C346" s="46"/>
      <c r="D346" s="46"/>
      <c r="E346" s="46"/>
      <c r="F346" s="46"/>
      <c r="G346" s="44"/>
      <c r="H346" s="46"/>
      <c r="I346" s="46"/>
      <c r="J346" s="46"/>
      <c r="K346" s="44"/>
      <c r="L346" s="52"/>
      <c r="M346" s="46"/>
      <c r="N346" s="46"/>
      <c r="O346" s="47"/>
      <c r="P346" s="47"/>
      <c r="Q346" s="47"/>
      <c r="R346" s="47"/>
      <c r="S346" s="47"/>
      <c r="T346" s="47"/>
    </row>
    <row r="347">
      <c r="A347" s="46"/>
      <c r="B347" s="44"/>
      <c r="C347" s="46"/>
      <c r="D347" s="46"/>
      <c r="E347" s="46"/>
      <c r="F347" s="46"/>
      <c r="G347" s="44"/>
      <c r="H347" s="46"/>
      <c r="I347" s="46"/>
      <c r="J347" s="46"/>
      <c r="K347" s="44"/>
      <c r="L347" s="52"/>
      <c r="M347" s="46"/>
      <c r="N347" s="46"/>
      <c r="O347" s="47"/>
      <c r="P347" s="47"/>
      <c r="Q347" s="47"/>
      <c r="R347" s="47"/>
      <c r="S347" s="47"/>
      <c r="T347" s="47"/>
    </row>
    <row r="348">
      <c r="A348" s="46"/>
      <c r="B348" s="44"/>
      <c r="C348" s="46"/>
      <c r="D348" s="46"/>
      <c r="E348" s="46"/>
      <c r="F348" s="46"/>
      <c r="G348" s="44"/>
      <c r="H348" s="46"/>
      <c r="I348" s="46"/>
      <c r="J348" s="46"/>
      <c r="K348" s="44"/>
      <c r="L348" s="52"/>
      <c r="M348" s="46"/>
      <c r="N348" s="46"/>
      <c r="O348" s="47"/>
      <c r="P348" s="47"/>
      <c r="Q348" s="47"/>
      <c r="R348" s="47"/>
      <c r="S348" s="47"/>
      <c r="T348" s="47"/>
    </row>
    <row r="349">
      <c r="A349" s="46"/>
      <c r="B349" s="44"/>
      <c r="C349" s="46"/>
      <c r="D349" s="46"/>
      <c r="E349" s="46"/>
      <c r="F349" s="46"/>
      <c r="G349" s="44"/>
      <c r="H349" s="46"/>
      <c r="I349" s="46"/>
      <c r="J349" s="46"/>
      <c r="K349" s="44"/>
      <c r="L349" s="52"/>
      <c r="M349" s="46"/>
      <c r="N349" s="46"/>
      <c r="O349" s="47"/>
      <c r="P349" s="47"/>
      <c r="Q349" s="47"/>
      <c r="R349" s="47"/>
      <c r="S349" s="47"/>
      <c r="T349" s="47"/>
    </row>
    <row r="350">
      <c r="A350" s="46"/>
      <c r="B350" s="44"/>
      <c r="C350" s="46"/>
      <c r="D350" s="46"/>
      <c r="E350" s="46"/>
      <c r="F350" s="46"/>
      <c r="G350" s="44"/>
      <c r="H350" s="46"/>
      <c r="I350" s="46"/>
      <c r="J350" s="46"/>
      <c r="K350" s="44"/>
      <c r="L350" s="52"/>
      <c r="M350" s="46"/>
      <c r="N350" s="46"/>
      <c r="O350" s="47"/>
      <c r="P350" s="47"/>
      <c r="Q350" s="47"/>
      <c r="R350" s="47"/>
      <c r="S350" s="47"/>
      <c r="T350" s="47"/>
    </row>
    <row r="351">
      <c r="A351" s="46"/>
      <c r="B351" s="44"/>
      <c r="C351" s="46"/>
      <c r="D351" s="46"/>
      <c r="E351" s="46"/>
      <c r="F351" s="46"/>
      <c r="G351" s="44"/>
      <c r="H351" s="46"/>
      <c r="I351" s="46"/>
      <c r="J351" s="46"/>
      <c r="K351" s="44"/>
      <c r="L351" s="52"/>
      <c r="M351" s="46"/>
      <c r="N351" s="46"/>
      <c r="O351" s="47"/>
      <c r="P351" s="47"/>
      <c r="Q351" s="47"/>
      <c r="R351" s="47"/>
      <c r="S351" s="47"/>
      <c r="T351" s="47"/>
    </row>
    <row r="352">
      <c r="A352" s="46"/>
      <c r="B352" s="44"/>
      <c r="C352" s="46"/>
      <c r="D352" s="46"/>
      <c r="E352" s="46"/>
      <c r="F352" s="46"/>
      <c r="G352" s="44"/>
      <c r="H352" s="46"/>
      <c r="I352" s="46"/>
      <c r="J352" s="46"/>
      <c r="K352" s="44"/>
      <c r="L352" s="52"/>
      <c r="M352" s="46"/>
      <c r="N352" s="46"/>
      <c r="O352" s="47"/>
      <c r="P352" s="47"/>
      <c r="Q352" s="47"/>
      <c r="R352" s="47"/>
      <c r="S352" s="47"/>
      <c r="T352" s="47"/>
    </row>
    <row r="353">
      <c r="A353" s="46"/>
      <c r="B353" s="44"/>
      <c r="C353" s="46"/>
      <c r="D353" s="46"/>
      <c r="E353" s="46"/>
      <c r="F353" s="46"/>
      <c r="G353" s="44"/>
      <c r="H353" s="46"/>
      <c r="I353" s="46"/>
      <c r="J353" s="46"/>
      <c r="K353" s="44"/>
      <c r="L353" s="52"/>
      <c r="M353" s="46"/>
      <c r="N353" s="46"/>
      <c r="O353" s="47"/>
      <c r="P353" s="47"/>
      <c r="Q353" s="47"/>
      <c r="R353" s="47"/>
      <c r="S353" s="47"/>
      <c r="T353" s="47"/>
    </row>
    <row r="354">
      <c r="A354" s="46"/>
      <c r="B354" s="44"/>
      <c r="C354" s="46"/>
      <c r="D354" s="46"/>
      <c r="E354" s="46"/>
      <c r="F354" s="46"/>
      <c r="G354" s="44"/>
      <c r="H354" s="46"/>
      <c r="I354" s="46"/>
      <c r="J354" s="46"/>
      <c r="K354" s="44"/>
      <c r="L354" s="52"/>
      <c r="M354" s="46"/>
      <c r="N354" s="46"/>
      <c r="O354" s="47"/>
      <c r="P354" s="47"/>
      <c r="Q354" s="47"/>
      <c r="R354" s="47"/>
      <c r="S354" s="47"/>
      <c r="T354" s="47"/>
    </row>
    <row r="355">
      <c r="A355" s="46"/>
      <c r="B355" s="44"/>
      <c r="C355" s="46"/>
      <c r="D355" s="46"/>
      <c r="E355" s="46"/>
      <c r="F355" s="46"/>
      <c r="G355" s="44"/>
      <c r="H355" s="46"/>
      <c r="I355" s="46"/>
      <c r="J355" s="46"/>
      <c r="K355" s="44"/>
      <c r="L355" s="52"/>
      <c r="M355" s="46"/>
      <c r="N355" s="46"/>
      <c r="O355" s="47"/>
      <c r="P355" s="47"/>
      <c r="Q355" s="47"/>
      <c r="R355" s="47"/>
      <c r="S355" s="47"/>
      <c r="T355" s="47"/>
    </row>
    <row r="356">
      <c r="A356" s="46"/>
      <c r="B356" s="44"/>
      <c r="C356" s="46"/>
      <c r="D356" s="46"/>
      <c r="E356" s="46"/>
      <c r="F356" s="46"/>
      <c r="G356" s="44"/>
      <c r="H356" s="46"/>
      <c r="I356" s="46"/>
      <c r="J356" s="46"/>
      <c r="K356" s="44"/>
      <c r="L356" s="52"/>
      <c r="M356" s="46"/>
      <c r="N356" s="46"/>
      <c r="O356" s="47"/>
      <c r="P356" s="47"/>
      <c r="Q356" s="47"/>
      <c r="R356" s="47"/>
      <c r="S356" s="47"/>
      <c r="T356" s="47"/>
    </row>
    <row r="357">
      <c r="A357" s="46"/>
      <c r="B357" s="44"/>
      <c r="C357" s="46"/>
      <c r="D357" s="46"/>
      <c r="E357" s="46"/>
      <c r="F357" s="46"/>
      <c r="G357" s="44"/>
      <c r="H357" s="46"/>
      <c r="I357" s="46"/>
      <c r="J357" s="46"/>
      <c r="K357" s="44"/>
      <c r="L357" s="52"/>
      <c r="M357" s="46"/>
      <c r="N357" s="46"/>
      <c r="O357" s="47"/>
      <c r="P357" s="47"/>
      <c r="Q357" s="47"/>
      <c r="R357" s="47"/>
      <c r="S357" s="47"/>
      <c r="T357" s="47"/>
    </row>
    <row r="358">
      <c r="A358" s="46"/>
      <c r="B358" s="44"/>
      <c r="C358" s="46"/>
      <c r="D358" s="46"/>
      <c r="E358" s="46"/>
      <c r="F358" s="46"/>
      <c r="G358" s="44"/>
      <c r="H358" s="46"/>
      <c r="I358" s="46"/>
      <c r="J358" s="46"/>
      <c r="K358" s="44"/>
      <c r="L358" s="52"/>
      <c r="M358" s="46"/>
      <c r="N358" s="46"/>
      <c r="O358" s="47"/>
      <c r="P358" s="47"/>
      <c r="Q358" s="47"/>
      <c r="R358" s="47"/>
      <c r="S358" s="47"/>
      <c r="T358" s="47"/>
    </row>
    <row r="359">
      <c r="A359" s="46"/>
      <c r="B359" s="44"/>
      <c r="C359" s="46"/>
      <c r="D359" s="46"/>
      <c r="E359" s="46"/>
      <c r="F359" s="46"/>
      <c r="G359" s="44"/>
      <c r="H359" s="46"/>
      <c r="I359" s="46"/>
      <c r="J359" s="46"/>
      <c r="K359" s="44"/>
      <c r="L359" s="52"/>
      <c r="M359" s="46"/>
      <c r="N359" s="46"/>
      <c r="O359" s="47"/>
      <c r="P359" s="47"/>
      <c r="Q359" s="47"/>
      <c r="R359" s="47"/>
      <c r="S359" s="47"/>
      <c r="T359" s="47"/>
    </row>
    <row r="360">
      <c r="A360" s="46"/>
      <c r="B360" s="44"/>
      <c r="C360" s="46"/>
      <c r="D360" s="46"/>
      <c r="E360" s="46"/>
      <c r="F360" s="46"/>
      <c r="G360" s="44"/>
      <c r="H360" s="46"/>
      <c r="I360" s="46"/>
      <c r="J360" s="46"/>
      <c r="K360" s="44"/>
      <c r="L360" s="52"/>
      <c r="M360" s="46"/>
      <c r="N360" s="46"/>
      <c r="O360" s="47"/>
      <c r="P360" s="47"/>
      <c r="Q360" s="47"/>
      <c r="R360" s="47"/>
      <c r="S360" s="47"/>
      <c r="T360" s="47"/>
    </row>
    <row r="361">
      <c r="A361" s="46"/>
      <c r="B361" s="44"/>
      <c r="C361" s="46"/>
      <c r="D361" s="46"/>
      <c r="E361" s="46"/>
      <c r="F361" s="46"/>
      <c r="G361" s="44"/>
      <c r="H361" s="46"/>
      <c r="I361" s="46"/>
      <c r="J361" s="46"/>
      <c r="K361" s="44"/>
      <c r="L361" s="52"/>
      <c r="M361" s="46"/>
      <c r="N361" s="46"/>
      <c r="O361" s="47"/>
      <c r="P361" s="47"/>
      <c r="Q361" s="47"/>
      <c r="R361" s="47"/>
      <c r="S361" s="47"/>
      <c r="T361" s="47"/>
    </row>
    <row r="362">
      <c r="A362" s="46"/>
      <c r="B362" s="44"/>
      <c r="C362" s="46"/>
      <c r="D362" s="46"/>
      <c r="E362" s="46"/>
      <c r="F362" s="46"/>
      <c r="G362" s="44"/>
      <c r="H362" s="46"/>
      <c r="I362" s="46"/>
      <c r="J362" s="46"/>
      <c r="K362" s="44"/>
      <c r="L362" s="52"/>
      <c r="M362" s="46"/>
      <c r="N362" s="46"/>
      <c r="O362" s="47"/>
      <c r="P362" s="47"/>
      <c r="Q362" s="47"/>
      <c r="R362" s="47"/>
      <c r="S362" s="47"/>
      <c r="T362" s="47"/>
    </row>
    <row r="363">
      <c r="A363" s="46"/>
      <c r="B363" s="44"/>
      <c r="C363" s="46"/>
      <c r="D363" s="46"/>
      <c r="E363" s="46"/>
      <c r="F363" s="46"/>
      <c r="G363" s="44"/>
      <c r="H363" s="46"/>
      <c r="I363" s="46"/>
      <c r="J363" s="46"/>
      <c r="K363" s="44"/>
      <c r="L363" s="52"/>
      <c r="M363" s="46"/>
      <c r="N363" s="46"/>
      <c r="O363" s="47"/>
      <c r="P363" s="47"/>
      <c r="Q363" s="47"/>
      <c r="R363" s="47"/>
      <c r="S363" s="47"/>
      <c r="T363" s="47"/>
    </row>
    <row r="364">
      <c r="A364" s="46"/>
      <c r="B364" s="44"/>
      <c r="C364" s="46"/>
      <c r="D364" s="46"/>
      <c r="E364" s="46"/>
      <c r="F364" s="46"/>
      <c r="G364" s="44"/>
      <c r="H364" s="46"/>
      <c r="I364" s="46"/>
      <c r="J364" s="46"/>
      <c r="K364" s="44"/>
      <c r="L364" s="52"/>
      <c r="M364" s="46"/>
      <c r="N364" s="46"/>
      <c r="O364" s="47"/>
      <c r="P364" s="47"/>
      <c r="Q364" s="47"/>
      <c r="R364" s="47"/>
      <c r="S364" s="47"/>
      <c r="T364" s="47"/>
    </row>
    <row r="365">
      <c r="A365" s="46"/>
      <c r="B365" s="44"/>
      <c r="C365" s="46"/>
      <c r="D365" s="46"/>
      <c r="E365" s="46"/>
      <c r="F365" s="46"/>
      <c r="G365" s="44"/>
      <c r="H365" s="46"/>
      <c r="I365" s="46"/>
      <c r="J365" s="46"/>
      <c r="K365" s="44"/>
      <c r="L365" s="52"/>
      <c r="M365" s="46"/>
      <c r="N365" s="46"/>
      <c r="O365" s="47"/>
      <c r="P365" s="47"/>
      <c r="Q365" s="47"/>
      <c r="R365" s="47"/>
      <c r="S365" s="47"/>
      <c r="T365" s="47"/>
    </row>
    <row r="366">
      <c r="A366" s="46"/>
      <c r="B366" s="44"/>
      <c r="C366" s="46"/>
      <c r="D366" s="46"/>
      <c r="E366" s="46"/>
      <c r="F366" s="46"/>
      <c r="G366" s="44"/>
      <c r="H366" s="46"/>
      <c r="I366" s="46"/>
      <c r="J366" s="46"/>
      <c r="K366" s="44"/>
      <c r="L366" s="52"/>
      <c r="M366" s="46"/>
      <c r="N366" s="46"/>
      <c r="O366" s="47"/>
      <c r="P366" s="47"/>
      <c r="Q366" s="47"/>
      <c r="R366" s="47"/>
      <c r="S366" s="47"/>
      <c r="T366" s="47"/>
    </row>
    <row r="367">
      <c r="A367" s="46"/>
      <c r="B367" s="44"/>
      <c r="C367" s="46"/>
      <c r="D367" s="46"/>
      <c r="E367" s="46"/>
      <c r="F367" s="46"/>
      <c r="G367" s="44"/>
      <c r="H367" s="46"/>
      <c r="I367" s="46"/>
      <c r="J367" s="46"/>
      <c r="K367" s="44"/>
      <c r="L367" s="52"/>
      <c r="M367" s="46"/>
      <c r="N367" s="46"/>
      <c r="O367" s="47"/>
      <c r="P367" s="47"/>
      <c r="Q367" s="47"/>
      <c r="R367" s="47"/>
      <c r="S367" s="47"/>
      <c r="T367" s="47"/>
    </row>
    <row r="368">
      <c r="A368" s="46"/>
      <c r="B368" s="44"/>
      <c r="C368" s="46"/>
      <c r="D368" s="46"/>
      <c r="E368" s="46"/>
      <c r="F368" s="46"/>
      <c r="G368" s="44"/>
      <c r="H368" s="46"/>
      <c r="I368" s="46"/>
      <c r="J368" s="46"/>
      <c r="K368" s="44"/>
      <c r="L368" s="52"/>
      <c r="M368" s="46"/>
      <c r="N368" s="46"/>
      <c r="O368" s="47"/>
      <c r="P368" s="47"/>
      <c r="Q368" s="47"/>
      <c r="R368" s="47"/>
      <c r="S368" s="47"/>
      <c r="T368" s="47"/>
    </row>
    <row r="369">
      <c r="A369" s="46"/>
      <c r="B369" s="44"/>
      <c r="C369" s="46"/>
      <c r="D369" s="46"/>
      <c r="E369" s="46"/>
      <c r="F369" s="46"/>
      <c r="G369" s="44"/>
      <c r="H369" s="46"/>
      <c r="I369" s="46"/>
      <c r="J369" s="46"/>
      <c r="K369" s="44"/>
      <c r="L369" s="52"/>
      <c r="M369" s="46"/>
      <c r="N369" s="46"/>
      <c r="O369" s="47"/>
      <c r="P369" s="47"/>
      <c r="Q369" s="47"/>
      <c r="R369" s="47"/>
      <c r="S369" s="47"/>
      <c r="T369" s="47"/>
    </row>
    <row r="370">
      <c r="A370" s="46"/>
      <c r="B370" s="44"/>
      <c r="C370" s="46"/>
      <c r="D370" s="46"/>
      <c r="E370" s="46"/>
      <c r="F370" s="46"/>
      <c r="G370" s="44"/>
      <c r="H370" s="46"/>
      <c r="I370" s="46"/>
      <c r="J370" s="46"/>
      <c r="K370" s="44"/>
      <c r="L370" s="52"/>
      <c r="M370" s="46"/>
      <c r="N370" s="46"/>
      <c r="O370" s="47"/>
      <c r="P370" s="47"/>
      <c r="Q370" s="47"/>
      <c r="R370" s="47"/>
      <c r="S370" s="47"/>
      <c r="T370" s="47"/>
    </row>
    <row r="371">
      <c r="A371" s="46"/>
      <c r="B371" s="44"/>
      <c r="C371" s="46"/>
      <c r="D371" s="46"/>
      <c r="E371" s="46"/>
      <c r="F371" s="46"/>
      <c r="G371" s="44"/>
      <c r="H371" s="46"/>
      <c r="I371" s="46"/>
      <c r="J371" s="46"/>
      <c r="K371" s="44"/>
      <c r="L371" s="52"/>
      <c r="M371" s="46"/>
      <c r="N371" s="46"/>
      <c r="O371" s="47"/>
      <c r="P371" s="47"/>
      <c r="Q371" s="47"/>
      <c r="R371" s="47"/>
      <c r="S371" s="47"/>
      <c r="T371" s="47"/>
    </row>
    <row r="372">
      <c r="A372" s="46"/>
      <c r="B372" s="44"/>
      <c r="C372" s="46"/>
      <c r="D372" s="46"/>
      <c r="E372" s="46"/>
      <c r="F372" s="46"/>
      <c r="G372" s="44"/>
      <c r="H372" s="46"/>
      <c r="I372" s="46"/>
      <c r="J372" s="46"/>
      <c r="K372" s="44"/>
      <c r="L372" s="52"/>
      <c r="M372" s="46"/>
      <c r="N372" s="46"/>
      <c r="O372" s="47"/>
      <c r="P372" s="47"/>
      <c r="Q372" s="47"/>
      <c r="R372" s="47"/>
      <c r="S372" s="47"/>
      <c r="T372" s="47"/>
    </row>
    <row r="373">
      <c r="A373" s="46"/>
      <c r="B373" s="44"/>
      <c r="C373" s="46"/>
      <c r="D373" s="46"/>
      <c r="E373" s="46"/>
      <c r="F373" s="46"/>
      <c r="G373" s="44"/>
      <c r="H373" s="46"/>
      <c r="I373" s="46"/>
      <c r="J373" s="46"/>
      <c r="K373" s="44"/>
      <c r="L373" s="52"/>
      <c r="M373" s="46"/>
      <c r="N373" s="46"/>
      <c r="O373" s="47"/>
      <c r="P373" s="47"/>
      <c r="Q373" s="47"/>
      <c r="R373" s="47"/>
      <c r="S373" s="47"/>
      <c r="T373" s="47"/>
    </row>
    <row r="374">
      <c r="A374" s="46"/>
      <c r="B374" s="44"/>
      <c r="C374" s="46"/>
      <c r="D374" s="46"/>
      <c r="E374" s="46"/>
      <c r="F374" s="46"/>
      <c r="G374" s="44"/>
      <c r="H374" s="46"/>
      <c r="I374" s="46"/>
      <c r="J374" s="46"/>
      <c r="K374" s="44"/>
      <c r="L374" s="52"/>
      <c r="M374" s="46"/>
      <c r="N374" s="46"/>
      <c r="O374" s="47"/>
      <c r="P374" s="47"/>
      <c r="Q374" s="47"/>
      <c r="R374" s="47"/>
      <c r="S374" s="47"/>
      <c r="T374" s="47"/>
    </row>
    <row r="375">
      <c r="A375" s="46"/>
      <c r="B375" s="44"/>
      <c r="C375" s="46"/>
      <c r="D375" s="46"/>
      <c r="E375" s="46"/>
      <c r="F375" s="46"/>
      <c r="G375" s="44"/>
      <c r="H375" s="46"/>
      <c r="I375" s="46"/>
      <c r="J375" s="46"/>
      <c r="K375" s="44"/>
      <c r="L375" s="52"/>
      <c r="M375" s="46"/>
      <c r="N375" s="46"/>
      <c r="O375" s="47"/>
      <c r="P375" s="47"/>
      <c r="Q375" s="47"/>
      <c r="R375" s="47"/>
      <c r="S375" s="47"/>
      <c r="T375" s="47"/>
    </row>
    <row r="376">
      <c r="A376" s="46"/>
      <c r="B376" s="44"/>
      <c r="C376" s="46"/>
      <c r="D376" s="46"/>
      <c r="E376" s="46"/>
      <c r="F376" s="46"/>
      <c r="G376" s="44"/>
      <c r="H376" s="46"/>
      <c r="I376" s="46"/>
      <c r="J376" s="46"/>
      <c r="K376" s="44"/>
      <c r="L376" s="52"/>
      <c r="M376" s="46"/>
      <c r="N376" s="46"/>
      <c r="O376" s="47"/>
      <c r="P376" s="47"/>
      <c r="Q376" s="47"/>
      <c r="R376" s="47"/>
      <c r="S376" s="47"/>
      <c r="T376" s="47"/>
    </row>
    <row r="377">
      <c r="A377" s="46"/>
      <c r="B377" s="44"/>
      <c r="C377" s="46"/>
      <c r="D377" s="46"/>
      <c r="E377" s="46"/>
      <c r="F377" s="46"/>
      <c r="G377" s="44"/>
      <c r="H377" s="46"/>
      <c r="I377" s="46"/>
      <c r="J377" s="46"/>
      <c r="K377" s="44"/>
      <c r="L377" s="52"/>
      <c r="M377" s="46"/>
      <c r="N377" s="46"/>
      <c r="O377" s="47"/>
      <c r="P377" s="47"/>
      <c r="Q377" s="47"/>
      <c r="R377" s="47"/>
      <c r="S377" s="47"/>
      <c r="T377" s="47"/>
    </row>
    <row r="378">
      <c r="A378" s="46"/>
      <c r="B378" s="44"/>
      <c r="C378" s="46"/>
      <c r="D378" s="46"/>
      <c r="E378" s="46"/>
      <c r="F378" s="46"/>
      <c r="G378" s="44"/>
      <c r="H378" s="46"/>
      <c r="I378" s="46"/>
      <c r="J378" s="46"/>
      <c r="K378" s="44"/>
      <c r="L378" s="52"/>
      <c r="M378" s="46"/>
      <c r="N378" s="46"/>
      <c r="O378" s="47"/>
      <c r="P378" s="47"/>
      <c r="Q378" s="47"/>
      <c r="R378" s="47"/>
      <c r="S378" s="47"/>
      <c r="T378" s="47"/>
    </row>
    <row r="379">
      <c r="A379" s="46"/>
      <c r="B379" s="44"/>
      <c r="C379" s="46"/>
      <c r="D379" s="46"/>
      <c r="E379" s="46"/>
      <c r="F379" s="46"/>
      <c r="G379" s="44"/>
      <c r="H379" s="46"/>
      <c r="I379" s="46"/>
      <c r="J379" s="46"/>
      <c r="K379" s="44"/>
      <c r="L379" s="52"/>
      <c r="M379" s="46"/>
      <c r="N379" s="46"/>
      <c r="O379" s="47"/>
      <c r="P379" s="47"/>
      <c r="Q379" s="47"/>
      <c r="R379" s="47"/>
      <c r="S379" s="47"/>
      <c r="T379" s="47"/>
    </row>
    <row r="380">
      <c r="A380" s="46"/>
      <c r="B380" s="44"/>
      <c r="C380" s="46"/>
      <c r="D380" s="46"/>
      <c r="E380" s="46"/>
      <c r="F380" s="46"/>
      <c r="G380" s="44"/>
      <c r="H380" s="46"/>
      <c r="I380" s="46"/>
      <c r="J380" s="46"/>
      <c r="K380" s="44"/>
      <c r="L380" s="52"/>
      <c r="M380" s="46"/>
      <c r="N380" s="46"/>
      <c r="O380" s="47"/>
      <c r="P380" s="47"/>
      <c r="Q380" s="47"/>
      <c r="R380" s="47"/>
      <c r="S380" s="47"/>
      <c r="T380" s="47"/>
    </row>
    <row r="381">
      <c r="A381" s="46"/>
      <c r="B381" s="44"/>
      <c r="C381" s="46"/>
      <c r="D381" s="46"/>
      <c r="E381" s="46"/>
      <c r="F381" s="46"/>
      <c r="G381" s="44"/>
      <c r="H381" s="46"/>
      <c r="I381" s="46"/>
      <c r="J381" s="46"/>
      <c r="K381" s="44"/>
      <c r="L381" s="52"/>
      <c r="M381" s="46"/>
      <c r="N381" s="46"/>
      <c r="O381" s="47"/>
      <c r="P381" s="47"/>
      <c r="Q381" s="47"/>
      <c r="R381" s="47"/>
      <c r="S381" s="47"/>
      <c r="T381" s="47"/>
    </row>
    <row r="382">
      <c r="A382" s="46"/>
      <c r="B382" s="44"/>
      <c r="C382" s="46"/>
      <c r="D382" s="46"/>
      <c r="E382" s="46"/>
      <c r="F382" s="46"/>
      <c r="G382" s="44"/>
      <c r="H382" s="46"/>
      <c r="I382" s="46"/>
      <c r="J382" s="46"/>
      <c r="K382" s="44"/>
      <c r="L382" s="52"/>
      <c r="M382" s="46"/>
      <c r="N382" s="46"/>
      <c r="O382" s="47"/>
      <c r="P382" s="47"/>
      <c r="Q382" s="47"/>
      <c r="R382" s="47"/>
      <c r="S382" s="47"/>
      <c r="T382" s="47"/>
    </row>
    <row r="383">
      <c r="A383" s="46"/>
      <c r="B383" s="44"/>
      <c r="C383" s="46"/>
      <c r="D383" s="46"/>
      <c r="E383" s="46"/>
      <c r="F383" s="46"/>
      <c r="G383" s="44"/>
      <c r="H383" s="46"/>
      <c r="I383" s="46"/>
      <c r="J383" s="46"/>
      <c r="K383" s="44"/>
      <c r="L383" s="52"/>
      <c r="M383" s="46"/>
      <c r="N383" s="46"/>
      <c r="O383" s="47"/>
      <c r="P383" s="47"/>
      <c r="Q383" s="47"/>
      <c r="R383" s="47"/>
      <c r="S383" s="47"/>
      <c r="T383" s="47"/>
    </row>
    <row r="384">
      <c r="A384" s="46"/>
      <c r="B384" s="44"/>
      <c r="C384" s="46"/>
      <c r="D384" s="46"/>
      <c r="E384" s="46"/>
      <c r="F384" s="46"/>
      <c r="G384" s="44"/>
      <c r="H384" s="46"/>
      <c r="I384" s="46"/>
      <c r="J384" s="46"/>
      <c r="K384" s="44"/>
      <c r="L384" s="52"/>
      <c r="M384" s="46"/>
      <c r="N384" s="46"/>
      <c r="O384" s="47"/>
      <c r="P384" s="47"/>
      <c r="Q384" s="47"/>
      <c r="R384" s="47"/>
      <c r="S384" s="47"/>
      <c r="T384" s="47"/>
    </row>
    <row r="385">
      <c r="A385" s="46"/>
      <c r="B385" s="44"/>
      <c r="C385" s="46"/>
      <c r="D385" s="46"/>
      <c r="E385" s="46"/>
      <c r="F385" s="46"/>
      <c r="G385" s="44"/>
      <c r="H385" s="46"/>
      <c r="I385" s="46"/>
      <c r="J385" s="46"/>
      <c r="K385" s="44"/>
      <c r="L385" s="52"/>
      <c r="M385" s="46"/>
      <c r="N385" s="46"/>
      <c r="O385" s="47"/>
      <c r="P385" s="47"/>
      <c r="Q385" s="47"/>
      <c r="R385" s="47"/>
      <c r="S385" s="47"/>
      <c r="T385" s="47"/>
    </row>
    <row r="386">
      <c r="A386" s="46"/>
      <c r="B386" s="44"/>
      <c r="C386" s="46"/>
      <c r="D386" s="46"/>
      <c r="E386" s="46"/>
      <c r="F386" s="46"/>
      <c r="G386" s="44"/>
      <c r="H386" s="46"/>
      <c r="I386" s="46"/>
      <c r="J386" s="46"/>
      <c r="K386" s="44"/>
      <c r="L386" s="52"/>
      <c r="M386" s="46"/>
      <c r="N386" s="46"/>
      <c r="O386" s="47"/>
      <c r="P386" s="47"/>
      <c r="Q386" s="47"/>
      <c r="R386" s="47"/>
      <c r="S386" s="47"/>
      <c r="T386" s="47"/>
    </row>
    <row r="387">
      <c r="A387" s="46"/>
      <c r="B387" s="44"/>
      <c r="C387" s="46"/>
      <c r="D387" s="46"/>
      <c r="E387" s="46"/>
      <c r="F387" s="46"/>
      <c r="G387" s="44"/>
      <c r="H387" s="46"/>
      <c r="I387" s="46"/>
      <c r="J387" s="46"/>
      <c r="K387" s="44"/>
      <c r="L387" s="52"/>
      <c r="M387" s="46"/>
      <c r="N387" s="46"/>
      <c r="O387" s="47"/>
      <c r="P387" s="47"/>
      <c r="Q387" s="47"/>
      <c r="R387" s="47"/>
      <c r="S387" s="47"/>
      <c r="T387" s="47"/>
    </row>
    <row r="388">
      <c r="A388" s="46"/>
      <c r="B388" s="44"/>
      <c r="C388" s="46"/>
      <c r="D388" s="46"/>
      <c r="E388" s="46"/>
      <c r="F388" s="46"/>
      <c r="G388" s="44"/>
      <c r="H388" s="46"/>
      <c r="I388" s="46"/>
      <c r="J388" s="46"/>
      <c r="K388" s="44"/>
      <c r="L388" s="52"/>
      <c r="M388" s="46"/>
      <c r="N388" s="46"/>
      <c r="O388" s="47"/>
      <c r="P388" s="47"/>
      <c r="Q388" s="47"/>
      <c r="R388" s="47"/>
      <c r="S388" s="47"/>
      <c r="T388" s="47"/>
    </row>
    <row r="389">
      <c r="A389" s="46"/>
      <c r="B389" s="44"/>
      <c r="C389" s="46"/>
      <c r="D389" s="46"/>
      <c r="E389" s="46"/>
      <c r="F389" s="46"/>
      <c r="G389" s="44"/>
      <c r="H389" s="46"/>
      <c r="I389" s="46"/>
      <c r="J389" s="46"/>
      <c r="K389" s="44"/>
      <c r="L389" s="52"/>
      <c r="M389" s="46"/>
      <c r="N389" s="46"/>
      <c r="O389" s="47"/>
      <c r="P389" s="47"/>
      <c r="Q389" s="47"/>
      <c r="R389" s="47"/>
      <c r="S389" s="47"/>
      <c r="T389" s="47"/>
    </row>
    <row r="390">
      <c r="A390" s="46"/>
      <c r="B390" s="44"/>
      <c r="C390" s="46"/>
      <c r="D390" s="46"/>
      <c r="E390" s="46"/>
      <c r="F390" s="46"/>
      <c r="G390" s="44"/>
      <c r="H390" s="46"/>
      <c r="I390" s="46"/>
      <c r="J390" s="46"/>
      <c r="K390" s="44"/>
      <c r="L390" s="52"/>
      <c r="M390" s="46"/>
      <c r="N390" s="46"/>
      <c r="O390" s="47"/>
      <c r="P390" s="47"/>
      <c r="Q390" s="47"/>
      <c r="R390" s="47"/>
      <c r="S390" s="47"/>
      <c r="T390" s="47"/>
    </row>
    <row r="391">
      <c r="A391" s="46"/>
      <c r="B391" s="44"/>
      <c r="C391" s="46"/>
      <c r="D391" s="46"/>
      <c r="E391" s="46"/>
      <c r="F391" s="46"/>
      <c r="G391" s="44"/>
      <c r="H391" s="46"/>
      <c r="I391" s="46"/>
      <c r="J391" s="46"/>
      <c r="K391" s="44"/>
      <c r="L391" s="52"/>
      <c r="M391" s="46"/>
      <c r="N391" s="46"/>
      <c r="O391" s="47"/>
      <c r="P391" s="47"/>
      <c r="Q391" s="47"/>
      <c r="R391" s="47"/>
      <c r="S391" s="47"/>
      <c r="T391" s="47"/>
    </row>
    <row r="392">
      <c r="A392" s="46"/>
      <c r="B392" s="44"/>
      <c r="C392" s="46"/>
      <c r="D392" s="46"/>
      <c r="E392" s="46"/>
      <c r="F392" s="46"/>
      <c r="G392" s="44"/>
      <c r="H392" s="46"/>
      <c r="I392" s="46"/>
      <c r="J392" s="46"/>
      <c r="K392" s="44"/>
      <c r="L392" s="52"/>
      <c r="M392" s="46"/>
      <c r="N392" s="46"/>
      <c r="O392" s="47"/>
      <c r="P392" s="47"/>
      <c r="Q392" s="47"/>
      <c r="R392" s="47"/>
      <c r="S392" s="47"/>
      <c r="T392" s="47"/>
    </row>
    <row r="393">
      <c r="A393" s="46"/>
      <c r="B393" s="44"/>
      <c r="C393" s="46"/>
      <c r="D393" s="46"/>
      <c r="E393" s="46"/>
      <c r="F393" s="46"/>
      <c r="G393" s="44"/>
      <c r="H393" s="46"/>
      <c r="I393" s="46"/>
      <c r="J393" s="46"/>
      <c r="K393" s="44"/>
      <c r="L393" s="52"/>
      <c r="M393" s="46"/>
      <c r="N393" s="46"/>
      <c r="O393" s="47"/>
      <c r="P393" s="47"/>
      <c r="Q393" s="47"/>
      <c r="R393" s="47"/>
      <c r="S393" s="47"/>
      <c r="T393" s="47"/>
    </row>
    <row r="394">
      <c r="A394" s="46"/>
      <c r="B394" s="44"/>
      <c r="C394" s="46"/>
      <c r="D394" s="46"/>
      <c r="E394" s="46"/>
      <c r="F394" s="46"/>
      <c r="G394" s="44"/>
      <c r="H394" s="46"/>
      <c r="I394" s="46"/>
      <c r="J394" s="46"/>
      <c r="K394" s="44"/>
      <c r="L394" s="52"/>
      <c r="M394" s="46"/>
      <c r="N394" s="46"/>
      <c r="O394" s="47"/>
      <c r="P394" s="47"/>
      <c r="Q394" s="47"/>
      <c r="R394" s="47"/>
      <c r="S394" s="47"/>
      <c r="T394" s="47"/>
    </row>
    <row r="395">
      <c r="A395" s="46"/>
      <c r="B395" s="44"/>
      <c r="C395" s="46"/>
      <c r="D395" s="46"/>
      <c r="E395" s="46"/>
      <c r="F395" s="46"/>
      <c r="G395" s="44"/>
      <c r="H395" s="46"/>
      <c r="I395" s="46"/>
      <c r="J395" s="46"/>
      <c r="K395" s="44"/>
      <c r="L395" s="52"/>
      <c r="M395" s="46"/>
      <c r="N395" s="46"/>
      <c r="O395" s="47"/>
      <c r="P395" s="47"/>
      <c r="Q395" s="47"/>
      <c r="R395" s="47"/>
      <c r="S395" s="47"/>
      <c r="T395" s="47"/>
    </row>
    <row r="396">
      <c r="A396" s="46"/>
      <c r="B396" s="44"/>
      <c r="C396" s="46"/>
      <c r="D396" s="46"/>
      <c r="E396" s="46"/>
      <c r="F396" s="46"/>
      <c r="G396" s="44"/>
      <c r="H396" s="46"/>
      <c r="I396" s="46"/>
      <c r="J396" s="46"/>
      <c r="K396" s="44"/>
      <c r="L396" s="52"/>
      <c r="M396" s="46"/>
      <c r="N396" s="46"/>
      <c r="O396" s="47"/>
      <c r="P396" s="47"/>
      <c r="Q396" s="47"/>
      <c r="R396" s="47"/>
      <c r="S396" s="47"/>
      <c r="T396" s="47"/>
    </row>
    <row r="397">
      <c r="A397" s="46"/>
      <c r="B397" s="44"/>
      <c r="C397" s="46"/>
      <c r="D397" s="46"/>
      <c r="E397" s="46"/>
      <c r="F397" s="46"/>
      <c r="G397" s="44"/>
      <c r="H397" s="46"/>
      <c r="I397" s="46"/>
      <c r="J397" s="46"/>
      <c r="K397" s="44"/>
      <c r="L397" s="52"/>
      <c r="M397" s="46"/>
      <c r="N397" s="46"/>
      <c r="O397" s="47"/>
      <c r="P397" s="47"/>
      <c r="Q397" s="47"/>
      <c r="R397" s="47"/>
      <c r="S397" s="47"/>
      <c r="T397" s="47"/>
    </row>
    <row r="398">
      <c r="A398" s="46"/>
      <c r="B398" s="44"/>
      <c r="C398" s="46"/>
      <c r="D398" s="46"/>
      <c r="E398" s="46"/>
      <c r="F398" s="46"/>
      <c r="G398" s="44"/>
      <c r="H398" s="46"/>
      <c r="I398" s="46"/>
      <c r="J398" s="46"/>
      <c r="K398" s="44"/>
      <c r="L398" s="52"/>
      <c r="M398" s="46"/>
      <c r="N398" s="46"/>
      <c r="O398" s="47"/>
      <c r="P398" s="47"/>
      <c r="Q398" s="47"/>
      <c r="R398" s="47"/>
      <c r="S398" s="47"/>
      <c r="T398" s="47"/>
    </row>
    <row r="399">
      <c r="A399" s="46"/>
      <c r="B399" s="44"/>
      <c r="C399" s="46"/>
      <c r="D399" s="46"/>
      <c r="E399" s="46"/>
      <c r="F399" s="46"/>
      <c r="G399" s="44"/>
      <c r="H399" s="46"/>
      <c r="I399" s="46"/>
      <c r="J399" s="46"/>
      <c r="K399" s="44"/>
      <c r="L399" s="52"/>
      <c r="M399" s="46"/>
      <c r="N399" s="46"/>
      <c r="O399" s="47"/>
      <c r="P399" s="47"/>
      <c r="Q399" s="47"/>
      <c r="R399" s="47"/>
      <c r="S399" s="47"/>
      <c r="T399" s="47"/>
    </row>
    <row r="400">
      <c r="A400" s="46"/>
      <c r="B400" s="44"/>
      <c r="C400" s="46"/>
      <c r="D400" s="46"/>
      <c r="E400" s="46"/>
      <c r="F400" s="46"/>
      <c r="G400" s="44"/>
      <c r="H400" s="46"/>
      <c r="I400" s="46"/>
      <c r="J400" s="46"/>
      <c r="K400" s="44"/>
      <c r="L400" s="52"/>
      <c r="M400" s="46"/>
      <c r="N400" s="46"/>
      <c r="O400" s="47"/>
      <c r="P400" s="47"/>
      <c r="Q400" s="47"/>
      <c r="R400" s="47"/>
      <c r="S400" s="47"/>
      <c r="T400" s="47"/>
    </row>
    <row r="401">
      <c r="A401" s="46"/>
      <c r="B401" s="44"/>
      <c r="C401" s="46"/>
      <c r="D401" s="46"/>
      <c r="E401" s="46"/>
      <c r="F401" s="46"/>
      <c r="G401" s="44"/>
      <c r="H401" s="46"/>
      <c r="I401" s="46"/>
      <c r="J401" s="46"/>
      <c r="K401" s="44"/>
      <c r="L401" s="52"/>
      <c r="M401" s="46"/>
      <c r="N401" s="46"/>
      <c r="O401" s="47"/>
      <c r="P401" s="47"/>
      <c r="Q401" s="47"/>
      <c r="R401" s="47"/>
      <c r="S401" s="47"/>
      <c r="T401" s="47"/>
    </row>
    <row r="402">
      <c r="A402" s="46"/>
      <c r="B402" s="44"/>
      <c r="C402" s="46"/>
      <c r="D402" s="46"/>
      <c r="E402" s="46"/>
      <c r="F402" s="46"/>
      <c r="G402" s="44"/>
      <c r="H402" s="46"/>
      <c r="I402" s="46"/>
      <c r="J402" s="46"/>
      <c r="K402" s="44"/>
      <c r="L402" s="52"/>
      <c r="M402" s="46"/>
      <c r="N402" s="46"/>
      <c r="O402" s="47"/>
      <c r="P402" s="47"/>
      <c r="Q402" s="47"/>
      <c r="R402" s="47"/>
      <c r="S402" s="47"/>
      <c r="T402" s="47"/>
    </row>
    <row r="403">
      <c r="A403" s="46"/>
      <c r="B403" s="44"/>
      <c r="C403" s="46"/>
      <c r="D403" s="46"/>
      <c r="E403" s="46"/>
      <c r="F403" s="46"/>
      <c r="G403" s="44"/>
      <c r="H403" s="46"/>
      <c r="I403" s="46"/>
      <c r="J403" s="46"/>
      <c r="K403" s="44"/>
      <c r="L403" s="52"/>
      <c r="M403" s="46"/>
      <c r="N403" s="46"/>
      <c r="O403" s="47"/>
      <c r="P403" s="47"/>
      <c r="Q403" s="47"/>
      <c r="R403" s="47"/>
      <c r="S403" s="47"/>
      <c r="T403" s="47"/>
    </row>
    <row r="404">
      <c r="A404" s="46"/>
      <c r="B404" s="44"/>
      <c r="C404" s="46"/>
      <c r="D404" s="46"/>
      <c r="E404" s="46"/>
      <c r="F404" s="46"/>
      <c r="G404" s="44"/>
      <c r="H404" s="46"/>
      <c r="I404" s="46"/>
      <c r="J404" s="46"/>
      <c r="K404" s="44"/>
      <c r="L404" s="52"/>
      <c r="M404" s="46"/>
      <c r="N404" s="46"/>
      <c r="O404" s="47"/>
      <c r="P404" s="47"/>
      <c r="Q404" s="47"/>
      <c r="R404" s="47"/>
      <c r="S404" s="47"/>
      <c r="T404" s="47"/>
    </row>
    <row r="405">
      <c r="A405" s="46"/>
      <c r="B405" s="44"/>
      <c r="C405" s="46"/>
      <c r="D405" s="46"/>
      <c r="E405" s="46"/>
      <c r="F405" s="46"/>
      <c r="G405" s="44"/>
      <c r="H405" s="46"/>
      <c r="I405" s="46"/>
      <c r="J405" s="46"/>
      <c r="K405" s="44"/>
      <c r="L405" s="52"/>
      <c r="M405" s="46"/>
      <c r="N405" s="46"/>
      <c r="O405" s="47"/>
      <c r="P405" s="47"/>
      <c r="Q405" s="47"/>
      <c r="R405" s="47"/>
      <c r="S405" s="47"/>
      <c r="T405" s="47"/>
    </row>
    <row r="406">
      <c r="A406" s="46"/>
      <c r="B406" s="44"/>
      <c r="C406" s="46"/>
      <c r="D406" s="46"/>
      <c r="E406" s="46"/>
      <c r="F406" s="46"/>
      <c r="G406" s="44"/>
      <c r="H406" s="46"/>
      <c r="I406" s="46"/>
      <c r="J406" s="46"/>
      <c r="K406" s="44"/>
      <c r="L406" s="52"/>
      <c r="M406" s="46"/>
      <c r="N406" s="46"/>
      <c r="O406" s="47"/>
      <c r="P406" s="47"/>
      <c r="Q406" s="47"/>
      <c r="R406" s="47"/>
      <c r="S406" s="47"/>
      <c r="T406" s="47"/>
    </row>
    <row r="407">
      <c r="A407" s="46"/>
      <c r="B407" s="44"/>
      <c r="C407" s="46"/>
      <c r="D407" s="46"/>
      <c r="E407" s="46"/>
      <c r="F407" s="46"/>
      <c r="G407" s="44"/>
      <c r="H407" s="46"/>
      <c r="I407" s="46"/>
      <c r="J407" s="46"/>
      <c r="K407" s="44"/>
      <c r="L407" s="52"/>
      <c r="M407" s="46"/>
      <c r="N407" s="46"/>
      <c r="O407" s="47"/>
      <c r="P407" s="47"/>
      <c r="Q407" s="47"/>
      <c r="R407" s="47"/>
      <c r="S407" s="47"/>
      <c r="T407" s="47"/>
    </row>
    <row r="408">
      <c r="A408" s="46"/>
      <c r="B408" s="44"/>
      <c r="C408" s="46"/>
      <c r="D408" s="46"/>
      <c r="E408" s="46"/>
      <c r="F408" s="46"/>
      <c r="G408" s="44"/>
      <c r="H408" s="46"/>
      <c r="I408" s="46"/>
      <c r="J408" s="46"/>
      <c r="K408" s="44"/>
      <c r="L408" s="52"/>
      <c r="M408" s="46"/>
      <c r="N408" s="46"/>
      <c r="O408" s="47"/>
      <c r="P408" s="47"/>
      <c r="Q408" s="47"/>
      <c r="R408" s="47"/>
      <c r="S408" s="47"/>
      <c r="T408" s="47"/>
    </row>
    <row r="409">
      <c r="A409" s="46"/>
      <c r="B409" s="44"/>
      <c r="C409" s="46"/>
      <c r="D409" s="46"/>
      <c r="E409" s="46"/>
      <c r="F409" s="46"/>
      <c r="G409" s="44"/>
      <c r="H409" s="46"/>
      <c r="I409" s="46"/>
      <c r="J409" s="46"/>
      <c r="K409" s="44"/>
      <c r="L409" s="52"/>
      <c r="M409" s="46"/>
      <c r="N409" s="46"/>
      <c r="O409" s="47"/>
      <c r="P409" s="47"/>
      <c r="Q409" s="47"/>
      <c r="R409" s="47"/>
      <c r="S409" s="47"/>
      <c r="T409" s="47"/>
    </row>
    <row r="410">
      <c r="A410" s="46"/>
      <c r="B410" s="44"/>
      <c r="C410" s="46"/>
      <c r="D410" s="46"/>
      <c r="E410" s="46"/>
      <c r="F410" s="46"/>
      <c r="G410" s="44"/>
      <c r="H410" s="46"/>
      <c r="I410" s="46"/>
      <c r="J410" s="46"/>
      <c r="K410" s="44"/>
      <c r="L410" s="52"/>
      <c r="M410" s="46"/>
      <c r="N410" s="46"/>
      <c r="O410" s="47"/>
      <c r="P410" s="47"/>
      <c r="Q410" s="47"/>
      <c r="R410" s="47"/>
      <c r="S410" s="47"/>
      <c r="T410" s="47"/>
    </row>
    <row r="411">
      <c r="A411" s="46"/>
      <c r="B411" s="44"/>
      <c r="C411" s="46"/>
      <c r="D411" s="46"/>
      <c r="E411" s="46"/>
      <c r="F411" s="46"/>
      <c r="G411" s="44"/>
      <c r="H411" s="46"/>
      <c r="I411" s="46"/>
      <c r="J411" s="46"/>
      <c r="K411" s="44"/>
      <c r="L411" s="52"/>
      <c r="M411" s="46"/>
      <c r="N411" s="46"/>
      <c r="O411" s="47"/>
      <c r="P411" s="47"/>
      <c r="Q411" s="47"/>
      <c r="R411" s="47"/>
      <c r="S411" s="47"/>
      <c r="T411" s="47"/>
    </row>
    <row r="412">
      <c r="A412" s="46"/>
      <c r="B412" s="44"/>
      <c r="C412" s="46"/>
      <c r="D412" s="46"/>
      <c r="E412" s="46"/>
      <c r="F412" s="46"/>
      <c r="G412" s="44"/>
      <c r="H412" s="46"/>
      <c r="I412" s="46"/>
      <c r="J412" s="46"/>
      <c r="K412" s="44"/>
      <c r="L412" s="52"/>
      <c r="M412" s="46"/>
      <c r="N412" s="46"/>
      <c r="O412" s="47"/>
      <c r="P412" s="47"/>
      <c r="Q412" s="47"/>
      <c r="R412" s="47"/>
      <c r="S412" s="47"/>
      <c r="T412" s="47"/>
    </row>
    <row r="413">
      <c r="A413" s="46"/>
      <c r="B413" s="44"/>
      <c r="C413" s="46"/>
      <c r="D413" s="46"/>
      <c r="E413" s="46"/>
      <c r="F413" s="46"/>
      <c r="G413" s="44"/>
      <c r="H413" s="46"/>
      <c r="I413" s="46"/>
      <c r="J413" s="46"/>
      <c r="K413" s="44"/>
      <c r="L413" s="52"/>
      <c r="M413" s="46"/>
      <c r="N413" s="46"/>
      <c r="O413" s="47"/>
      <c r="P413" s="47"/>
      <c r="Q413" s="47"/>
      <c r="R413" s="47"/>
      <c r="S413" s="47"/>
      <c r="T413" s="47"/>
    </row>
    <row r="414">
      <c r="A414" s="46"/>
      <c r="B414" s="44"/>
      <c r="C414" s="46"/>
      <c r="D414" s="46"/>
      <c r="E414" s="46"/>
      <c r="F414" s="46"/>
      <c r="G414" s="44"/>
      <c r="H414" s="46"/>
      <c r="I414" s="46"/>
      <c r="J414" s="46"/>
      <c r="K414" s="44"/>
      <c r="L414" s="52"/>
      <c r="M414" s="46"/>
      <c r="N414" s="46"/>
      <c r="O414" s="47"/>
      <c r="P414" s="47"/>
      <c r="Q414" s="47"/>
      <c r="R414" s="47"/>
      <c r="S414" s="47"/>
      <c r="T414" s="47"/>
    </row>
    <row r="415">
      <c r="A415" s="46"/>
      <c r="B415" s="44"/>
      <c r="C415" s="46"/>
      <c r="D415" s="46"/>
      <c r="E415" s="46"/>
      <c r="F415" s="46"/>
      <c r="G415" s="44"/>
      <c r="H415" s="46"/>
      <c r="I415" s="46"/>
      <c r="J415" s="46"/>
      <c r="K415" s="44"/>
      <c r="L415" s="52"/>
      <c r="M415" s="46"/>
      <c r="N415" s="46"/>
      <c r="O415" s="47"/>
      <c r="P415" s="47"/>
      <c r="Q415" s="47"/>
      <c r="R415" s="47"/>
      <c r="S415" s="47"/>
      <c r="T415" s="47"/>
    </row>
    <row r="416">
      <c r="A416" s="46"/>
      <c r="B416" s="44"/>
      <c r="C416" s="46"/>
      <c r="D416" s="46"/>
      <c r="E416" s="46"/>
      <c r="F416" s="46"/>
      <c r="G416" s="44"/>
      <c r="H416" s="46"/>
      <c r="I416" s="46"/>
      <c r="J416" s="46"/>
      <c r="K416" s="44"/>
      <c r="L416" s="52"/>
      <c r="M416" s="46"/>
      <c r="N416" s="46"/>
      <c r="O416" s="47"/>
      <c r="P416" s="47"/>
      <c r="Q416" s="47"/>
      <c r="R416" s="47"/>
      <c r="S416" s="47"/>
      <c r="T416" s="47"/>
    </row>
    <row r="417">
      <c r="A417" s="46"/>
      <c r="B417" s="44"/>
      <c r="C417" s="46"/>
      <c r="D417" s="46"/>
      <c r="E417" s="46"/>
      <c r="F417" s="46"/>
      <c r="G417" s="44"/>
      <c r="H417" s="46"/>
      <c r="I417" s="46"/>
      <c r="J417" s="46"/>
      <c r="K417" s="44"/>
      <c r="L417" s="52"/>
      <c r="M417" s="46"/>
      <c r="N417" s="46"/>
      <c r="O417" s="47"/>
      <c r="P417" s="47"/>
      <c r="Q417" s="47"/>
      <c r="R417" s="47"/>
      <c r="S417" s="47"/>
      <c r="T417" s="47"/>
    </row>
    <row r="418">
      <c r="A418" s="46"/>
      <c r="B418" s="44"/>
      <c r="C418" s="46"/>
      <c r="D418" s="46"/>
      <c r="E418" s="46"/>
      <c r="F418" s="46"/>
      <c r="G418" s="44"/>
      <c r="H418" s="46"/>
      <c r="I418" s="46"/>
      <c r="J418" s="46"/>
      <c r="K418" s="44"/>
      <c r="L418" s="52"/>
      <c r="M418" s="46"/>
      <c r="N418" s="46"/>
      <c r="O418" s="47"/>
      <c r="P418" s="47"/>
      <c r="Q418" s="47"/>
      <c r="R418" s="47"/>
      <c r="S418" s="47"/>
      <c r="T418" s="47"/>
    </row>
    <row r="419">
      <c r="A419" s="46"/>
      <c r="B419" s="44"/>
      <c r="C419" s="46"/>
      <c r="D419" s="46"/>
      <c r="E419" s="46"/>
      <c r="F419" s="46"/>
      <c r="G419" s="44"/>
      <c r="H419" s="46"/>
      <c r="I419" s="46"/>
      <c r="J419" s="46"/>
      <c r="K419" s="44"/>
      <c r="L419" s="52"/>
      <c r="M419" s="46"/>
      <c r="N419" s="46"/>
      <c r="O419" s="47"/>
      <c r="P419" s="47"/>
      <c r="Q419" s="47"/>
      <c r="R419" s="47"/>
      <c r="S419" s="47"/>
      <c r="T419" s="47"/>
    </row>
    <row r="420">
      <c r="A420" s="46"/>
      <c r="B420" s="44"/>
      <c r="C420" s="46"/>
      <c r="D420" s="46"/>
      <c r="E420" s="46"/>
      <c r="F420" s="46"/>
      <c r="G420" s="44"/>
      <c r="H420" s="46"/>
      <c r="I420" s="46"/>
      <c r="J420" s="46"/>
      <c r="K420" s="44"/>
      <c r="L420" s="52"/>
      <c r="M420" s="46"/>
      <c r="N420" s="46"/>
      <c r="O420" s="47"/>
      <c r="P420" s="47"/>
      <c r="Q420" s="47"/>
      <c r="R420" s="47"/>
      <c r="S420" s="47"/>
      <c r="T420" s="47"/>
    </row>
    <row r="421">
      <c r="A421" s="46"/>
      <c r="B421" s="44"/>
      <c r="C421" s="46"/>
      <c r="D421" s="46"/>
      <c r="E421" s="46"/>
      <c r="F421" s="46"/>
      <c r="G421" s="44"/>
      <c r="H421" s="46"/>
      <c r="I421" s="46"/>
      <c r="J421" s="46"/>
      <c r="K421" s="44"/>
      <c r="L421" s="52"/>
      <c r="M421" s="46"/>
      <c r="N421" s="46"/>
      <c r="O421" s="47"/>
      <c r="P421" s="47"/>
      <c r="Q421" s="47"/>
      <c r="R421" s="47"/>
      <c r="S421" s="47"/>
      <c r="T421" s="47"/>
    </row>
    <row r="422">
      <c r="A422" s="46"/>
      <c r="B422" s="44"/>
      <c r="C422" s="46"/>
      <c r="D422" s="46"/>
      <c r="E422" s="46"/>
      <c r="F422" s="46"/>
      <c r="G422" s="44"/>
      <c r="H422" s="46"/>
      <c r="I422" s="46"/>
      <c r="J422" s="46"/>
      <c r="K422" s="44"/>
      <c r="L422" s="52"/>
      <c r="M422" s="46"/>
      <c r="N422" s="46"/>
      <c r="O422" s="47"/>
      <c r="P422" s="47"/>
      <c r="Q422" s="47"/>
      <c r="R422" s="47"/>
      <c r="S422" s="47"/>
      <c r="T422" s="47"/>
    </row>
    <row r="423">
      <c r="A423" s="46"/>
      <c r="B423" s="44"/>
      <c r="C423" s="46"/>
      <c r="D423" s="46"/>
      <c r="E423" s="46"/>
      <c r="F423" s="46"/>
      <c r="G423" s="44"/>
      <c r="H423" s="46"/>
      <c r="I423" s="46"/>
      <c r="J423" s="46"/>
      <c r="K423" s="44"/>
      <c r="L423" s="52"/>
      <c r="M423" s="46"/>
      <c r="N423" s="46"/>
      <c r="O423" s="47"/>
      <c r="P423" s="47"/>
      <c r="Q423" s="47"/>
      <c r="R423" s="47"/>
      <c r="S423" s="47"/>
      <c r="T423" s="47"/>
    </row>
    <row r="424">
      <c r="A424" s="46"/>
      <c r="B424" s="44"/>
      <c r="C424" s="46"/>
      <c r="D424" s="46"/>
      <c r="E424" s="46"/>
      <c r="F424" s="46"/>
      <c r="G424" s="44"/>
      <c r="H424" s="46"/>
      <c r="I424" s="46"/>
      <c r="J424" s="46"/>
      <c r="K424" s="44"/>
      <c r="L424" s="52"/>
      <c r="M424" s="46"/>
      <c r="N424" s="46"/>
      <c r="O424" s="47"/>
      <c r="P424" s="47"/>
      <c r="Q424" s="47"/>
      <c r="R424" s="47"/>
      <c r="S424" s="47"/>
      <c r="T424" s="47"/>
    </row>
    <row r="425">
      <c r="A425" s="46"/>
      <c r="B425" s="44"/>
      <c r="C425" s="46"/>
      <c r="D425" s="46"/>
      <c r="E425" s="46"/>
      <c r="F425" s="46"/>
      <c r="G425" s="44"/>
      <c r="H425" s="46"/>
      <c r="I425" s="46"/>
      <c r="J425" s="46"/>
      <c r="K425" s="44"/>
      <c r="L425" s="52"/>
      <c r="M425" s="46"/>
      <c r="N425" s="46"/>
      <c r="O425" s="47"/>
      <c r="P425" s="47"/>
      <c r="Q425" s="47"/>
      <c r="R425" s="47"/>
      <c r="S425" s="47"/>
      <c r="T425" s="47"/>
    </row>
    <row r="426">
      <c r="A426" s="46"/>
      <c r="B426" s="44"/>
      <c r="C426" s="46"/>
      <c r="D426" s="46"/>
      <c r="E426" s="46"/>
      <c r="F426" s="46"/>
      <c r="G426" s="44"/>
      <c r="H426" s="46"/>
      <c r="I426" s="46"/>
      <c r="J426" s="46"/>
      <c r="K426" s="44"/>
      <c r="L426" s="52"/>
      <c r="M426" s="46"/>
      <c r="N426" s="46"/>
      <c r="O426" s="47"/>
      <c r="P426" s="47"/>
      <c r="Q426" s="47"/>
      <c r="R426" s="47"/>
      <c r="S426" s="47"/>
      <c r="T426" s="47"/>
    </row>
    <row r="427">
      <c r="A427" s="46"/>
      <c r="B427" s="44"/>
      <c r="C427" s="46"/>
      <c r="D427" s="46"/>
      <c r="E427" s="46"/>
      <c r="F427" s="46"/>
      <c r="G427" s="44"/>
      <c r="H427" s="46"/>
      <c r="I427" s="46"/>
      <c r="J427" s="46"/>
      <c r="K427" s="44"/>
      <c r="L427" s="52"/>
      <c r="M427" s="46"/>
      <c r="N427" s="46"/>
      <c r="O427" s="47"/>
      <c r="P427" s="47"/>
      <c r="Q427" s="47"/>
      <c r="R427" s="47"/>
      <c r="S427" s="47"/>
      <c r="T427" s="47"/>
    </row>
    <row r="428">
      <c r="A428" s="46"/>
      <c r="B428" s="44"/>
      <c r="C428" s="46"/>
      <c r="D428" s="46"/>
      <c r="E428" s="46"/>
      <c r="F428" s="46"/>
      <c r="G428" s="44"/>
      <c r="H428" s="46"/>
      <c r="I428" s="46"/>
      <c r="J428" s="46"/>
      <c r="K428" s="44"/>
      <c r="L428" s="52"/>
      <c r="M428" s="46"/>
      <c r="N428" s="46"/>
      <c r="O428" s="47"/>
      <c r="P428" s="47"/>
      <c r="Q428" s="47"/>
      <c r="R428" s="47"/>
      <c r="S428" s="47"/>
      <c r="T428" s="47"/>
    </row>
    <row r="429">
      <c r="A429" s="46"/>
      <c r="B429" s="44"/>
      <c r="C429" s="46"/>
      <c r="D429" s="46"/>
      <c r="E429" s="46"/>
      <c r="F429" s="46"/>
      <c r="G429" s="44"/>
      <c r="H429" s="46"/>
      <c r="I429" s="46"/>
      <c r="J429" s="46"/>
      <c r="K429" s="44"/>
      <c r="L429" s="52"/>
      <c r="M429" s="46"/>
      <c r="N429" s="46"/>
      <c r="O429" s="47"/>
      <c r="P429" s="47"/>
      <c r="Q429" s="47"/>
      <c r="R429" s="47"/>
      <c r="S429" s="47"/>
      <c r="T429" s="47"/>
    </row>
    <row r="430">
      <c r="A430" s="46"/>
      <c r="B430" s="44"/>
      <c r="C430" s="46"/>
      <c r="D430" s="46"/>
      <c r="E430" s="46"/>
      <c r="F430" s="46"/>
      <c r="G430" s="44"/>
      <c r="H430" s="46"/>
      <c r="I430" s="46"/>
      <c r="J430" s="46"/>
      <c r="K430" s="44"/>
      <c r="L430" s="52"/>
      <c r="M430" s="46"/>
      <c r="N430" s="46"/>
      <c r="O430" s="47"/>
      <c r="P430" s="47"/>
      <c r="Q430" s="47"/>
      <c r="R430" s="47"/>
      <c r="S430" s="47"/>
      <c r="T430" s="47"/>
    </row>
    <row r="431">
      <c r="A431" s="46"/>
      <c r="B431" s="44"/>
      <c r="C431" s="46"/>
      <c r="D431" s="46"/>
      <c r="E431" s="46"/>
      <c r="F431" s="46"/>
      <c r="G431" s="44"/>
      <c r="H431" s="46"/>
      <c r="I431" s="46"/>
      <c r="J431" s="46"/>
      <c r="K431" s="44"/>
      <c r="L431" s="52"/>
      <c r="M431" s="46"/>
      <c r="N431" s="46"/>
      <c r="O431" s="47"/>
      <c r="P431" s="47"/>
      <c r="Q431" s="47"/>
      <c r="R431" s="47"/>
      <c r="S431" s="47"/>
      <c r="T431" s="47"/>
    </row>
    <row r="432">
      <c r="A432" s="46"/>
      <c r="B432" s="44"/>
      <c r="C432" s="46"/>
      <c r="D432" s="46"/>
      <c r="E432" s="46"/>
      <c r="F432" s="46"/>
      <c r="G432" s="44"/>
      <c r="H432" s="46"/>
      <c r="I432" s="46"/>
      <c r="J432" s="46"/>
      <c r="K432" s="44"/>
      <c r="L432" s="52"/>
      <c r="M432" s="46"/>
      <c r="N432" s="46"/>
      <c r="O432" s="47"/>
      <c r="P432" s="47"/>
      <c r="Q432" s="47"/>
      <c r="R432" s="47"/>
      <c r="S432" s="47"/>
      <c r="T432" s="47"/>
    </row>
    <row r="433">
      <c r="A433" s="46"/>
      <c r="B433" s="44"/>
      <c r="C433" s="46"/>
      <c r="D433" s="46"/>
      <c r="E433" s="46"/>
      <c r="F433" s="46"/>
      <c r="G433" s="44"/>
      <c r="H433" s="46"/>
      <c r="I433" s="46"/>
      <c r="J433" s="46"/>
      <c r="K433" s="44"/>
      <c r="L433" s="52"/>
      <c r="M433" s="46"/>
      <c r="N433" s="46"/>
      <c r="O433" s="47"/>
      <c r="P433" s="47"/>
      <c r="Q433" s="47"/>
      <c r="R433" s="47"/>
      <c r="S433" s="47"/>
      <c r="T433" s="47"/>
    </row>
    <row r="434">
      <c r="A434" s="46"/>
      <c r="B434" s="44"/>
      <c r="C434" s="46"/>
      <c r="D434" s="46"/>
      <c r="E434" s="46"/>
      <c r="F434" s="46"/>
      <c r="G434" s="44"/>
      <c r="H434" s="46"/>
      <c r="I434" s="46"/>
      <c r="J434" s="46"/>
      <c r="K434" s="44"/>
      <c r="L434" s="52"/>
      <c r="M434" s="46"/>
      <c r="N434" s="46"/>
      <c r="O434" s="47"/>
      <c r="P434" s="47"/>
      <c r="Q434" s="47"/>
      <c r="R434" s="47"/>
      <c r="S434" s="47"/>
      <c r="T434" s="47"/>
    </row>
    <row r="435">
      <c r="A435" s="46"/>
      <c r="B435" s="44"/>
      <c r="C435" s="46"/>
      <c r="D435" s="46"/>
      <c r="E435" s="46"/>
      <c r="F435" s="46"/>
      <c r="G435" s="44"/>
      <c r="H435" s="46"/>
      <c r="I435" s="46"/>
      <c r="J435" s="46"/>
      <c r="K435" s="44"/>
      <c r="L435" s="52"/>
      <c r="M435" s="46"/>
      <c r="N435" s="46"/>
      <c r="O435" s="47"/>
      <c r="P435" s="47"/>
      <c r="Q435" s="47"/>
      <c r="R435" s="47"/>
      <c r="S435" s="47"/>
      <c r="T435" s="47"/>
    </row>
    <row r="436">
      <c r="A436" s="46"/>
      <c r="B436" s="46"/>
      <c r="C436" s="46"/>
      <c r="D436" s="46"/>
      <c r="E436" s="46"/>
      <c r="F436" s="46"/>
      <c r="G436" s="44"/>
      <c r="H436" s="46"/>
      <c r="I436" s="46"/>
      <c r="J436" s="46"/>
      <c r="K436" s="44"/>
      <c r="L436" s="52"/>
      <c r="M436" s="46"/>
      <c r="N436" s="46"/>
      <c r="O436" s="47"/>
      <c r="P436" s="47"/>
      <c r="Q436" s="47"/>
      <c r="R436" s="47"/>
      <c r="S436" s="47"/>
      <c r="T436" s="47"/>
    </row>
    <row r="437">
      <c r="A437" s="46"/>
      <c r="B437" s="46"/>
      <c r="C437" s="46"/>
      <c r="D437" s="46"/>
      <c r="E437" s="46"/>
      <c r="F437" s="46"/>
      <c r="G437" s="44"/>
      <c r="H437" s="46"/>
      <c r="I437" s="46"/>
      <c r="J437" s="46"/>
      <c r="K437" s="44"/>
      <c r="L437" s="52"/>
      <c r="M437" s="46"/>
      <c r="N437" s="46"/>
      <c r="O437" s="47"/>
      <c r="P437" s="47"/>
      <c r="Q437" s="47"/>
      <c r="R437" s="47"/>
      <c r="S437" s="47"/>
      <c r="T437" s="47"/>
    </row>
    <row r="438">
      <c r="A438" s="46"/>
      <c r="B438" s="46"/>
      <c r="C438" s="46"/>
      <c r="D438" s="46"/>
      <c r="E438" s="46"/>
      <c r="F438" s="46"/>
      <c r="G438" s="44"/>
      <c r="H438" s="46"/>
      <c r="I438" s="46"/>
      <c r="J438" s="46"/>
      <c r="K438" s="44"/>
      <c r="L438" s="52"/>
      <c r="M438" s="46"/>
      <c r="N438" s="46"/>
      <c r="O438" s="47"/>
      <c r="P438" s="47"/>
      <c r="Q438" s="47"/>
      <c r="R438" s="47"/>
      <c r="S438" s="47"/>
      <c r="T438" s="47"/>
    </row>
    <row r="439">
      <c r="A439" s="46"/>
      <c r="B439" s="46"/>
      <c r="C439" s="46"/>
      <c r="D439" s="46"/>
      <c r="E439" s="46"/>
      <c r="F439" s="46"/>
      <c r="G439" s="44"/>
      <c r="H439" s="46"/>
      <c r="I439" s="46"/>
      <c r="J439" s="46"/>
      <c r="K439" s="44"/>
      <c r="L439" s="52"/>
      <c r="M439" s="46"/>
      <c r="N439" s="46"/>
      <c r="O439" s="47"/>
      <c r="P439" s="47"/>
      <c r="Q439" s="47"/>
      <c r="R439" s="47"/>
      <c r="S439" s="47"/>
      <c r="T439" s="47"/>
    </row>
    <row r="440">
      <c r="A440" s="46"/>
      <c r="B440" s="46"/>
      <c r="C440" s="46"/>
      <c r="D440" s="46"/>
      <c r="E440" s="46"/>
      <c r="F440" s="46"/>
      <c r="G440" s="44"/>
      <c r="H440" s="46"/>
      <c r="I440" s="46"/>
      <c r="J440" s="46"/>
      <c r="K440" s="44"/>
      <c r="L440" s="52"/>
      <c r="M440" s="46"/>
      <c r="N440" s="46"/>
      <c r="O440" s="47"/>
      <c r="P440" s="47"/>
      <c r="Q440" s="47"/>
      <c r="R440" s="47"/>
      <c r="S440" s="47"/>
      <c r="T440" s="47"/>
    </row>
    <row r="441">
      <c r="A441" s="46"/>
      <c r="B441" s="46"/>
      <c r="C441" s="46"/>
      <c r="D441" s="46"/>
      <c r="E441" s="46"/>
      <c r="F441" s="46"/>
      <c r="G441" s="44"/>
      <c r="H441" s="46"/>
      <c r="I441" s="46"/>
      <c r="J441" s="46"/>
      <c r="K441" s="44"/>
      <c r="L441" s="52"/>
      <c r="M441" s="46"/>
      <c r="N441" s="46"/>
      <c r="O441" s="47"/>
      <c r="P441" s="47"/>
      <c r="Q441" s="47"/>
      <c r="R441" s="47"/>
      <c r="S441" s="47"/>
      <c r="T441" s="47"/>
    </row>
    <row r="442">
      <c r="A442" s="46"/>
      <c r="B442" s="46"/>
      <c r="C442" s="46"/>
      <c r="D442" s="46"/>
      <c r="E442" s="46"/>
      <c r="F442" s="46"/>
      <c r="G442" s="44"/>
      <c r="H442" s="46"/>
      <c r="I442" s="46"/>
      <c r="J442" s="46"/>
      <c r="K442" s="44"/>
      <c r="L442" s="52"/>
      <c r="M442" s="46"/>
      <c r="N442" s="46"/>
      <c r="O442" s="47"/>
      <c r="P442" s="47"/>
      <c r="Q442" s="47"/>
      <c r="R442" s="47"/>
      <c r="S442" s="47"/>
      <c r="T442" s="47"/>
    </row>
    <row r="443">
      <c r="A443" s="46"/>
      <c r="B443" s="46"/>
      <c r="C443" s="46"/>
      <c r="D443" s="46"/>
      <c r="E443" s="46"/>
      <c r="F443" s="46"/>
      <c r="G443" s="44"/>
      <c r="H443" s="46"/>
      <c r="I443" s="46"/>
      <c r="J443" s="46"/>
      <c r="K443" s="44"/>
      <c r="L443" s="52"/>
      <c r="M443" s="46"/>
      <c r="N443" s="46"/>
      <c r="O443" s="47"/>
      <c r="P443" s="47"/>
      <c r="Q443" s="47"/>
      <c r="R443" s="47"/>
      <c r="S443" s="47"/>
      <c r="T443" s="47"/>
    </row>
    <row r="444">
      <c r="A444" s="46"/>
      <c r="B444" s="46"/>
      <c r="C444" s="46"/>
      <c r="D444" s="46"/>
      <c r="E444" s="46"/>
      <c r="F444" s="46"/>
      <c r="G444" s="44"/>
      <c r="H444" s="46"/>
      <c r="I444" s="46"/>
      <c r="J444" s="46"/>
      <c r="K444" s="44"/>
      <c r="L444" s="52"/>
      <c r="M444" s="46"/>
      <c r="N444" s="46"/>
      <c r="O444" s="47"/>
      <c r="P444" s="47"/>
      <c r="Q444" s="47"/>
      <c r="R444" s="47"/>
      <c r="S444" s="47"/>
      <c r="T444" s="47"/>
    </row>
    <row r="445">
      <c r="A445" s="46"/>
      <c r="B445" s="46"/>
      <c r="C445" s="46"/>
      <c r="D445" s="46"/>
      <c r="E445" s="46"/>
      <c r="F445" s="46"/>
      <c r="G445" s="44"/>
      <c r="H445" s="46"/>
      <c r="I445" s="46"/>
      <c r="J445" s="46"/>
      <c r="K445" s="44"/>
      <c r="L445" s="52"/>
      <c r="M445" s="46"/>
      <c r="N445" s="46"/>
      <c r="O445" s="47"/>
      <c r="P445" s="47"/>
      <c r="Q445" s="47"/>
      <c r="R445" s="47"/>
      <c r="S445" s="47"/>
      <c r="T445" s="47"/>
    </row>
    <row r="446">
      <c r="A446" s="46"/>
      <c r="B446" s="46"/>
      <c r="C446" s="46"/>
      <c r="D446" s="46"/>
      <c r="E446" s="46"/>
      <c r="F446" s="46"/>
      <c r="G446" s="44"/>
      <c r="H446" s="46"/>
      <c r="I446" s="46"/>
      <c r="J446" s="46"/>
      <c r="K446" s="44"/>
      <c r="L446" s="52"/>
      <c r="M446" s="46"/>
      <c r="N446" s="46"/>
      <c r="O446" s="47"/>
      <c r="P446" s="47"/>
      <c r="Q446" s="47"/>
      <c r="R446" s="47"/>
      <c r="S446" s="47"/>
      <c r="T446" s="47"/>
    </row>
    <row r="447">
      <c r="A447" s="46"/>
      <c r="B447" s="46"/>
      <c r="C447" s="46"/>
      <c r="D447" s="46"/>
      <c r="E447" s="46"/>
      <c r="F447" s="46"/>
      <c r="G447" s="44"/>
      <c r="H447" s="46"/>
      <c r="I447" s="46"/>
      <c r="J447" s="46"/>
      <c r="K447" s="44"/>
      <c r="L447" s="52"/>
      <c r="M447" s="46"/>
      <c r="N447" s="46"/>
      <c r="O447" s="47"/>
      <c r="P447" s="47"/>
      <c r="Q447" s="47"/>
      <c r="R447" s="47"/>
      <c r="S447" s="47"/>
      <c r="T447" s="47"/>
    </row>
    <row r="448">
      <c r="A448" s="46"/>
      <c r="B448" s="46"/>
      <c r="C448" s="46"/>
      <c r="D448" s="46"/>
      <c r="E448" s="46"/>
      <c r="F448" s="46"/>
      <c r="G448" s="44"/>
      <c r="H448" s="46"/>
      <c r="I448" s="46"/>
      <c r="J448" s="46"/>
      <c r="K448" s="44"/>
      <c r="L448" s="52"/>
      <c r="M448" s="46"/>
      <c r="N448" s="46"/>
      <c r="O448" s="47"/>
      <c r="P448" s="47"/>
      <c r="Q448" s="47"/>
      <c r="R448" s="47"/>
      <c r="S448" s="47"/>
      <c r="T448" s="47"/>
    </row>
    <row r="449">
      <c r="A449" s="46"/>
      <c r="B449" s="46"/>
      <c r="C449" s="46"/>
      <c r="D449" s="46"/>
      <c r="E449" s="46"/>
      <c r="F449" s="46"/>
      <c r="G449" s="44"/>
      <c r="H449" s="46"/>
      <c r="I449" s="46"/>
      <c r="J449" s="46"/>
      <c r="K449" s="44"/>
      <c r="L449" s="52"/>
      <c r="M449" s="46"/>
      <c r="N449" s="46"/>
      <c r="O449" s="47"/>
      <c r="P449" s="47"/>
      <c r="Q449" s="47"/>
      <c r="R449" s="47"/>
      <c r="S449" s="47"/>
      <c r="T449" s="47"/>
    </row>
    <row r="450">
      <c r="A450" s="46"/>
      <c r="B450" s="46"/>
      <c r="C450" s="46"/>
      <c r="D450" s="46"/>
      <c r="E450" s="46"/>
      <c r="F450" s="46"/>
      <c r="G450" s="44"/>
      <c r="H450" s="46"/>
      <c r="I450" s="46"/>
      <c r="J450" s="46"/>
      <c r="K450" s="44"/>
      <c r="L450" s="52"/>
      <c r="M450" s="46"/>
      <c r="N450" s="46"/>
      <c r="O450" s="47"/>
      <c r="P450" s="47"/>
      <c r="Q450" s="47"/>
      <c r="R450" s="47"/>
      <c r="S450" s="47"/>
      <c r="T450" s="47"/>
    </row>
    <row r="451">
      <c r="A451" s="46"/>
      <c r="B451" s="46"/>
      <c r="C451" s="46"/>
      <c r="D451" s="46"/>
      <c r="E451" s="46"/>
      <c r="F451" s="46"/>
      <c r="G451" s="44"/>
      <c r="H451" s="46"/>
      <c r="I451" s="46"/>
      <c r="J451" s="46"/>
      <c r="K451" s="44"/>
      <c r="L451" s="52"/>
      <c r="M451" s="46"/>
      <c r="N451" s="46"/>
      <c r="O451" s="47"/>
      <c r="P451" s="47"/>
      <c r="Q451" s="47"/>
      <c r="R451" s="47"/>
      <c r="S451" s="47"/>
      <c r="T451" s="47"/>
    </row>
    <row r="452">
      <c r="A452" s="46"/>
      <c r="B452" s="46"/>
      <c r="C452" s="46"/>
      <c r="D452" s="46"/>
      <c r="E452" s="46"/>
      <c r="F452" s="46"/>
      <c r="G452" s="44"/>
      <c r="H452" s="46"/>
      <c r="I452" s="46"/>
      <c r="J452" s="46"/>
      <c r="K452" s="44"/>
      <c r="L452" s="52"/>
      <c r="M452" s="46"/>
      <c r="N452" s="46"/>
      <c r="O452" s="47"/>
      <c r="P452" s="47"/>
      <c r="Q452" s="47"/>
      <c r="R452" s="47"/>
      <c r="S452" s="47"/>
      <c r="T452" s="47"/>
    </row>
    <row r="453">
      <c r="A453" s="46"/>
      <c r="B453" s="46"/>
      <c r="C453" s="46"/>
      <c r="D453" s="46"/>
      <c r="E453" s="46"/>
      <c r="F453" s="46"/>
      <c r="G453" s="44"/>
      <c r="H453" s="46"/>
      <c r="I453" s="46"/>
      <c r="J453" s="46"/>
      <c r="K453" s="44"/>
      <c r="L453" s="52"/>
      <c r="M453" s="46"/>
      <c r="N453" s="46"/>
      <c r="O453" s="47"/>
      <c r="P453" s="47"/>
      <c r="Q453" s="47"/>
      <c r="R453" s="47"/>
      <c r="S453" s="47"/>
      <c r="T453" s="47"/>
    </row>
    <row r="454">
      <c r="A454" s="46"/>
      <c r="B454" s="46"/>
      <c r="C454" s="46"/>
      <c r="D454" s="46"/>
      <c r="E454" s="46"/>
      <c r="F454" s="46"/>
      <c r="G454" s="44"/>
      <c r="H454" s="46"/>
      <c r="I454" s="46"/>
      <c r="J454" s="46"/>
      <c r="K454" s="44"/>
      <c r="L454" s="52"/>
      <c r="M454" s="46"/>
      <c r="N454" s="46"/>
      <c r="O454" s="47"/>
      <c r="P454" s="47"/>
      <c r="Q454" s="47"/>
      <c r="R454" s="47"/>
      <c r="S454" s="47"/>
      <c r="T454" s="47"/>
    </row>
    <row r="455">
      <c r="A455" s="46"/>
      <c r="B455" s="46"/>
      <c r="C455" s="46"/>
      <c r="D455" s="46"/>
      <c r="E455" s="46"/>
      <c r="F455" s="46"/>
      <c r="G455" s="44"/>
      <c r="H455" s="46"/>
      <c r="I455" s="46"/>
      <c r="J455" s="46"/>
      <c r="K455" s="44"/>
      <c r="L455" s="52"/>
      <c r="M455" s="46"/>
      <c r="N455" s="46"/>
      <c r="O455" s="47"/>
      <c r="P455" s="47"/>
      <c r="Q455" s="47"/>
      <c r="R455" s="47"/>
      <c r="S455" s="47"/>
      <c r="T455" s="47"/>
    </row>
    <row r="456">
      <c r="A456" s="46"/>
      <c r="B456" s="46"/>
      <c r="C456" s="46"/>
      <c r="D456" s="46"/>
      <c r="E456" s="46"/>
      <c r="F456" s="46"/>
      <c r="G456" s="44"/>
      <c r="H456" s="46"/>
      <c r="I456" s="46"/>
      <c r="J456" s="46"/>
      <c r="K456" s="44"/>
      <c r="L456" s="52"/>
      <c r="M456" s="46"/>
      <c r="N456" s="46"/>
      <c r="O456" s="47"/>
      <c r="P456" s="47"/>
      <c r="Q456" s="47"/>
      <c r="R456" s="47"/>
      <c r="S456" s="47"/>
      <c r="T456" s="47"/>
    </row>
    <row r="457">
      <c r="A457" s="46"/>
      <c r="B457" s="46"/>
      <c r="C457" s="46"/>
      <c r="D457" s="46"/>
      <c r="E457" s="46"/>
      <c r="F457" s="46"/>
      <c r="G457" s="44"/>
      <c r="H457" s="46"/>
      <c r="I457" s="46"/>
      <c r="J457" s="46"/>
      <c r="K457" s="44"/>
      <c r="L457" s="52"/>
      <c r="M457" s="46"/>
      <c r="N457" s="46"/>
      <c r="O457" s="47"/>
      <c r="P457" s="47"/>
      <c r="Q457" s="47"/>
      <c r="R457" s="47"/>
      <c r="S457" s="47"/>
      <c r="T457" s="47"/>
    </row>
    <row r="458">
      <c r="A458" s="46"/>
      <c r="B458" s="46"/>
      <c r="C458" s="46"/>
      <c r="D458" s="46"/>
      <c r="E458" s="46"/>
      <c r="F458" s="46"/>
      <c r="G458" s="44"/>
      <c r="H458" s="46"/>
      <c r="I458" s="46"/>
      <c r="J458" s="46"/>
      <c r="K458" s="44"/>
      <c r="L458" s="52"/>
      <c r="M458" s="46"/>
      <c r="N458" s="46"/>
      <c r="O458" s="47"/>
      <c r="P458" s="47"/>
      <c r="Q458" s="47"/>
      <c r="R458" s="47"/>
      <c r="S458" s="47"/>
      <c r="T458" s="47"/>
    </row>
    <row r="459">
      <c r="A459" s="46"/>
      <c r="B459" s="46"/>
      <c r="C459" s="46"/>
      <c r="D459" s="46"/>
      <c r="E459" s="46"/>
      <c r="F459" s="46"/>
      <c r="G459" s="44"/>
      <c r="H459" s="46"/>
      <c r="I459" s="46"/>
      <c r="J459" s="46"/>
      <c r="K459" s="44"/>
      <c r="L459" s="52"/>
      <c r="M459" s="46"/>
      <c r="N459" s="46"/>
      <c r="O459" s="47"/>
      <c r="P459" s="47"/>
      <c r="Q459" s="47"/>
      <c r="R459" s="47"/>
      <c r="S459" s="47"/>
      <c r="T459" s="47"/>
    </row>
    <row r="460">
      <c r="A460" s="46"/>
      <c r="B460" s="46"/>
      <c r="C460" s="46"/>
      <c r="D460" s="46"/>
      <c r="E460" s="46"/>
      <c r="F460" s="46"/>
      <c r="G460" s="44"/>
      <c r="H460" s="46"/>
      <c r="I460" s="46"/>
      <c r="J460" s="46"/>
      <c r="K460" s="44"/>
      <c r="L460" s="52"/>
      <c r="M460" s="46"/>
      <c r="N460" s="46"/>
      <c r="O460" s="47"/>
      <c r="P460" s="47"/>
      <c r="Q460" s="47"/>
      <c r="R460" s="47"/>
      <c r="S460" s="47"/>
      <c r="T460" s="47"/>
    </row>
    <row r="461">
      <c r="A461" s="46"/>
      <c r="B461" s="46"/>
      <c r="C461" s="46"/>
      <c r="D461" s="46"/>
      <c r="E461" s="46"/>
      <c r="F461" s="46"/>
      <c r="G461" s="44"/>
      <c r="H461" s="46"/>
      <c r="I461" s="46"/>
      <c r="J461" s="46"/>
      <c r="K461" s="44"/>
      <c r="L461" s="52"/>
      <c r="M461" s="46"/>
      <c r="N461" s="46"/>
      <c r="O461" s="47"/>
      <c r="P461" s="47"/>
      <c r="Q461" s="47"/>
      <c r="R461" s="47"/>
      <c r="S461" s="47"/>
      <c r="T461" s="47"/>
    </row>
    <row r="462">
      <c r="A462" s="46"/>
      <c r="B462" s="46"/>
      <c r="C462" s="46"/>
      <c r="D462" s="46"/>
      <c r="E462" s="46"/>
      <c r="F462" s="46"/>
      <c r="G462" s="44"/>
      <c r="H462" s="46"/>
      <c r="I462" s="46"/>
      <c r="J462" s="46"/>
      <c r="K462" s="44"/>
      <c r="L462" s="52"/>
      <c r="M462" s="46"/>
      <c r="N462" s="46"/>
      <c r="O462" s="47"/>
      <c r="P462" s="47"/>
      <c r="Q462" s="47"/>
      <c r="R462" s="47"/>
      <c r="S462" s="47"/>
      <c r="T462" s="47"/>
    </row>
    <row r="463">
      <c r="A463" s="46"/>
      <c r="B463" s="46"/>
      <c r="C463" s="46"/>
      <c r="D463" s="46"/>
      <c r="E463" s="46"/>
      <c r="F463" s="46"/>
      <c r="G463" s="44"/>
      <c r="H463" s="46"/>
      <c r="I463" s="46"/>
      <c r="J463" s="46"/>
      <c r="K463" s="44"/>
      <c r="L463" s="52"/>
      <c r="M463" s="46"/>
      <c r="N463" s="46"/>
      <c r="O463" s="47"/>
      <c r="P463" s="47"/>
      <c r="Q463" s="47"/>
      <c r="R463" s="47"/>
      <c r="S463" s="47"/>
      <c r="T463" s="47"/>
    </row>
    <row r="464">
      <c r="A464" s="46"/>
      <c r="B464" s="46"/>
      <c r="C464" s="46"/>
      <c r="D464" s="46"/>
      <c r="E464" s="46"/>
      <c r="F464" s="46"/>
      <c r="G464" s="44"/>
      <c r="H464" s="46"/>
      <c r="I464" s="46"/>
      <c r="J464" s="46"/>
      <c r="K464" s="44"/>
      <c r="L464" s="52"/>
      <c r="M464" s="46"/>
      <c r="N464" s="46"/>
      <c r="O464" s="47"/>
      <c r="P464" s="47"/>
      <c r="Q464" s="47"/>
      <c r="R464" s="47"/>
      <c r="S464" s="47"/>
      <c r="T464" s="47"/>
    </row>
    <row r="465">
      <c r="A465" s="46"/>
      <c r="B465" s="46"/>
      <c r="C465" s="46"/>
      <c r="D465" s="46"/>
      <c r="E465" s="46"/>
      <c r="F465" s="46"/>
      <c r="G465" s="44"/>
      <c r="H465" s="46"/>
      <c r="I465" s="46"/>
      <c r="J465" s="46"/>
      <c r="K465" s="44"/>
      <c r="L465" s="52"/>
      <c r="M465" s="46"/>
      <c r="N465" s="46"/>
      <c r="O465" s="47"/>
      <c r="P465" s="47"/>
      <c r="Q465" s="47"/>
      <c r="R465" s="47"/>
      <c r="S465" s="47"/>
      <c r="T465" s="47"/>
    </row>
    <row r="466">
      <c r="A466" s="46"/>
      <c r="B466" s="46"/>
      <c r="C466" s="46"/>
      <c r="D466" s="46"/>
      <c r="E466" s="46"/>
      <c r="F466" s="46"/>
      <c r="G466" s="44"/>
      <c r="H466" s="46"/>
      <c r="I466" s="46"/>
      <c r="J466" s="46"/>
      <c r="K466" s="44"/>
      <c r="L466" s="52"/>
      <c r="M466" s="46"/>
      <c r="N466" s="46"/>
      <c r="O466" s="47"/>
      <c r="P466" s="47"/>
      <c r="Q466" s="47"/>
      <c r="R466" s="47"/>
      <c r="S466" s="47"/>
      <c r="T466" s="47"/>
    </row>
    <row r="467">
      <c r="A467" s="46"/>
      <c r="B467" s="46"/>
      <c r="C467" s="46"/>
      <c r="D467" s="46"/>
      <c r="E467" s="46"/>
      <c r="F467" s="46"/>
      <c r="G467" s="44"/>
      <c r="H467" s="46"/>
      <c r="I467" s="46"/>
      <c r="J467" s="46"/>
      <c r="K467" s="44"/>
      <c r="L467" s="52"/>
      <c r="M467" s="46"/>
      <c r="N467" s="46"/>
      <c r="O467" s="47"/>
      <c r="P467" s="47"/>
      <c r="Q467" s="47"/>
      <c r="R467" s="47"/>
      <c r="S467" s="47"/>
      <c r="T467" s="47"/>
    </row>
    <row r="468">
      <c r="A468" s="46"/>
      <c r="B468" s="46"/>
      <c r="C468" s="46"/>
      <c r="D468" s="46"/>
      <c r="E468" s="46"/>
      <c r="F468" s="46"/>
      <c r="G468" s="44"/>
      <c r="H468" s="46"/>
      <c r="I468" s="46"/>
      <c r="J468" s="46"/>
      <c r="K468" s="44"/>
      <c r="L468" s="52"/>
      <c r="M468" s="46"/>
      <c r="N468" s="46"/>
      <c r="O468" s="47"/>
      <c r="P468" s="47"/>
      <c r="Q468" s="47"/>
      <c r="R468" s="47"/>
      <c r="S468" s="47"/>
      <c r="T468" s="47"/>
    </row>
    <row r="469">
      <c r="A469" s="46"/>
      <c r="B469" s="46"/>
      <c r="C469" s="46"/>
      <c r="D469" s="46"/>
      <c r="E469" s="46"/>
      <c r="F469" s="46"/>
      <c r="G469" s="44"/>
      <c r="H469" s="46"/>
      <c r="I469" s="46"/>
      <c r="J469" s="46"/>
      <c r="K469" s="44"/>
      <c r="L469" s="52"/>
      <c r="M469" s="46"/>
      <c r="N469" s="46"/>
      <c r="O469" s="47"/>
      <c r="P469" s="47"/>
      <c r="Q469" s="47"/>
      <c r="R469" s="47"/>
      <c r="S469" s="47"/>
      <c r="T469" s="47"/>
    </row>
    <row r="470">
      <c r="A470" s="46"/>
      <c r="B470" s="46"/>
      <c r="C470" s="46"/>
      <c r="D470" s="46"/>
      <c r="E470" s="46"/>
      <c r="F470" s="46"/>
      <c r="G470" s="44"/>
      <c r="H470" s="46"/>
      <c r="I470" s="46"/>
      <c r="J470" s="46"/>
      <c r="K470" s="44"/>
      <c r="L470" s="52"/>
      <c r="M470" s="46"/>
      <c r="N470" s="46"/>
      <c r="O470" s="47"/>
      <c r="P470" s="47"/>
      <c r="Q470" s="47"/>
      <c r="R470" s="47"/>
      <c r="S470" s="47"/>
      <c r="T470" s="47"/>
    </row>
    <row r="471">
      <c r="A471" s="46"/>
      <c r="B471" s="46"/>
      <c r="C471" s="46"/>
      <c r="D471" s="46"/>
      <c r="E471" s="46"/>
      <c r="F471" s="46"/>
      <c r="G471" s="44"/>
      <c r="H471" s="46"/>
      <c r="I471" s="46"/>
      <c r="J471" s="46"/>
      <c r="K471" s="44"/>
      <c r="L471" s="52"/>
      <c r="M471" s="46"/>
      <c r="N471" s="46"/>
      <c r="O471" s="47"/>
      <c r="P471" s="47"/>
      <c r="Q471" s="47"/>
      <c r="R471" s="47"/>
      <c r="S471" s="47"/>
      <c r="T471" s="47"/>
    </row>
    <row r="472">
      <c r="A472" s="46"/>
      <c r="B472" s="46"/>
      <c r="C472" s="46"/>
      <c r="D472" s="46"/>
      <c r="E472" s="46"/>
      <c r="F472" s="46"/>
      <c r="G472" s="44"/>
      <c r="H472" s="46"/>
      <c r="I472" s="46"/>
      <c r="J472" s="46"/>
      <c r="K472" s="44"/>
      <c r="L472" s="52"/>
      <c r="M472" s="46"/>
      <c r="N472" s="46"/>
      <c r="O472" s="47"/>
      <c r="P472" s="47"/>
      <c r="Q472" s="47"/>
      <c r="R472" s="47"/>
      <c r="S472" s="47"/>
      <c r="T472" s="47"/>
    </row>
    <row r="473">
      <c r="A473" s="46"/>
      <c r="B473" s="46"/>
      <c r="C473" s="46"/>
      <c r="D473" s="46"/>
      <c r="E473" s="46"/>
      <c r="F473" s="46"/>
      <c r="G473" s="44"/>
      <c r="H473" s="46"/>
      <c r="I473" s="46"/>
      <c r="J473" s="46"/>
      <c r="K473" s="44"/>
      <c r="L473" s="52"/>
      <c r="M473" s="46"/>
      <c r="N473" s="46"/>
      <c r="O473" s="47"/>
      <c r="P473" s="47"/>
      <c r="Q473" s="47"/>
      <c r="R473" s="47"/>
      <c r="S473" s="47"/>
      <c r="T473" s="47"/>
    </row>
    <row r="474">
      <c r="A474" s="46"/>
      <c r="B474" s="46"/>
      <c r="C474" s="46"/>
      <c r="D474" s="46"/>
      <c r="E474" s="46"/>
      <c r="F474" s="46"/>
      <c r="G474" s="44"/>
      <c r="H474" s="46"/>
      <c r="I474" s="46"/>
      <c r="J474" s="46"/>
      <c r="K474" s="44"/>
      <c r="L474" s="52"/>
      <c r="M474" s="46"/>
      <c r="N474" s="46"/>
      <c r="O474" s="47"/>
      <c r="P474" s="47"/>
      <c r="Q474" s="47"/>
      <c r="R474" s="47"/>
      <c r="S474" s="47"/>
      <c r="T474" s="47"/>
    </row>
    <row r="475">
      <c r="A475" s="46"/>
      <c r="B475" s="46"/>
      <c r="C475" s="46"/>
      <c r="D475" s="46"/>
      <c r="E475" s="46"/>
      <c r="F475" s="46"/>
      <c r="G475" s="44"/>
      <c r="H475" s="46"/>
      <c r="I475" s="46"/>
      <c r="J475" s="46"/>
      <c r="K475" s="44"/>
      <c r="L475" s="52"/>
      <c r="M475" s="46"/>
      <c r="N475" s="46"/>
      <c r="O475" s="47"/>
      <c r="P475" s="47"/>
      <c r="Q475" s="47"/>
      <c r="R475" s="47"/>
      <c r="S475" s="47"/>
      <c r="T475" s="47"/>
    </row>
    <row r="476">
      <c r="A476" s="46"/>
      <c r="B476" s="46"/>
      <c r="C476" s="46"/>
      <c r="D476" s="46"/>
      <c r="E476" s="46"/>
      <c r="F476" s="46"/>
      <c r="G476" s="44"/>
      <c r="H476" s="46"/>
      <c r="I476" s="46"/>
      <c r="J476" s="46"/>
      <c r="K476" s="44"/>
      <c r="L476" s="52"/>
      <c r="M476" s="46"/>
      <c r="N476" s="46"/>
      <c r="O476" s="47"/>
      <c r="P476" s="47"/>
      <c r="Q476" s="47"/>
      <c r="R476" s="47"/>
      <c r="S476" s="47"/>
      <c r="T476" s="47"/>
    </row>
    <row r="477">
      <c r="A477" s="46"/>
      <c r="B477" s="46"/>
      <c r="C477" s="46"/>
      <c r="D477" s="46"/>
      <c r="E477" s="46"/>
      <c r="F477" s="46"/>
      <c r="G477" s="44"/>
      <c r="H477" s="46"/>
      <c r="I477" s="46"/>
      <c r="J477" s="46"/>
      <c r="K477" s="44"/>
      <c r="L477" s="52"/>
      <c r="M477" s="46"/>
      <c r="N477" s="46"/>
      <c r="O477" s="47"/>
      <c r="P477" s="47"/>
      <c r="Q477" s="47"/>
      <c r="R477" s="47"/>
      <c r="S477" s="47"/>
      <c r="T477" s="47"/>
    </row>
    <row r="478">
      <c r="A478" s="46"/>
      <c r="B478" s="46"/>
      <c r="C478" s="46"/>
      <c r="D478" s="46"/>
      <c r="E478" s="46"/>
      <c r="F478" s="46"/>
      <c r="G478" s="44"/>
      <c r="H478" s="46"/>
      <c r="I478" s="46"/>
      <c r="J478" s="46"/>
      <c r="K478" s="44"/>
      <c r="L478" s="52"/>
      <c r="M478" s="46"/>
      <c r="N478" s="46"/>
      <c r="O478" s="47"/>
      <c r="P478" s="47"/>
      <c r="Q478" s="47"/>
      <c r="R478" s="47"/>
      <c r="S478" s="47"/>
      <c r="T478" s="47"/>
    </row>
    <row r="479">
      <c r="A479" s="46"/>
      <c r="B479" s="46"/>
      <c r="C479" s="46"/>
      <c r="D479" s="46"/>
      <c r="E479" s="46"/>
      <c r="F479" s="46"/>
      <c r="G479" s="44"/>
      <c r="H479" s="46"/>
      <c r="I479" s="46"/>
      <c r="J479" s="46"/>
      <c r="K479" s="44"/>
      <c r="L479" s="52"/>
      <c r="M479" s="46"/>
      <c r="N479" s="46"/>
      <c r="O479" s="47"/>
      <c r="P479" s="47"/>
      <c r="Q479" s="47"/>
      <c r="R479" s="47"/>
      <c r="S479" s="47"/>
      <c r="T479" s="47"/>
    </row>
    <row r="480">
      <c r="A480" s="46"/>
      <c r="B480" s="46"/>
      <c r="C480" s="46"/>
      <c r="D480" s="46"/>
      <c r="E480" s="46"/>
      <c r="F480" s="46"/>
      <c r="G480" s="44"/>
      <c r="H480" s="46"/>
      <c r="I480" s="46"/>
      <c r="J480" s="46"/>
      <c r="K480" s="44"/>
      <c r="L480" s="52"/>
      <c r="M480" s="46"/>
      <c r="N480" s="46"/>
      <c r="O480" s="47"/>
      <c r="P480" s="47"/>
      <c r="Q480" s="47"/>
      <c r="R480" s="47"/>
      <c r="S480" s="47"/>
      <c r="T480" s="47"/>
    </row>
    <row r="481">
      <c r="A481" s="46"/>
      <c r="B481" s="46"/>
      <c r="C481" s="46"/>
      <c r="D481" s="46"/>
      <c r="E481" s="46"/>
      <c r="F481" s="46"/>
      <c r="G481" s="44"/>
      <c r="H481" s="46"/>
      <c r="I481" s="46"/>
      <c r="J481" s="46"/>
      <c r="K481" s="44"/>
      <c r="L481" s="52"/>
      <c r="M481" s="46"/>
      <c r="N481" s="46"/>
      <c r="O481" s="47"/>
      <c r="P481" s="47"/>
      <c r="Q481" s="47"/>
      <c r="R481" s="47"/>
      <c r="S481" s="47"/>
      <c r="T481" s="47"/>
    </row>
    <row r="482">
      <c r="A482" s="46"/>
      <c r="B482" s="46"/>
      <c r="C482" s="46"/>
      <c r="D482" s="46"/>
      <c r="E482" s="46"/>
      <c r="F482" s="46"/>
      <c r="G482" s="44"/>
      <c r="H482" s="46"/>
      <c r="I482" s="46"/>
      <c r="J482" s="46"/>
      <c r="K482" s="44"/>
      <c r="L482" s="52"/>
      <c r="M482" s="46"/>
      <c r="N482" s="46"/>
      <c r="O482" s="47"/>
      <c r="P482" s="47"/>
      <c r="Q482" s="47"/>
      <c r="R482" s="47"/>
      <c r="S482" s="47"/>
      <c r="T482" s="47"/>
    </row>
    <row r="483">
      <c r="A483" s="46"/>
      <c r="B483" s="46"/>
      <c r="C483" s="46"/>
      <c r="D483" s="46"/>
      <c r="E483" s="46"/>
      <c r="F483" s="46"/>
      <c r="G483" s="44"/>
      <c r="H483" s="46"/>
      <c r="I483" s="46"/>
      <c r="J483" s="46"/>
      <c r="K483" s="44"/>
      <c r="L483" s="52"/>
      <c r="M483" s="46"/>
      <c r="N483" s="46"/>
      <c r="O483" s="47"/>
      <c r="P483" s="47"/>
      <c r="Q483" s="47"/>
      <c r="R483" s="47"/>
      <c r="S483" s="47"/>
      <c r="T483" s="47"/>
    </row>
    <row r="484">
      <c r="A484" s="46"/>
      <c r="B484" s="46"/>
      <c r="C484" s="46"/>
      <c r="D484" s="46"/>
      <c r="E484" s="46"/>
      <c r="F484" s="46"/>
      <c r="G484" s="44"/>
      <c r="H484" s="46"/>
      <c r="I484" s="46"/>
      <c r="J484" s="46"/>
      <c r="K484" s="44"/>
      <c r="L484" s="52"/>
      <c r="M484" s="46"/>
      <c r="N484" s="46"/>
      <c r="O484" s="47"/>
      <c r="P484" s="47"/>
      <c r="Q484" s="47"/>
      <c r="R484" s="47"/>
      <c r="S484" s="47"/>
      <c r="T484" s="47"/>
    </row>
    <row r="485">
      <c r="A485" s="46"/>
      <c r="B485" s="46"/>
      <c r="C485" s="46"/>
      <c r="D485" s="46"/>
      <c r="E485" s="46"/>
      <c r="F485" s="46"/>
      <c r="G485" s="44"/>
      <c r="H485" s="46"/>
      <c r="I485" s="46"/>
      <c r="J485" s="46"/>
      <c r="K485" s="44"/>
      <c r="L485" s="52"/>
      <c r="M485" s="46"/>
      <c r="N485" s="46"/>
      <c r="O485" s="47"/>
      <c r="P485" s="47"/>
      <c r="Q485" s="47"/>
      <c r="R485" s="47"/>
      <c r="S485" s="47"/>
      <c r="T485" s="47"/>
    </row>
    <row r="486">
      <c r="A486" s="46"/>
      <c r="B486" s="46"/>
      <c r="C486" s="46"/>
      <c r="D486" s="46"/>
      <c r="E486" s="46"/>
      <c r="F486" s="46"/>
      <c r="G486" s="44"/>
      <c r="H486" s="46"/>
      <c r="I486" s="46"/>
      <c r="J486" s="46"/>
      <c r="K486" s="44"/>
      <c r="L486" s="52"/>
      <c r="M486" s="46"/>
      <c r="N486" s="46"/>
      <c r="O486" s="47"/>
      <c r="P486" s="47"/>
      <c r="Q486" s="47"/>
      <c r="R486" s="47"/>
      <c r="S486" s="47"/>
      <c r="T486" s="47"/>
    </row>
    <row r="487">
      <c r="A487" s="46"/>
      <c r="B487" s="46"/>
      <c r="C487" s="46"/>
      <c r="D487" s="46"/>
      <c r="E487" s="46"/>
      <c r="F487" s="46"/>
      <c r="G487" s="44"/>
      <c r="H487" s="46"/>
      <c r="I487" s="46"/>
      <c r="J487" s="46"/>
      <c r="K487" s="44"/>
      <c r="L487" s="52"/>
      <c r="M487" s="46"/>
      <c r="N487" s="46"/>
      <c r="O487" s="47"/>
      <c r="P487" s="47"/>
      <c r="Q487" s="47"/>
      <c r="R487" s="47"/>
      <c r="S487" s="47"/>
      <c r="T487" s="47"/>
    </row>
    <row r="488">
      <c r="A488" s="46"/>
      <c r="B488" s="46"/>
      <c r="C488" s="46"/>
      <c r="D488" s="46"/>
      <c r="E488" s="46"/>
      <c r="F488" s="46"/>
      <c r="G488" s="44"/>
      <c r="H488" s="46"/>
      <c r="I488" s="46"/>
      <c r="J488" s="46"/>
      <c r="K488" s="44"/>
      <c r="L488" s="52"/>
      <c r="M488" s="46"/>
      <c r="N488" s="46"/>
      <c r="O488" s="47"/>
      <c r="P488" s="47"/>
      <c r="Q488" s="47"/>
      <c r="R488" s="47"/>
      <c r="S488" s="47"/>
      <c r="T488" s="47"/>
    </row>
    <row r="489">
      <c r="A489" s="46"/>
      <c r="B489" s="46"/>
      <c r="C489" s="46"/>
      <c r="D489" s="46"/>
      <c r="E489" s="46"/>
      <c r="F489" s="46"/>
      <c r="G489" s="44"/>
      <c r="H489" s="46"/>
      <c r="I489" s="46"/>
      <c r="J489" s="46"/>
      <c r="K489" s="44"/>
      <c r="L489" s="52"/>
      <c r="M489" s="46"/>
      <c r="N489" s="46"/>
      <c r="O489" s="47"/>
      <c r="P489" s="47"/>
      <c r="Q489" s="47"/>
      <c r="R489" s="47"/>
      <c r="S489" s="47"/>
      <c r="T489" s="47"/>
    </row>
    <row r="490">
      <c r="A490" s="46"/>
      <c r="B490" s="46"/>
      <c r="C490" s="46"/>
      <c r="D490" s="46"/>
      <c r="E490" s="46"/>
      <c r="F490" s="46"/>
      <c r="G490" s="44"/>
      <c r="H490" s="46"/>
      <c r="I490" s="46"/>
      <c r="J490" s="46"/>
      <c r="K490" s="44"/>
      <c r="L490" s="52"/>
      <c r="M490" s="46"/>
      <c r="N490" s="46"/>
      <c r="O490" s="47"/>
      <c r="P490" s="47"/>
      <c r="Q490" s="47"/>
      <c r="R490" s="47"/>
      <c r="S490" s="47"/>
      <c r="T490" s="47"/>
    </row>
    <row r="491">
      <c r="A491" s="46"/>
      <c r="B491" s="46"/>
      <c r="C491" s="46"/>
      <c r="D491" s="46"/>
      <c r="E491" s="46"/>
      <c r="F491" s="46"/>
      <c r="G491" s="44"/>
      <c r="H491" s="46"/>
      <c r="I491" s="46"/>
      <c r="J491" s="46"/>
      <c r="K491" s="44"/>
      <c r="L491" s="52"/>
      <c r="M491" s="46"/>
      <c r="N491" s="46"/>
      <c r="O491" s="47"/>
      <c r="P491" s="47"/>
      <c r="Q491" s="47"/>
      <c r="R491" s="47"/>
      <c r="S491" s="47"/>
      <c r="T491" s="47"/>
    </row>
    <row r="492">
      <c r="A492" s="46"/>
      <c r="B492" s="46"/>
      <c r="C492" s="46"/>
      <c r="D492" s="46"/>
      <c r="E492" s="46"/>
      <c r="F492" s="46"/>
      <c r="G492" s="44"/>
      <c r="H492" s="46"/>
      <c r="I492" s="46"/>
      <c r="J492" s="46"/>
      <c r="K492" s="44"/>
      <c r="L492" s="52"/>
      <c r="M492" s="46"/>
      <c r="N492" s="46"/>
      <c r="O492" s="47"/>
      <c r="P492" s="47"/>
      <c r="Q492" s="47"/>
      <c r="R492" s="47"/>
      <c r="S492" s="47"/>
      <c r="T492" s="47"/>
    </row>
    <row r="493">
      <c r="A493" s="46"/>
      <c r="B493" s="46"/>
      <c r="C493" s="46"/>
      <c r="D493" s="46"/>
      <c r="E493" s="46"/>
      <c r="F493" s="46"/>
      <c r="G493" s="44"/>
      <c r="H493" s="46"/>
      <c r="I493" s="46"/>
      <c r="J493" s="46"/>
      <c r="K493" s="44"/>
      <c r="L493" s="52"/>
      <c r="M493" s="46"/>
      <c r="N493" s="46"/>
      <c r="O493" s="47"/>
      <c r="P493" s="47"/>
      <c r="Q493" s="47"/>
      <c r="R493" s="47"/>
      <c r="S493" s="47"/>
      <c r="T493" s="47"/>
    </row>
    <row r="494">
      <c r="A494" s="46"/>
      <c r="B494" s="46"/>
      <c r="C494" s="46"/>
      <c r="D494" s="46"/>
      <c r="E494" s="46"/>
      <c r="F494" s="46"/>
      <c r="G494" s="44"/>
      <c r="H494" s="46"/>
      <c r="I494" s="46"/>
      <c r="J494" s="46"/>
      <c r="K494" s="44"/>
      <c r="L494" s="52"/>
      <c r="M494" s="46"/>
      <c r="N494" s="46"/>
      <c r="O494" s="47"/>
      <c r="P494" s="47"/>
      <c r="Q494" s="47"/>
      <c r="R494" s="47"/>
      <c r="S494" s="47"/>
      <c r="T494" s="47"/>
    </row>
    <row r="495">
      <c r="A495" s="46"/>
      <c r="B495" s="46"/>
      <c r="C495" s="46"/>
      <c r="D495" s="46"/>
      <c r="E495" s="46"/>
      <c r="F495" s="46"/>
      <c r="G495" s="44"/>
      <c r="H495" s="46"/>
      <c r="I495" s="46"/>
      <c r="J495" s="46"/>
      <c r="K495" s="44"/>
      <c r="L495" s="52"/>
      <c r="M495" s="46"/>
      <c r="N495" s="46"/>
      <c r="O495" s="47"/>
      <c r="P495" s="47"/>
      <c r="Q495" s="47"/>
      <c r="R495" s="47"/>
      <c r="S495" s="47"/>
      <c r="T495" s="47"/>
    </row>
    <row r="496">
      <c r="A496" s="46"/>
      <c r="B496" s="46"/>
      <c r="C496" s="46"/>
      <c r="D496" s="46"/>
      <c r="E496" s="46"/>
      <c r="F496" s="46"/>
      <c r="G496" s="44"/>
      <c r="H496" s="46"/>
      <c r="I496" s="46"/>
      <c r="J496" s="46"/>
      <c r="K496" s="44"/>
      <c r="L496" s="52"/>
      <c r="M496" s="46"/>
      <c r="N496" s="46"/>
      <c r="O496" s="47"/>
      <c r="P496" s="47"/>
      <c r="Q496" s="47"/>
      <c r="R496" s="47"/>
      <c r="S496" s="47"/>
      <c r="T496" s="47"/>
    </row>
    <row r="497">
      <c r="A497" s="46"/>
      <c r="B497" s="46"/>
      <c r="C497" s="46"/>
      <c r="D497" s="46"/>
      <c r="E497" s="46"/>
      <c r="F497" s="46"/>
      <c r="G497" s="44"/>
      <c r="H497" s="46"/>
      <c r="I497" s="46"/>
      <c r="J497" s="46"/>
      <c r="K497" s="44"/>
      <c r="L497" s="52"/>
      <c r="M497" s="46"/>
      <c r="N497" s="46"/>
      <c r="O497" s="47"/>
      <c r="P497" s="47"/>
      <c r="Q497" s="47"/>
      <c r="R497" s="47"/>
      <c r="S497" s="47"/>
      <c r="T497" s="47"/>
    </row>
    <row r="498">
      <c r="A498" s="46"/>
      <c r="B498" s="46"/>
      <c r="C498" s="46"/>
      <c r="D498" s="46"/>
      <c r="E498" s="46"/>
      <c r="F498" s="46"/>
      <c r="G498" s="44"/>
      <c r="H498" s="46"/>
      <c r="I498" s="46"/>
      <c r="J498" s="46"/>
      <c r="K498" s="44"/>
      <c r="L498" s="52"/>
      <c r="M498" s="46"/>
      <c r="N498" s="46"/>
      <c r="O498" s="47"/>
      <c r="P498" s="47"/>
      <c r="Q498" s="47"/>
      <c r="R498" s="47"/>
      <c r="S498" s="47"/>
      <c r="T498" s="47"/>
    </row>
    <row r="499">
      <c r="A499" s="46"/>
      <c r="B499" s="46"/>
      <c r="C499" s="46"/>
      <c r="D499" s="46"/>
      <c r="E499" s="46"/>
      <c r="F499" s="46"/>
      <c r="G499" s="44"/>
      <c r="H499" s="46"/>
      <c r="I499" s="46"/>
      <c r="J499" s="46"/>
      <c r="K499" s="44"/>
      <c r="L499" s="52"/>
      <c r="M499" s="46"/>
      <c r="N499" s="46"/>
      <c r="O499" s="47"/>
      <c r="P499" s="47"/>
      <c r="Q499" s="47"/>
      <c r="R499" s="47"/>
      <c r="S499" s="47"/>
      <c r="T499" s="47"/>
    </row>
    <row r="500">
      <c r="A500" s="46"/>
      <c r="B500" s="46"/>
      <c r="C500" s="46"/>
      <c r="D500" s="46"/>
      <c r="E500" s="46"/>
      <c r="F500" s="46"/>
      <c r="G500" s="44"/>
      <c r="H500" s="46"/>
      <c r="I500" s="46"/>
      <c r="J500" s="46"/>
      <c r="K500" s="44"/>
      <c r="L500" s="52"/>
      <c r="M500" s="46"/>
      <c r="N500" s="46"/>
      <c r="O500" s="47"/>
      <c r="P500" s="47"/>
      <c r="Q500" s="47"/>
      <c r="R500" s="47"/>
      <c r="S500" s="47"/>
      <c r="T500" s="47"/>
    </row>
    <row r="501">
      <c r="A501" s="46"/>
      <c r="B501" s="46"/>
      <c r="C501" s="46"/>
      <c r="D501" s="46"/>
      <c r="E501" s="46"/>
      <c r="F501" s="46"/>
      <c r="G501" s="44"/>
      <c r="H501" s="46"/>
      <c r="I501" s="46"/>
      <c r="J501" s="46"/>
      <c r="K501" s="44"/>
      <c r="L501" s="52"/>
      <c r="M501" s="46"/>
      <c r="N501" s="46"/>
      <c r="O501" s="47"/>
      <c r="P501" s="47"/>
      <c r="Q501" s="47"/>
      <c r="R501" s="47"/>
      <c r="S501" s="47"/>
      <c r="T501" s="47"/>
    </row>
    <row r="502">
      <c r="A502" s="46"/>
      <c r="B502" s="46"/>
      <c r="C502" s="46"/>
      <c r="D502" s="46"/>
      <c r="E502" s="46"/>
      <c r="F502" s="46"/>
      <c r="G502" s="44"/>
      <c r="H502" s="46"/>
      <c r="I502" s="46"/>
      <c r="J502" s="46"/>
      <c r="K502" s="44"/>
      <c r="L502" s="52"/>
      <c r="M502" s="46"/>
      <c r="N502" s="46"/>
      <c r="O502" s="47"/>
      <c r="P502" s="47"/>
      <c r="Q502" s="47"/>
      <c r="R502" s="47"/>
      <c r="S502" s="47"/>
      <c r="T502" s="47"/>
    </row>
    <row r="503">
      <c r="A503" s="46"/>
      <c r="B503" s="46"/>
      <c r="C503" s="46"/>
      <c r="D503" s="46"/>
      <c r="E503" s="46"/>
      <c r="F503" s="46"/>
      <c r="G503" s="44"/>
      <c r="H503" s="46"/>
      <c r="I503" s="46"/>
      <c r="J503" s="46"/>
      <c r="K503" s="44"/>
      <c r="L503" s="52"/>
      <c r="M503" s="46"/>
      <c r="N503" s="46"/>
      <c r="O503" s="47"/>
      <c r="P503" s="47"/>
      <c r="Q503" s="47"/>
      <c r="R503" s="47"/>
      <c r="S503" s="47"/>
      <c r="T503" s="47"/>
    </row>
    <row r="504">
      <c r="A504" s="46"/>
      <c r="B504" s="46"/>
      <c r="C504" s="46"/>
      <c r="D504" s="46"/>
      <c r="E504" s="46"/>
      <c r="F504" s="46"/>
      <c r="G504" s="44"/>
      <c r="H504" s="46"/>
      <c r="I504" s="46"/>
      <c r="J504" s="46"/>
      <c r="K504" s="44"/>
      <c r="L504" s="52"/>
      <c r="M504" s="46"/>
      <c r="N504" s="46"/>
      <c r="O504" s="47"/>
      <c r="P504" s="47"/>
      <c r="Q504" s="47"/>
      <c r="R504" s="47"/>
      <c r="S504" s="47"/>
      <c r="T504" s="47"/>
    </row>
    <row r="505">
      <c r="A505" s="46"/>
      <c r="B505" s="46"/>
      <c r="C505" s="46"/>
      <c r="D505" s="46"/>
      <c r="E505" s="46"/>
      <c r="F505" s="46"/>
      <c r="G505" s="44"/>
      <c r="H505" s="46"/>
      <c r="I505" s="46"/>
      <c r="J505" s="46"/>
      <c r="K505" s="44"/>
      <c r="L505" s="52"/>
      <c r="M505" s="46"/>
      <c r="N505" s="46"/>
      <c r="O505" s="47"/>
      <c r="P505" s="47"/>
      <c r="Q505" s="47"/>
      <c r="R505" s="47"/>
      <c r="S505" s="47"/>
      <c r="T505" s="47"/>
    </row>
    <row r="506">
      <c r="A506" s="46"/>
      <c r="B506" s="46"/>
      <c r="C506" s="46"/>
      <c r="D506" s="46"/>
      <c r="E506" s="46"/>
      <c r="F506" s="46"/>
      <c r="G506" s="44"/>
      <c r="H506" s="46"/>
      <c r="I506" s="46"/>
      <c r="J506" s="46"/>
      <c r="K506" s="44"/>
      <c r="L506" s="52"/>
      <c r="M506" s="46"/>
      <c r="N506" s="46"/>
      <c r="O506" s="47"/>
      <c r="P506" s="47"/>
      <c r="Q506" s="47"/>
      <c r="R506" s="47"/>
      <c r="S506" s="47"/>
      <c r="T506" s="47"/>
    </row>
    <row r="507">
      <c r="A507" s="46"/>
      <c r="B507" s="46"/>
      <c r="C507" s="46"/>
      <c r="D507" s="46"/>
      <c r="E507" s="46"/>
      <c r="F507" s="46"/>
      <c r="G507" s="44"/>
      <c r="H507" s="46"/>
      <c r="I507" s="46"/>
      <c r="J507" s="46"/>
      <c r="K507" s="44"/>
      <c r="L507" s="52"/>
      <c r="M507" s="46"/>
      <c r="N507" s="46"/>
      <c r="O507" s="47"/>
      <c r="P507" s="47"/>
      <c r="Q507" s="47"/>
      <c r="R507" s="47"/>
      <c r="S507" s="47"/>
      <c r="T507" s="47"/>
    </row>
    <row r="508">
      <c r="A508" s="46"/>
      <c r="B508" s="46"/>
      <c r="C508" s="46"/>
      <c r="D508" s="46"/>
      <c r="E508" s="46"/>
      <c r="F508" s="46"/>
      <c r="G508" s="44"/>
      <c r="H508" s="46"/>
      <c r="I508" s="46"/>
      <c r="J508" s="46"/>
      <c r="K508" s="44"/>
      <c r="L508" s="52"/>
      <c r="M508" s="46"/>
      <c r="N508" s="46"/>
      <c r="O508" s="47"/>
      <c r="P508" s="47"/>
      <c r="Q508" s="47"/>
      <c r="R508" s="47"/>
      <c r="S508" s="47"/>
      <c r="T508" s="47"/>
    </row>
    <row r="509">
      <c r="A509" s="46"/>
      <c r="B509" s="46"/>
      <c r="C509" s="46"/>
      <c r="D509" s="46"/>
      <c r="E509" s="46"/>
      <c r="F509" s="46"/>
      <c r="G509" s="44"/>
      <c r="H509" s="46"/>
      <c r="I509" s="46"/>
      <c r="J509" s="46"/>
      <c r="K509" s="44"/>
      <c r="L509" s="52"/>
      <c r="M509" s="46"/>
      <c r="N509" s="46"/>
      <c r="O509" s="47"/>
      <c r="P509" s="47"/>
      <c r="Q509" s="47"/>
      <c r="R509" s="47"/>
      <c r="S509" s="47"/>
      <c r="T509" s="47"/>
    </row>
    <row r="510">
      <c r="A510" s="46"/>
      <c r="B510" s="46"/>
      <c r="C510" s="46"/>
      <c r="D510" s="46"/>
      <c r="E510" s="46"/>
      <c r="F510" s="46"/>
      <c r="G510" s="44"/>
      <c r="H510" s="46"/>
      <c r="I510" s="46"/>
      <c r="J510" s="46"/>
      <c r="K510" s="44"/>
      <c r="L510" s="52"/>
      <c r="M510" s="46"/>
      <c r="N510" s="46"/>
      <c r="O510" s="47"/>
      <c r="P510" s="47"/>
      <c r="Q510" s="47"/>
      <c r="R510" s="47"/>
      <c r="S510" s="47"/>
      <c r="T510" s="47"/>
    </row>
    <row r="511">
      <c r="A511" s="46"/>
      <c r="B511" s="46"/>
      <c r="C511" s="46"/>
      <c r="D511" s="46"/>
      <c r="E511" s="46"/>
      <c r="F511" s="46"/>
      <c r="G511" s="44"/>
      <c r="H511" s="46"/>
      <c r="I511" s="46"/>
      <c r="J511" s="46"/>
      <c r="K511" s="44"/>
      <c r="L511" s="52"/>
      <c r="M511" s="46"/>
      <c r="N511" s="46"/>
      <c r="O511" s="47"/>
      <c r="P511" s="47"/>
      <c r="Q511" s="47"/>
      <c r="R511" s="47"/>
      <c r="S511" s="47"/>
      <c r="T511" s="47"/>
    </row>
    <row r="512">
      <c r="A512" s="46"/>
      <c r="B512" s="46"/>
      <c r="C512" s="46"/>
      <c r="D512" s="46"/>
      <c r="E512" s="46"/>
      <c r="F512" s="46"/>
      <c r="G512" s="44"/>
      <c r="H512" s="46"/>
      <c r="I512" s="46"/>
      <c r="J512" s="46"/>
      <c r="K512" s="44"/>
      <c r="L512" s="52"/>
      <c r="M512" s="46"/>
      <c r="N512" s="46"/>
      <c r="O512" s="47"/>
      <c r="P512" s="47"/>
      <c r="Q512" s="47"/>
      <c r="R512" s="47"/>
      <c r="S512" s="47"/>
      <c r="T512" s="47"/>
    </row>
    <row r="513">
      <c r="A513" s="46"/>
      <c r="B513" s="46"/>
      <c r="C513" s="46"/>
      <c r="D513" s="46"/>
      <c r="E513" s="46"/>
      <c r="F513" s="46"/>
      <c r="G513" s="44"/>
      <c r="H513" s="46"/>
      <c r="I513" s="46"/>
      <c r="J513" s="46"/>
      <c r="K513" s="44"/>
      <c r="L513" s="52"/>
      <c r="M513" s="46"/>
      <c r="N513" s="46"/>
      <c r="O513" s="47"/>
      <c r="P513" s="47"/>
      <c r="Q513" s="47"/>
      <c r="R513" s="47"/>
      <c r="S513" s="47"/>
      <c r="T513" s="47"/>
    </row>
    <row r="514">
      <c r="A514" s="46"/>
      <c r="B514" s="46"/>
      <c r="C514" s="46"/>
      <c r="D514" s="46"/>
      <c r="E514" s="46"/>
      <c r="F514" s="46"/>
      <c r="G514" s="44"/>
      <c r="H514" s="46"/>
      <c r="I514" s="46"/>
      <c r="J514" s="46"/>
      <c r="K514" s="44"/>
      <c r="L514" s="52"/>
      <c r="M514" s="46"/>
      <c r="N514" s="46"/>
      <c r="O514" s="47"/>
      <c r="P514" s="47"/>
      <c r="Q514" s="47"/>
      <c r="R514" s="47"/>
      <c r="S514" s="47"/>
      <c r="T514" s="47"/>
    </row>
    <row r="515">
      <c r="A515" s="46"/>
      <c r="B515" s="46"/>
      <c r="C515" s="46"/>
      <c r="D515" s="46"/>
      <c r="E515" s="46"/>
      <c r="F515" s="46"/>
      <c r="G515" s="44"/>
      <c r="H515" s="46"/>
      <c r="I515" s="46"/>
      <c r="J515" s="46"/>
      <c r="K515" s="44"/>
      <c r="L515" s="52"/>
      <c r="M515" s="46"/>
      <c r="N515" s="46"/>
      <c r="O515" s="47"/>
      <c r="P515" s="47"/>
      <c r="Q515" s="47"/>
      <c r="R515" s="47"/>
      <c r="S515" s="47"/>
      <c r="T515" s="47"/>
    </row>
    <row r="516">
      <c r="A516" s="46"/>
      <c r="B516" s="46"/>
      <c r="C516" s="46"/>
      <c r="D516" s="46"/>
      <c r="E516" s="46"/>
      <c r="F516" s="46"/>
      <c r="G516" s="44"/>
      <c r="H516" s="46"/>
      <c r="I516" s="46"/>
      <c r="J516" s="46"/>
      <c r="K516" s="44"/>
      <c r="L516" s="52"/>
      <c r="M516" s="46"/>
      <c r="N516" s="46"/>
      <c r="O516" s="47"/>
      <c r="P516" s="47"/>
      <c r="Q516" s="47"/>
      <c r="R516" s="47"/>
      <c r="S516" s="47"/>
      <c r="T516" s="47"/>
    </row>
    <row r="517">
      <c r="A517" s="46"/>
      <c r="B517" s="46"/>
      <c r="C517" s="46"/>
      <c r="D517" s="46"/>
      <c r="E517" s="46"/>
      <c r="F517" s="46"/>
      <c r="G517" s="44"/>
      <c r="H517" s="46"/>
      <c r="I517" s="46"/>
      <c r="J517" s="46"/>
      <c r="K517" s="44"/>
      <c r="L517" s="52"/>
      <c r="M517" s="46"/>
      <c r="N517" s="46"/>
      <c r="O517" s="47"/>
      <c r="P517" s="47"/>
      <c r="Q517" s="47"/>
      <c r="R517" s="47"/>
      <c r="S517" s="47"/>
      <c r="T517" s="47"/>
    </row>
    <row r="518">
      <c r="A518" s="46"/>
      <c r="B518" s="46"/>
      <c r="C518" s="46"/>
      <c r="D518" s="46"/>
      <c r="E518" s="46"/>
      <c r="F518" s="46"/>
      <c r="G518" s="44"/>
      <c r="H518" s="46"/>
      <c r="I518" s="46"/>
      <c r="J518" s="46"/>
      <c r="K518" s="44"/>
      <c r="L518" s="52"/>
      <c r="M518" s="46"/>
      <c r="N518" s="46"/>
      <c r="O518" s="47"/>
      <c r="P518" s="47"/>
      <c r="Q518" s="47"/>
      <c r="R518" s="47"/>
      <c r="S518" s="47"/>
      <c r="T518" s="47"/>
    </row>
    <row r="519">
      <c r="A519" s="46"/>
      <c r="B519" s="46"/>
      <c r="C519" s="46"/>
      <c r="D519" s="46"/>
      <c r="E519" s="46"/>
      <c r="F519" s="46"/>
      <c r="G519" s="44"/>
      <c r="H519" s="46"/>
      <c r="I519" s="46"/>
      <c r="J519" s="46"/>
      <c r="K519" s="44"/>
      <c r="L519" s="52"/>
      <c r="M519" s="46"/>
      <c r="N519" s="46"/>
      <c r="O519" s="47"/>
      <c r="P519" s="47"/>
      <c r="Q519" s="47"/>
      <c r="R519" s="47"/>
      <c r="S519" s="47"/>
      <c r="T519" s="47"/>
    </row>
    <row r="520">
      <c r="A520" s="46"/>
      <c r="B520" s="46"/>
      <c r="C520" s="46"/>
      <c r="D520" s="46"/>
      <c r="E520" s="46"/>
      <c r="F520" s="46"/>
      <c r="G520" s="44"/>
      <c r="H520" s="46"/>
      <c r="I520" s="46"/>
      <c r="J520" s="46"/>
      <c r="K520" s="44"/>
      <c r="L520" s="52"/>
      <c r="M520" s="46"/>
      <c r="N520" s="46"/>
      <c r="O520" s="47"/>
      <c r="P520" s="47"/>
      <c r="Q520" s="47"/>
      <c r="R520" s="47"/>
      <c r="S520" s="47"/>
      <c r="T520" s="47"/>
    </row>
    <row r="521">
      <c r="A521" s="46"/>
      <c r="B521" s="46"/>
      <c r="C521" s="46"/>
      <c r="D521" s="46"/>
      <c r="E521" s="46"/>
      <c r="F521" s="46"/>
      <c r="G521" s="44"/>
      <c r="H521" s="46"/>
      <c r="I521" s="46"/>
      <c r="J521" s="46"/>
      <c r="K521" s="44"/>
      <c r="L521" s="52"/>
      <c r="M521" s="46"/>
      <c r="N521" s="46"/>
      <c r="O521" s="47"/>
      <c r="P521" s="47"/>
      <c r="Q521" s="47"/>
      <c r="R521" s="47"/>
      <c r="S521" s="47"/>
      <c r="T521" s="47"/>
    </row>
    <row r="522">
      <c r="A522" s="46"/>
      <c r="B522" s="46"/>
      <c r="C522" s="46"/>
      <c r="D522" s="46"/>
      <c r="E522" s="46"/>
      <c r="F522" s="46"/>
      <c r="G522" s="44"/>
      <c r="H522" s="46"/>
      <c r="I522" s="46"/>
      <c r="J522" s="46"/>
      <c r="K522" s="44"/>
      <c r="L522" s="52"/>
      <c r="M522" s="46"/>
      <c r="N522" s="46"/>
      <c r="O522" s="47"/>
      <c r="P522" s="47"/>
      <c r="Q522" s="47"/>
      <c r="R522" s="47"/>
      <c r="S522" s="47"/>
      <c r="T522" s="47"/>
    </row>
    <row r="523">
      <c r="A523" s="46"/>
      <c r="B523" s="46"/>
      <c r="C523" s="46"/>
      <c r="D523" s="46"/>
      <c r="E523" s="46"/>
      <c r="F523" s="46"/>
      <c r="G523" s="44"/>
      <c r="H523" s="46"/>
      <c r="I523" s="46"/>
      <c r="J523" s="46"/>
      <c r="K523" s="44"/>
      <c r="L523" s="52"/>
      <c r="M523" s="46"/>
      <c r="N523" s="46"/>
      <c r="O523" s="47"/>
      <c r="P523" s="47"/>
      <c r="Q523" s="47"/>
      <c r="R523" s="47"/>
      <c r="S523" s="47"/>
      <c r="T523" s="47"/>
    </row>
    <row r="524">
      <c r="A524" s="46"/>
      <c r="B524" s="46"/>
      <c r="C524" s="46"/>
      <c r="D524" s="46"/>
      <c r="E524" s="46"/>
      <c r="F524" s="46"/>
      <c r="G524" s="44"/>
      <c r="H524" s="46"/>
      <c r="I524" s="46"/>
      <c r="J524" s="46"/>
      <c r="K524" s="44"/>
      <c r="L524" s="52"/>
      <c r="M524" s="46"/>
      <c r="N524" s="46"/>
      <c r="O524" s="47"/>
      <c r="P524" s="47"/>
      <c r="Q524" s="47"/>
      <c r="R524" s="47"/>
      <c r="S524" s="47"/>
      <c r="T524" s="47"/>
    </row>
    <row r="525">
      <c r="A525" s="46"/>
      <c r="B525" s="46"/>
      <c r="C525" s="46"/>
      <c r="D525" s="46"/>
      <c r="E525" s="46"/>
      <c r="F525" s="46"/>
      <c r="G525" s="44"/>
      <c r="H525" s="46"/>
      <c r="I525" s="46"/>
      <c r="J525" s="46"/>
      <c r="K525" s="44"/>
      <c r="L525" s="52"/>
      <c r="M525" s="46"/>
      <c r="N525" s="46"/>
      <c r="O525" s="47"/>
      <c r="P525" s="47"/>
      <c r="Q525" s="47"/>
      <c r="R525" s="47"/>
      <c r="S525" s="47"/>
      <c r="T525" s="47"/>
    </row>
    <row r="526">
      <c r="A526" s="46"/>
      <c r="B526" s="46"/>
      <c r="C526" s="46"/>
      <c r="D526" s="46"/>
      <c r="E526" s="46"/>
      <c r="F526" s="46"/>
      <c r="G526" s="44"/>
      <c r="H526" s="46"/>
      <c r="I526" s="46"/>
      <c r="J526" s="46"/>
      <c r="K526" s="44"/>
      <c r="L526" s="52"/>
      <c r="M526" s="46"/>
      <c r="N526" s="46"/>
      <c r="O526" s="47"/>
      <c r="P526" s="47"/>
      <c r="Q526" s="47"/>
      <c r="R526" s="47"/>
      <c r="S526" s="47"/>
      <c r="T526" s="47"/>
    </row>
    <row r="527">
      <c r="A527" s="46"/>
      <c r="B527" s="46"/>
      <c r="C527" s="46"/>
      <c r="D527" s="46"/>
      <c r="E527" s="46"/>
      <c r="F527" s="46"/>
      <c r="G527" s="44"/>
      <c r="H527" s="46"/>
      <c r="I527" s="46"/>
      <c r="J527" s="46"/>
      <c r="K527" s="44"/>
      <c r="L527" s="52"/>
      <c r="M527" s="46"/>
      <c r="N527" s="46"/>
      <c r="O527" s="47"/>
      <c r="P527" s="47"/>
      <c r="Q527" s="47"/>
      <c r="R527" s="47"/>
      <c r="S527" s="47"/>
      <c r="T527" s="47"/>
    </row>
    <row r="528">
      <c r="A528" s="46"/>
      <c r="B528" s="46"/>
      <c r="C528" s="46"/>
      <c r="D528" s="46"/>
      <c r="E528" s="46"/>
      <c r="F528" s="46"/>
      <c r="G528" s="44"/>
      <c r="H528" s="46"/>
      <c r="I528" s="46"/>
      <c r="J528" s="46"/>
      <c r="K528" s="44"/>
      <c r="L528" s="52"/>
      <c r="M528" s="46"/>
      <c r="N528" s="46"/>
      <c r="O528" s="47"/>
      <c r="P528" s="47"/>
      <c r="Q528" s="47"/>
      <c r="R528" s="47"/>
      <c r="S528" s="47"/>
      <c r="T528" s="47"/>
    </row>
    <row r="529">
      <c r="A529" s="46"/>
      <c r="B529" s="46"/>
      <c r="C529" s="46"/>
      <c r="D529" s="46"/>
      <c r="E529" s="46"/>
      <c r="F529" s="46"/>
      <c r="G529" s="44"/>
      <c r="H529" s="46"/>
      <c r="I529" s="46"/>
      <c r="J529" s="46"/>
      <c r="K529" s="44"/>
      <c r="L529" s="52"/>
      <c r="M529" s="46"/>
      <c r="N529" s="46"/>
      <c r="O529" s="47"/>
      <c r="P529" s="47"/>
      <c r="Q529" s="47"/>
      <c r="R529" s="47"/>
      <c r="S529" s="47"/>
      <c r="T529" s="47"/>
    </row>
    <row r="530">
      <c r="A530" s="46"/>
      <c r="B530" s="46"/>
      <c r="C530" s="46"/>
      <c r="D530" s="46"/>
      <c r="E530" s="46"/>
      <c r="F530" s="46"/>
      <c r="G530" s="44"/>
      <c r="H530" s="46"/>
      <c r="I530" s="46"/>
      <c r="J530" s="46"/>
      <c r="K530" s="44"/>
      <c r="L530" s="52"/>
      <c r="M530" s="46"/>
      <c r="N530" s="46"/>
      <c r="O530" s="47"/>
      <c r="P530" s="47"/>
      <c r="Q530" s="47"/>
      <c r="R530" s="47"/>
      <c r="S530" s="47"/>
      <c r="T530" s="47"/>
    </row>
    <row r="531">
      <c r="A531" s="46"/>
      <c r="B531" s="46"/>
      <c r="C531" s="46"/>
      <c r="D531" s="46"/>
      <c r="E531" s="46"/>
      <c r="F531" s="46"/>
      <c r="G531" s="44"/>
      <c r="H531" s="46"/>
      <c r="I531" s="46"/>
      <c r="J531" s="46"/>
      <c r="K531" s="44"/>
      <c r="L531" s="52"/>
      <c r="M531" s="46"/>
      <c r="N531" s="46"/>
      <c r="O531" s="47"/>
      <c r="P531" s="47"/>
      <c r="Q531" s="47"/>
      <c r="R531" s="47"/>
      <c r="S531" s="47"/>
      <c r="T531" s="47"/>
    </row>
    <row r="532">
      <c r="A532" s="46"/>
      <c r="B532" s="46"/>
      <c r="C532" s="46"/>
      <c r="D532" s="46"/>
      <c r="E532" s="46"/>
      <c r="F532" s="46"/>
      <c r="G532" s="44"/>
      <c r="H532" s="46"/>
      <c r="I532" s="46"/>
      <c r="J532" s="46"/>
      <c r="K532" s="44"/>
      <c r="L532" s="52"/>
      <c r="M532" s="46"/>
      <c r="N532" s="46"/>
      <c r="O532" s="47"/>
      <c r="P532" s="47"/>
      <c r="Q532" s="47"/>
      <c r="R532" s="47"/>
      <c r="S532" s="47"/>
      <c r="T532" s="47"/>
    </row>
    <row r="533">
      <c r="A533" s="46"/>
      <c r="B533" s="46"/>
      <c r="C533" s="46"/>
      <c r="D533" s="46"/>
      <c r="E533" s="46"/>
      <c r="F533" s="46"/>
      <c r="G533" s="44"/>
      <c r="H533" s="46"/>
      <c r="I533" s="46"/>
      <c r="J533" s="46"/>
      <c r="K533" s="44"/>
      <c r="L533" s="52"/>
      <c r="M533" s="46"/>
      <c r="N533" s="46"/>
      <c r="O533" s="47"/>
      <c r="P533" s="47"/>
      <c r="Q533" s="47"/>
      <c r="R533" s="47"/>
      <c r="S533" s="47"/>
      <c r="T533" s="47"/>
    </row>
    <row r="534">
      <c r="A534" s="46"/>
      <c r="B534" s="46"/>
      <c r="C534" s="46"/>
      <c r="D534" s="46"/>
      <c r="E534" s="46"/>
      <c r="F534" s="46"/>
      <c r="G534" s="44"/>
      <c r="H534" s="46"/>
      <c r="I534" s="46"/>
      <c r="J534" s="46"/>
      <c r="K534" s="44"/>
      <c r="L534" s="52"/>
      <c r="M534" s="46"/>
      <c r="N534" s="46"/>
      <c r="O534" s="47"/>
      <c r="P534" s="47"/>
      <c r="Q534" s="47"/>
      <c r="R534" s="47"/>
      <c r="S534" s="47"/>
      <c r="T534" s="47"/>
    </row>
    <row r="535">
      <c r="A535" s="46"/>
      <c r="B535" s="46"/>
      <c r="C535" s="46"/>
      <c r="D535" s="46"/>
      <c r="E535" s="46"/>
      <c r="F535" s="46"/>
      <c r="G535" s="44"/>
      <c r="H535" s="46"/>
      <c r="I535" s="46"/>
      <c r="J535" s="46"/>
      <c r="K535" s="44"/>
      <c r="L535" s="52"/>
      <c r="M535" s="46"/>
      <c r="N535" s="46"/>
      <c r="O535" s="47"/>
      <c r="P535" s="47"/>
      <c r="Q535" s="47"/>
      <c r="R535" s="47"/>
      <c r="S535" s="47"/>
      <c r="T535" s="47"/>
    </row>
    <row r="536">
      <c r="A536" s="46"/>
      <c r="B536" s="46"/>
      <c r="C536" s="46"/>
      <c r="D536" s="46"/>
      <c r="E536" s="46"/>
      <c r="F536" s="46"/>
      <c r="G536" s="44"/>
      <c r="H536" s="46"/>
      <c r="I536" s="46"/>
      <c r="J536" s="46"/>
      <c r="K536" s="44"/>
      <c r="L536" s="52"/>
      <c r="M536" s="46"/>
      <c r="N536" s="46"/>
      <c r="O536" s="47"/>
      <c r="P536" s="47"/>
      <c r="Q536" s="47"/>
      <c r="R536" s="47"/>
      <c r="S536" s="47"/>
      <c r="T536" s="47"/>
    </row>
    <row r="537">
      <c r="A537" s="46"/>
      <c r="B537" s="46"/>
      <c r="C537" s="46"/>
      <c r="D537" s="46"/>
      <c r="E537" s="46"/>
      <c r="F537" s="46"/>
      <c r="G537" s="44"/>
      <c r="H537" s="46"/>
      <c r="I537" s="46"/>
      <c r="J537" s="46"/>
      <c r="K537" s="44"/>
      <c r="L537" s="52"/>
      <c r="M537" s="46"/>
      <c r="N537" s="46"/>
      <c r="O537" s="47"/>
      <c r="P537" s="47"/>
      <c r="Q537" s="47"/>
      <c r="R537" s="47"/>
      <c r="S537" s="47"/>
      <c r="T537" s="47"/>
    </row>
    <row r="538">
      <c r="A538" s="46"/>
      <c r="B538" s="46"/>
      <c r="C538" s="46"/>
      <c r="D538" s="46"/>
      <c r="E538" s="46"/>
      <c r="F538" s="46"/>
      <c r="G538" s="44"/>
      <c r="H538" s="46"/>
      <c r="I538" s="46"/>
      <c r="J538" s="46"/>
      <c r="K538" s="44"/>
      <c r="L538" s="52"/>
      <c r="M538" s="46"/>
      <c r="N538" s="46"/>
      <c r="O538" s="47"/>
      <c r="P538" s="47"/>
      <c r="Q538" s="47"/>
      <c r="R538" s="47"/>
      <c r="S538" s="47"/>
      <c r="T538" s="47"/>
    </row>
    <row r="539">
      <c r="A539" s="46"/>
      <c r="B539" s="46"/>
      <c r="C539" s="46"/>
      <c r="D539" s="46"/>
      <c r="E539" s="46"/>
      <c r="F539" s="46"/>
      <c r="G539" s="44"/>
      <c r="H539" s="46"/>
      <c r="I539" s="46"/>
      <c r="J539" s="46"/>
      <c r="K539" s="44"/>
      <c r="L539" s="52"/>
      <c r="M539" s="46"/>
      <c r="N539" s="46"/>
      <c r="O539" s="47"/>
      <c r="P539" s="47"/>
      <c r="Q539" s="47"/>
      <c r="R539" s="47"/>
      <c r="S539" s="47"/>
      <c r="T539" s="47"/>
    </row>
    <row r="540">
      <c r="A540" s="46"/>
      <c r="B540" s="46"/>
      <c r="C540" s="46"/>
      <c r="D540" s="46"/>
      <c r="E540" s="46"/>
      <c r="F540" s="46"/>
      <c r="G540" s="44"/>
      <c r="H540" s="46"/>
      <c r="I540" s="46"/>
      <c r="J540" s="46"/>
      <c r="K540" s="44"/>
      <c r="L540" s="52"/>
      <c r="M540" s="46"/>
      <c r="N540" s="46"/>
      <c r="O540" s="47"/>
      <c r="P540" s="47"/>
      <c r="Q540" s="47"/>
      <c r="R540" s="47"/>
      <c r="S540" s="47"/>
      <c r="T540" s="47"/>
    </row>
    <row r="541">
      <c r="A541" s="46"/>
      <c r="B541" s="46"/>
      <c r="C541" s="46"/>
      <c r="D541" s="46"/>
      <c r="E541" s="46"/>
      <c r="F541" s="46"/>
      <c r="G541" s="44"/>
      <c r="H541" s="46"/>
      <c r="I541" s="46"/>
      <c r="J541" s="46"/>
      <c r="K541" s="44"/>
      <c r="L541" s="52"/>
      <c r="M541" s="46"/>
      <c r="N541" s="46"/>
      <c r="O541" s="47"/>
      <c r="P541" s="47"/>
      <c r="Q541" s="47"/>
      <c r="R541" s="47"/>
      <c r="S541" s="47"/>
      <c r="T541" s="47"/>
    </row>
    <row r="542">
      <c r="A542" s="46"/>
      <c r="B542" s="46"/>
      <c r="C542" s="46"/>
      <c r="D542" s="46"/>
      <c r="E542" s="46"/>
      <c r="F542" s="46"/>
      <c r="G542" s="44"/>
      <c r="H542" s="46"/>
      <c r="I542" s="46"/>
      <c r="J542" s="46"/>
      <c r="K542" s="44"/>
      <c r="L542" s="52"/>
      <c r="M542" s="46"/>
      <c r="N542" s="46"/>
      <c r="O542" s="47"/>
      <c r="P542" s="47"/>
      <c r="Q542" s="47"/>
      <c r="R542" s="47"/>
      <c r="S542" s="47"/>
      <c r="T542" s="47"/>
    </row>
    <row r="543">
      <c r="A543" s="46"/>
      <c r="B543" s="46"/>
      <c r="C543" s="46"/>
      <c r="D543" s="46"/>
      <c r="E543" s="46"/>
      <c r="F543" s="46"/>
      <c r="G543" s="44"/>
      <c r="H543" s="46"/>
      <c r="I543" s="46"/>
      <c r="J543" s="46"/>
      <c r="K543" s="44"/>
      <c r="L543" s="52"/>
      <c r="M543" s="46"/>
      <c r="N543" s="46"/>
      <c r="O543" s="47"/>
      <c r="P543" s="47"/>
      <c r="Q543" s="47"/>
      <c r="R543" s="47"/>
      <c r="S543" s="47"/>
      <c r="T543" s="47"/>
    </row>
    <row r="544">
      <c r="A544" s="46"/>
      <c r="B544" s="46"/>
      <c r="C544" s="46"/>
      <c r="D544" s="46"/>
      <c r="E544" s="46"/>
      <c r="F544" s="46"/>
      <c r="G544" s="44"/>
      <c r="H544" s="46"/>
      <c r="I544" s="46"/>
      <c r="J544" s="46"/>
      <c r="K544" s="44"/>
      <c r="L544" s="52"/>
      <c r="M544" s="46"/>
      <c r="N544" s="46"/>
      <c r="O544" s="47"/>
      <c r="P544" s="47"/>
      <c r="Q544" s="47"/>
      <c r="R544" s="47"/>
      <c r="S544" s="47"/>
      <c r="T544" s="47"/>
    </row>
    <row r="545">
      <c r="A545" s="46"/>
      <c r="B545" s="46"/>
      <c r="C545" s="46"/>
      <c r="D545" s="46"/>
      <c r="E545" s="46"/>
      <c r="F545" s="46"/>
      <c r="G545" s="44"/>
      <c r="H545" s="46"/>
      <c r="I545" s="46"/>
      <c r="J545" s="46"/>
      <c r="K545" s="44"/>
      <c r="L545" s="52"/>
      <c r="M545" s="46"/>
      <c r="N545" s="46"/>
      <c r="O545" s="47"/>
      <c r="P545" s="47"/>
      <c r="Q545" s="47"/>
      <c r="R545" s="47"/>
      <c r="S545" s="47"/>
      <c r="T545" s="47"/>
    </row>
    <row r="546">
      <c r="A546" s="46"/>
      <c r="B546" s="46"/>
      <c r="C546" s="46"/>
      <c r="D546" s="46"/>
      <c r="E546" s="46"/>
      <c r="F546" s="46"/>
      <c r="G546" s="44"/>
      <c r="H546" s="46"/>
      <c r="I546" s="46"/>
      <c r="J546" s="46"/>
      <c r="K546" s="44"/>
      <c r="L546" s="52"/>
      <c r="M546" s="46"/>
      <c r="N546" s="46"/>
      <c r="O546" s="47"/>
      <c r="P546" s="47"/>
      <c r="Q546" s="47"/>
      <c r="R546" s="47"/>
      <c r="S546" s="47"/>
      <c r="T546" s="47"/>
    </row>
    <row r="547">
      <c r="A547" s="46"/>
      <c r="B547" s="46"/>
      <c r="C547" s="46"/>
      <c r="D547" s="46"/>
      <c r="E547" s="46"/>
      <c r="F547" s="46"/>
      <c r="G547" s="44"/>
      <c r="H547" s="46"/>
      <c r="I547" s="46"/>
      <c r="J547" s="46"/>
      <c r="K547" s="44"/>
      <c r="L547" s="52"/>
      <c r="M547" s="46"/>
      <c r="N547" s="46"/>
      <c r="O547" s="47"/>
      <c r="P547" s="47"/>
      <c r="Q547" s="47"/>
      <c r="R547" s="47"/>
      <c r="S547" s="47"/>
      <c r="T547" s="47"/>
    </row>
    <row r="548">
      <c r="A548" s="46"/>
      <c r="B548" s="46"/>
      <c r="C548" s="46"/>
      <c r="D548" s="46"/>
      <c r="E548" s="46"/>
      <c r="F548" s="46"/>
      <c r="G548" s="44"/>
      <c r="H548" s="46"/>
      <c r="I548" s="46"/>
      <c r="J548" s="46"/>
      <c r="K548" s="44"/>
      <c r="L548" s="52"/>
      <c r="M548" s="46"/>
      <c r="N548" s="46"/>
      <c r="O548" s="47"/>
      <c r="P548" s="47"/>
      <c r="Q548" s="47"/>
      <c r="R548" s="47"/>
      <c r="S548" s="47"/>
      <c r="T548" s="47"/>
    </row>
    <row r="549">
      <c r="A549" s="46"/>
      <c r="B549" s="46"/>
      <c r="C549" s="46"/>
      <c r="D549" s="46"/>
      <c r="E549" s="46"/>
      <c r="F549" s="46"/>
      <c r="G549" s="44"/>
      <c r="H549" s="46"/>
      <c r="I549" s="46"/>
      <c r="J549" s="46"/>
      <c r="K549" s="44"/>
      <c r="L549" s="52"/>
      <c r="M549" s="46"/>
      <c r="N549" s="46"/>
      <c r="O549" s="47"/>
      <c r="P549" s="47"/>
      <c r="Q549" s="47"/>
      <c r="R549" s="47"/>
      <c r="S549" s="47"/>
      <c r="T549" s="47"/>
    </row>
    <row r="550">
      <c r="A550" s="46"/>
      <c r="B550" s="46"/>
      <c r="C550" s="46"/>
      <c r="D550" s="46"/>
      <c r="E550" s="46"/>
      <c r="F550" s="46"/>
      <c r="G550" s="44"/>
      <c r="H550" s="46"/>
      <c r="I550" s="46"/>
      <c r="J550" s="46"/>
      <c r="K550" s="44"/>
      <c r="L550" s="52"/>
      <c r="M550" s="46"/>
      <c r="N550" s="46"/>
      <c r="O550" s="47"/>
      <c r="P550" s="47"/>
      <c r="Q550" s="47"/>
      <c r="R550" s="47"/>
      <c r="S550" s="47"/>
      <c r="T550" s="47"/>
    </row>
    <row r="551">
      <c r="A551" s="46"/>
      <c r="B551" s="46"/>
      <c r="C551" s="46"/>
      <c r="D551" s="46"/>
      <c r="E551" s="46"/>
      <c r="F551" s="46"/>
      <c r="G551" s="44"/>
      <c r="H551" s="46"/>
      <c r="I551" s="46"/>
      <c r="J551" s="46"/>
      <c r="K551" s="44"/>
      <c r="L551" s="52"/>
      <c r="M551" s="46"/>
      <c r="N551" s="46"/>
      <c r="O551" s="47"/>
      <c r="P551" s="47"/>
      <c r="Q551" s="47"/>
      <c r="R551" s="47"/>
      <c r="S551" s="47"/>
      <c r="T551" s="47"/>
    </row>
    <row r="552">
      <c r="A552" s="46"/>
      <c r="B552" s="46"/>
      <c r="C552" s="46"/>
      <c r="D552" s="46"/>
      <c r="E552" s="46"/>
      <c r="F552" s="46"/>
      <c r="G552" s="44"/>
      <c r="H552" s="46"/>
      <c r="I552" s="46"/>
      <c r="J552" s="46"/>
      <c r="K552" s="44"/>
      <c r="L552" s="52"/>
      <c r="M552" s="46"/>
      <c r="N552" s="46"/>
      <c r="O552" s="47"/>
      <c r="P552" s="47"/>
      <c r="Q552" s="47"/>
      <c r="R552" s="47"/>
      <c r="S552" s="47"/>
      <c r="T552" s="47"/>
    </row>
    <row r="553">
      <c r="A553" s="46"/>
      <c r="B553" s="46"/>
      <c r="C553" s="46"/>
      <c r="D553" s="46"/>
      <c r="E553" s="46"/>
      <c r="F553" s="46"/>
      <c r="G553" s="44"/>
      <c r="H553" s="46"/>
      <c r="I553" s="46"/>
      <c r="J553" s="46"/>
      <c r="K553" s="44"/>
      <c r="L553" s="52"/>
      <c r="M553" s="46"/>
      <c r="N553" s="46"/>
      <c r="O553" s="47"/>
      <c r="P553" s="47"/>
      <c r="Q553" s="47"/>
      <c r="R553" s="47"/>
      <c r="S553" s="47"/>
      <c r="T553" s="47"/>
    </row>
    <row r="554">
      <c r="A554" s="46"/>
      <c r="B554" s="46"/>
      <c r="C554" s="46"/>
      <c r="D554" s="46"/>
      <c r="E554" s="46"/>
      <c r="F554" s="46"/>
      <c r="G554" s="44"/>
      <c r="H554" s="46"/>
      <c r="I554" s="46"/>
      <c r="J554" s="46"/>
      <c r="K554" s="44"/>
      <c r="L554" s="52"/>
      <c r="M554" s="46"/>
      <c r="N554" s="46"/>
      <c r="O554" s="47"/>
      <c r="P554" s="47"/>
      <c r="Q554" s="47"/>
      <c r="R554" s="47"/>
      <c r="S554" s="47"/>
      <c r="T554" s="47"/>
    </row>
    <row r="555">
      <c r="A555" s="46"/>
      <c r="B555" s="46"/>
      <c r="C555" s="46"/>
      <c r="D555" s="46"/>
      <c r="E555" s="46"/>
      <c r="F555" s="46"/>
      <c r="G555" s="44"/>
      <c r="H555" s="46"/>
      <c r="I555" s="46"/>
      <c r="J555" s="46"/>
      <c r="K555" s="44"/>
      <c r="L555" s="52"/>
      <c r="M555" s="46"/>
      <c r="N555" s="46"/>
      <c r="O555" s="47"/>
      <c r="P555" s="47"/>
      <c r="Q555" s="47"/>
      <c r="R555" s="47"/>
      <c r="S555" s="47"/>
      <c r="T555" s="47"/>
    </row>
    <row r="556">
      <c r="A556" s="46"/>
      <c r="B556" s="46"/>
      <c r="C556" s="46"/>
      <c r="D556" s="46"/>
      <c r="E556" s="46"/>
      <c r="F556" s="46"/>
      <c r="G556" s="44"/>
      <c r="H556" s="46"/>
      <c r="I556" s="46"/>
      <c r="J556" s="46"/>
      <c r="K556" s="44"/>
      <c r="L556" s="52"/>
      <c r="M556" s="46"/>
      <c r="N556" s="46"/>
      <c r="O556" s="47"/>
      <c r="P556" s="47"/>
      <c r="Q556" s="47"/>
      <c r="R556" s="47"/>
      <c r="S556" s="47"/>
      <c r="T556" s="47"/>
    </row>
    <row r="557">
      <c r="A557" s="46"/>
      <c r="B557" s="46"/>
      <c r="C557" s="46"/>
      <c r="D557" s="46"/>
      <c r="E557" s="46"/>
      <c r="F557" s="46"/>
      <c r="G557" s="44"/>
      <c r="H557" s="46"/>
      <c r="I557" s="46"/>
      <c r="J557" s="46"/>
      <c r="K557" s="44"/>
      <c r="L557" s="52"/>
      <c r="M557" s="46"/>
      <c r="N557" s="46"/>
      <c r="O557" s="47"/>
      <c r="P557" s="47"/>
      <c r="Q557" s="47"/>
      <c r="R557" s="47"/>
      <c r="S557" s="47"/>
      <c r="T557" s="47"/>
    </row>
    <row r="558">
      <c r="A558" s="46"/>
      <c r="B558" s="46"/>
      <c r="C558" s="46"/>
      <c r="D558" s="46"/>
      <c r="E558" s="46"/>
      <c r="F558" s="46"/>
      <c r="G558" s="44"/>
      <c r="H558" s="46"/>
      <c r="I558" s="46"/>
      <c r="J558" s="46"/>
      <c r="K558" s="44"/>
      <c r="L558" s="52"/>
      <c r="M558" s="46"/>
      <c r="N558" s="46"/>
      <c r="O558" s="47"/>
      <c r="P558" s="47"/>
      <c r="Q558" s="47"/>
      <c r="R558" s="47"/>
      <c r="S558" s="47"/>
      <c r="T558" s="47"/>
    </row>
    <row r="559">
      <c r="A559" s="46"/>
      <c r="B559" s="46"/>
      <c r="C559" s="46"/>
      <c r="D559" s="46"/>
      <c r="E559" s="46"/>
      <c r="F559" s="46"/>
      <c r="G559" s="44"/>
      <c r="H559" s="46"/>
      <c r="I559" s="46"/>
      <c r="J559" s="46"/>
      <c r="K559" s="44"/>
      <c r="L559" s="52"/>
      <c r="M559" s="46"/>
      <c r="N559" s="46"/>
      <c r="O559" s="47"/>
      <c r="P559" s="47"/>
      <c r="Q559" s="47"/>
      <c r="R559" s="47"/>
      <c r="S559" s="47"/>
      <c r="T559" s="47"/>
    </row>
    <row r="560">
      <c r="A560" s="46"/>
      <c r="B560" s="46"/>
      <c r="C560" s="46"/>
      <c r="D560" s="46"/>
      <c r="E560" s="46"/>
      <c r="F560" s="46"/>
      <c r="G560" s="44"/>
      <c r="H560" s="46"/>
      <c r="I560" s="46"/>
      <c r="J560" s="46"/>
      <c r="K560" s="44"/>
      <c r="L560" s="52"/>
      <c r="M560" s="46"/>
      <c r="N560" s="46"/>
      <c r="O560" s="47"/>
      <c r="P560" s="47"/>
      <c r="Q560" s="47"/>
      <c r="R560" s="47"/>
      <c r="S560" s="47"/>
      <c r="T560" s="47"/>
    </row>
    <row r="561">
      <c r="A561" s="46"/>
      <c r="B561" s="46"/>
      <c r="C561" s="46"/>
      <c r="D561" s="46"/>
      <c r="E561" s="46"/>
      <c r="F561" s="46"/>
      <c r="G561" s="44"/>
      <c r="H561" s="46"/>
      <c r="I561" s="46"/>
      <c r="J561" s="46"/>
      <c r="K561" s="44"/>
      <c r="L561" s="52"/>
      <c r="M561" s="46"/>
      <c r="N561" s="46"/>
      <c r="O561" s="47"/>
      <c r="P561" s="47"/>
      <c r="Q561" s="47"/>
      <c r="R561" s="47"/>
      <c r="S561" s="47"/>
      <c r="T561" s="47"/>
    </row>
    <row r="562">
      <c r="A562" s="46"/>
      <c r="B562" s="46"/>
      <c r="C562" s="46"/>
      <c r="D562" s="46"/>
      <c r="E562" s="46"/>
      <c r="F562" s="46"/>
      <c r="G562" s="44"/>
      <c r="H562" s="46"/>
      <c r="I562" s="46"/>
      <c r="J562" s="46"/>
      <c r="K562" s="44"/>
      <c r="L562" s="52"/>
      <c r="M562" s="46"/>
      <c r="N562" s="46"/>
      <c r="O562" s="47"/>
      <c r="P562" s="47"/>
      <c r="Q562" s="47"/>
      <c r="R562" s="47"/>
      <c r="S562" s="47"/>
      <c r="T562" s="47"/>
    </row>
    <row r="563">
      <c r="A563" s="46"/>
      <c r="B563" s="46"/>
      <c r="C563" s="46"/>
      <c r="D563" s="46"/>
      <c r="E563" s="46"/>
      <c r="F563" s="46"/>
      <c r="G563" s="44"/>
      <c r="H563" s="46"/>
      <c r="I563" s="46"/>
      <c r="J563" s="46"/>
      <c r="K563" s="44"/>
      <c r="L563" s="52"/>
      <c r="M563" s="46"/>
      <c r="N563" s="46"/>
      <c r="O563" s="47"/>
      <c r="P563" s="47"/>
      <c r="Q563" s="47"/>
      <c r="R563" s="47"/>
      <c r="S563" s="47"/>
      <c r="T563" s="47"/>
    </row>
    <row r="564">
      <c r="A564" s="46"/>
      <c r="B564" s="46"/>
      <c r="C564" s="46"/>
      <c r="D564" s="46"/>
      <c r="E564" s="46"/>
      <c r="F564" s="46"/>
      <c r="G564" s="44"/>
      <c r="H564" s="46"/>
      <c r="I564" s="46"/>
      <c r="J564" s="46"/>
      <c r="K564" s="44"/>
      <c r="L564" s="52"/>
      <c r="M564" s="46"/>
      <c r="N564" s="46"/>
      <c r="O564" s="47"/>
      <c r="P564" s="47"/>
      <c r="Q564" s="47"/>
      <c r="R564" s="47"/>
      <c r="S564" s="47"/>
      <c r="T564" s="47"/>
    </row>
    <row r="565">
      <c r="A565" s="46"/>
      <c r="B565" s="46"/>
      <c r="C565" s="46"/>
      <c r="D565" s="46"/>
      <c r="E565" s="46"/>
      <c r="F565" s="46"/>
      <c r="G565" s="44"/>
      <c r="H565" s="46"/>
      <c r="I565" s="46"/>
      <c r="J565" s="46"/>
      <c r="K565" s="44"/>
      <c r="L565" s="52"/>
      <c r="M565" s="46"/>
      <c r="N565" s="46"/>
      <c r="O565" s="47"/>
      <c r="P565" s="47"/>
      <c r="Q565" s="47"/>
      <c r="R565" s="47"/>
      <c r="S565" s="47"/>
      <c r="T565" s="47"/>
    </row>
    <row r="566">
      <c r="A566" s="46"/>
      <c r="B566" s="46"/>
      <c r="C566" s="46"/>
      <c r="D566" s="46"/>
      <c r="E566" s="46"/>
      <c r="F566" s="46"/>
      <c r="G566" s="44"/>
      <c r="H566" s="46"/>
      <c r="I566" s="46"/>
      <c r="J566" s="46"/>
      <c r="K566" s="44"/>
      <c r="L566" s="52"/>
      <c r="M566" s="46"/>
      <c r="N566" s="46"/>
      <c r="O566" s="47"/>
      <c r="P566" s="47"/>
      <c r="Q566" s="47"/>
      <c r="R566" s="47"/>
      <c r="S566" s="47"/>
      <c r="T566" s="47"/>
    </row>
    <row r="567">
      <c r="A567" s="46"/>
      <c r="B567" s="46"/>
      <c r="C567" s="46"/>
      <c r="D567" s="46"/>
      <c r="E567" s="46"/>
      <c r="F567" s="46"/>
      <c r="G567" s="44"/>
      <c r="H567" s="46"/>
      <c r="I567" s="46"/>
      <c r="J567" s="46"/>
      <c r="K567" s="44"/>
      <c r="L567" s="52"/>
      <c r="M567" s="46"/>
      <c r="N567" s="46"/>
      <c r="O567" s="47"/>
      <c r="P567" s="47"/>
      <c r="Q567" s="47"/>
      <c r="R567" s="47"/>
      <c r="S567" s="47"/>
      <c r="T567" s="47"/>
    </row>
    <row r="568">
      <c r="A568" s="46"/>
      <c r="B568" s="46"/>
      <c r="C568" s="46"/>
      <c r="D568" s="46"/>
      <c r="E568" s="46"/>
      <c r="F568" s="46"/>
      <c r="G568" s="44"/>
      <c r="H568" s="46"/>
      <c r="I568" s="46"/>
      <c r="J568" s="46"/>
      <c r="K568" s="44"/>
      <c r="L568" s="52"/>
      <c r="M568" s="46"/>
      <c r="N568" s="46"/>
      <c r="O568" s="47"/>
      <c r="P568" s="47"/>
      <c r="Q568" s="47"/>
      <c r="R568" s="47"/>
      <c r="S568" s="47"/>
      <c r="T568" s="47"/>
    </row>
    <row r="569">
      <c r="A569" s="46"/>
      <c r="B569" s="46"/>
      <c r="C569" s="46"/>
      <c r="D569" s="46"/>
      <c r="E569" s="46"/>
      <c r="F569" s="46"/>
      <c r="G569" s="44"/>
      <c r="H569" s="46"/>
      <c r="I569" s="46"/>
      <c r="J569" s="46"/>
      <c r="K569" s="44"/>
      <c r="L569" s="52"/>
      <c r="M569" s="46"/>
      <c r="N569" s="46"/>
      <c r="O569" s="47"/>
      <c r="P569" s="47"/>
      <c r="Q569" s="47"/>
      <c r="R569" s="47"/>
      <c r="S569" s="47"/>
      <c r="T569" s="47"/>
    </row>
    <row r="570">
      <c r="A570" s="46"/>
      <c r="B570" s="46"/>
      <c r="C570" s="46"/>
      <c r="D570" s="46"/>
      <c r="E570" s="46"/>
      <c r="F570" s="46"/>
      <c r="G570" s="44"/>
      <c r="H570" s="46"/>
      <c r="I570" s="46"/>
      <c r="J570" s="46"/>
      <c r="K570" s="44"/>
      <c r="L570" s="52"/>
      <c r="M570" s="46"/>
      <c r="N570" s="46"/>
      <c r="O570" s="47"/>
      <c r="P570" s="47"/>
      <c r="Q570" s="47"/>
      <c r="R570" s="47"/>
      <c r="S570" s="47"/>
      <c r="T570" s="47"/>
    </row>
    <row r="571">
      <c r="A571" s="46"/>
      <c r="B571" s="46"/>
      <c r="C571" s="46"/>
      <c r="D571" s="46"/>
      <c r="E571" s="46"/>
      <c r="F571" s="46"/>
      <c r="G571" s="44"/>
      <c r="H571" s="46"/>
      <c r="I571" s="46"/>
      <c r="J571" s="46"/>
      <c r="K571" s="44"/>
      <c r="L571" s="52"/>
      <c r="M571" s="46"/>
      <c r="N571" s="46"/>
      <c r="O571" s="47"/>
      <c r="P571" s="47"/>
      <c r="Q571" s="47"/>
      <c r="R571" s="47"/>
      <c r="S571" s="47"/>
      <c r="T571" s="47"/>
    </row>
    <row r="572">
      <c r="A572" s="46"/>
      <c r="B572" s="46"/>
      <c r="C572" s="46"/>
      <c r="D572" s="46"/>
      <c r="E572" s="46"/>
      <c r="F572" s="46"/>
      <c r="G572" s="44"/>
      <c r="H572" s="46"/>
      <c r="I572" s="46"/>
      <c r="J572" s="46"/>
      <c r="K572" s="44"/>
      <c r="L572" s="52"/>
      <c r="M572" s="46"/>
      <c r="N572" s="46"/>
      <c r="O572" s="47"/>
      <c r="P572" s="47"/>
      <c r="Q572" s="47"/>
      <c r="R572" s="47"/>
      <c r="S572" s="47"/>
      <c r="T572" s="47"/>
    </row>
    <row r="573">
      <c r="A573" s="46"/>
      <c r="B573" s="46"/>
      <c r="C573" s="46"/>
      <c r="D573" s="46"/>
      <c r="E573" s="46"/>
      <c r="F573" s="46"/>
      <c r="G573" s="44"/>
      <c r="H573" s="46"/>
      <c r="I573" s="46"/>
      <c r="J573" s="46"/>
      <c r="K573" s="44"/>
      <c r="L573" s="52"/>
      <c r="M573" s="46"/>
      <c r="N573" s="46"/>
      <c r="O573" s="47"/>
      <c r="P573" s="47"/>
      <c r="Q573" s="47"/>
      <c r="R573" s="47"/>
      <c r="S573" s="47"/>
      <c r="T573" s="47"/>
    </row>
    <row r="574">
      <c r="A574" s="46"/>
      <c r="B574" s="46"/>
      <c r="C574" s="46"/>
      <c r="D574" s="46"/>
      <c r="E574" s="46"/>
      <c r="F574" s="46"/>
      <c r="G574" s="44"/>
      <c r="H574" s="46"/>
      <c r="I574" s="46"/>
      <c r="J574" s="46"/>
      <c r="K574" s="44"/>
      <c r="L574" s="52"/>
      <c r="M574" s="46"/>
      <c r="N574" s="46"/>
      <c r="O574" s="47"/>
      <c r="P574" s="47"/>
      <c r="Q574" s="47"/>
      <c r="R574" s="47"/>
      <c r="S574" s="47"/>
      <c r="T574" s="47"/>
    </row>
    <row r="575">
      <c r="A575" s="46"/>
      <c r="B575" s="46"/>
      <c r="C575" s="46"/>
      <c r="D575" s="46"/>
      <c r="E575" s="46"/>
      <c r="F575" s="46"/>
      <c r="G575" s="44"/>
      <c r="H575" s="46"/>
      <c r="I575" s="46"/>
      <c r="J575" s="46"/>
      <c r="K575" s="44"/>
      <c r="L575" s="52"/>
      <c r="M575" s="46"/>
      <c r="N575" s="46"/>
      <c r="O575" s="47"/>
      <c r="P575" s="47"/>
      <c r="Q575" s="47"/>
      <c r="R575" s="47"/>
      <c r="S575" s="47"/>
      <c r="T575" s="47"/>
    </row>
    <row r="576">
      <c r="A576" s="46"/>
      <c r="B576" s="46"/>
      <c r="C576" s="46"/>
      <c r="D576" s="46"/>
      <c r="E576" s="46"/>
      <c r="F576" s="46"/>
      <c r="G576" s="44"/>
      <c r="H576" s="46"/>
      <c r="I576" s="46"/>
      <c r="J576" s="46"/>
      <c r="K576" s="44"/>
      <c r="L576" s="52"/>
      <c r="M576" s="46"/>
      <c r="N576" s="46"/>
      <c r="O576" s="47"/>
      <c r="P576" s="47"/>
      <c r="Q576" s="47"/>
      <c r="R576" s="47"/>
      <c r="S576" s="47"/>
      <c r="T576" s="47"/>
    </row>
    <row r="577">
      <c r="A577" s="46"/>
      <c r="B577" s="46"/>
      <c r="C577" s="46"/>
      <c r="D577" s="46"/>
      <c r="E577" s="46"/>
      <c r="F577" s="46"/>
      <c r="G577" s="44"/>
      <c r="H577" s="46"/>
      <c r="I577" s="46"/>
      <c r="J577" s="46"/>
      <c r="K577" s="44"/>
      <c r="L577" s="52"/>
      <c r="M577" s="46"/>
      <c r="N577" s="46"/>
      <c r="O577" s="47"/>
      <c r="P577" s="47"/>
      <c r="Q577" s="47"/>
      <c r="R577" s="47"/>
      <c r="S577" s="47"/>
      <c r="T577" s="47"/>
    </row>
    <row r="578">
      <c r="A578" s="46"/>
      <c r="B578" s="46"/>
      <c r="C578" s="46"/>
      <c r="D578" s="46"/>
      <c r="E578" s="46"/>
      <c r="F578" s="46"/>
      <c r="G578" s="44"/>
      <c r="H578" s="46"/>
      <c r="I578" s="46"/>
      <c r="J578" s="46"/>
      <c r="K578" s="44"/>
      <c r="L578" s="52"/>
      <c r="M578" s="46"/>
      <c r="N578" s="46"/>
      <c r="O578" s="47"/>
      <c r="P578" s="47"/>
      <c r="Q578" s="47"/>
      <c r="R578" s="47"/>
      <c r="S578" s="47"/>
      <c r="T578" s="47"/>
    </row>
    <row r="579">
      <c r="A579" s="46"/>
      <c r="B579" s="46"/>
      <c r="C579" s="46"/>
      <c r="D579" s="46"/>
      <c r="E579" s="46"/>
      <c r="F579" s="46"/>
      <c r="G579" s="44"/>
      <c r="H579" s="46"/>
      <c r="I579" s="46"/>
      <c r="J579" s="46"/>
      <c r="K579" s="44"/>
      <c r="L579" s="52"/>
      <c r="M579" s="46"/>
      <c r="N579" s="46"/>
      <c r="O579" s="47"/>
      <c r="P579" s="47"/>
      <c r="Q579" s="47"/>
      <c r="R579" s="47"/>
      <c r="S579" s="47"/>
      <c r="T579" s="47"/>
    </row>
    <row r="580">
      <c r="A580" s="46"/>
      <c r="B580" s="46"/>
      <c r="C580" s="46"/>
      <c r="D580" s="46"/>
      <c r="E580" s="46"/>
      <c r="F580" s="46"/>
      <c r="G580" s="44"/>
      <c r="H580" s="46"/>
      <c r="I580" s="46"/>
      <c r="J580" s="46"/>
      <c r="K580" s="44"/>
      <c r="L580" s="52"/>
      <c r="M580" s="46"/>
      <c r="N580" s="46"/>
      <c r="O580" s="47"/>
      <c r="P580" s="47"/>
      <c r="Q580" s="47"/>
      <c r="R580" s="47"/>
      <c r="S580" s="47"/>
      <c r="T580" s="47"/>
    </row>
    <row r="581">
      <c r="A581" s="46"/>
      <c r="B581" s="46"/>
      <c r="C581" s="46"/>
      <c r="D581" s="46"/>
      <c r="E581" s="46"/>
      <c r="F581" s="46"/>
      <c r="G581" s="44"/>
      <c r="H581" s="46"/>
      <c r="I581" s="46"/>
      <c r="J581" s="46"/>
      <c r="K581" s="44"/>
      <c r="L581" s="52"/>
      <c r="M581" s="46"/>
      <c r="N581" s="46"/>
      <c r="O581" s="47"/>
      <c r="P581" s="47"/>
      <c r="Q581" s="47"/>
      <c r="R581" s="47"/>
      <c r="S581" s="47"/>
      <c r="T581" s="47"/>
    </row>
    <row r="582">
      <c r="A582" s="46"/>
      <c r="B582" s="46"/>
      <c r="C582" s="46"/>
      <c r="D582" s="46"/>
      <c r="E582" s="46"/>
      <c r="F582" s="46"/>
      <c r="G582" s="44"/>
      <c r="H582" s="46"/>
      <c r="I582" s="46"/>
      <c r="J582" s="46"/>
      <c r="K582" s="44"/>
      <c r="L582" s="52"/>
      <c r="M582" s="46"/>
      <c r="N582" s="46"/>
      <c r="O582" s="47"/>
      <c r="P582" s="47"/>
      <c r="Q582" s="47"/>
      <c r="R582" s="47"/>
      <c r="S582" s="47"/>
      <c r="T582" s="47"/>
    </row>
    <row r="583">
      <c r="A583" s="46"/>
      <c r="B583" s="46"/>
      <c r="C583" s="46"/>
      <c r="D583" s="46"/>
      <c r="E583" s="46"/>
      <c r="F583" s="46"/>
      <c r="G583" s="44"/>
      <c r="H583" s="46"/>
      <c r="I583" s="46"/>
      <c r="J583" s="46"/>
      <c r="K583" s="44"/>
      <c r="L583" s="52"/>
      <c r="M583" s="46"/>
      <c r="N583" s="46"/>
      <c r="O583" s="47"/>
      <c r="P583" s="47"/>
      <c r="Q583" s="47"/>
      <c r="R583" s="47"/>
      <c r="S583" s="47"/>
      <c r="T583" s="47"/>
    </row>
    <row r="584">
      <c r="A584" s="46"/>
      <c r="B584" s="46"/>
      <c r="C584" s="46"/>
      <c r="D584" s="46"/>
      <c r="E584" s="46"/>
      <c r="F584" s="46"/>
      <c r="G584" s="44"/>
      <c r="H584" s="46"/>
      <c r="I584" s="46"/>
      <c r="J584" s="46"/>
      <c r="K584" s="44"/>
      <c r="L584" s="52"/>
      <c r="M584" s="46"/>
      <c r="N584" s="46"/>
      <c r="O584" s="47"/>
      <c r="P584" s="47"/>
      <c r="Q584" s="47"/>
      <c r="R584" s="47"/>
      <c r="S584" s="47"/>
      <c r="T584" s="47"/>
    </row>
    <row r="585">
      <c r="A585" s="46"/>
      <c r="B585" s="46"/>
      <c r="C585" s="46"/>
      <c r="D585" s="46"/>
      <c r="E585" s="46"/>
      <c r="F585" s="46"/>
      <c r="G585" s="44"/>
      <c r="H585" s="46"/>
      <c r="I585" s="46"/>
      <c r="J585" s="46"/>
      <c r="K585" s="44"/>
      <c r="L585" s="52"/>
      <c r="M585" s="46"/>
      <c r="N585" s="46"/>
      <c r="O585" s="47"/>
      <c r="P585" s="47"/>
      <c r="Q585" s="47"/>
      <c r="R585" s="47"/>
      <c r="S585" s="47"/>
      <c r="T585" s="47"/>
    </row>
    <row r="586">
      <c r="A586" s="46"/>
      <c r="B586" s="46"/>
      <c r="C586" s="46"/>
      <c r="D586" s="46"/>
      <c r="E586" s="46"/>
      <c r="F586" s="46"/>
      <c r="G586" s="44"/>
      <c r="H586" s="46"/>
      <c r="I586" s="46"/>
      <c r="J586" s="46"/>
      <c r="K586" s="44"/>
      <c r="L586" s="52"/>
      <c r="M586" s="46"/>
      <c r="N586" s="46"/>
      <c r="O586" s="47"/>
      <c r="P586" s="47"/>
      <c r="Q586" s="47"/>
      <c r="R586" s="47"/>
      <c r="S586" s="47"/>
      <c r="T586" s="47"/>
    </row>
    <row r="587">
      <c r="A587" s="46"/>
      <c r="B587" s="46"/>
      <c r="C587" s="46"/>
      <c r="D587" s="46"/>
      <c r="E587" s="46"/>
      <c r="F587" s="46"/>
      <c r="G587" s="44"/>
      <c r="H587" s="46"/>
      <c r="I587" s="46"/>
      <c r="J587" s="46"/>
      <c r="K587" s="44"/>
      <c r="L587" s="52"/>
      <c r="M587" s="46"/>
      <c r="N587" s="46"/>
      <c r="O587" s="47"/>
      <c r="P587" s="47"/>
      <c r="Q587" s="47"/>
      <c r="R587" s="47"/>
      <c r="S587" s="47"/>
      <c r="T587" s="47"/>
    </row>
    <row r="588">
      <c r="A588" s="46"/>
      <c r="B588" s="46"/>
      <c r="C588" s="46"/>
      <c r="D588" s="46"/>
      <c r="E588" s="46"/>
      <c r="F588" s="46"/>
      <c r="G588" s="44"/>
      <c r="H588" s="46"/>
      <c r="I588" s="46"/>
      <c r="J588" s="46"/>
      <c r="K588" s="44"/>
      <c r="L588" s="52"/>
      <c r="M588" s="46"/>
      <c r="N588" s="46"/>
      <c r="O588" s="47"/>
      <c r="P588" s="47"/>
      <c r="Q588" s="47"/>
      <c r="R588" s="47"/>
      <c r="S588" s="47"/>
      <c r="T588" s="47"/>
    </row>
    <row r="589">
      <c r="A589" s="46"/>
      <c r="B589" s="46"/>
      <c r="C589" s="46"/>
      <c r="D589" s="46"/>
      <c r="E589" s="46"/>
      <c r="F589" s="46"/>
      <c r="G589" s="44"/>
      <c r="H589" s="46"/>
      <c r="I589" s="46"/>
      <c r="J589" s="46"/>
      <c r="K589" s="44"/>
      <c r="L589" s="52"/>
      <c r="M589" s="46"/>
      <c r="N589" s="46"/>
      <c r="O589" s="47"/>
      <c r="P589" s="47"/>
      <c r="Q589" s="47"/>
      <c r="R589" s="47"/>
      <c r="S589" s="47"/>
      <c r="T589" s="47"/>
    </row>
    <row r="590">
      <c r="A590" s="46"/>
      <c r="B590" s="46"/>
      <c r="C590" s="46"/>
      <c r="D590" s="46"/>
      <c r="E590" s="46"/>
      <c r="F590" s="46"/>
      <c r="G590" s="44"/>
      <c r="H590" s="46"/>
      <c r="I590" s="46"/>
      <c r="J590" s="46"/>
      <c r="K590" s="44"/>
      <c r="L590" s="52"/>
      <c r="M590" s="46"/>
      <c r="N590" s="46"/>
      <c r="O590" s="47"/>
      <c r="P590" s="47"/>
      <c r="Q590" s="47"/>
      <c r="R590" s="47"/>
      <c r="S590" s="47"/>
      <c r="T590" s="47"/>
    </row>
    <row r="591">
      <c r="A591" s="46"/>
      <c r="B591" s="46"/>
      <c r="C591" s="46"/>
      <c r="D591" s="46"/>
      <c r="E591" s="46"/>
      <c r="F591" s="46"/>
      <c r="G591" s="44"/>
      <c r="H591" s="46"/>
      <c r="I591" s="46"/>
      <c r="J591" s="46"/>
      <c r="K591" s="44"/>
      <c r="L591" s="52"/>
      <c r="M591" s="46"/>
      <c r="N591" s="46"/>
      <c r="O591" s="47"/>
      <c r="P591" s="47"/>
      <c r="Q591" s="47"/>
      <c r="R591" s="47"/>
      <c r="S591" s="47"/>
      <c r="T591" s="47"/>
    </row>
    <row r="592">
      <c r="A592" s="46"/>
      <c r="B592" s="46"/>
      <c r="C592" s="46"/>
      <c r="D592" s="46"/>
      <c r="E592" s="46"/>
      <c r="F592" s="46"/>
      <c r="G592" s="44"/>
      <c r="H592" s="46"/>
      <c r="I592" s="46"/>
      <c r="J592" s="46"/>
      <c r="K592" s="44"/>
      <c r="L592" s="52"/>
      <c r="M592" s="46"/>
      <c r="N592" s="46"/>
      <c r="O592" s="47"/>
      <c r="P592" s="47"/>
      <c r="Q592" s="47"/>
      <c r="R592" s="47"/>
      <c r="S592" s="47"/>
      <c r="T592" s="47"/>
    </row>
    <row r="593">
      <c r="A593" s="46"/>
      <c r="B593" s="46"/>
      <c r="C593" s="46"/>
      <c r="D593" s="46"/>
      <c r="E593" s="46"/>
      <c r="F593" s="46"/>
      <c r="G593" s="44"/>
      <c r="H593" s="46"/>
      <c r="I593" s="46"/>
      <c r="J593" s="46"/>
      <c r="K593" s="44"/>
      <c r="L593" s="52"/>
      <c r="M593" s="46"/>
      <c r="N593" s="46"/>
      <c r="O593" s="47"/>
      <c r="P593" s="47"/>
      <c r="Q593" s="47"/>
      <c r="R593" s="47"/>
      <c r="S593" s="47"/>
      <c r="T593" s="47"/>
    </row>
    <row r="594">
      <c r="A594" s="46"/>
      <c r="B594" s="46"/>
      <c r="C594" s="46"/>
      <c r="D594" s="46"/>
      <c r="E594" s="46"/>
      <c r="F594" s="46"/>
      <c r="G594" s="44"/>
      <c r="H594" s="46"/>
      <c r="I594" s="46"/>
      <c r="J594" s="46"/>
      <c r="K594" s="44"/>
      <c r="L594" s="52"/>
      <c r="M594" s="46"/>
      <c r="N594" s="46"/>
      <c r="O594" s="47"/>
      <c r="P594" s="47"/>
      <c r="Q594" s="47"/>
      <c r="R594" s="47"/>
      <c r="S594" s="47"/>
      <c r="T594" s="47"/>
    </row>
    <row r="595">
      <c r="A595" s="46"/>
      <c r="B595" s="46"/>
      <c r="C595" s="46"/>
      <c r="D595" s="46"/>
      <c r="E595" s="46"/>
      <c r="F595" s="46"/>
      <c r="G595" s="44"/>
      <c r="H595" s="46"/>
      <c r="I595" s="46"/>
      <c r="J595" s="46"/>
      <c r="K595" s="44"/>
      <c r="L595" s="52"/>
      <c r="M595" s="46"/>
      <c r="N595" s="46"/>
      <c r="O595" s="47"/>
      <c r="P595" s="47"/>
      <c r="Q595" s="47"/>
      <c r="R595" s="47"/>
      <c r="S595" s="47"/>
      <c r="T595" s="47"/>
    </row>
    <row r="596">
      <c r="A596" s="46"/>
      <c r="B596" s="46"/>
      <c r="C596" s="46"/>
      <c r="D596" s="46"/>
      <c r="E596" s="46"/>
      <c r="F596" s="46"/>
      <c r="G596" s="44"/>
      <c r="H596" s="46"/>
      <c r="I596" s="46"/>
      <c r="J596" s="46"/>
      <c r="K596" s="44"/>
      <c r="L596" s="52"/>
      <c r="M596" s="46"/>
      <c r="N596" s="46"/>
      <c r="O596" s="47"/>
      <c r="P596" s="47"/>
      <c r="Q596" s="47"/>
      <c r="R596" s="47"/>
      <c r="S596" s="47"/>
      <c r="T596" s="47"/>
    </row>
    <row r="597">
      <c r="A597" s="46"/>
      <c r="B597" s="46"/>
      <c r="C597" s="46"/>
      <c r="D597" s="46"/>
      <c r="E597" s="46"/>
      <c r="F597" s="46"/>
      <c r="G597" s="44"/>
      <c r="H597" s="46"/>
      <c r="I597" s="46"/>
      <c r="J597" s="46"/>
      <c r="K597" s="44"/>
      <c r="L597" s="52"/>
      <c r="M597" s="46"/>
      <c r="N597" s="46"/>
      <c r="O597" s="47"/>
      <c r="P597" s="47"/>
      <c r="Q597" s="47"/>
      <c r="R597" s="47"/>
      <c r="S597" s="47"/>
      <c r="T597" s="47"/>
    </row>
    <row r="598">
      <c r="A598" s="46"/>
      <c r="B598" s="46"/>
      <c r="C598" s="46"/>
      <c r="D598" s="46"/>
      <c r="E598" s="46"/>
      <c r="F598" s="46"/>
      <c r="G598" s="44"/>
      <c r="H598" s="46"/>
      <c r="I598" s="46"/>
      <c r="J598" s="46"/>
      <c r="K598" s="44"/>
      <c r="L598" s="52"/>
      <c r="M598" s="46"/>
      <c r="N598" s="46"/>
      <c r="O598" s="47"/>
      <c r="P598" s="47"/>
      <c r="Q598" s="47"/>
      <c r="R598" s="47"/>
      <c r="S598" s="47"/>
      <c r="T598" s="47"/>
    </row>
    <row r="599">
      <c r="A599" s="46"/>
      <c r="B599" s="46"/>
      <c r="C599" s="46"/>
      <c r="D599" s="46"/>
      <c r="E599" s="46"/>
      <c r="F599" s="46"/>
      <c r="G599" s="44"/>
      <c r="H599" s="46"/>
      <c r="I599" s="46"/>
      <c r="J599" s="46"/>
      <c r="K599" s="44"/>
      <c r="L599" s="52"/>
      <c r="M599" s="46"/>
      <c r="N599" s="46"/>
      <c r="O599" s="47"/>
      <c r="P599" s="47"/>
      <c r="Q599" s="47"/>
      <c r="R599" s="47"/>
      <c r="S599" s="47"/>
      <c r="T599" s="47"/>
    </row>
    <row r="600">
      <c r="A600" s="46"/>
      <c r="B600" s="46"/>
      <c r="C600" s="46"/>
      <c r="D600" s="46"/>
      <c r="E600" s="46"/>
      <c r="F600" s="46"/>
      <c r="G600" s="44"/>
      <c r="H600" s="46"/>
      <c r="I600" s="46"/>
      <c r="J600" s="46"/>
      <c r="K600" s="44"/>
      <c r="L600" s="52"/>
      <c r="M600" s="46"/>
      <c r="N600" s="46"/>
      <c r="O600" s="47"/>
      <c r="P600" s="47"/>
      <c r="Q600" s="47"/>
      <c r="R600" s="47"/>
      <c r="S600" s="47"/>
      <c r="T600" s="47"/>
    </row>
    <row r="601">
      <c r="A601" s="46"/>
      <c r="B601" s="46"/>
      <c r="C601" s="46"/>
      <c r="D601" s="46"/>
      <c r="E601" s="46"/>
      <c r="F601" s="46"/>
      <c r="G601" s="44"/>
      <c r="H601" s="46"/>
      <c r="I601" s="46"/>
      <c r="J601" s="46"/>
      <c r="K601" s="44"/>
      <c r="L601" s="52"/>
      <c r="M601" s="46"/>
      <c r="N601" s="46"/>
      <c r="O601" s="47"/>
      <c r="P601" s="47"/>
      <c r="Q601" s="47"/>
      <c r="R601" s="47"/>
      <c r="S601" s="47"/>
      <c r="T601" s="47"/>
    </row>
    <row r="602">
      <c r="A602" s="46"/>
      <c r="B602" s="46"/>
      <c r="C602" s="46"/>
      <c r="D602" s="46"/>
      <c r="E602" s="46"/>
      <c r="F602" s="46"/>
      <c r="G602" s="44"/>
      <c r="H602" s="46"/>
      <c r="I602" s="46"/>
      <c r="J602" s="46"/>
      <c r="K602" s="44"/>
      <c r="L602" s="52"/>
      <c r="M602" s="46"/>
      <c r="N602" s="46"/>
      <c r="O602" s="47"/>
      <c r="P602" s="47"/>
      <c r="Q602" s="47"/>
      <c r="R602" s="47"/>
      <c r="S602" s="47"/>
      <c r="T602" s="47"/>
    </row>
    <row r="603">
      <c r="A603" s="46"/>
      <c r="B603" s="46"/>
      <c r="C603" s="46"/>
      <c r="D603" s="46"/>
      <c r="E603" s="46"/>
      <c r="F603" s="46"/>
      <c r="G603" s="44"/>
      <c r="H603" s="46"/>
      <c r="I603" s="46"/>
      <c r="J603" s="46"/>
      <c r="K603" s="44"/>
      <c r="L603" s="52"/>
      <c r="M603" s="46"/>
      <c r="N603" s="46"/>
      <c r="O603" s="47"/>
      <c r="P603" s="47"/>
      <c r="Q603" s="47"/>
      <c r="R603" s="47"/>
      <c r="S603" s="47"/>
      <c r="T603" s="47"/>
    </row>
    <row r="604">
      <c r="A604" s="46"/>
      <c r="B604" s="46"/>
      <c r="C604" s="46"/>
      <c r="D604" s="46"/>
      <c r="E604" s="46"/>
      <c r="F604" s="46"/>
      <c r="G604" s="44"/>
      <c r="H604" s="46"/>
      <c r="I604" s="46"/>
      <c r="J604" s="46"/>
      <c r="K604" s="44"/>
      <c r="L604" s="52"/>
      <c r="M604" s="46"/>
      <c r="N604" s="46"/>
      <c r="O604" s="47"/>
      <c r="P604" s="47"/>
      <c r="Q604" s="47"/>
      <c r="R604" s="47"/>
      <c r="S604" s="47"/>
      <c r="T604" s="47"/>
    </row>
    <row r="605">
      <c r="A605" s="46"/>
      <c r="B605" s="46"/>
      <c r="C605" s="46"/>
      <c r="D605" s="46"/>
      <c r="E605" s="46"/>
      <c r="F605" s="46"/>
      <c r="G605" s="44"/>
      <c r="H605" s="46"/>
      <c r="I605" s="46"/>
      <c r="J605" s="46"/>
      <c r="K605" s="44"/>
      <c r="L605" s="52"/>
      <c r="M605" s="46"/>
      <c r="N605" s="46"/>
      <c r="O605" s="47"/>
      <c r="P605" s="47"/>
      <c r="Q605" s="47"/>
      <c r="R605" s="47"/>
      <c r="S605" s="47"/>
      <c r="T605" s="47"/>
    </row>
    <row r="606">
      <c r="A606" s="46"/>
      <c r="B606" s="46"/>
      <c r="C606" s="46"/>
      <c r="D606" s="46"/>
      <c r="E606" s="46"/>
      <c r="F606" s="46"/>
      <c r="G606" s="44"/>
      <c r="H606" s="46"/>
      <c r="I606" s="46"/>
      <c r="J606" s="46"/>
      <c r="K606" s="44"/>
      <c r="L606" s="52"/>
      <c r="M606" s="46"/>
      <c r="N606" s="46"/>
      <c r="O606" s="47"/>
      <c r="P606" s="47"/>
      <c r="Q606" s="47"/>
      <c r="R606" s="47"/>
      <c r="S606" s="47"/>
      <c r="T606" s="47"/>
    </row>
    <row r="607">
      <c r="A607" s="46"/>
      <c r="B607" s="46"/>
      <c r="C607" s="46"/>
      <c r="D607" s="46"/>
      <c r="E607" s="46"/>
      <c r="F607" s="46"/>
      <c r="G607" s="44"/>
      <c r="H607" s="46"/>
      <c r="I607" s="46"/>
      <c r="J607" s="46"/>
      <c r="K607" s="44"/>
      <c r="L607" s="52"/>
      <c r="M607" s="46"/>
      <c r="N607" s="46"/>
      <c r="O607" s="47"/>
      <c r="P607" s="47"/>
      <c r="Q607" s="47"/>
      <c r="R607" s="47"/>
      <c r="S607" s="47"/>
      <c r="T607" s="47"/>
    </row>
    <row r="608">
      <c r="A608" s="46"/>
      <c r="B608" s="46"/>
      <c r="C608" s="46"/>
      <c r="D608" s="46"/>
      <c r="E608" s="46"/>
      <c r="F608" s="46"/>
      <c r="G608" s="44"/>
      <c r="H608" s="46"/>
      <c r="I608" s="46"/>
      <c r="J608" s="46"/>
      <c r="K608" s="44"/>
      <c r="L608" s="52"/>
      <c r="M608" s="46"/>
      <c r="N608" s="46"/>
      <c r="O608" s="47"/>
      <c r="P608" s="47"/>
      <c r="Q608" s="47"/>
      <c r="R608" s="47"/>
      <c r="S608" s="47"/>
      <c r="T608" s="47"/>
    </row>
    <row r="609">
      <c r="A609" s="46"/>
      <c r="B609" s="46"/>
      <c r="C609" s="46"/>
      <c r="D609" s="46"/>
      <c r="E609" s="46"/>
      <c r="F609" s="46"/>
      <c r="G609" s="44"/>
      <c r="H609" s="46"/>
      <c r="I609" s="46"/>
      <c r="J609" s="46"/>
      <c r="K609" s="44"/>
      <c r="L609" s="52"/>
      <c r="M609" s="46"/>
      <c r="N609" s="46"/>
      <c r="O609" s="47"/>
      <c r="P609" s="47"/>
      <c r="Q609" s="47"/>
      <c r="R609" s="47"/>
      <c r="S609" s="47"/>
      <c r="T609" s="47"/>
    </row>
    <row r="610">
      <c r="A610" s="46"/>
      <c r="B610" s="46"/>
      <c r="C610" s="46"/>
      <c r="D610" s="46"/>
      <c r="E610" s="46"/>
      <c r="F610" s="46"/>
      <c r="G610" s="44"/>
      <c r="H610" s="46"/>
      <c r="I610" s="46"/>
      <c r="J610" s="46"/>
      <c r="K610" s="44"/>
      <c r="L610" s="52"/>
      <c r="M610" s="46"/>
      <c r="N610" s="46"/>
      <c r="O610" s="47"/>
      <c r="P610" s="47"/>
      <c r="Q610" s="47"/>
      <c r="R610" s="47"/>
      <c r="S610" s="47"/>
      <c r="T610" s="47"/>
    </row>
    <row r="611">
      <c r="A611" s="46"/>
      <c r="B611" s="46"/>
      <c r="C611" s="46"/>
      <c r="D611" s="46"/>
      <c r="E611" s="46"/>
      <c r="F611" s="46"/>
      <c r="G611" s="44"/>
      <c r="H611" s="46"/>
      <c r="I611" s="46"/>
      <c r="J611" s="46"/>
      <c r="K611" s="44"/>
      <c r="L611" s="52"/>
      <c r="M611" s="46"/>
      <c r="N611" s="46"/>
      <c r="O611" s="47"/>
      <c r="P611" s="47"/>
      <c r="Q611" s="47"/>
      <c r="R611" s="47"/>
      <c r="S611" s="47"/>
      <c r="T611" s="47"/>
    </row>
    <row r="612">
      <c r="A612" s="46"/>
      <c r="B612" s="46"/>
      <c r="C612" s="46"/>
      <c r="D612" s="46"/>
      <c r="E612" s="46"/>
      <c r="F612" s="46"/>
      <c r="G612" s="44"/>
      <c r="H612" s="46"/>
      <c r="I612" s="46"/>
      <c r="J612" s="46"/>
      <c r="K612" s="44"/>
      <c r="L612" s="52"/>
      <c r="M612" s="46"/>
      <c r="N612" s="46"/>
      <c r="O612" s="47"/>
      <c r="P612" s="47"/>
      <c r="Q612" s="47"/>
      <c r="R612" s="47"/>
      <c r="S612" s="47"/>
      <c r="T612" s="47"/>
    </row>
    <row r="613">
      <c r="A613" s="46"/>
      <c r="B613" s="46"/>
      <c r="C613" s="46"/>
      <c r="D613" s="46"/>
      <c r="E613" s="46"/>
      <c r="F613" s="46"/>
      <c r="G613" s="44"/>
      <c r="H613" s="46"/>
      <c r="I613" s="46"/>
      <c r="J613" s="46"/>
      <c r="K613" s="44"/>
      <c r="L613" s="52"/>
      <c r="M613" s="46"/>
      <c r="N613" s="46"/>
      <c r="O613" s="47"/>
      <c r="P613" s="47"/>
      <c r="Q613" s="47"/>
      <c r="R613" s="47"/>
      <c r="S613" s="47"/>
      <c r="T613" s="47"/>
    </row>
    <row r="614">
      <c r="A614" s="46"/>
      <c r="B614" s="46"/>
      <c r="C614" s="46"/>
      <c r="D614" s="46"/>
      <c r="E614" s="46"/>
      <c r="F614" s="46"/>
      <c r="G614" s="44"/>
      <c r="H614" s="46"/>
      <c r="I614" s="46"/>
      <c r="J614" s="46"/>
      <c r="K614" s="44"/>
      <c r="L614" s="52"/>
      <c r="M614" s="46"/>
      <c r="N614" s="46"/>
      <c r="O614" s="47"/>
      <c r="P614" s="47"/>
      <c r="Q614" s="47"/>
      <c r="R614" s="47"/>
      <c r="S614" s="47"/>
      <c r="T614" s="47"/>
    </row>
    <row r="615">
      <c r="A615" s="46"/>
      <c r="B615" s="46"/>
      <c r="C615" s="46"/>
      <c r="D615" s="46"/>
      <c r="E615" s="46"/>
      <c r="F615" s="46"/>
      <c r="G615" s="44"/>
      <c r="H615" s="46"/>
      <c r="I615" s="46"/>
      <c r="J615" s="46"/>
      <c r="K615" s="44"/>
      <c r="L615" s="52"/>
      <c r="M615" s="46"/>
      <c r="N615" s="46"/>
      <c r="O615" s="47"/>
      <c r="P615" s="47"/>
      <c r="Q615" s="47"/>
      <c r="R615" s="47"/>
      <c r="S615" s="47"/>
      <c r="T615" s="47"/>
    </row>
    <row r="616">
      <c r="A616" s="46"/>
      <c r="B616" s="46"/>
      <c r="C616" s="46"/>
      <c r="D616" s="46"/>
      <c r="E616" s="46"/>
      <c r="F616" s="46"/>
      <c r="G616" s="44"/>
      <c r="H616" s="46"/>
      <c r="I616" s="46"/>
      <c r="J616" s="46"/>
      <c r="K616" s="44"/>
      <c r="L616" s="52"/>
      <c r="M616" s="46"/>
      <c r="N616" s="46"/>
      <c r="O616" s="47"/>
      <c r="P616" s="47"/>
      <c r="Q616" s="47"/>
      <c r="R616" s="47"/>
      <c r="S616" s="47"/>
      <c r="T616" s="47"/>
    </row>
    <row r="617">
      <c r="A617" s="46"/>
      <c r="B617" s="46"/>
      <c r="C617" s="46"/>
      <c r="D617" s="46"/>
      <c r="E617" s="46"/>
      <c r="F617" s="46"/>
      <c r="G617" s="44"/>
      <c r="H617" s="46"/>
      <c r="I617" s="46"/>
      <c r="J617" s="46"/>
      <c r="K617" s="44"/>
      <c r="L617" s="52"/>
      <c r="M617" s="46"/>
      <c r="N617" s="46"/>
      <c r="O617" s="47"/>
      <c r="P617" s="47"/>
      <c r="Q617" s="47"/>
      <c r="R617" s="47"/>
      <c r="S617" s="47"/>
      <c r="T617" s="47"/>
    </row>
    <row r="618">
      <c r="A618" s="46"/>
      <c r="B618" s="46"/>
      <c r="C618" s="46"/>
      <c r="D618" s="46"/>
      <c r="E618" s="46"/>
      <c r="F618" s="46"/>
      <c r="G618" s="44"/>
      <c r="H618" s="46"/>
      <c r="I618" s="46"/>
      <c r="J618" s="46"/>
      <c r="K618" s="44"/>
      <c r="L618" s="52"/>
      <c r="M618" s="46"/>
      <c r="N618" s="46"/>
      <c r="O618" s="47"/>
      <c r="P618" s="47"/>
      <c r="Q618" s="47"/>
      <c r="R618" s="47"/>
      <c r="S618" s="47"/>
      <c r="T618" s="47"/>
    </row>
    <row r="619">
      <c r="A619" s="46"/>
      <c r="B619" s="46"/>
      <c r="C619" s="46"/>
      <c r="D619" s="46"/>
      <c r="E619" s="46"/>
      <c r="F619" s="46"/>
      <c r="G619" s="44"/>
      <c r="H619" s="46"/>
      <c r="I619" s="46"/>
      <c r="J619" s="46"/>
      <c r="K619" s="44"/>
      <c r="L619" s="52"/>
      <c r="M619" s="46"/>
      <c r="N619" s="46"/>
      <c r="O619" s="47"/>
      <c r="P619" s="47"/>
      <c r="Q619" s="47"/>
      <c r="R619" s="47"/>
      <c r="S619" s="47"/>
      <c r="T619" s="47"/>
    </row>
    <row r="620">
      <c r="A620" s="46"/>
      <c r="B620" s="46"/>
      <c r="C620" s="46"/>
      <c r="D620" s="46"/>
      <c r="E620" s="46"/>
      <c r="F620" s="46"/>
      <c r="G620" s="44"/>
      <c r="H620" s="46"/>
      <c r="I620" s="46"/>
      <c r="J620" s="46"/>
      <c r="K620" s="44"/>
      <c r="L620" s="52"/>
      <c r="M620" s="46"/>
      <c r="N620" s="46"/>
      <c r="O620" s="47"/>
      <c r="P620" s="47"/>
      <c r="Q620" s="47"/>
      <c r="R620" s="47"/>
      <c r="S620" s="47"/>
      <c r="T620" s="47"/>
    </row>
    <row r="621">
      <c r="A621" s="46"/>
      <c r="B621" s="46"/>
      <c r="C621" s="46"/>
      <c r="D621" s="46"/>
      <c r="E621" s="46"/>
      <c r="F621" s="46"/>
      <c r="G621" s="44"/>
      <c r="H621" s="46"/>
      <c r="I621" s="46"/>
      <c r="J621" s="46"/>
      <c r="K621" s="44"/>
      <c r="L621" s="52"/>
      <c r="M621" s="46"/>
      <c r="N621" s="46"/>
      <c r="O621" s="47"/>
      <c r="P621" s="47"/>
      <c r="Q621" s="47"/>
      <c r="R621" s="47"/>
      <c r="S621" s="47"/>
      <c r="T621" s="47"/>
    </row>
    <row r="622">
      <c r="A622" s="46"/>
      <c r="B622" s="46"/>
      <c r="C622" s="46"/>
      <c r="D622" s="46"/>
      <c r="E622" s="46"/>
      <c r="F622" s="46"/>
      <c r="G622" s="44"/>
      <c r="H622" s="46"/>
      <c r="I622" s="46"/>
      <c r="J622" s="46"/>
      <c r="K622" s="44"/>
      <c r="L622" s="52"/>
      <c r="M622" s="46"/>
      <c r="N622" s="46"/>
      <c r="O622" s="47"/>
      <c r="P622" s="47"/>
      <c r="Q622" s="47"/>
      <c r="R622" s="47"/>
      <c r="S622" s="47"/>
      <c r="T622" s="47"/>
    </row>
    <row r="623">
      <c r="A623" s="46"/>
      <c r="B623" s="46"/>
      <c r="C623" s="46"/>
      <c r="D623" s="46"/>
      <c r="E623" s="46"/>
      <c r="F623" s="46"/>
      <c r="G623" s="44"/>
      <c r="H623" s="46"/>
      <c r="I623" s="46"/>
      <c r="J623" s="46"/>
      <c r="K623" s="44"/>
      <c r="L623" s="52"/>
      <c r="M623" s="46"/>
      <c r="N623" s="46"/>
      <c r="O623" s="47"/>
      <c r="P623" s="47"/>
      <c r="Q623" s="47"/>
      <c r="R623" s="47"/>
      <c r="S623" s="47"/>
      <c r="T623" s="47"/>
    </row>
    <row r="624">
      <c r="A624" s="46"/>
      <c r="B624" s="46"/>
      <c r="C624" s="46"/>
      <c r="D624" s="46"/>
      <c r="E624" s="46"/>
      <c r="F624" s="46"/>
      <c r="G624" s="44"/>
      <c r="H624" s="46"/>
      <c r="I624" s="46"/>
      <c r="J624" s="46"/>
      <c r="K624" s="44"/>
      <c r="L624" s="52"/>
      <c r="M624" s="46"/>
      <c r="N624" s="46"/>
      <c r="O624" s="47"/>
      <c r="P624" s="47"/>
      <c r="Q624" s="47"/>
      <c r="R624" s="47"/>
      <c r="S624" s="47"/>
      <c r="T624" s="47"/>
    </row>
    <row r="625">
      <c r="A625" s="46"/>
      <c r="B625" s="46"/>
      <c r="C625" s="46"/>
      <c r="D625" s="46"/>
      <c r="E625" s="46"/>
      <c r="F625" s="46"/>
      <c r="G625" s="44"/>
      <c r="H625" s="46"/>
      <c r="I625" s="46"/>
      <c r="J625" s="46"/>
      <c r="K625" s="44"/>
      <c r="L625" s="52"/>
      <c r="M625" s="46"/>
      <c r="N625" s="46"/>
      <c r="O625" s="47"/>
      <c r="P625" s="47"/>
      <c r="Q625" s="47"/>
      <c r="R625" s="47"/>
      <c r="S625" s="47"/>
      <c r="T625" s="47"/>
    </row>
    <row r="626">
      <c r="A626" s="46"/>
      <c r="B626" s="46"/>
      <c r="C626" s="46"/>
      <c r="D626" s="46"/>
      <c r="E626" s="46"/>
      <c r="F626" s="46"/>
      <c r="G626" s="44"/>
      <c r="H626" s="46"/>
      <c r="I626" s="46"/>
      <c r="J626" s="46"/>
      <c r="K626" s="44"/>
      <c r="L626" s="52"/>
      <c r="M626" s="46"/>
      <c r="N626" s="46"/>
      <c r="O626" s="47"/>
      <c r="P626" s="47"/>
      <c r="Q626" s="47"/>
      <c r="R626" s="47"/>
      <c r="S626" s="47"/>
      <c r="T626" s="47"/>
    </row>
    <row r="627">
      <c r="A627" s="46"/>
      <c r="B627" s="46"/>
      <c r="C627" s="46"/>
      <c r="D627" s="46"/>
      <c r="E627" s="46"/>
      <c r="F627" s="46"/>
      <c r="G627" s="44"/>
      <c r="H627" s="46"/>
      <c r="I627" s="46"/>
      <c r="J627" s="46"/>
      <c r="K627" s="44"/>
      <c r="L627" s="52"/>
      <c r="M627" s="46"/>
      <c r="N627" s="46"/>
      <c r="O627" s="47"/>
      <c r="P627" s="47"/>
      <c r="Q627" s="47"/>
      <c r="R627" s="47"/>
      <c r="S627" s="47"/>
      <c r="T627" s="47"/>
    </row>
    <row r="628">
      <c r="A628" s="46"/>
      <c r="B628" s="46"/>
      <c r="C628" s="46"/>
      <c r="D628" s="46"/>
      <c r="E628" s="46"/>
      <c r="F628" s="46"/>
      <c r="G628" s="44"/>
      <c r="H628" s="46"/>
      <c r="I628" s="46"/>
      <c r="J628" s="46"/>
      <c r="K628" s="44"/>
      <c r="L628" s="52"/>
      <c r="M628" s="46"/>
      <c r="N628" s="46"/>
      <c r="O628" s="47"/>
      <c r="P628" s="47"/>
      <c r="Q628" s="47"/>
      <c r="R628" s="47"/>
      <c r="S628" s="47"/>
      <c r="T628" s="47"/>
    </row>
    <row r="629">
      <c r="A629" s="46"/>
      <c r="B629" s="46"/>
      <c r="C629" s="46"/>
      <c r="D629" s="46"/>
      <c r="E629" s="46"/>
      <c r="F629" s="46"/>
      <c r="G629" s="44"/>
      <c r="H629" s="46"/>
      <c r="I629" s="46"/>
      <c r="J629" s="46"/>
      <c r="K629" s="44"/>
      <c r="L629" s="52"/>
      <c r="M629" s="46"/>
      <c r="N629" s="46"/>
      <c r="O629" s="47"/>
      <c r="P629" s="47"/>
      <c r="Q629" s="47"/>
      <c r="R629" s="47"/>
      <c r="S629" s="47"/>
      <c r="T629" s="47"/>
    </row>
    <row r="630">
      <c r="A630" s="46"/>
      <c r="B630" s="46"/>
      <c r="C630" s="46"/>
      <c r="D630" s="46"/>
      <c r="E630" s="46"/>
      <c r="F630" s="46"/>
      <c r="G630" s="44"/>
      <c r="H630" s="46"/>
      <c r="I630" s="46"/>
      <c r="J630" s="46"/>
      <c r="K630" s="44"/>
      <c r="L630" s="52"/>
      <c r="M630" s="46"/>
      <c r="N630" s="46"/>
      <c r="O630" s="47"/>
      <c r="P630" s="47"/>
      <c r="Q630" s="47"/>
      <c r="R630" s="47"/>
      <c r="S630" s="47"/>
      <c r="T630" s="47"/>
    </row>
    <row r="631">
      <c r="A631" s="46"/>
      <c r="B631" s="46"/>
      <c r="C631" s="46"/>
      <c r="D631" s="46"/>
      <c r="E631" s="46"/>
      <c r="F631" s="46"/>
      <c r="G631" s="44"/>
      <c r="H631" s="46"/>
      <c r="I631" s="46"/>
      <c r="J631" s="46"/>
      <c r="K631" s="44"/>
      <c r="L631" s="52"/>
      <c r="M631" s="46"/>
      <c r="N631" s="46"/>
      <c r="O631" s="47"/>
      <c r="P631" s="47"/>
      <c r="Q631" s="47"/>
      <c r="R631" s="47"/>
      <c r="S631" s="47"/>
      <c r="T631" s="47"/>
    </row>
    <row r="632">
      <c r="A632" s="46"/>
      <c r="B632" s="46"/>
      <c r="C632" s="46"/>
      <c r="D632" s="46"/>
      <c r="E632" s="46"/>
      <c r="F632" s="46"/>
      <c r="G632" s="44"/>
      <c r="H632" s="46"/>
      <c r="I632" s="46"/>
      <c r="J632" s="46"/>
      <c r="K632" s="44"/>
      <c r="L632" s="52"/>
      <c r="M632" s="46"/>
      <c r="N632" s="46"/>
      <c r="O632" s="47"/>
      <c r="P632" s="47"/>
      <c r="Q632" s="47"/>
      <c r="R632" s="47"/>
      <c r="S632" s="47"/>
      <c r="T632" s="47"/>
    </row>
    <row r="633">
      <c r="A633" s="46"/>
      <c r="B633" s="46"/>
      <c r="C633" s="46"/>
      <c r="D633" s="46"/>
      <c r="E633" s="46"/>
      <c r="F633" s="46"/>
      <c r="G633" s="44"/>
      <c r="H633" s="46"/>
      <c r="I633" s="46"/>
      <c r="J633" s="46"/>
      <c r="K633" s="44"/>
      <c r="L633" s="52"/>
      <c r="M633" s="46"/>
      <c r="N633" s="46"/>
      <c r="O633" s="47"/>
      <c r="P633" s="47"/>
      <c r="Q633" s="47"/>
      <c r="R633" s="47"/>
      <c r="S633" s="47"/>
      <c r="T633" s="47"/>
    </row>
    <row r="634">
      <c r="A634" s="46"/>
      <c r="B634" s="46"/>
      <c r="C634" s="46"/>
      <c r="D634" s="46"/>
      <c r="E634" s="46"/>
      <c r="F634" s="46"/>
      <c r="G634" s="44"/>
      <c r="H634" s="46"/>
      <c r="I634" s="46"/>
      <c r="J634" s="46"/>
      <c r="K634" s="44"/>
      <c r="L634" s="52"/>
      <c r="M634" s="46"/>
      <c r="N634" s="46"/>
      <c r="O634" s="47"/>
      <c r="P634" s="47"/>
      <c r="Q634" s="47"/>
      <c r="R634" s="47"/>
      <c r="S634" s="47"/>
      <c r="T634" s="47"/>
    </row>
    <row r="635">
      <c r="A635" s="46"/>
      <c r="B635" s="46"/>
      <c r="C635" s="46"/>
      <c r="D635" s="46"/>
      <c r="E635" s="46"/>
      <c r="F635" s="46"/>
      <c r="G635" s="44"/>
      <c r="H635" s="46"/>
      <c r="I635" s="46"/>
      <c r="J635" s="46"/>
      <c r="K635" s="44"/>
      <c r="L635" s="52"/>
      <c r="M635" s="46"/>
      <c r="N635" s="46"/>
      <c r="O635" s="47"/>
      <c r="P635" s="47"/>
      <c r="Q635" s="47"/>
      <c r="R635" s="47"/>
      <c r="S635" s="47"/>
      <c r="T635" s="47"/>
    </row>
    <row r="636">
      <c r="A636" s="46"/>
      <c r="B636" s="46"/>
      <c r="C636" s="46"/>
      <c r="D636" s="46"/>
      <c r="E636" s="46"/>
      <c r="F636" s="46"/>
      <c r="G636" s="44"/>
      <c r="H636" s="46"/>
      <c r="I636" s="46"/>
      <c r="J636" s="46"/>
      <c r="K636" s="44"/>
      <c r="L636" s="52"/>
      <c r="M636" s="46"/>
      <c r="N636" s="46"/>
      <c r="O636" s="47"/>
      <c r="P636" s="47"/>
      <c r="Q636" s="47"/>
      <c r="R636" s="47"/>
      <c r="S636" s="47"/>
      <c r="T636" s="47"/>
    </row>
    <row r="637">
      <c r="A637" s="46"/>
      <c r="B637" s="46"/>
      <c r="C637" s="46"/>
      <c r="D637" s="46"/>
      <c r="E637" s="46"/>
      <c r="F637" s="46"/>
      <c r="G637" s="44"/>
      <c r="H637" s="46"/>
      <c r="I637" s="46"/>
      <c r="J637" s="46"/>
      <c r="K637" s="44"/>
      <c r="L637" s="52"/>
      <c r="M637" s="46"/>
      <c r="N637" s="46"/>
      <c r="O637" s="47"/>
      <c r="P637" s="47"/>
      <c r="Q637" s="47"/>
      <c r="R637" s="47"/>
      <c r="S637" s="47"/>
      <c r="T637" s="47"/>
    </row>
    <row r="638">
      <c r="A638" s="46"/>
      <c r="B638" s="46"/>
      <c r="C638" s="46"/>
      <c r="D638" s="46"/>
      <c r="E638" s="46"/>
      <c r="F638" s="46"/>
      <c r="G638" s="44"/>
      <c r="H638" s="46"/>
      <c r="I638" s="46"/>
      <c r="J638" s="46"/>
      <c r="K638" s="44"/>
      <c r="L638" s="52"/>
      <c r="M638" s="46"/>
      <c r="N638" s="46"/>
      <c r="O638" s="47"/>
      <c r="P638" s="47"/>
      <c r="Q638" s="47"/>
      <c r="R638" s="47"/>
      <c r="S638" s="47"/>
      <c r="T638" s="47"/>
    </row>
    <row r="639">
      <c r="A639" s="46"/>
      <c r="B639" s="46"/>
      <c r="C639" s="46"/>
      <c r="D639" s="46"/>
      <c r="E639" s="46"/>
      <c r="F639" s="46"/>
      <c r="G639" s="44"/>
      <c r="H639" s="46"/>
      <c r="I639" s="46"/>
      <c r="J639" s="46"/>
      <c r="K639" s="44"/>
      <c r="L639" s="52"/>
      <c r="M639" s="46"/>
      <c r="N639" s="46"/>
      <c r="O639" s="47"/>
      <c r="P639" s="47"/>
      <c r="Q639" s="47"/>
      <c r="R639" s="47"/>
      <c r="S639" s="47"/>
      <c r="T639" s="47"/>
    </row>
    <row r="640">
      <c r="A640" s="46"/>
      <c r="B640" s="46"/>
      <c r="C640" s="46"/>
      <c r="D640" s="46"/>
      <c r="E640" s="46"/>
      <c r="F640" s="46"/>
      <c r="G640" s="44"/>
      <c r="H640" s="46"/>
      <c r="I640" s="46"/>
      <c r="J640" s="46"/>
      <c r="K640" s="44"/>
      <c r="L640" s="52"/>
      <c r="M640" s="46"/>
      <c r="N640" s="46"/>
      <c r="O640" s="47"/>
      <c r="P640" s="47"/>
      <c r="Q640" s="47"/>
      <c r="R640" s="47"/>
      <c r="S640" s="47"/>
      <c r="T640" s="47"/>
    </row>
    <row r="641">
      <c r="A641" s="46"/>
      <c r="B641" s="46"/>
      <c r="C641" s="46"/>
      <c r="D641" s="46"/>
      <c r="E641" s="46"/>
      <c r="F641" s="46"/>
      <c r="G641" s="44"/>
      <c r="H641" s="46"/>
      <c r="I641" s="46"/>
      <c r="J641" s="46"/>
      <c r="K641" s="44"/>
      <c r="L641" s="52"/>
      <c r="M641" s="46"/>
      <c r="N641" s="46"/>
      <c r="O641" s="47"/>
      <c r="P641" s="47"/>
      <c r="Q641" s="47"/>
      <c r="R641" s="47"/>
      <c r="S641" s="47"/>
      <c r="T641" s="47"/>
    </row>
    <row r="642">
      <c r="A642" s="46"/>
      <c r="B642" s="46"/>
      <c r="C642" s="46"/>
      <c r="D642" s="46"/>
      <c r="E642" s="46"/>
      <c r="F642" s="46"/>
      <c r="G642" s="44"/>
      <c r="H642" s="46"/>
      <c r="I642" s="46"/>
      <c r="J642" s="46"/>
      <c r="K642" s="44"/>
      <c r="L642" s="52"/>
      <c r="M642" s="46"/>
      <c r="N642" s="46"/>
      <c r="O642" s="47"/>
      <c r="P642" s="47"/>
      <c r="Q642" s="47"/>
      <c r="R642" s="47"/>
      <c r="S642" s="47"/>
      <c r="T642" s="47"/>
    </row>
    <row r="643">
      <c r="A643" s="46"/>
      <c r="B643" s="46"/>
      <c r="C643" s="46"/>
      <c r="D643" s="46"/>
      <c r="E643" s="46"/>
      <c r="F643" s="46"/>
      <c r="G643" s="44"/>
      <c r="H643" s="46"/>
      <c r="I643" s="46"/>
      <c r="J643" s="46"/>
      <c r="K643" s="44"/>
      <c r="L643" s="52"/>
      <c r="M643" s="46"/>
      <c r="N643" s="46"/>
      <c r="O643" s="47"/>
      <c r="P643" s="47"/>
      <c r="Q643" s="47"/>
      <c r="R643" s="47"/>
      <c r="S643" s="47"/>
      <c r="T643" s="47"/>
    </row>
    <row r="644">
      <c r="A644" s="46"/>
      <c r="B644" s="46"/>
      <c r="C644" s="46"/>
      <c r="D644" s="46"/>
      <c r="E644" s="46"/>
      <c r="F644" s="46"/>
      <c r="G644" s="44"/>
      <c r="H644" s="46"/>
      <c r="I644" s="46"/>
      <c r="J644" s="46"/>
      <c r="K644" s="44"/>
      <c r="L644" s="52"/>
      <c r="M644" s="46"/>
      <c r="N644" s="46"/>
      <c r="O644" s="47"/>
      <c r="P644" s="47"/>
      <c r="Q644" s="47"/>
      <c r="R644" s="47"/>
      <c r="S644" s="47"/>
      <c r="T644" s="47"/>
    </row>
    <row r="645">
      <c r="A645" s="46"/>
      <c r="B645" s="46"/>
      <c r="C645" s="46"/>
      <c r="D645" s="46"/>
      <c r="E645" s="46"/>
      <c r="F645" s="46"/>
      <c r="G645" s="44"/>
      <c r="H645" s="46"/>
      <c r="I645" s="46"/>
      <c r="J645" s="46"/>
      <c r="K645" s="44"/>
      <c r="L645" s="52"/>
      <c r="M645" s="46"/>
      <c r="N645" s="46"/>
      <c r="O645" s="47"/>
      <c r="P645" s="47"/>
      <c r="Q645" s="47"/>
      <c r="R645" s="47"/>
      <c r="S645" s="47"/>
      <c r="T645" s="47"/>
    </row>
    <row r="646">
      <c r="A646" s="46"/>
      <c r="B646" s="46"/>
      <c r="C646" s="46"/>
      <c r="D646" s="46"/>
      <c r="E646" s="46"/>
      <c r="F646" s="46"/>
      <c r="G646" s="44"/>
      <c r="H646" s="46"/>
      <c r="I646" s="46"/>
      <c r="J646" s="46"/>
      <c r="K646" s="44"/>
      <c r="L646" s="52"/>
      <c r="M646" s="46"/>
      <c r="N646" s="46"/>
      <c r="O646" s="47"/>
      <c r="P646" s="47"/>
      <c r="Q646" s="47"/>
      <c r="R646" s="47"/>
      <c r="S646" s="47"/>
      <c r="T646" s="47"/>
    </row>
    <row r="647">
      <c r="A647" s="46"/>
      <c r="B647" s="46"/>
      <c r="C647" s="46"/>
      <c r="D647" s="46"/>
      <c r="E647" s="46"/>
      <c r="F647" s="46"/>
      <c r="G647" s="44"/>
      <c r="H647" s="46"/>
      <c r="I647" s="46"/>
      <c r="J647" s="46"/>
      <c r="K647" s="44"/>
      <c r="L647" s="52"/>
      <c r="M647" s="46"/>
      <c r="N647" s="46"/>
      <c r="O647" s="47"/>
      <c r="P647" s="47"/>
      <c r="Q647" s="47"/>
      <c r="R647" s="47"/>
      <c r="S647" s="47"/>
      <c r="T647" s="47"/>
    </row>
    <row r="648">
      <c r="A648" s="46"/>
      <c r="B648" s="46"/>
      <c r="C648" s="46"/>
      <c r="D648" s="46"/>
      <c r="E648" s="46"/>
      <c r="F648" s="46"/>
      <c r="G648" s="44"/>
      <c r="H648" s="46"/>
      <c r="I648" s="46"/>
      <c r="J648" s="46"/>
      <c r="K648" s="44"/>
      <c r="L648" s="52"/>
      <c r="M648" s="46"/>
      <c r="N648" s="46"/>
      <c r="O648" s="47"/>
      <c r="P648" s="47"/>
      <c r="Q648" s="47"/>
      <c r="R648" s="47"/>
      <c r="S648" s="47"/>
      <c r="T648" s="47"/>
    </row>
    <row r="649">
      <c r="A649" s="46"/>
      <c r="B649" s="46"/>
      <c r="C649" s="46"/>
      <c r="D649" s="46"/>
      <c r="E649" s="46"/>
      <c r="F649" s="46"/>
      <c r="G649" s="44"/>
      <c r="H649" s="46"/>
      <c r="I649" s="46"/>
      <c r="J649" s="46"/>
      <c r="K649" s="44"/>
      <c r="L649" s="52"/>
      <c r="M649" s="46"/>
      <c r="N649" s="46"/>
      <c r="O649" s="47"/>
      <c r="P649" s="47"/>
      <c r="Q649" s="47"/>
      <c r="R649" s="47"/>
      <c r="S649" s="47"/>
      <c r="T649" s="47"/>
    </row>
    <row r="650">
      <c r="A650" s="46"/>
      <c r="B650" s="46"/>
      <c r="C650" s="46"/>
      <c r="D650" s="46"/>
      <c r="E650" s="46"/>
      <c r="F650" s="46"/>
      <c r="G650" s="44"/>
      <c r="H650" s="46"/>
      <c r="I650" s="46"/>
      <c r="J650" s="46"/>
      <c r="K650" s="44"/>
      <c r="L650" s="52"/>
      <c r="M650" s="46"/>
      <c r="N650" s="46"/>
      <c r="O650" s="47"/>
      <c r="P650" s="47"/>
      <c r="Q650" s="47"/>
      <c r="R650" s="47"/>
      <c r="S650" s="47"/>
      <c r="T650" s="47"/>
    </row>
    <row r="651">
      <c r="A651" s="46"/>
      <c r="B651" s="46"/>
      <c r="C651" s="46"/>
      <c r="D651" s="46"/>
      <c r="E651" s="46"/>
      <c r="F651" s="46"/>
      <c r="G651" s="44"/>
      <c r="H651" s="46"/>
      <c r="I651" s="46"/>
      <c r="J651" s="46"/>
      <c r="K651" s="44"/>
      <c r="L651" s="52"/>
      <c r="M651" s="46"/>
      <c r="N651" s="46"/>
      <c r="O651" s="47"/>
      <c r="P651" s="47"/>
      <c r="Q651" s="47"/>
      <c r="R651" s="47"/>
      <c r="S651" s="47"/>
      <c r="T651" s="47"/>
    </row>
    <row r="652">
      <c r="A652" s="46"/>
      <c r="B652" s="46"/>
      <c r="C652" s="46"/>
      <c r="D652" s="46"/>
      <c r="E652" s="46"/>
      <c r="F652" s="46"/>
      <c r="G652" s="44"/>
      <c r="H652" s="46"/>
      <c r="I652" s="46"/>
      <c r="J652" s="46"/>
      <c r="K652" s="44"/>
      <c r="L652" s="52"/>
      <c r="M652" s="46"/>
      <c r="N652" s="46"/>
      <c r="O652" s="47"/>
      <c r="P652" s="47"/>
      <c r="Q652" s="47"/>
      <c r="R652" s="47"/>
      <c r="S652" s="47"/>
      <c r="T652" s="47"/>
    </row>
    <row r="653">
      <c r="A653" s="46"/>
      <c r="B653" s="46"/>
      <c r="C653" s="46"/>
      <c r="D653" s="46"/>
      <c r="E653" s="46"/>
      <c r="F653" s="46"/>
      <c r="G653" s="44"/>
      <c r="H653" s="46"/>
      <c r="I653" s="46"/>
      <c r="J653" s="46"/>
      <c r="K653" s="44"/>
      <c r="L653" s="52"/>
      <c r="M653" s="46"/>
      <c r="N653" s="46"/>
      <c r="O653" s="47"/>
      <c r="P653" s="47"/>
      <c r="Q653" s="47"/>
      <c r="R653" s="47"/>
      <c r="S653" s="47"/>
      <c r="T653" s="47"/>
    </row>
    <row r="654">
      <c r="A654" s="46"/>
      <c r="B654" s="46"/>
      <c r="C654" s="46"/>
      <c r="D654" s="46"/>
      <c r="E654" s="46"/>
      <c r="F654" s="46"/>
      <c r="G654" s="44"/>
      <c r="H654" s="46"/>
      <c r="I654" s="46"/>
      <c r="J654" s="46"/>
      <c r="K654" s="44"/>
      <c r="L654" s="52"/>
      <c r="M654" s="46"/>
      <c r="N654" s="46"/>
      <c r="O654" s="47"/>
      <c r="P654" s="47"/>
      <c r="Q654" s="47"/>
      <c r="R654" s="47"/>
      <c r="S654" s="47"/>
      <c r="T654" s="47"/>
    </row>
    <row r="655">
      <c r="A655" s="46"/>
      <c r="B655" s="46"/>
      <c r="C655" s="46"/>
      <c r="D655" s="46"/>
      <c r="E655" s="46"/>
      <c r="F655" s="46"/>
      <c r="G655" s="44"/>
      <c r="H655" s="46"/>
      <c r="I655" s="46"/>
      <c r="J655" s="46"/>
      <c r="K655" s="44"/>
      <c r="L655" s="52"/>
      <c r="M655" s="46"/>
      <c r="N655" s="46"/>
      <c r="O655" s="47"/>
      <c r="P655" s="47"/>
      <c r="Q655" s="47"/>
      <c r="R655" s="47"/>
      <c r="S655" s="47"/>
      <c r="T655" s="47"/>
    </row>
    <row r="656">
      <c r="A656" s="46"/>
      <c r="B656" s="46"/>
      <c r="C656" s="46"/>
      <c r="D656" s="46"/>
      <c r="E656" s="46"/>
      <c r="F656" s="46"/>
      <c r="G656" s="44"/>
      <c r="H656" s="46"/>
      <c r="I656" s="46"/>
      <c r="J656" s="46"/>
      <c r="K656" s="44"/>
      <c r="L656" s="52"/>
      <c r="M656" s="46"/>
      <c r="N656" s="46"/>
      <c r="O656" s="47"/>
      <c r="P656" s="47"/>
      <c r="Q656" s="47"/>
      <c r="R656" s="47"/>
      <c r="S656" s="47"/>
      <c r="T656" s="47"/>
    </row>
    <row r="657">
      <c r="A657" s="46"/>
      <c r="B657" s="46"/>
      <c r="C657" s="46"/>
      <c r="D657" s="46"/>
      <c r="E657" s="46"/>
      <c r="F657" s="46"/>
      <c r="G657" s="44"/>
      <c r="H657" s="46"/>
      <c r="I657" s="46"/>
      <c r="J657" s="46"/>
      <c r="K657" s="44"/>
      <c r="L657" s="52"/>
      <c r="M657" s="46"/>
      <c r="N657" s="46"/>
      <c r="O657" s="47"/>
      <c r="P657" s="47"/>
      <c r="Q657" s="47"/>
      <c r="R657" s="47"/>
      <c r="S657" s="47"/>
      <c r="T657" s="47"/>
    </row>
    <row r="658">
      <c r="A658" s="46"/>
      <c r="B658" s="46"/>
      <c r="C658" s="46"/>
      <c r="D658" s="46"/>
      <c r="E658" s="46"/>
      <c r="F658" s="46"/>
      <c r="G658" s="44"/>
      <c r="H658" s="46"/>
      <c r="I658" s="46"/>
      <c r="J658" s="46"/>
      <c r="K658" s="44"/>
      <c r="L658" s="52"/>
      <c r="M658" s="46"/>
      <c r="N658" s="46"/>
      <c r="O658" s="47"/>
      <c r="P658" s="47"/>
      <c r="Q658" s="47"/>
      <c r="R658" s="47"/>
      <c r="S658" s="47"/>
      <c r="T658" s="47"/>
    </row>
    <row r="659">
      <c r="A659" s="46"/>
      <c r="B659" s="46"/>
      <c r="C659" s="46"/>
      <c r="D659" s="46"/>
      <c r="E659" s="46"/>
      <c r="F659" s="46"/>
      <c r="G659" s="44"/>
      <c r="H659" s="46"/>
      <c r="I659" s="46"/>
      <c r="J659" s="46"/>
      <c r="K659" s="44"/>
      <c r="L659" s="52"/>
      <c r="M659" s="46"/>
      <c r="N659" s="46"/>
      <c r="O659" s="47"/>
      <c r="P659" s="47"/>
      <c r="Q659" s="47"/>
      <c r="R659" s="47"/>
      <c r="S659" s="47"/>
      <c r="T659" s="47"/>
    </row>
    <row r="660">
      <c r="A660" s="46"/>
      <c r="B660" s="46"/>
      <c r="C660" s="46"/>
      <c r="D660" s="46"/>
      <c r="E660" s="46"/>
      <c r="F660" s="46"/>
      <c r="G660" s="44"/>
      <c r="H660" s="46"/>
      <c r="I660" s="46"/>
      <c r="J660" s="46"/>
      <c r="K660" s="44"/>
      <c r="L660" s="52"/>
      <c r="M660" s="46"/>
      <c r="N660" s="46"/>
      <c r="O660" s="47"/>
      <c r="P660" s="47"/>
      <c r="Q660" s="47"/>
      <c r="R660" s="47"/>
      <c r="S660" s="47"/>
      <c r="T660" s="47"/>
    </row>
    <row r="661">
      <c r="A661" s="46"/>
      <c r="B661" s="46"/>
      <c r="C661" s="46"/>
      <c r="D661" s="46"/>
      <c r="E661" s="46"/>
      <c r="F661" s="46"/>
      <c r="G661" s="44"/>
      <c r="H661" s="46"/>
      <c r="I661" s="46"/>
      <c r="J661" s="46"/>
      <c r="K661" s="44"/>
      <c r="L661" s="52"/>
      <c r="M661" s="46"/>
      <c r="N661" s="46"/>
      <c r="O661" s="47"/>
      <c r="P661" s="47"/>
      <c r="Q661" s="47"/>
      <c r="R661" s="47"/>
      <c r="S661" s="47"/>
      <c r="T661" s="47"/>
    </row>
    <row r="662">
      <c r="A662" s="46"/>
      <c r="B662" s="46"/>
      <c r="C662" s="46"/>
      <c r="D662" s="46"/>
      <c r="E662" s="46"/>
      <c r="F662" s="46"/>
      <c r="G662" s="44"/>
      <c r="H662" s="46"/>
      <c r="I662" s="46"/>
      <c r="J662" s="46"/>
      <c r="K662" s="44"/>
      <c r="L662" s="52"/>
      <c r="M662" s="46"/>
      <c r="N662" s="46"/>
      <c r="O662" s="47"/>
      <c r="P662" s="47"/>
      <c r="Q662" s="47"/>
      <c r="R662" s="47"/>
      <c r="S662" s="47"/>
      <c r="T662" s="47"/>
    </row>
    <row r="663">
      <c r="A663" s="46"/>
      <c r="B663" s="46"/>
      <c r="C663" s="46"/>
      <c r="D663" s="46"/>
      <c r="E663" s="46"/>
      <c r="F663" s="46"/>
      <c r="G663" s="44"/>
      <c r="H663" s="46"/>
      <c r="I663" s="46"/>
      <c r="J663" s="46"/>
      <c r="K663" s="44"/>
      <c r="L663" s="52"/>
      <c r="M663" s="46"/>
      <c r="N663" s="46"/>
      <c r="O663" s="47"/>
      <c r="P663" s="47"/>
      <c r="Q663" s="47"/>
      <c r="R663" s="47"/>
      <c r="S663" s="47"/>
      <c r="T663" s="47"/>
    </row>
    <row r="664">
      <c r="A664" s="46"/>
      <c r="B664" s="46"/>
      <c r="C664" s="46"/>
      <c r="D664" s="46"/>
      <c r="E664" s="46"/>
      <c r="F664" s="46"/>
      <c r="G664" s="44"/>
      <c r="H664" s="46"/>
      <c r="I664" s="46"/>
      <c r="J664" s="46"/>
      <c r="K664" s="44"/>
      <c r="L664" s="52"/>
      <c r="M664" s="46"/>
      <c r="N664" s="46"/>
      <c r="O664" s="47"/>
      <c r="P664" s="47"/>
      <c r="Q664" s="47"/>
      <c r="R664" s="47"/>
      <c r="S664" s="47"/>
      <c r="T664" s="47"/>
    </row>
    <row r="665">
      <c r="A665" s="46"/>
      <c r="B665" s="46"/>
      <c r="C665" s="46"/>
      <c r="D665" s="46"/>
      <c r="E665" s="46"/>
      <c r="F665" s="46"/>
      <c r="G665" s="44"/>
      <c r="H665" s="46"/>
      <c r="I665" s="46"/>
      <c r="J665" s="46"/>
      <c r="K665" s="44"/>
      <c r="L665" s="52"/>
      <c r="M665" s="46"/>
      <c r="N665" s="46"/>
      <c r="O665" s="47"/>
      <c r="P665" s="47"/>
      <c r="Q665" s="47"/>
      <c r="R665" s="47"/>
      <c r="S665" s="47"/>
      <c r="T665" s="47"/>
    </row>
    <row r="666">
      <c r="A666" s="46"/>
      <c r="B666" s="46"/>
      <c r="C666" s="46"/>
      <c r="D666" s="46"/>
      <c r="E666" s="46"/>
      <c r="F666" s="46"/>
      <c r="G666" s="44"/>
      <c r="H666" s="46"/>
      <c r="I666" s="46"/>
      <c r="J666" s="46"/>
      <c r="K666" s="44"/>
      <c r="L666" s="52"/>
      <c r="M666" s="46"/>
      <c r="N666" s="46"/>
      <c r="O666" s="47"/>
      <c r="P666" s="47"/>
      <c r="Q666" s="47"/>
      <c r="R666" s="47"/>
      <c r="S666" s="47"/>
      <c r="T666" s="47"/>
    </row>
    <row r="667">
      <c r="A667" s="46"/>
      <c r="B667" s="46"/>
      <c r="C667" s="46"/>
      <c r="D667" s="46"/>
      <c r="E667" s="46"/>
      <c r="F667" s="46"/>
      <c r="G667" s="44"/>
      <c r="H667" s="46"/>
      <c r="I667" s="46"/>
      <c r="J667" s="46"/>
      <c r="K667" s="44"/>
      <c r="L667" s="52"/>
      <c r="M667" s="46"/>
      <c r="N667" s="46"/>
      <c r="O667" s="47"/>
      <c r="P667" s="47"/>
      <c r="Q667" s="47"/>
      <c r="R667" s="47"/>
      <c r="S667" s="47"/>
      <c r="T667" s="47"/>
    </row>
    <row r="668">
      <c r="A668" s="46"/>
      <c r="B668" s="46"/>
      <c r="C668" s="46"/>
      <c r="D668" s="46"/>
      <c r="E668" s="46"/>
      <c r="F668" s="46"/>
      <c r="G668" s="44"/>
      <c r="H668" s="46"/>
      <c r="I668" s="46"/>
      <c r="J668" s="46"/>
      <c r="K668" s="44"/>
      <c r="L668" s="52"/>
      <c r="M668" s="46"/>
      <c r="N668" s="46"/>
      <c r="O668" s="47"/>
      <c r="P668" s="47"/>
      <c r="Q668" s="47"/>
      <c r="R668" s="47"/>
      <c r="S668" s="47"/>
      <c r="T668" s="47"/>
    </row>
    <row r="669">
      <c r="A669" s="46"/>
      <c r="B669" s="46"/>
      <c r="C669" s="46"/>
      <c r="D669" s="46"/>
      <c r="E669" s="46"/>
      <c r="F669" s="46"/>
      <c r="G669" s="44"/>
      <c r="H669" s="46"/>
      <c r="I669" s="46"/>
      <c r="J669" s="46"/>
      <c r="K669" s="44"/>
      <c r="L669" s="52"/>
      <c r="M669" s="46"/>
      <c r="N669" s="46"/>
      <c r="O669" s="47"/>
      <c r="P669" s="47"/>
      <c r="Q669" s="47"/>
      <c r="R669" s="47"/>
      <c r="S669" s="47"/>
      <c r="T669" s="47"/>
    </row>
    <row r="670">
      <c r="A670" s="46"/>
      <c r="B670" s="46"/>
      <c r="C670" s="46"/>
      <c r="D670" s="46"/>
      <c r="E670" s="46"/>
      <c r="F670" s="46"/>
      <c r="G670" s="44"/>
      <c r="H670" s="46"/>
      <c r="I670" s="46"/>
      <c r="J670" s="46"/>
      <c r="K670" s="44"/>
      <c r="L670" s="52"/>
      <c r="M670" s="46"/>
      <c r="N670" s="46"/>
      <c r="O670" s="47"/>
      <c r="P670" s="47"/>
      <c r="Q670" s="47"/>
      <c r="R670" s="47"/>
      <c r="S670" s="47"/>
      <c r="T670" s="47"/>
    </row>
    <row r="671">
      <c r="A671" s="46"/>
      <c r="B671" s="46"/>
      <c r="C671" s="46"/>
      <c r="D671" s="46"/>
      <c r="E671" s="46"/>
      <c r="F671" s="46"/>
      <c r="G671" s="44"/>
      <c r="H671" s="46"/>
      <c r="I671" s="46"/>
      <c r="J671" s="46"/>
      <c r="K671" s="44"/>
      <c r="L671" s="52"/>
      <c r="M671" s="46"/>
      <c r="N671" s="46"/>
      <c r="O671" s="47"/>
      <c r="P671" s="47"/>
      <c r="Q671" s="47"/>
      <c r="R671" s="47"/>
      <c r="S671" s="47"/>
      <c r="T671" s="47"/>
    </row>
    <row r="672">
      <c r="A672" s="46"/>
      <c r="B672" s="46"/>
      <c r="C672" s="46"/>
      <c r="D672" s="46"/>
      <c r="E672" s="46"/>
      <c r="F672" s="46"/>
      <c r="G672" s="44"/>
      <c r="H672" s="46"/>
      <c r="I672" s="46"/>
      <c r="J672" s="46"/>
      <c r="K672" s="44"/>
      <c r="L672" s="52"/>
      <c r="M672" s="46"/>
      <c r="N672" s="46"/>
      <c r="O672" s="47"/>
      <c r="P672" s="47"/>
      <c r="Q672" s="47"/>
      <c r="R672" s="47"/>
      <c r="S672" s="47"/>
      <c r="T672" s="47"/>
    </row>
    <row r="673">
      <c r="A673" s="46"/>
      <c r="B673" s="46"/>
      <c r="C673" s="46"/>
      <c r="D673" s="46"/>
      <c r="E673" s="46"/>
      <c r="F673" s="46"/>
      <c r="G673" s="44"/>
      <c r="H673" s="46"/>
      <c r="I673" s="46"/>
      <c r="J673" s="46"/>
      <c r="K673" s="44"/>
      <c r="L673" s="52"/>
      <c r="M673" s="46"/>
      <c r="N673" s="46"/>
      <c r="O673" s="47"/>
      <c r="P673" s="47"/>
      <c r="Q673" s="47"/>
      <c r="R673" s="47"/>
      <c r="S673" s="47"/>
      <c r="T673" s="47"/>
    </row>
    <row r="674">
      <c r="A674" s="46"/>
      <c r="B674" s="46"/>
      <c r="C674" s="46"/>
      <c r="D674" s="46"/>
      <c r="E674" s="46"/>
      <c r="F674" s="46"/>
      <c r="G674" s="44"/>
      <c r="H674" s="46"/>
      <c r="I674" s="46"/>
      <c r="J674" s="46"/>
      <c r="K674" s="44"/>
      <c r="L674" s="52"/>
      <c r="M674" s="46"/>
      <c r="N674" s="46"/>
      <c r="O674" s="47"/>
      <c r="P674" s="47"/>
      <c r="Q674" s="47"/>
      <c r="R674" s="47"/>
      <c r="S674" s="47"/>
      <c r="T674" s="47"/>
    </row>
    <row r="675">
      <c r="A675" s="46"/>
      <c r="B675" s="46"/>
      <c r="C675" s="46"/>
      <c r="D675" s="46"/>
      <c r="E675" s="46"/>
      <c r="F675" s="46"/>
      <c r="G675" s="44"/>
      <c r="H675" s="46"/>
      <c r="I675" s="46"/>
      <c r="J675" s="46"/>
      <c r="K675" s="44"/>
      <c r="L675" s="52"/>
      <c r="M675" s="46"/>
      <c r="N675" s="46"/>
      <c r="O675" s="47"/>
      <c r="P675" s="47"/>
      <c r="Q675" s="47"/>
      <c r="R675" s="47"/>
      <c r="S675" s="47"/>
      <c r="T675" s="47"/>
    </row>
    <row r="676">
      <c r="A676" s="46"/>
      <c r="B676" s="46"/>
      <c r="C676" s="46"/>
      <c r="D676" s="46"/>
      <c r="E676" s="46"/>
      <c r="F676" s="46"/>
      <c r="G676" s="44"/>
      <c r="H676" s="46"/>
      <c r="I676" s="46"/>
      <c r="J676" s="46"/>
      <c r="K676" s="44"/>
      <c r="L676" s="52"/>
      <c r="M676" s="46"/>
      <c r="N676" s="46"/>
      <c r="O676" s="47"/>
      <c r="P676" s="47"/>
      <c r="Q676" s="47"/>
      <c r="R676" s="47"/>
      <c r="S676" s="47"/>
      <c r="T676" s="47"/>
    </row>
    <row r="677">
      <c r="A677" s="46"/>
      <c r="B677" s="46"/>
      <c r="C677" s="46"/>
      <c r="D677" s="46"/>
      <c r="E677" s="46"/>
      <c r="F677" s="46"/>
      <c r="G677" s="44"/>
      <c r="H677" s="46"/>
      <c r="I677" s="46"/>
      <c r="J677" s="46"/>
      <c r="K677" s="44"/>
      <c r="L677" s="52"/>
      <c r="M677" s="46"/>
      <c r="N677" s="46"/>
      <c r="O677" s="47"/>
      <c r="P677" s="47"/>
      <c r="Q677" s="47"/>
      <c r="R677" s="47"/>
      <c r="S677" s="47"/>
      <c r="T677" s="47"/>
    </row>
    <row r="678">
      <c r="A678" s="46"/>
      <c r="B678" s="46"/>
      <c r="C678" s="46"/>
      <c r="D678" s="46"/>
      <c r="E678" s="46"/>
      <c r="F678" s="46"/>
      <c r="G678" s="44"/>
      <c r="H678" s="46"/>
      <c r="I678" s="46"/>
      <c r="J678" s="46"/>
      <c r="K678" s="44"/>
      <c r="L678" s="52"/>
      <c r="M678" s="46"/>
      <c r="N678" s="46"/>
      <c r="O678" s="47"/>
      <c r="P678" s="47"/>
      <c r="Q678" s="47"/>
      <c r="R678" s="47"/>
      <c r="S678" s="47"/>
      <c r="T678" s="47"/>
    </row>
    <row r="679">
      <c r="A679" s="46"/>
      <c r="B679" s="46"/>
      <c r="C679" s="46"/>
      <c r="D679" s="46"/>
      <c r="E679" s="46"/>
      <c r="F679" s="46"/>
      <c r="G679" s="44"/>
      <c r="H679" s="46"/>
      <c r="I679" s="46"/>
      <c r="J679" s="46"/>
      <c r="K679" s="44"/>
      <c r="L679" s="52"/>
      <c r="M679" s="46"/>
      <c r="N679" s="46"/>
      <c r="O679" s="47"/>
      <c r="P679" s="47"/>
      <c r="Q679" s="47"/>
      <c r="R679" s="47"/>
      <c r="S679" s="47"/>
      <c r="T679" s="47"/>
    </row>
    <row r="680">
      <c r="A680" s="46"/>
      <c r="B680" s="46"/>
      <c r="C680" s="46"/>
      <c r="D680" s="46"/>
      <c r="E680" s="46"/>
      <c r="F680" s="46"/>
      <c r="G680" s="44"/>
      <c r="H680" s="46"/>
      <c r="I680" s="46"/>
      <c r="J680" s="46"/>
      <c r="K680" s="44"/>
      <c r="L680" s="52"/>
      <c r="M680" s="46"/>
      <c r="N680" s="46"/>
      <c r="O680" s="47"/>
      <c r="P680" s="47"/>
      <c r="Q680" s="47"/>
      <c r="R680" s="47"/>
      <c r="S680" s="47"/>
      <c r="T680" s="47"/>
    </row>
    <row r="681">
      <c r="A681" s="46"/>
      <c r="B681" s="46"/>
      <c r="C681" s="46"/>
      <c r="D681" s="46"/>
      <c r="E681" s="46"/>
      <c r="F681" s="46"/>
      <c r="G681" s="44"/>
      <c r="H681" s="46"/>
      <c r="I681" s="46"/>
      <c r="J681" s="46"/>
      <c r="K681" s="44"/>
      <c r="L681" s="52"/>
      <c r="M681" s="46"/>
      <c r="N681" s="46"/>
      <c r="O681" s="47"/>
      <c r="P681" s="47"/>
      <c r="Q681" s="47"/>
      <c r="R681" s="47"/>
      <c r="S681" s="47"/>
      <c r="T681" s="47"/>
    </row>
    <row r="682">
      <c r="A682" s="46"/>
      <c r="B682" s="46"/>
      <c r="C682" s="46"/>
      <c r="D682" s="46"/>
      <c r="E682" s="46"/>
      <c r="F682" s="46"/>
      <c r="G682" s="44"/>
      <c r="H682" s="46"/>
      <c r="I682" s="46"/>
      <c r="J682" s="46"/>
      <c r="K682" s="44"/>
      <c r="L682" s="52"/>
      <c r="M682" s="46"/>
      <c r="N682" s="46"/>
      <c r="O682" s="47"/>
      <c r="P682" s="47"/>
      <c r="Q682" s="47"/>
      <c r="R682" s="47"/>
      <c r="S682" s="47"/>
      <c r="T682" s="47"/>
    </row>
    <row r="683">
      <c r="A683" s="46"/>
      <c r="B683" s="46"/>
      <c r="C683" s="46"/>
      <c r="D683" s="46"/>
      <c r="E683" s="46"/>
      <c r="F683" s="46"/>
      <c r="G683" s="44"/>
      <c r="H683" s="46"/>
      <c r="I683" s="46"/>
      <c r="J683" s="46"/>
      <c r="K683" s="44"/>
      <c r="L683" s="52"/>
      <c r="M683" s="46"/>
      <c r="N683" s="46"/>
      <c r="O683" s="47"/>
      <c r="P683" s="47"/>
      <c r="Q683" s="47"/>
      <c r="R683" s="47"/>
      <c r="S683" s="47"/>
      <c r="T683" s="47"/>
    </row>
    <row r="684">
      <c r="A684" s="46"/>
      <c r="B684" s="46"/>
      <c r="C684" s="46"/>
      <c r="D684" s="46"/>
      <c r="E684" s="46"/>
      <c r="F684" s="46"/>
      <c r="G684" s="44"/>
      <c r="H684" s="46"/>
      <c r="I684" s="46"/>
      <c r="J684" s="46"/>
      <c r="K684" s="44"/>
      <c r="L684" s="52"/>
      <c r="M684" s="46"/>
      <c r="N684" s="46"/>
      <c r="O684" s="47"/>
      <c r="P684" s="47"/>
      <c r="Q684" s="47"/>
      <c r="R684" s="47"/>
      <c r="S684" s="47"/>
      <c r="T684" s="47"/>
    </row>
    <row r="685">
      <c r="A685" s="46"/>
      <c r="B685" s="46"/>
      <c r="C685" s="46"/>
      <c r="D685" s="46"/>
      <c r="E685" s="46"/>
      <c r="F685" s="46"/>
      <c r="G685" s="44"/>
      <c r="H685" s="46"/>
      <c r="I685" s="46"/>
      <c r="J685" s="46"/>
      <c r="K685" s="44"/>
      <c r="L685" s="52"/>
      <c r="M685" s="46"/>
      <c r="N685" s="46"/>
      <c r="O685" s="47"/>
      <c r="P685" s="47"/>
      <c r="Q685" s="47"/>
      <c r="R685" s="47"/>
      <c r="S685" s="47"/>
      <c r="T685" s="47"/>
    </row>
    <row r="686">
      <c r="A686" s="46"/>
      <c r="B686" s="46"/>
      <c r="C686" s="46"/>
      <c r="D686" s="46"/>
      <c r="E686" s="46"/>
      <c r="F686" s="46"/>
      <c r="G686" s="44"/>
      <c r="H686" s="46"/>
      <c r="I686" s="46"/>
      <c r="J686" s="46"/>
      <c r="K686" s="44"/>
      <c r="L686" s="52"/>
      <c r="M686" s="46"/>
      <c r="N686" s="46"/>
      <c r="O686" s="47"/>
      <c r="P686" s="47"/>
      <c r="Q686" s="47"/>
      <c r="R686" s="47"/>
      <c r="S686" s="47"/>
      <c r="T686" s="47"/>
    </row>
    <row r="687">
      <c r="A687" s="46"/>
      <c r="B687" s="46"/>
      <c r="C687" s="46"/>
      <c r="D687" s="46"/>
      <c r="E687" s="46"/>
      <c r="F687" s="46"/>
      <c r="G687" s="44"/>
      <c r="H687" s="46"/>
      <c r="I687" s="46"/>
      <c r="J687" s="46"/>
      <c r="K687" s="44"/>
      <c r="L687" s="52"/>
      <c r="M687" s="46"/>
      <c r="N687" s="46"/>
      <c r="O687" s="47"/>
      <c r="P687" s="47"/>
      <c r="Q687" s="47"/>
      <c r="R687" s="47"/>
      <c r="S687" s="47"/>
      <c r="T687" s="47"/>
    </row>
    <row r="688">
      <c r="A688" s="46"/>
      <c r="B688" s="46"/>
      <c r="C688" s="46"/>
      <c r="D688" s="46"/>
      <c r="E688" s="46"/>
      <c r="F688" s="46"/>
      <c r="G688" s="44"/>
      <c r="H688" s="46"/>
      <c r="I688" s="46"/>
      <c r="J688" s="46"/>
      <c r="K688" s="44"/>
      <c r="L688" s="52"/>
      <c r="M688" s="46"/>
      <c r="N688" s="46"/>
      <c r="O688" s="47"/>
      <c r="P688" s="47"/>
      <c r="Q688" s="47"/>
      <c r="R688" s="47"/>
      <c r="S688" s="47"/>
      <c r="T688" s="47"/>
    </row>
    <row r="689">
      <c r="A689" s="46"/>
      <c r="B689" s="46"/>
      <c r="C689" s="46"/>
      <c r="D689" s="46"/>
      <c r="E689" s="46"/>
      <c r="F689" s="46"/>
      <c r="G689" s="44"/>
      <c r="H689" s="46"/>
      <c r="I689" s="46"/>
      <c r="J689" s="46"/>
      <c r="K689" s="44"/>
      <c r="L689" s="52"/>
      <c r="M689" s="46"/>
      <c r="N689" s="46"/>
      <c r="O689" s="47"/>
      <c r="P689" s="47"/>
      <c r="Q689" s="47"/>
      <c r="R689" s="47"/>
      <c r="S689" s="47"/>
      <c r="T689" s="47"/>
    </row>
    <row r="690">
      <c r="A690" s="46"/>
      <c r="B690" s="46"/>
      <c r="C690" s="46"/>
      <c r="D690" s="46"/>
      <c r="E690" s="46"/>
      <c r="F690" s="46"/>
      <c r="G690" s="44"/>
      <c r="H690" s="46"/>
      <c r="I690" s="46"/>
      <c r="J690" s="46"/>
      <c r="K690" s="44"/>
      <c r="L690" s="52"/>
      <c r="M690" s="46"/>
      <c r="N690" s="46"/>
      <c r="O690" s="47"/>
      <c r="P690" s="47"/>
      <c r="Q690" s="47"/>
      <c r="R690" s="47"/>
      <c r="S690" s="47"/>
      <c r="T690" s="47"/>
    </row>
    <row r="691">
      <c r="A691" s="46"/>
      <c r="B691" s="46"/>
      <c r="C691" s="46"/>
      <c r="D691" s="46"/>
      <c r="E691" s="46"/>
      <c r="F691" s="46"/>
      <c r="G691" s="44"/>
      <c r="H691" s="46"/>
      <c r="I691" s="46"/>
      <c r="J691" s="46"/>
      <c r="K691" s="44"/>
      <c r="L691" s="52"/>
      <c r="M691" s="46"/>
      <c r="N691" s="46"/>
      <c r="O691" s="47"/>
      <c r="P691" s="47"/>
      <c r="Q691" s="47"/>
      <c r="R691" s="47"/>
      <c r="S691" s="47"/>
      <c r="T691" s="47"/>
    </row>
    <row r="692">
      <c r="A692" s="46"/>
      <c r="B692" s="46"/>
      <c r="C692" s="46"/>
      <c r="D692" s="46"/>
      <c r="E692" s="46"/>
      <c r="F692" s="46"/>
      <c r="G692" s="44"/>
      <c r="H692" s="46"/>
      <c r="I692" s="46"/>
      <c r="J692" s="46"/>
      <c r="K692" s="44"/>
      <c r="L692" s="52"/>
      <c r="M692" s="46"/>
      <c r="N692" s="46"/>
      <c r="O692" s="47"/>
      <c r="P692" s="47"/>
      <c r="Q692" s="47"/>
      <c r="R692" s="47"/>
      <c r="S692" s="47"/>
      <c r="T692" s="47"/>
    </row>
    <row r="693">
      <c r="A693" s="46"/>
      <c r="B693" s="46"/>
      <c r="C693" s="46"/>
      <c r="D693" s="46"/>
      <c r="E693" s="46"/>
      <c r="F693" s="46"/>
      <c r="G693" s="44"/>
      <c r="H693" s="46"/>
      <c r="I693" s="46"/>
      <c r="J693" s="46"/>
      <c r="K693" s="44"/>
      <c r="L693" s="52"/>
      <c r="M693" s="46"/>
      <c r="N693" s="46"/>
      <c r="O693" s="47"/>
      <c r="P693" s="47"/>
      <c r="Q693" s="47"/>
      <c r="R693" s="47"/>
      <c r="S693" s="47"/>
      <c r="T693" s="47"/>
    </row>
    <row r="694">
      <c r="A694" s="46"/>
      <c r="B694" s="46"/>
      <c r="C694" s="46"/>
      <c r="D694" s="46"/>
      <c r="E694" s="46"/>
      <c r="F694" s="46"/>
      <c r="G694" s="44"/>
      <c r="H694" s="46"/>
      <c r="I694" s="46"/>
      <c r="J694" s="46"/>
      <c r="K694" s="44"/>
      <c r="L694" s="52"/>
      <c r="M694" s="46"/>
      <c r="N694" s="46"/>
      <c r="O694" s="47"/>
      <c r="P694" s="47"/>
      <c r="Q694" s="47"/>
      <c r="R694" s="47"/>
      <c r="S694" s="47"/>
      <c r="T694" s="47"/>
    </row>
    <row r="695">
      <c r="A695" s="46"/>
      <c r="B695" s="46"/>
      <c r="C695" s="46"/>
      <c r="D695" s="46"/>
      <c r="E695" s="46"/>
      <c r="F695" s="46"/>
      <c r="G695" s="44"/>
      <c r="H695" s="46"/>
      <c r="I695" s="46"/>
      <c r="J695" s="46"/>
      <c r="K695" s="44"/>
      <c r="L695" s="52"/>
      <c r="M695" s="46"/>
      <c r="N695" s="46"/>
      <c r="O695" s="47"/>
      <c r="P695" s="47"/>
      <c r="Q695" s="47"/>
      <c r="R695" s="47"/>
      <c r="S695" s="47"/>
      <c r="T695" s="47"/>
    </row>
    <row r="696">
      <c r="A696" s="46"/>
      <c r="B696" s="46"/>
      <c r="C696" s="46"/>
      <c r="D696" s="46"/>
      <c r="E696" s="46"/>
      <c r="F696" s="46"/>
      <c r="G696" s="44"/>
      <c r="H696" s="46"/>
      <c r="I696" s="46"/>
      <c r="J696" s="46"/>
      <c r="K696" s="44"/>
      <c r="L696" s="52"/>
      <c r="M696" s="46"/>
      <c r="N696" s="46"/>
      <c r="O696" s="47"/>
      <c r="P696" s="47"/>
      <c r="Q696" s="47"/>
      <c r="R696" s="47"/>
      <c r="S696" s="47"/>
      <c r="T696" s="47"/>
    </row>
    <row r="697">
      <c r="A697" s="46"/>
      <c r="B697" s="46"/>
      <c r="C697" s="46"/>
      <c r="D697" s="46"/>
      <c r="E697" s="46"/>
      <c r="F697" s="46"/>
      <c r="G697" s="44"/>
      <c r="H697" s="46"/>
      <c r="I697" s="46"/>
      <c r="J697" s="46"/>
      <c r="K697" s="44"/>
      <c r="L697" s="52"/>
      <c r="M697" s="46"/>
      <c r="N697" s="46"/>
      <c r="O697" s="47"/>
      <c r="P697" s="47"/>
      <c r="Q697" s="47"/>
      <c r="R697" s="47"/>
      <c r="S697" s="47"/>
      <c r="T697" s="47"/>
    </row>
    <row r="698">
      <c r="A698" s="46"/>
      <c r="B698" s="46"/>
      <c r="C698" s="46"/>
      <c r="D698" s="46"/>
      <c r="E698" s="46"/>
      <c r="F698" s="46"/>
      <c r="G698" s="44"/>
      <c r="H698" s="46"/>
      <c r="I698" s="46"/>
      <c r="J698" s="46"/>
      <c r="K698" s="44"/>
      <c r="L698" s="52"/>
      <c r="M698" s="46"/>
      <c r="N698" s="46"/>
      <c r="O698" s="47"/>
      <c r="P698" s="47"/>
      <c r="Q698" s="47"/>
      <c r="R698" s="47"/>
      <c r="S698" s="47"/>
      <c r="T698" s="47"/>
    </row>
    <row r="699">
      <c r="A699" s="46"/>
      <c r="B699" s="46"/>
      <c r="C699" s="46"/>
      <c r="D699" s="46"/>
      <c r="E699" s="46"/>
      <c r="F699" s="46"/>
      <c r="G699" s="44"/>
      <c r="H699" s="46"/>
      <c r="I699" s="46"/>
      <c r="J699" s="46"/>
      <c r="K699" s="44"/>
      <c r="L699" s="52"/>
      <c r="M699" s="46"/>
      <c r="N699" s="46"/>
      <c r="O699" s="47"/>
      <c r="P699" s="47"/>
      <c r="Q699" s="47"/>
      <c r="R699" s="47"/>
      <c r="S699" s="47"/>
      <c r="T699" s="47"/>
    </row>
    <row r="700">
      <c r="A700" s="46"/>
      <c r="B700" s="46"/>
      <c r="C700" s="46"/>
      <c r="D700" s="46"/>
      <c r="E700" s="46"/>
      <c r="F700" s="46"/>
      <c r="G700" s="44"/>
      <c r="H700" s="46"/>
      <c r="I700" s="46"/>
      <c r="J700" s="46"/>
      <c r="K700" s="44"/>
      <c r="L700" s="52"/>
      <c r="M700" s="46"/>
      <c r="N700" s="46"/>
      <c r="O700" s="47"/>
      <c r="P700" s="47"/>
      <c r="Q700" s="47"/>
      <c r="R700" s="47"/>
      <c r="S700" s="47"/>
      <c r="T700" s="47"/>
    </row>
    <row r="701">
      <c r="A701" s="46"/>
      <c r="B701" s="46"/>
      <c r="C701" s="46"/>
      <c r="D701" s="46"/>
      <c r="E701" s="46"/>
      <c r="F701" s="46"/>
      <c r="G701" s="44"/>
      <c r="H701" s="46"/>
      <c r="I701" s="46"/>
      <c r="J701" s="46"/>
      <c r="K701" s="44"/>
      <c r="L701" s="52"/>
      <c r="M701" s="46"/>
      <c r="N701" s="46"/>
      <c r="O701" s="47"/>
      <c r="P701" s="47"/>
      <c r="Q701" s="47"/>
      <c r="R701" s="47"/>
      <c r="S701" s="47"/>
      <c r="T701" s="47"/>
    </row>
    <row r="702">
      <c r="A702" s="46"/>
      <c r="B702" s="46"/>
      <c r="C702" s="46"/>
      <c r="D702" s="46"/>
      <c r="E702" s="46"/>
      <c r="F702" s="46"/>
      <c r="G702" s="44"/>
      <c r="H702" s="46"/>
      <c r="I702" s="46"/>
      <c r="J702" s="46"/>
      <c r="K702" s="44"/>
      <c r="L702" s="52"/>
      <c r="M702" s="46"/>
      <c r="N702" s="46"/>
      <c r="O702" s="47"/>
      <c r="P702" s="47"/>
      <c r="Q702" s="47"/>
      <c r="R702" s="47"/>
      <c r="S702" s="47"/>
      <c r="T702" s="47"/>
    </row>
    <row r="703">
      <c r="A703" s="46"/>
      <c r="B703" s="46"/>
      <c r="C703" s="46"/>
      <c r="D703" s="46"/>
      <c r="E703" s="46"/>
      <c r="F703" s="46"/>
      <c r="G703" s="44"/>
      <c r="H703" s="46"/>
      <c r="I703" s="46"/>
      <c r="J703" s="46"/>
      <c r="K703" s="44"/>
      <c r="L703" s="52"/>
      <c r="M703" s="46"/>
      <c r="N703" s="46"/>
      <c r="O703" s="47"/>
      <c r="P703" s="47"/>
      <c r="Q703" s="47"/>
      <c r="R703" s="47"/>
      <c r="S703" s="47"/>
      <c r="T703" s="47"/>
    </row>
    <row r="704">
      <c r="A704" s="46"/>
      <c r="B704" s="46"/>
      <c r="C704" s="46"/>
      <c r="D704" s="46"/>
      <c r="E704" s="46"/>
      <c r="F704" s="46"/>
      <c r="G704" s="44"/>
      <c r="H704" s="46"/>
      <c r="I704" s="46"/>
      <c r="J704" s="46"/>
      <c r="K704" s="44"/>
      <c r="L704" s="52"/>
      <c r="M704" s="46"/>
      <c r="N704" s="46"/>
      <c r="O704" s="47"/>
      <c r="P704" s="47"/>
      <c r="Q704" s="47"/>
      <c r="R704" s="47"/>
      <c r="S704" s="47"/>
      <c r="T704" s="47"/>
    </row>
    <row r="705">
      <c r="A705" s="46"/>
      <c r="B705" s="46"/>
      <c r="C705" s="46"/>
      <c r="D705" s="46"/>
      <c r="E705" s="46"/>
      <c r="F705" s="46"/>
      <c r="G705" s="44"/>
      <c r="H705" s="46"/>
      <c r="I705" s="46"/>
      <c r="J705" s="46"/>
      <c r="K705" s="44"/>
      <c r="L705" s="52"/>
      <c r="M705" s="46"/>
      <c r="N705" s="46"/>
      <c r="O705" s="47"/>
      <c r="P705" s="47"/>
      <c r="Q705" s="47"/>
      <c r="R705" s="47"/>
      <c r="S705" s="47"/>
      <c r="T705" s="47"/>
    </row>
    <row r="706">
      <c r="A706" s="46"/>
      <c r="B706" s="46"/>
      <c r="C706" s="46"/>
      <c r="D706" s="46"/>
      <c r="E706" s="46"/>
      <c r="F706" s="46"/>
      <c r="G706" s="44"/>
      <c r="H706" s="46"/>
      <c r="I706" s="46"/>
      <c r="J706" s="46"/>
      <c r="K706" s="44"/>
      <c r="L706" s="52"/>
      <c r="M706" s="46"/>
      <c r="N706" s="46"/>
      <c r="O706" s="47"/>
      <c r="P706" s="47"/>
      <c r="Q706" s="47"/>
      <c r="R706" s="47"/>
      <c r="S706" s="47"/>
      <c r="T706" s="47"/>
    </row>
    <row r="707">
      <c r="A707" s="46"/>
      <c r="B707" s="46"/>
      <c r="C707" s="46"/>
      <c r="D707" s="46"/>
      <c r="E707" s="46"/>
      <c r="F707" s="46"/>
      <c r="G707" s="44"/>
      <c r="H707" s="46"/>
      <c r="I707" s="46"/>
      <c r="J707" s="46"/>
      <c r="K707" s="44"/>
      <c r="L707" s="52"/>
      <c r="M707" s="46"/>
      <c r="N707" s="46"/>
      <c r="O707" s="47"/>
      <c r="P707" s="47"/>
      <c r="Q707" s="47"/>
      <c r="R707" s="47"/>
      <c r="S707" s="47"/>
      <c r="T707" s="47"/>
    </row>
    <row r="708">
      <c r="A708" s="46"/>
      <c r="B708" s="46"/>
      <c r="C708" s="46"/>
      <c r="D708" s="46"/>
      <c r="E708" s="46"/>
      <c r="F708" s="46"/>
      <c r="G708" s="44"/>
      <c r="H708" s="46"/>
      <c r="I708" s="46"/>
      <c r="J708" s="46"/>
      <c r="K708" s="44"/>
      <c r="L708" s="52"/>
      <c r="M708" s="46"/>
      <c r="N708" s="46"/>
      <c r="O708" s="47"/>
      <c r="P708" s="47"/>
      <c r="Q708" s="47"/>
      <c r="R708" s="47"/>
      <c r="S708" s="47"/>
      <c r="T708" s="47"/>
    </row>
    <row r="709">
      <c r="A709" s="46"/>
      <c r="B709" s="46"/>
      <c r="C709" s="46"/>
      <c r="D709" s="46"/>
      <c r="E709" s="46"/>
      <c r="F709" s="46"/>
      <c r="G709" s="44"/>
      <c r="H709" s="46"/>
      <c r="I709" s="46"/>
      <c r="J709" s="46"/>
      <c r="K709" s="44"/>
      <c r="L709" s="52"/>
      <c r="M709" s="46"/>
      <c r="N709" s="46"/>
      <c r="O709" s="47"/>
      <c r="P709" s="47"/>
      <c r="Q709" s="47"/>
      <c r="R709" s="47"/>
      <c r="S709" s="47"/>
      <c r="T709" s="47"/>
    </row>
    <row r="710">
      <c r="A710" s="46"/>
      <c r="B710" s="46"/>
      <c r="C710" s="46"/>
      <c r="D710" s="46"/>
      <c r="E710" s="46"/>
      <c r="F710" s="46"/>
      <c r="G710" s="44"/>
      <c r="H710" s="46"/>
      <c r="I710" s="46"/>
      <c r="J710" s="46"/>
      <c r="K710" s="44"/>
      <c r="L710" s="52"/>
      <c r="M710" s="46"/>
      <c r="N710" s="46"/>
      <c r="O710" s="47"/>
      <c r="P710" s="47"/>
      <c r="Q710" s="47"/>
      <c r="R710" s="47"/>
      <c r="S710" s="47"/>
      <c r="T710" s="47"/>
    </row>
    <row r="711">
      <c r="A711" s="46"/>
      <c r="B711" s="46"/>
      <c r="C711" s="46"/>
      <c r="D711" s="46"/>
      <c r="E711" s="46"/>
      <c r="F711" s="46"/>
      <c r="G711" s="44"/>
      <c r="H711" s="46"/>
      <c r="I711" s="46"/>
      <c r="J711" s="46"/>
      <c r="K711" s="44"/>
      <c r="L711" s="52"/>
      <c r="M711" s="46"/>
      <c r="N711" s="46"/>
      <c r="O711" s="47"/>
      <c r="P711" s="47"/>
      <c r="Q711" s="47"/>
      <c r="R711" s="47"/>
      <c r="S711" s="47"/>
      <c r="T711" s="47"/>
    </row>
    <row r="712">
      <c r="A712" s="46"/>
      <c r="B712" s="46"/>
      <c r="C712" s="46"/>
      <c r="D712" s="46"/>
      <c r="E712" s="46"/>
      <c r="F712" s="46"/>
      <c r="G712" s="44"/>
      <c r="H712" s="46"/>
      <c r="I712" s="46"/>
      <c r="J712" s="46"/>
      <c r="K712" s="44"/>
      <c r="L712" s="52"/>
      <c r="M712" s="46"/>
      <c r="N712" s="46"/>
      <c r="O712" s="47"/>
      <c r="P712" s="47"/>
      <c r="Q712" s="47"/>
      <c r="R712" s="47"/>
      <c r="S712" s="47"/>
      <c r="T712" s="47"/>
    </row>
    <row r="713">
      <c r="A713" s="46"/>
      <c r="B713" s="46"/>
      <c r="C713" s="46"/>
      <c r="D713" s="46"/>
      <c r="E713" s="46"/>
      <c r="F713" s="46"/>
      <c r="G713" s="44"/>
      <c r="H713" s="46"/>
      <c r="I713" s="46"/>
      <c r="J713" s="46"/>
      <c r="K713" s="44"/>
      <c r="L713" s="52"/>
      <c r="M713" s="46"/>
      <c r="N713" s="46"/>
      <c r="O713" s="47"/>
      <c r="P713" s="47"/>
      <c r="Q713" s="47"/>
      <c r="R713" s="47"/>
      <c r="S713" s="47"/>
      <c r="T713" s="47"/>
    </row>
    <row r="714">
      <c r="A714" s="46"/>
      <c r="B714" s="46"/>
      <c r="C714" s="46"/>
      <c r="D714" s="46"/>
      <c r="E714" s="46"/>
      <c r="F714" s="46"/>
      <c r="G714" s="44"/>
      <c r="H714" s="46"/>
      <c r="I714" s="46"/>
      <c r="J714" s="46"/>
      <c r="K714" s="44"/>
      <c r="L714" s="52"/>
      <c r="M714" s="46"/>
      <c r="N714" s="46"/>
      <c r="O714" s="47"/>
      <c r="P714" s="47"/>
      <c r="Q714" s="47"/>
      <c r="R714" s="47"/>
      <c r="S714" s="47"/>
      <c r="T714" s="47"/>
    </row>
    <row r="715">
      <c r="A715" s="46"/>
      <c r="B715" s="46"/>
      <c r="C715" s="46"/>
      <c r="D715" s="46"/>
      <c r="E715" s="46"/>
      <c r="F715" s="46"/>
      <c r="G715" s="44"/>
      <c r="H715" s="46"/>
      <c r="I715" s="46"/>
      <c r="J715" s="46"/>
      <c r="K715" s="44"/>
      <c r="L715" s="52"/>
      <c r="M715" s="46"/>
      <c r="N715" s="46"/>
      <c r="O715" s="47"/>
      <c r="P715" s="47"/>
      <c r="Q715" s="47"/>
      <c r="R715" s="47"/>
      <c r="S715" s="47"/>
      <c r="T715" s="47"/>
    </row>
    <row r="716">
      <c r="A716" s="46"/>
      <c r="B716" s="46"/>
      <c r="C716" s="46"/>
      <c r="D716" s="46"/>
      <c r="E716" s="46"/>
      <c r="F716" s="46"/>
      <c r="G716" s="44"/>
      <c r="H716" s="46"/>
      <c r="I716" s="46"/>
      <c r="J716" s="46"/>
      <c r="K716" s="44"/>
      <c r="L716" s="52"/>
      <c r="M716" s="46"/>
      <c r="N716" s="46"/>
      <c r="O716" s="47"/>
      <c r="P716" s="47"/>
      <c r="Q716" s="47"/>
      <c r="R716" s="47"/>
      <c r="S716" s="47"/>
      <c r="T716" s="47"/>
    </row>
    <row r="717">
      <c r="A717" s="46"/>
      <c r="B717" s="46"/>
      <c r="C717" s="46"/>
      <c r="D717" s="46"/>
      <c r="E717" s="46"/>
      <c r="F717" s="46"/>
      <c r="G717" s="44"/>
      <c r="H717" s="46"/>
      <c r="I717" s="46"/>
      <c r="J717" s="46"/>
      <c r="K717" s="44"/>
      <c r="L717" s="52"/>
      <c r="M717" s="46"/>
      <c r="N717" s="46"/>
      <c r="O717" s="47"/>
      <c r="P717" s="47"/>
      <c r="Q717" s="47"/>
      <c r="R717" s="47"/>
      <c r="S717" s="47"/>
      <c r="T717" s="47"/>
    </row>
    <row r="718">
      <c r="A718" s="46"/>
      <c r="B718" s="46"/>
      <c r="C718" s="46"/>
      <c r="D718" s="46"/>
      <c r="E718" s="46"/>
      <c r="F718" s="46"/>
      <c r="G718" s="44"/>
      <c r="H718" s="46"/>
      <c r="I718" s="46"/>
      <c r="J718" s="46"/>
      <c r="K718" s="44"/>
      <c r="L718" s="52"/>
      <c r="M718" s="46"/>
      <c r="N718" s="46"/>
      <c r="O718" s="47"/>
      <c r="P718" s="47"/>
      <c r="Q718" s="47"/>
      <c r="R718" s="47"/>
      <c r="S718" s="47"/>
      <c r="T718" s="47"/>
    </row>
    <row r="719">
      <c r="A719" s="46"/>
      <c r="B719" s="46"/>
      <c r="C719" s="46"/>
      <c r="D719" s="46"/>
      <c r="E719" s="46"/>
      <c r="F719" s="46"/>
      <c r="G719" s="44"/>
      <c r="H719" s="46"/>
      <c r="I719" s="46"/>
      <c r="J719" s="46"/>
      <c r="K719" s="44"/>
      <c r="L719" s="52"/>
      <c r="M719" s="46"/>
      <c r="N719" s="46"/>
      <c r="O719" s="47"/>
      <c r="P719" s="47"/>
      <c r="Q719" s="47"/>
      <c r="R719" s="47"/>
      <c r="S719" s="47"/>
      <c r="T719" s="47"/>
    </row>
    <row r="720">
      <c r="A720" s="46"/>
      <c r="B720" s="46"/>
      <c r="C720" s="46"/>
      <c r="D720" s="46"/>
      <c r="E720" s="46"/>
      <c r="F720" s="46"/>
      <c r="G720" s="44"/>
      <c r="H720" s="46"/>
      <c r="I720" s="46"/>
      <c r="J720" s="46"/>
      <c r="K720" s="44"/>
      <c r="L720" s="52"/>
      <c r="M720" s="46"/>
      <c r="N720" s="46"/>
      <c r="O720" s="47"/>
      <c r="P720" s="47"/>
      <c r="Q720" s="47"/>
      <c r="R720" s="47"/>
      <c r="S720" s="47"/>
      <c r="T720" s="47"/>
    </row>
    <row r="721">
      <c r="A721" s="46"/>
      <c r="B721" s="46"/>
      <c r="C721" s="46"/>
      <c r="D721" s="46"/>
      <c r="E721" s="46"/>
      <c r="F721" s="46"/>
      <c r="G721" s="44"/>
      <c r="H721" s="46"/>
      <c r="I721" s="46"/>
      <c r="J721" s="46"/>
      <c r="K721" s="44"/>
      <c r="L721" s="52"/>
      <c r="M721" s="46"/>
      <c r="N721" s="46"/>
      <c r="O721" s="47"/>
      <c r="P721" s="47"/>
      <c r="Q721" s="47"/>
      <c r="R721" s="47"/>
      <c r="S721" s="47"/>
      <c r="T721" s="47"/>
    </row>
    <row r="722">
      <c r="A722" s="46"/>
      <c r="B722" s="46"/>
      <c r="C722" s="46"/>
      <c r="D722" s="46"/>
      <c r="E722" s="46"/>
      <c r="F722" s="46"/>
      <c r="G722" s="44"/>
      <c r="H722" s="46"/>
      <c r="I722" s="46"/>
      <c r="J722" s="46"/>
      <c r="K722" s="44"/>
      <c r="L722" s="52"/>
      <c r="M722" s="46"/>
      <c r="N722" s="46"/>
      <c r="O722" s="47"/>
      <c r="P722" s="47"/>
      <c r="Q722" s="47"/>
      <c r="R722" s="47"/>
      <c r="S722" s="47"/>
      <c r="T722" s="47"/>
    </row>
    <row r="723">
      <c r="A723" s="46"/>
      <c r="B723" s="46"/>
      <c r="C723" s="46"/>
      <c r="D723" s="46"/>
      <c r="E723" s="46"/>
      <c r="F723" s="46"/>
      <c r="G723" s="44"/>
      <c r="H723" s="46"/>
      <c r="I723" s="46"/>
      <c r="J723" s="46"/>
      <c r="K723" s="44"/>
      <c r="L723" s="52"/>
      <c r="M723" s="46"/>
      <c r="N723" s="46"/>
      <c r="O723" s="47"/>
      <c r="P723" s="47"/>
      <c r="Q723" s="47"/>
      <c r="R723" s="47"/>
      <c r="S723" s="47"/>
      <c r="T723" s="47"/>
    </row>
    <row r="724">
      <c r="A724" s="46"/>
      <c r="B724" s="46"/>
      <c r="C724" s="46"/>
      <c r="D724" s="46"/>
      <c r="E724" s="46"/>
      <c r="F724" s="46"/>
      <c r="G724" s="44"/>
      <c r="H724" s="46"/>
      <c r="I724" s="46"/>
      <c r="J724" s="46"/>
      <c r="K724" s="44"/>
      <c r="L724" s="52"/>
      <c r="M724" s="46"/>
      <c r="N724" s="46"/>
      <c r="O724" s="47"/>
      <c r="P724" s="47"/>
      <c r="Q724" s="47"/>
      <c r="R724" s="47"/>
      <c r="S724" s="47"/>
      <c r="T724" s="47"/>
    </row>
    <row r="725">
      <c r="A725" s="46"/>
      <c r="B725" s="46"/>
      <c r="C725" s="46"/>
      <c r="D725" s="46"/>
      <c r="E725" s="46"/>
      <c r="F725" s="46"/>
      <c r="G725" s="44"/>
      <c r="H725" s="46"/>
      <c r="I725" s="46"/>
      <c r="J725" s="46"/>
      <c r="K725" s="44"/>
      <c r="L725" s="52"/>
      <c r="M725" s="46"/>
      <c r="N725" s="46"/>
      <c r="O725" s="47"/>
      <c r="P725" s="47"/>
      <c r="Q725" s="47"/>
      <c r="R725" s="47"/>
      <c r="S725" s="47"/>
      <c r="T725" s="47"/>
    </row>
    <row r="726">
      <c r="A726" s="46"/>
      <c r="B726" s="46"/>
      <c r="C726" s="46"/>
      <c r="D726" s="46"/>
      <c r="E726" s="46"/>
      <c r="F726" s="46"/>
      <c r="G726" s="44"/>
      <c r="H726" s="46"/>
      <c r="I726" s="46"/>
      <c r="J726" s="46"/>
      <c r="K726" s="44"/>
      <c r="L726" s="52"/>
      <c r="M726" s="46"/>
      <c r="N726" s="46"/>
      <c r="O726" s="47"/>
      <c r="P726" s="47"/>
      <c r="Q726" s="47"/>
      <c r="R726" s="47"/>
      <c r="S726" s="47"/>
      <c r="T726" s="47"/>
    </row>
    <row r="727">
      <c r="A727" s="46"/>
      <c r="B727" s="46"/>
      <c r="C727" s="46"/>
      <c r="D727" s="46"/>
      <c r="E727" s="46"/>
      <c r="F727" s="46"/>
      <c r="G727" s="44"/>
      <c r="H727" s="46"/>
      <c r="I727" s="46"/>
      <c r="J727" s="46"/>
      <c r="K727" s="44"/>
      <c r="L727" s="52"/>
      <c r="M727" s="46"/>
      <c r="N727" s="46"/>
      <c r="O727" s="47"/>
      <c r="P727" s="47"/>
      <c r="Q727" s="47"/>
      <c r="R727" s="47"/>
      <c r="S727" s="47"/>
      <c r="T727" s="47"/>
    </row>
    <row r="728">
      <c r="A728" s="46"/>
      <c r="B728" s="46"/>
      <c r="C728" s="46"/>
      <c r="D728" s="46"/>
      <c r="E728" s="46"/>
      <c r="F728" s="46"/>
      <c r="G728" s="44"/>
      <c r="H728" s="46"/>
      <c r="I728" s="46"/>
      <c r="J728" s="46"/>
      <c r="K728" s="44"/>
      <c r="L728" s="52"/>
      <c r="M728" s="46"/>
      <c r="N728" s="46"/>
      <c r="O728" s="47"/>
      <c r="P728" s="47"/>
      <c r="Q728" s="47"/>
      <c r="R728" s="47"/>
      <c r="S728" s="47"/>
      <c r="T728" s="47"/>
    </row>
    <row r="729">
      <c r="A729" s="46"/>
      <c r="B729" s="46"/>
      <c r="C729" s="46"/>
      <c r="D729" s="46"/>
      <c r="E729" s="46"/>
      <c r="F729" s="46"/>
      <c r="G729" s="44"/>
      <c r="H729" s="46"/>
      <c r="I729" s="46"/>
      <c r="J729" s="46"/>
      <c r="K729" s="44"/>
      <c r="L729" s="52"/>
      <c r="M729" s="46"/>
      <c r="N729" s="46"/>
      <c r="O729" s="47"/>
      <c r="P729" s="47"/>
      <c r="Q729" s="47"/>
      <c r="R729" s="47"/>
      <c r="S729" s="47"/>
      <c r="T729" s="47"/>
    </row>
    <row r="730">
      <c r="A730" s="46"/>
      <c r="B730" s="46"/>
      <c r="C730" s="46"/>
      <c r="D730" s="46"/>
      <c r="E730" s="46"/>
      <c r="F730" s="46"/>
      <c r="G730" s="44"/>
      <c r="H730" s="46"/>
      <c r="I730" s="46"/>
      <c r="J730" s="46"/>
      <c r="K730" s="44"/>
      <c r="L730" s="52"/>
      <c r="M730" s="46"/>
      <c r="N730" s="46"/>
      <c r="O730" s="47"/>
      <c r="P730" s="47"/>
      <c r="Q730" s="47"/>
      <c r="R730" s="47"/>
      <c r="S730" s="47"/>
      <c r="T730" s="47"/>
    </row>
    <row r="731">
      <c r="A731" s="46"/>
      <c r="B731" s="46"/>
      <c r="C731" s="46"/>
      <c r="D731" s="46"/>
      <c r="E731" s="46"/>
      <c r="F731" s="46"/>
      <c r="G731" s="44"/>
      <c r="H731" s="46"/>
      <c r="I731" s="46"/>
      <c r="J731" s="46"/>
      <c r="K731" s="44"/>
      <c r="L731" s="52"/>
      <c r="M731" s="46"/>
      <c r="N731" s="46"/>
      <c r="O731" s="47"/>
      <c r="P731" s="47"/>
      <c r="Q731" s="47"/>
      <c r="R731" s="47"/>
      <c r="S731" s="47"/>
      <c r="T731" s="47"/>
    </row>
    <row r="732">
      <c r="A732" s="46"/>
      <c r="B732" s="46"/>
      <c r="C732" s="46"/>
      <c r="D732" s="46"/>
      <c r="E732" s="46"/>
      <c r="F732" s="46"/>
      <c r="G732" s="44"/>
      <c r="H732" s="46"/>
      <c r="I732" s="46"/>
      <c r="J732" s="46"/>
      <c r="K732" s="44"/>
      <c r="L732" s="52"/>
      <c r="M732" s="46"/>
      <c r="N732" s="46"/>
      <c r="O732" s="47"/>
      <c r="P732" s="47"/>
      <c r="Q732" s="47"/>
      <c r="R732" s="47"/>
      <c r="S732" s="47"/>
      <c r="T732" s="47"/>
    </row>
    <row r="733">
      <c r="A733" s="46"/>
      <c r="B733" s="46"/>
      <c r="C733" s="46"/>
      <c r="D733" s="46"/>
      <c r="E733" s="46"/>
      <c r="F733" s="46"/>
      <c r="G733" s="44"/>
      <c r="H733" s="46"/>
      <c r="I733" s="46"/>
      <c r="J733" s="46"/>
      <c r="K733" s="44"/>
      <c r="L733" s="52"/>
      <c r="M733" s="46"/>
      <c r="N733" s="46"/>
      <c r="O733" s="47"/>
      <c r="P733" s="47"/>
      <c r="Q733" s="47"/>
      <c r="R733" s="47"/>
      <c r="S733" s="47"/>
      <c r="T733" s="47"/>
    </row>
    <row r="734">
      <c r="A734" s="46"/>
      <c r="B734" s="46"/>
      <c r="C734" s="46"/>
      <c r="D734" s="46"/>
      <c r="E734" s="46"/>
      <c r="F734" s="46"/>
      <c r="G734" s="44"/>
      <c r="H734" s="46"/>
      <c r="I734" s="46"/>
      <c r="J734" s="46"/>
      <c r="K734" s="44"/>
      <c r="L734" s="52"/>
      <c r="M734" s="46"/>
      <c r="N734" s="46"/>
      <c r="O734" s="47"/>
      <c r="P734" s="47"/>
      <c r="Q734" s="47"/>
      <c r="R734" s="47"/>
      <c r="S734" s="47"/>
      <c r="T734" s="47"/>
    </row>
    <row r="735">
      <c r="A735" s="46"/>
      <c r="B735" s="46"/>
      <c r="C735" s="46"/>
      <c r="D735" s="46"/>
      <c r="E735" s="46"/>
      <c r="F735" s="46"/>
      <c r="G735" s="44"/>
      <c r="H735" s="46"/>
      <c r="I735" s="46"/>
      <c r="J735" s="46"/>
      <c r="K735" s="44"/>
      <c r="L735" s="52"/>
      <c r="M735" s="46"/>
      <c r="N735" s="46"/>
      <c r="O735" s="47"/>
      <c r="P735" s="47"/>
      <c r="Q735" s="47"/>
      <c r="R735" s="47"/>
      <c r="S735" s="47"/>
      <c r="T735" s="47"/>
    </row>
    <row r="736">
      <c r="A736" s="46"/>
      <c r="B736" s="46"/>
      <c r="C736" s="46"/>
      <c r="D736" s="46"/>
      <c r="E736" s="46"/>
      <c r="F736" s="46"/>
      <c r="G736" s="44"/>
      <c r="H736" s="46"/>
      <c r="I736" s="46"/>
      <c r="J736" s="46"/>
      <c r="K736" s="44"/>
      <c r="L736" s="52"/>
      <c r="M736" s="46"/>
      <c r="N736" s="46"/>
      <c r="O736" s="47"/>
      <c r="P736" s="47"/>
      <c r="Q736" s="47"/>
      <c r="R736" s="47"/>
      <c r="S736" s="47"/>
      <c r="T736" s="47"/>
    </row>
    <row r="737">
      <c r="A737" s="46"/>
      <c r="B737" s="46"/>
      <c r="C737" s="46"/>
      <c r="D737" s="46"/>
      <c r="E737" s="46"/>
      <c r="F737" s="46"/>
      <c r="G737" s="44"/>
      <c r="H737" s="46"/>
      <c r="I737" s="46"/>
      <c r="J737" s="46"/>
      <c r="K737" s="44"/>
      <c r="L737" s="52"/>
      <c r="M737" s="46"/>
      <c r="N737" s="46"/>
      <c r="O737" s="47"/>
      <c r="P737" s="47"/>
      <c r="Q737" s="47"/>
      <c r="R737" s="47"/>
      <c r="S737" s="47"/>
      <c r="T737" s="47"/>
    </row>
    <row r="738">
      <c r="A738" s="46"/>
      <c r="B738" s="46"/>
      <c r="C738" s="46"/>
      <c r="D738" s="46"/>
      <c r="E738" s="46"/>
      <c r="F738" s="46"/>
      <c r="G738" s="44"/>
      <c r="H738" s="46"/>
      <c r="I738" s="46"/>
      <c r="J738" s="46"/>
      <c r="K738" s="44"/>
      <c r="L738" s="52"/>
      <c r="M738" s="46"/>
      <c r="N738" s="46"/>
      <c r="O738" s="47"/>
      <c r="P738" s="47"/>
      <c r="Q738" s="47"/>
      <c r="R738" s="47"/>
      <c r="S738" s="47"/>
      <c r="T738" s="47"/>
    </row>
    <row r="739">
      <c r="A739" s="46"/>
      <c r="B739" s="46"/>
      <c r="C739" s="46"/>
      <c r="D739" s="46"/>
      <c r="E739" s="46"/>
      <c r="F739" s="46"/>
      <c r="G739" s="44"/>
      <c r="H739" s="46"/>
      <c r="I739" s="46"/>
      <c r="J739" s="46"/>
      <c r="K739" s="44"/>
      <c r="L739" s="52"/>
      <c r="M739" s="46"/>
      <c r="N739" s="46"/>
      <c r="O739" s="47"/>
      <c r="P739" s="47"/>
      <c r="Q739" s="47"/>
      <c r="R739" s="47"/>
      <c r="S739" s="47"/>
      <c r="T739" s="47"/>
    </row>
    <row r="740">
      <c r="A740" s="46"/>
      <c r="B740" s="46"/>
      <c r="C740" s="46"/>
      <c r="D740" s="46"/>
      <c r="E740" s="46"/>
      <c r="F740" s="46"/>
      <c r="G740" s="44"/>
      <c r="H740" s="46"/>
      <c r="I740" s="46"/>
      <c r="J740" s="46"/>
      <c r="K740" s="44"/>
      <c r="L740" s="52"/>
      <c r="M740" s="46"/>
      <c r="N740" s="46"/>
      <c r="O740" s="47"/>
      <c r="P740" s="47"/>
      <c r="Q740" s="47"/>
      <c r="R740" s="47"/>
      <c r="S740" s="47"/>
      <c r="T740" s="47"/>
    </row>
    <row r="741">
      <c r="A741" s="46"/>
      <c r="B741" s="46"/>
      <c r="C741" s="46"/>
      <c r="D741" s="46"/>
      <c r="E741" s="46"/>
      <c r="F741" s="46"/>
      <c r="G741" s="44"/>
      <c r="H741" s="46"/>
      <c r="I741" s="46"/>
      <c r="J741" s="46"/>
      <c r="K741" s="44"/>
      <c r="L741" s="52"/>
      <c r="M741" s="46"/>
      <c r="N741" s="46"/>
      <c r="O741" s="47"/>
      <c r="P741" s="47"/>
      <c r="Q741" s="47"/>
      <c r="R741" s="47"/>
      <c r="S741" s="47"/>
      <c r="T741" s="47"/>
    </row>
    <row r="742">
      <c r="A742" s="46"/>
      <c r="B742" s="46"/>
      <c r="C742" s="46"/>
      <c r="D742" s="46"/>
      <c r="E742" s="46"/>
      <c r="F742" s="46"/>
      <c r="G742" s="44"/>
      <c r="H742" s="46"/>
      <c r="I742" s="46"/>
      <c r="J742" s="46"/>
      <c r="K742" s="44"/>
      <c r="L742" s="52"/>
      <c r="M742" s="46"/>
      <c r="N742" s="46"/>
      <c r="O742" s="47"/>
      <c r="P742" s="47"/>
      <c r="Q742" s="47"/>
      <c r="R742" s="47"/>
      <c r="S742" s="47"/>
      <c r="T742" s="47"/>
    </row>
    <row r="743">
      <c r="A743" s="46"/>
      <c r="B743" s="46"/>
      <c r="C743" s="46"/>
      <c r="D743" s="46"/>
      <c r="E743" s="46"/>
      <c r="F743" s="46"/>
      <c r="G743" s="44"/>
      <c r="H743" s="46"/>
      <c r="I743" s="46"/>
      <c r="J743" s="46"/>
      <c r="K743" s="44"/>
      <c r="L743" s="52"/>
      <c r="M743" s="46"/>
      <c r="N743" s="46"/>
      <c r="O743" s="47"/>
      <c r="P743" s="47"/>
      <c r="Q743" s="47"/>
      <c r="R743" s="47"/>
      <c r="S743" s="47"/>
      <c r="T743" s="47"/>
    </row>
    <row r="744">
      <c r="A744" s="46"/>
      <c r="B744" s="46"/>
      <c r="C744" s="46"/>
      <c r="D744" s="46"/>
      <c r="E744" s="46"/>
      <c r="F744" s="46"/>
      <c r="G744" s="44"/>
      <c r="H744" s="46"/>
      <c r="I744" s="46"/>
      <c r="J744" s="46"/>
      <c r="K744" s="44"/>
      <c r="L744" s="52"/>
      <c r="M744" s="46"/>
      <c r="N744" s="46"/>
      <c r="O744" s="47"/>
      <c r="P744" s="47"/>
      <c r="Q744" s="47"/>
      <c r="R744" s="47"/>
      <c r="S744" s="47"/>
      <c r="T744" s="47"/>
    </row>
    <row r="745">
      <c r="A745" s="46"/>
      <c r="B745" s="46"/>
      <c r="C745" s="46"/>
      <c r="D745" s="46"/>
      <c r="E745" s="46"/>
      <c r="F745" s="46"/>
      <c r="G745" s="44"/>
      <c r="H745" s="46"/>
      <c r="I745" s="46"/>
      <c r="J745" s="46"/>
      <c r="K745" s="44"/>
      <c r="L745" s="52"/>
      <c r="M745" s="46"/>
      <c r="N745" s="46"/>
      <c r="O745" s="47"/>
      <c r="P745" s="47"/>
      <c r="Q745" s="47"/>
      <c r="R745" s="47"/>
      <c r="S745" s="47"/>
      <c r="T745" s="47"/>
    </row>
    <row r="746">
      <c r="A746" s="46"/>
      <c r="B746" s="46"/>
      <c r="C746" s="46"/>
      <c r="D746" s="46"/>
      <c r="E746" s="46"/>
      <c r="F746" s="46"/>
      <c r="G746" s="44"/>
      <c r="H746" s="46"/>
      <c r="I746" s="46"/>
      <c r="J746" s="46"/>
      <c r="K746" s="44"/>
      <c r="L746" s="52"/>
      <c r="M746" s="46"/>
      <c r="N746" s="46"/>
      <c r="O746" s="47"/>
      <c r="P746" s="47"/>
      <c r="Q746" s="47"/>
      <c r="R746" s="47"/>
      <c r="S746" s="47"/>
      <c r="T746" s="47"/>
    </row>
    <row r="747">
      <c r="A747" s="46"/>
      <c r="B747" s="46"/>
      <c r="C747" s="46"/>
      <c r="D747" s="46"/>
      <c r="E747" s="46"/>
      <c r="F747" s="46"/>
      <c r="G747" s="44"/>
      <c r="H747" s="46"/>
      <c r="I747" s="46"/>
      <c r="J747" s="46"/>
      <c r="K747" s="44"/>
      <c r="L747" s="52"/>
      <c r="M747" s="46"/>
      <c r="N747" s="46"/>
      <c r="O747" s="47"/>
      <c r="P747" s="47"/>
      <c r="Q747" s="47"/>
      <c r="R747" s="47"/>
      <c r="S747" s="47"/>
      <c r="T747" s="47"/>
    </row>
    <row r="748">
      <c r="A748" s="46"/>
      <c r="B748" s="46"/>
      <c r="C748" s="46"/>
      <c r="D748" s="46"/>
      <c r="E748" s="46"/>
      <c r="F748" s="46"/>
      <c r="G748" s="44"/>
      <c r="H748" s="46"/>
      <c r="I748" s="46"/>
      <c r="J748" s="46"/>
      <c r="K748" s="44"/>
      <c r="L748" s="52"/>
      <c r="M748" s="46"/>
      <c r="N748" s="46"/>
      <c r="O748" s="47"/>
      <c r="P748" s="47"/>
      <c r="Q748" s="47"/>
      <c r="R748" s="47"/>
      <c r="S748" s="47"/>
      <c r="T748" s="47"/>
    </row>
    <row r="749">
      <c r="A749" s="46"/>
      <c r="B749" s="46"/>
      <c r="C749" s="46"/>
      <c r="D749" s="46"/>
      <c r="E749" s="46"/>
      <c r="F749" s="46"/>
      <c r="G749" s="44"/>
      <c r="H749" s="46"/>
      <c r="I749" s="46"/>
      <c r="J749" s="46"/>
      <c r="K749" s="44"/>
      <c r="L749" s="52"/>
      <c r="M749" s="46"/>
      <c r="N749" s="46"/>
      <c r="O749" s="47"/>
      <c r="P749" s="47"/>
      <c r="Q749" s="47"/>
      <c r="R749" s="47"/>
      <c r="S749" s="47"/>
      <c r="T749" s="47"/>
    </row>
    <row r="750">
      <c r="A750" s="46"/>
      <c r="B750" s="46"/>
      <c r="C750" s="46"/>
      <c r="D750" s="46"/>
      <c r="E750" s="46"/>
      <c r="F750" s="46"/>
      <c r="G750" s="44"/>
      <c r="H750" s="46"/>
      <c r="I750" s="46"/>
      <c r="J750" s="46"/>
      <c r="K750" s="44"/>
      <c r="L750" s="52"/>
      <c r="M750" s="46"/>
      <c r="N750" s="46"/>
      <c r="O750" s="47"/>
      <c r="P750" s="47"/>
      <c r="Q750" s="47"/>
      <c r="R750" s="47"/>
      <c r="S750" s="47"/>
      <c r="T750" s="47"/>
    </row>
    <row r="751">
      <c r="A751" s="46"/>
      <c r="B751" s="46"/>
      <c r="C751" s="46"/>
      <c r="D751" s="46"/>
      <c r="E751" s="46"/>
      <c r="F751" s="46"/>
      <c r="G751" s="44"/>
      <c r="H751" s="46"/>
      <c r="I751" s="46"/>
      <c r="J751" s="46"/>
      <c r="K751" s="44"/>
      <c r="L751" s="52"/>
      <c r="M751" s="46"/>
      <c r="N751" s="46"/>
      <c r="O751" s="47"/>
      <c r="P751" s="47"/>
      <c r="Q751" s="47"/>
      <c r="R751" s="47"/>
      <c r="S751" s="47"/>
      <c r="T751" s="47"/>
    </row>
    <row r="752">
      <c r="A752" s="46"/>
      <c r="B752" s="46"/>
      <c r="C752" s="46"/>
      <c r="D752" s="46"/>
      <c r="E752" s="46"/>
      <c r="F752" s="46"/>
      <c r="G752" s="44"/>
      <c r="H752" s="46"/>
      <c r="I752" s="46"/>
      <c r="J752" s="46"/>
      <c r="K752" s="44"/>
      <c r="L752" s="52"/>
      <c r="M752" s="46"/>
      <c r="N752" s="46"/>
      <c r="O752" s="47"/>
      <c r="P752" s="47"/>
      <c r="Q752" s="47"/>
      <c r="R752" s="47"/>
      <c r="S752" s="47"/>
      <c r="T752" s="47"/>
    </row>
    <row r="753">
      <c r="A753" s="46"/>
      <c r="B753" s="46"/>
      <c r="C753" s="46"/>
      <c r="D753" s="46"/>
      <c r="E753" s="46"/>
      <c r="F753" s="46"/>
      <c r="G753" s="44"/>
      <c r="H753" s="46"/>
      <c r="I753" s="46"/>
      <c r="J753" s="46"/>
      <c r="K753" s="44"/>
      <c r="L753" s="52"/>
      <c r="M753" s="46"/>
      <c r="N753" s="46"/>
      <c r="O753" s="47"/>
      <c r="P753" s="47"/>
      <c r="Q753" s="47"/>
      <c r="R753" s="47"/>
      <c r="S753" s="47"/>
      <c r="T753" s="47"/>
    </row>
    <row r="754">
      <c r="A754" s="46"/>
      <c r="B754" s="46"/>
      <c r="C754" s="46"/>
      <c r="D754" s="46"/>
      <c r="E754" s="46"/>
      <c r="F754" s="46"/>
      <c r="G754" s="44"/>
      <c r="H754" s="46"/>
      <c r="I754" s="46"/>
      <c r="J754" s="46"/>
      <c r="K754" s="44"/>
      <c r="L754" s="52"/>
      <c r="M754" s="46"/>
      <c r="N754" s="46"/>
      <c r="O754" s="47"/>
      <c r="P754" s="47"/>
      <c r="Q754" s="47"/>
      <c r="R754" s="47"/>
      <c r="S754" s="47"/>
      <c r="T754" s="47"/>
    </row>
    <row r="755">
      <c r="A755" s="46"/>
      <c r="B755" s="46"/>
      <c r="C755" s="46"/>
      <c r="D755" s="46"/>
      <c r="E755" s="46"/>
      <c r="F755" s="46"/>
      <c r="G755" s="44"/>
      <c r="H755" s="46"/>
      <c r="I755" s="46"/>
      <c r="J755" s="46"/>
      <c r="K755" s="44"/>
      <c r="L755" s="52"/>
      <c r="M755" s="46"/>
      <c r="N755" s="46"/>
      <c r="O755" s="47"/>
      <c r="P755" s="47"/>
      <c r="Q755" s="47"/>
      <c r="R755" s="47"/>
      <c r="S755" s="47"/>
      <c r="T755" s="47"/>
    </row>
    <row r="756">
      <c r="A756" s="46"/>
      <c r="B756" s="46"/>
      <c r="C756" s="46"/>
      <c r="D756" s="46"/>
      <c r="E756" s="46"/>
      <c r="F756" s="46"/>
      <c r="G756" s="44"/>
      <c r="H756" s="46"/>
      <c r="I756" s="46"/>
      <c r="J756" s="46"/>
      <c r="K756" s="44"/>
      <c r="L756" s="52"/>
      <c r="M756" s="46"/>
      <c r="N756" s="46"/>
      <c r="O756" s="47"/>
      <c r="P756" s="47"/>
      <c r="Q756" s="47"/>
      <c r="R756" s="47"/>
      <c r="S756" s="47"/>
      <c r="T756" s="47"/>
    </row>
    <row r="757">
      <c r="A757" s="46"/>
      <c r="B757" s="46"/>
      <c r="C757" s="46"/>
      <c r="D757" s="46"/>
      <c r="E757" s="46"/>
      <c r="F757" s="46"/>
      <c r="G757" s="44"/>
      <c r="H757" s="46"/>
      <c r="I757" s="46"/>
      <c r="J757" s="46"/>
      <c r="K757" s="44"/>
      <c r="L757" s="52"/>
      <c r="M757" s="46"/>
      <c r="N757" s="46"/>
      <c r="O757" s="47"/>
      <c r="P757" s="47"/>
      <c r="Q757" s="47"/>
      <c r="R757" s="47"/>
      <c r="S757" s="47"/>
      <c r="T757" s="47"/>
    </row>
    <row r="758">
      <c r="A758" s="46"/>
      <c r="B758" s="46"/>
      <c r="C758" s="46"/>
      <c r="D758" s="46"/>
      <c r="E758" s="46"/>
      <c r="F758" s="46"/>
      <c r="G758" s="44"/>
      <c r="H758" s="46"/>
      <c r="I758" s="46"/>
      <c r="J758" s="46"/>
      <c r="K758" s="44"/>
      <c r="L758" s="52"/>
      <c r="M758" s="46"/>
      <c r="N758" s="46"/>
      <c r="O758" s="47"/>
      <c r="P758" s="47"/>
      <c r="Q758" s="47"/>
      <c r="R758" s="47"/>
      <c r="S758" s="47"/>
      <c r="T758" s="47"/>
    </row>
    <row r="759">
      <c r="A759" s="46"/>
      <c r="B759" s="46"/>
      <c r="C759" s="46"/>
      <c r="D759" s="46"/>
      <c r="E759" s="46"/>
      <c r="F759" s="46"/>
      <c r="G759" s="44"/>
      <c r="H759" s="46"/>
      <c r="I759" s="46"/>
      <c r="J759" s="46"/>
      <c r="K759" s="44"/>
      <c r="L759" s="52"/>
      <c r="M759" s="46"/>
      <c r="N759" s="46"/>
      <c r="O759" s="47"/>
      <c r="P759" s="47"/>
      <c r="Q759" s="47"/>
      <c r="R759" s="47"/>
      <c r="S759" s="47"/>
      <c r="T759" s="47"/>
    </row>
    <row r="760">
      <c r="A760" s="46"/>
      <c r="B760" s="46"/>
      <c r="C760" s="46"/>
      <c r="D760" s="46"/>
      <c r="E760" s="46"/>
      <c r="F760" s="46"/>
      <c r="G760" s="44"/>
      <c r="H760" s="46"/>
      <c r="I760" s="46"/>
      <c r="J760" s="46"/>
      <c r="K760" s="44"/>
      <c r="L760" s="52"/>
      <c r="M760" s="46"/>
      <c r="N760" s="46"/>
      <c r="O760" s="47"/>
      <c r="P760" s="47"/>
      <c r="Q760" s="47"/>
      <c r="R760" s="47"/>
      <c r="S760" s="47"/>
      <c r="T760" s="47"/>
    </row>
    <row r="761">
      <c r="A761" s="46"/>
      <c r="B761" s="46"/>
      <c r="C761" s="46"/>
      <c r="D761" s="46"/>
      <c r="E761" s="46"/>
      <c r="F761" s="46"/>
      <c r="G761" s="44"/>
      <c r="H761" s="46"/>
      <c r="I761" s="46"/>
      <c r="J761" s="46"/>
      <c r="K761" s="44"/>
      <c r="L761" s="52"/>
      <c r="M761" s="46"/>
      <c r="N761" s="46"/>
      <c r="O761" s="47"/>
      <c r="P761" s="47"/>
      <c r="Q761" s="47"/>
      <c r="R761" s="47"/>
      <c r="S761" s="47"/>
      <c r="T761" s="47"/>
    </row>
    <row r="762">
      <c r="A762" s="46"/>
      <c r="B762" s="46"/>
      <c r="C762" s="46"/>
      <c r="D762" s="46"/>
      <c r="E762" s="46"/>
      <c r="F762" s="46"/>
      <c r="G762" s="44"/>
      <c r="H762" s="46"/>
      <c r="I762" s="46"/>
      <c r="J762" s="46"/>
      <c r="K762" s="44"/>
      <c r="L762" s="52"/>
      <c r="M762" s="46"/>
      <c r="N762" s="46"/>
      <c r="O762" s="47"/>
      <c r="P762" s="47"/>
      <c r="Q762" s="47"/>
      <c r="R762" s="47"/>
      <c r="S762" s="47"/>
      <c r="T762" s="47"/>
    </row>
    <row r="763">
      <c r="A763" s="46"/>
      <c r="B763" s="46"/>
      <c r="C763" s="46"/>
      <c r="D763" s="46"/>
      <c r="E763" s="46"/>
      <c r="F763" s="46"/>
      <c r="G763" s="44"/>
      <c r="H763" s="46"/>
      <c r="I763" s="46"/>
      <c r="J763" s="46"/>
      <c r="K763" s="44"/>
      <c r="L763" s="52"/>
      <c r="M763" s="46"/>
      <c r="N763" s="46"/>
      <c r="O763" s="47"/>
      <c r="P763" s="47"/>
      <c r="Q763" s="47"/>
      <c r="R763" s="47"/>
      <c r="S763" s="47"/>
      <c r="T763" s="47"/>
    </row>
    <row r="764">
      <c r="A764" s="46"/>
      <c r="B764" s="46"/>
      <c r="C764" s="46"/>
      <c r="D764" s="46"/>
      <c r="E764" s="46"/>
      <c r="F764" s="46"/>
      <c r="G764" s="44"/>
      <c r="H764" s="46"/>
      <c r="I764" s="46"/>
      <c r="J764" s="46"/>
      <c r="K764" s="44"/>
      <c r="L764" s="52"/>
      <c r="M764" s="46"/>
      <c r="N764" s="46"/>
      <c r="O764" s="47"/>
      <c r="P764" s="47"/>
      <c r="Q764" s="47"/>
      <c r="R764" s="47"/>
      <c r="S764" s="47"/>
      <c r="T764" s="47"/>
    </row>
    <row r="765">
      <c r="A765" s="46"/>
      <c r="B765" s="46"/>
      <c r="C765" s="46"/>
      <c r="D765" s="46"/>
      <c r="E765" s="46"/>
      <c r="F765" s="46"/>
      <c r="G765" s="44"/>
      <c r="H765" s="46"/>
      <c r="I765" s="46"/>
      <c r="J765" s="46"/>
      <c r="K765" s="44"/>
      <c r="L765" s="52"/>
      <c r="M765" s="46"/>
      <c r="N765" s="46"/>
      <c r="O765" s="47"/>
      <c r="P765" s="47"/>
      <c r="Q765" s="47"/>
      <c r="R765" s="47"/>
      <c r="S765" s="47"/>
      <c r="T765" s="47"/>
    </row>
    <row r="766">
      <c r="A766" s="46"/>
      <c r="B766" s="46"/>
      <c r="C766" s="46"/>
      <c r="D766" s="46"/>
      <c r="E766" s="46"/>
      <c r="F766" s="46"/>
      <c r="G766" s="44"/>
      <c r="H766" s="46"/>
      <c r="I766" s="46"/>
      <c r="J766" s="46"/>
      <c r="K766" s="44"/>
      <c r="L766" s="52"/>
      <c r="M766" s="46"/>
      <c r="N766" s="46"/>
      <c r="O766" s="47"/>
      <c r="P766" s="47"/>
      <c r="Q766" s="47"/>
      <c r="R766" s="47"/>
      <c r="S766" s="47"/>
      <c r="T766" s="47"/>
    </row>
    <row r="767">
      <c r="A767" s="46"/>
      <c r="B767" s="46"/>
      <c r="C767" s="46"/>
      <c r="D767" s="46"/>
      <c r="E767" s="46"/>
      <c r="F767" s="46"/>
      <c r="G767" s="44"/>
      <c r="H767" s="46"/>
      <c r="I767" s="46"/>
      <c r="J767" s="46"/>
      <c r="K767" s="44"/>
      <c r="L767" s="52"/>
      <c r="M767" s="46"/>
      <c r="N767" s="46"/>
      <c r="O767" s="47"/>
      <c r="P767" s="47"/>
      <c r="Q767" s="47"/>
      <c r="R767" s="47"/>
      <c r="S767" s="47"/>
      <c r="T767" s="47"/>
    </row>
    <row r="768">
      <c r="A768" s="46"/>
      <c r="B768" s="46"/>
      <c r="C768" s="46"/>
      <c r="D768" s="46"/>
      <c r="E768" s="46"/>
      <c r="F768" s="46"/>
      <c r="G768" s="44"/>
      <c r="H768" s="46"/>
      <c r="I768" s="46"/>
      <c r="J768" s="46"/>
      <c r="K768" s="44"/>
      <c r="L768" s="52"/>
      <c r="M768" s="46"/>
      <c r="N768" s="46"/>
      <c r="O768" s="47"/>
      <c r="P768" s="47"/>
      <c r="Q768" s="47"/>
      <c r="R768" s="47"/>
      <c r="S768" s="47"/>
      <c r="T768" s="47"/>
    </row>
    <row r="769">
      <c r="A769" s="46"/>
      <c r="B769" s="46"/>
      <c r="C769" s="46"/>
      <c r="D769" s="46"/>
      <c r="E769" s="46"/>
      <c r="F769" s="46"/>
      <c r="G769" s="44"/>
      <c r="H769" s="46"/>
      <c r="I769" s="46"/>
      <c r="J769" s="46"/>
      <c r="K769" s="44"/>
      <c r="L769" s="52"/>
      <c r="M769" s="46"/>
      <c r="N769" s="46"/>
      <c r="O769" s="47"/>
      <c r="P769" s="47"/>
      <c r="Q769" s="47"/>
      <c r="R769" s="47"/>
      <c r="S769" s="47"/>
      <c r="T769" s="47"/>
    </row>
    <row r="770">
      <c r="A770" s="46"/>
      <c r="B770" s="46"/>
      <c r="C770" s="46"/>
      <c r="D770" s="46"/>
      <c r="E770" s="46"/>
      <c r="F770" s="46"/>
      <c r="G770" s="44"/>
      <c r="H770" s="46"/>
      <c r="I770" s="46"/>
      <c r="J770" s="46"/>
      <c r="K770" s="44"/>
      <c r="L770" s="52"/>
      <c r="M770" s="46"/>
      <c r="N770" s="46"/>
      <c r="O770" s="47"/>
      <c r="P770" s="47"/>
      <c r="Q770" s="47"/>
      <c r="R770" s="47"/>
      <c r="S770" s="47"/>
      <c r="T770" s="47"/>
    </row>
    <row r="771">
      <c r="A771" s="46"/>
      <c r="B771" s="46"/>
      <c r="C771" s="46"/>
      <c r="D771" s="46"/>
      <c r="E771" s="46"/>
      <c r="F771" s="46"/>
      <c r="G771" s="44"/>
      <c r="H771" s="46"/>
      <c r="I771" s="46"/>
      <c r="J771" s="46"/>
      <c r="K771" s="44"/>
      <c r="L771" s="52"/>
      <c r="M771" s="46"/>
      <c r="N771" s="46"/>
      <c r="O771" s="47"/>
      <c r="P771" s="47"/>
      <c r="Q771" s="47"/>
      <c r="R771" s="47"/>
      <c r="S771" s="47"/>
      <c r="T771" s="47"/>
    </row>
    <row r="772">
      <c r="A772" s="46"/>
      <c r="B772" s="46"/>
      <c r="C772" s="46"/>
      <c r="D772" s="46"/>
      <c r="E772" s="46"/>
      <c r="F772" s="46"/>
      <c r="G772" s="44"/>
      <c r="H772" s="46"/>
      <c r="I772" s="46"/>
      <c r="J772" s="46"/>
      <c r="K772" s="44"/>
      <c r="L772" s="52"/>
      <c r="M772" s="46"/>
      <c r="N772" s="46"/>
      <c r="O772" s="47"/>
      <c r="P772" s="47"/>
      <c r="Q772" s="47"/>
      <c r="R772" s="47"/>
      <c r="S772" s="47"/>
      <c r="T772" s="47"/>
    </row>
    <row r="773">
      <c r="A773" s="46"/>
      <c r="B773" s="46"/>
      <c r="C773" s="46"/>
      <c r="D773" s="46"/>
      <c r="E773" s="46"/>
      <c r="F773" s="46"/>
      <c r="G773" s="44"/>
      <c r="H773" s="46"/>
      <c r="I773" s="46"/>
      <c r="J773" s="46"/>
      <c r="K773" s="44"/>
      <c r="L773" s="52"/>
      <c r="M773" s="46"/>
      <c r="N773" s="46"/>
      <c r="O773" s="47"/>
      <c r="P773" s="47"/>
      <c r="Q773" s="47"/>
      <c r="R773" s="47"/>
      <c r="S773" s="47"/>
      <c r="T773" s="47"/>
    </row>
    <row r="774">
      <c r="A774" s="46"/>
      <c r="B774" s="46"/>
      <c r="C774" s="46"/>
      <c r="D774" s="46"/>
      <c r="E774" s="46"/>
      <c r="F774" s="46"/>
      <c r="G774" s="44"/>
      <c r="H774" s="46"/>
      <c r="I774" s="46"/>
      <c r="J774" s="46"/>
      <c r="K774" s="44"/>
      <c r="L774" s="52"/>
      <c r="M774" s="46"/>
      <c r="N774" s="46"/>
      <c r="O774" s="47"/>
      <c r="P774" s="47"/>
      <c r="Q774" s="47"/>
      <c r="R774" s="47"/>
      <c r="S774" s="47"/>
      <c r="T774" s="47"/>
    </row>
    <row r="775">
      <c r="A775" s="46"/>
      <c r="B775" s="46"/>
      <c r="C775" s="46"/>
      <c r="D775" s="46"/>
      <c r="E775" s="46"/>
      <c r="F775" s="46"/>
      <c r="G775" s="44"/>
      <c r="H775" s="46"/>
      <c r="I775" s="46"/>
      <c r="J775" s="46"/>
      <c r="K775" s="44"/>
      <c r="L775" s="52"/>
      <c r="M775" s="46"/>
      <c r="N775" s="46"/>
      <c r="O775" s="47"/>
      <c r="P775" s="47"/>
      <c r="Q775" s="47"/>
      <c r="R775" s="47"/>
      <c r="S775" s="47"/>
      <c r="T775" s="47"/>
    </row>
    <row r="776">
      <c r="A776" s="46"/>
      <c r="B776" s="46"/>
      <c r="C776" s="46"/>
      <c r="D776" s="46"/>
      <c r="E776" s="46"/>
      <c r="F776" s="46"/>
      <c r="G776" s="44"/>
      <c r="H776" s="46"/>
      <c r="I776" s="46"/>
      <c r="J776" s="46"/>
      <c r="K776" s="44"/>
      <c r="L776" s="52"/>
      <c r="M776" s="46"/>
      <c r="N776" s="46"/>
      <c r="O776" s="47"/>
      <c r="P776" s="47"/>
      <c r="Q776" s="47"/>
      <c r="R776" s="47"/>
      <c r="S776" s="47"/>
      <c r="T776" s="47"/>
    </row>
    <row r="777">
      <c r="A777" s="46"/>
      <c r="B777" s="46"/>
      <c r="C777" s="46"/>
      <c r="D777" s="46"/>
      <c r="E777" s="46"/>
      <c r="F777" s="46"/>
      <c r="G777" s="44"/>
      <c r="H777" s="46"/>
      <c r="I777" s="46"/>
      <c r="J777" s="46"/>
      <c r="K777" s="44"/>
      <c r="L777" s="52"/>
      <c r="M777" s="46"/>
      <c r="N777" s="46"/>
      <c r="O777" s="47"/>
      <c r="P777" s="47"/>
      <c r="Q777" s="47"/>
      <c r="R777" s="47"/>
      <c r="S777" s="47"/>
      <c r="T777" s="47"/>
    </row>
    <row r="778">
      <c r="A778" s="46"/>
      <c r="B778" s="46"/>
      <c r="C778" s="46"/>
      <c r="D778" s="46"/>
      <c r="E778" s="46"/>
      <c r="F778" s="46"/>
      <c r="G778" s="44"/>
      <c r="H778" s="46"/>
      <c r="I778" s="46"/>
      <c r="J778" s="46"/>
      <c r="K778" s="44"/>
      <c r="L778" s="52"/>
      <c r="M778" s="46"/>
      <c r="N778" s="46"/>
      <c r="O778" s="47"/>
      <c r="P778" s="47"/>
      <c r="Q778" s="47"/>
      <c r="R778" s="47"/>
      <c r="S778" s="47"/>
      <c r="T778" s="47"/>
    </row>
    <row r="779">
      <c r="A779" s="46"/>
      <c r="B779" s="46"/>
      <c r="C779" s="46"/>
      <c r="D779" s="46"/>
      <c r="E779" s="46"/>
      <c r="F779" s="46"/>
      <c r="G779" s="44"/>
      <c r="H779" s="46"/>
      <c r="I779" s="46"/>
      <c r="J779" s="46"/>
      <c r="K779" s="44"/>
      <c r="L779" s="52"/>
      <c r="M779" s="46"/>
      <c r="N779" s="46"/>
      <c r="O779" s="47"/>
      <c r="P779" s="47"/>
      <c r="Q779" s="47"/>
      <c r="R779" s="47"/>
      <c r="S779" s="47"/>
      <c r="T779" s="47"/>
    </row>
    <row r="780">
      <c r="A780" s="46"/>
      <c r="B780" s="46"/>
      <c r="C780" s="46"/>
      <c r="D780" s="46"/>
      <c r="E780" s="46"/>
      <c r="F780" s="46"/>
      <c r="G780" s="44"/>
      <c r="H780" s="46"/>
      <c r="I780" s="46"/>
      <c r="J780" s="46"/>
      <c r="K780" s="44"/>
      <c r="L780" s="52"/>
      <c r="M780" s="46"/>
      <c r="N780" s="46"/>
      <c r="O780" s="47"/>
      <c r="P780" s="47"/>
      <c r="Q780" s="47"/>
      <c r="R780" s="47"/>
      <c r="S780" s="47"/>
      <c r="T780" s="47"/>
    </row>
    <row r="781">
      <c r="A781" s="46"/>
      <c r="B781" s="46"/>
      <c r="C781" s="46"/>
      <c r="D781" s="46"/>
      <c r="E781" s="46"/>
      <c r="F781" s="46"/>
      <c r="G781" s="44"/>
      <c r="H781" s="46"/>
      <c r="I781" s="46"/>
      <c r="J781" s="46"/>
      <c r="K781" s="44"/>
      <c r="L781" s="52"/>
      <c r="M781" s="46"/>
      <c r="N781" s="46"/>
      <c r="O781" s="47"/>
      <c r="P781" s="47"/>
      <c r="Q781" s="47"/>
      <c r="R781" s="47"/>
      <c r="S781" s="47"/>
      <c r="T781" s="47"/>
    </row>
    <row r="782">
      <c r="A782" s="46"/>
      <c r="B782" s="46"/>
      <c r="C782" s="46"/>
      <c r="D782" s="46"/>
      <c r="E782" s="46"/>
      <c r="F782" s="46"/>
      <c r="G782" s="44"/>
      <c r="H782" s="46"/>
      <c r="I782" s="46"/>
      <c r="J782" s="46"/>
      <c r="K782" s="44"/>
      <c r="L782" s="52"/>
      <c r="M782" s="46"/>
      <c r="N782" s="46"/>
      <c r="O782" s="47"/>
      <c r="P782" s="47"/>
      <c r="Q782" s="47"/>
      <c r="R782" s="47"/>
      <c r="S782" s="47"/>
      <c r="T782" s="47"/>
    </row>
    <row r="783">
      <c r="A783" s="46"/>
      <c r="B783" s="46"/>
      <c r="C783" s="46"/>
      <c r="D783" s="46"/>
      <c r="E783" s="46"/>
      <c r="F783" s="46"/>
      <c r="G783" s="44"/>
      <c r="H783" s="46"/>
      <c r="I783" s="46"/>
      <c r="J783" s="46"/>
      <c r="K783" s="44"/>
      <c r="L783" s="52"/>
      <c r="M783" s="46"/>
      <c r="N783" s="46"/>
      <c r="O783" s="47"/>
      <c r="P783" s="47"/>
      <c r="Q783" s="47"/>
      <c r="R783" s="47"/>
      <c r="S783" s="47"/>
      <c r="T783" s="47"/>
    </row>
    <row r="784">
      <c r="A784" s="46"/>
      <c r="B784" s="46"/>
      <c r="C784" s="46"/>
      <c r="D784" s="46"/>
      <c r="E784" s="46"/>
      <c r="F784" s="46"/>
      <c r="G784" s="44"/>
      <c r="H784" s="46"/>
      <c r="I784" s="46"/>
      <c r="J784" s="46"/>
      <c r="K784" s="44"/>
      <c r="L784" s="52"/>
      <c r="M784" s="46"/>
      <c r="N784" s="46"/>
      <c r="O784" s="47"/>
      <c r="P784" s="47"/>
      <c r="Q784" s="47"/>
      <c r="R784" s="47"/>
      <c r="S784" s="47"/>
      <c r="T784" s="47"/>
    </row>
    <row r="785">
      <c r="A785" s="46"/>
      <c r="B785" s="46"/>
      <c r="C785" s="46"/>
      <c r="D785" s="46"/>
      <c r="E785" s="46"/>
      <c r="F785" s="46"/>
      <c r="G785" s="44"/>
      <c r="H785" s="46"/>
      <c r="I785" s="46"/>
      <c r="J785" s="46"/>
      <c r="K785" s="44"/>
      <c r="L785" s="52"/>
      <c r="M785" s="46"/>
      <c r="N785" s="46"/>
      <c r="O785" s="47"/>
      <c r="P785" s="47"/>
      <c r="Q785" s="47"/>
      <c r="R785" s="47"/>
      <c r="S785" s="47"/>
      <c r="T785" s="47"/>
    </row>
    <row r="786">
      <c r="A786" s="46"/>
      <c r="B786" s="46"/>
      <c r="C786" s="46"/>
      <c r="D786" s="46"/>
      <c r="E786" s="46"/>
      <c r="F786" s="46"/>
      <c r="G786" s="44"/>
      <c r="H786" s="46"/>
      <c r="I786" s="46"/>
      <c r="J786" s="46"/>
      <c r="K786" s="44"/>
      <c r="L786" s="52"/>
      <c r="M786" s="46"/>
      <c r="N786" s="46"/>
      <c r="O786" s="47"/>
      <c r="P786" s="47"/>
      <c r="Q786" s="47"/>
      <c r="R786" s="47"/>
      <c r="S786" s="47"/>
      <c r="T786" s="47"/>
    </row>
    <row r="787">
      <c r="A787" s="46"/>
      <c r="B787" s="46"/>
      <c r="C787" s="46"/>
      <c r="D787" s="46"/>
      <c r="E787" s="46"/>
      <c r="F787" s="46"/>
      <c r="G787" s="44"/>
      <c r="H787" s="46"/>
      <c r="I787" s="46"/>
      <c r="J787" s="46"/>
      <c r="K787" s="44"/>
      <c r="L787" s="52"/>
      <c r="M787" s="46"/>
      <c r="N787" s="46"/>
      <c r="O787" s="47"/>
      <c r="P787" s="47"/>
      <c r="Q787" s="47"/>
      <c r="R787" s="47"/>
      <c r="S787" s="47"/>
      <c r="T787" s="47"/>
    </row>
    <row r="788">
      <c r="A788" s="46"/>
      <c r="B788" s="46"/>
      <c r="C788" s="46"/>
      <c r="D788" s="46"/>
      <c r="E788" s="46"/>
      <c r="F788" s="46"/>
      <c r="G788" s="44"/>
      <c r="H788" s="46"/>
      <c r="I788" s="46"/>
      <c r="J788" s="46"/>
      <c r="K788" s="44"/>
      <c r="L788" s="52"/>
      <c r="M788" s="46"/>
      <c r="N788" s="46"/>
      <c r="O788" s="47"/>
      <c r="P788" s="47"/>
      <c r="Q788" s="47"/>
      <c r="R788" s="47"/>
      <c r="S788" s="47"/>
      <c r="T788" s="47"/>
    </row>
    <row r="789">
      <c r="A789" s="46"/>
      <c r="B789" s="46"/>
      <c r="C789" s="46"/>
      <c r="D789" s="46"/>
      <c r="E789" s="46"/>
      <c r="F789" s="46"/>
      <c r="G789" s="44"/>
      <c r="H789" s="46"/>
      <c r="I789" s="46"/>
      <c r="J789" s="46"/>
      <c r="K789" s="44"/>
      <c r="L789" s="52"/>
      <c r="M789" s="46"/>
      <c r="N789" s="46"/>
      <c r="O789" s="47"/>
      <c r="P789" s="47"/>
      <c r="Q789" s="47"/>
      <c r="R789" s="47"/>
      <c r="S789" s="47"/>
      <c r="T789" s="47"/>
    </row>
    <row r="790">
      <c r="A790" s="46"/>
      <c r="B790" s="46"/>
      <c r="C790" s="46"/>
      <c r="D790" s="46"/>
      <c r="E790" s="46"/>
      <c r="F790" s="46"/>
      <c r="G790" s="44"/>
      <c r="H790" s="46"/>
      <c r="I790" s="46"/>
      <c r="J790" s="46"/>
      <c r="K790" s="44"/>
      <c r="L790" s="52"/>
      <c r="M790" s="46"/>
      <c r="N790" s="46"/>
      <c r="O790" s="47"/>
      <c r="P790" s="47"/>
      <c r="Q790" s="47"/>
      <c r="R790" s="47"/>
      <c r="S790" s="47"/>
      <c r="T790" s="47"/>
    </row>
    <row r="791">
      <c r="A791" s="46"/>
      <c r="B791" s="46"/>
      <c r="C791" s="46"/>
      <c r="D791" s="46"/>
      <c r="E791" s="46"/>
      <c r="F791" s="46"/>
      <c r="G791" s="44"/>
      <c r="H791" s="46"/>
      <c r="I791" s="46"/>
      <c r="J791" s="46"/>
      <c r="K791" s="44"/>
      <c r="L791" s="52"/>
      <c r="M791" s="46"/>
      <c r="N791" s="46"/>
      <c r="O791" s="47"/>
      <c r="P791" s="47"/>
      <c r="Q791" s="47"/>
      <c r="R791" s="47"/>
      <c r="S791" s="47"/>
      <c r="T791" s="47"/>
    </row>
    <row r="792">
      <c r="A792" s="46"/>
      <c r="B792" s="46"/>
      <c r="C792" s="46"/>
      <c r="D792" s="46"/>
      <c r="E792" s="46"/>
      <c r="F792" s="46"/>
      <c r="G792" s="44"/>
      <c r="H792" s="46"/>
      <c r="I792" s="46"/>
      <c r="J792" s="46"/>
      <c r="K792" s="44"/>
      <c r="L792" s="52"/>
      <c r="M792" s="46"/>
      <c r="N792" s="46"/>
      <c r="O792" s="47"/>
      <c r="P792" s="47"/>
      <c r="Q792" s="47"/>
      <c r="R792" s="47"/>
      <c r="S792" s="47"/>
      <c r="T792" s="47"/>
    </row>
    <row r="793">
      <c r="A793" s="46"/>
      <c r="B793" s="46"/>
      <c r="C793" s="46"/>
      <c r="D793" s="46"/>
      <c r="E793" s="46"/>
      <c r="F793" s="46"/>
      <c r="G793" s="44"/>
      <c r="H793" s="46"/>
      <c r="I793" s="46"/>
      <c r="J793" s="46"/>
      <c r="K793" s="44"/>
      <c r="L793" s="52"/>
      <c r="M793" s="46"/>
      <c r="N793" s="46"/>
      <c r="O793" s="47"/>
      <c r="P793" s="47"/>
      <c r="Q793" s="47"/>
      <c r="R793" s="47"/>
      <c r="S793" s="47"/>
      <c r="T793" s="47"/>
    </row>
    <row r="794">
      <c r="A794" s="46"/>
      <c r="B794" s="46"/>
      <c r="C794" s="46"/>
      <c r="D794" s="46"/>
      <c r="E794" s="46"/>
      <c r="F794" s="46"/>
      <c r="G794" s="44"/>
      <c r="H794" s="46"/>
      <c r="I794" s="46"/>
      <c r="J794" s="46"/>
      <c r="K794" s="44"/>
      <c r="L794" s="52"/>
      <c r="M794" s="46"/>
      <c r="N794" s="46"/>
      <c r="O794" s="47"/>
      <c r="P794" s="47"/>
      <c r="Q794" s="47"/>
      <c r="R794" s="47"/>
      <c r="S794" s="47"/>
      <c r="T794" s="47"/>
    </row>
    <row r="795">
      <c r="A795" s="46"/>
      <c r="B795" s="46"/>
      <c r="C795" s="46"/>
      <c r="D795" s="46"/>
      <c r="E795" s="46"/>
      <c r="F795" s="46"/>
      <c r="G795" s="44"/>
      <c r="H795" s="46"/>
      <c r="I795" s="46"/>
      <c r="J795" s="46"/>
      <c r="K795" s="44"/>
      <c r="L795" s="52"/>
      <c r="M795" s="46"/>
      <c r="N795" s="46"/>
      <c r="O795" s="47"/>
      <c r="P795" s="47"/>
      <c r="Q795" s="47"/>
      <c r="R795" s="47"/>
      <c r="S795" s="47"/>
      <c r="T795" s="47"/>
    </row>
    <row r="796">
      <c r="A796" s="46"/>
      <c r="B796" s="46"/>
      <c r="C796" s="46"/>
      <c r="D796" s="46"/>
      <c r="E796" s="46"/>
      <c r="F796" s="46"/>
      <c r="G796" s="44"/>
      <c r="H796" s="46"/>
      <c r="I796" s="46"/>
      <c r="J796" s="46"/>
      <c r="K796" s="44"/>
      <c r="L796" s="52"/>
      <c r="M796" s="46"/>
      <c r="N796" s="46"/>
      <c r="O796" s="47"/>
      <c r="P796" s="47"/>
      <c r="Q796" s="47"/>
      <c r="R796" s="47"/>
      <c r="S796" s="47"/>
      <c r="T796" s="47"/>
    </row>
    <row r="797">
      <c r="A797" s="46"/>
      <c r="B797" s="46"/>
      <c r="C797" s="46"/>
      <c r="D797" s="46"/>
      <c r="E797" s="46"/>
      <c r="F797" s="46"/>
      <c r="G797" s="44"/>
      <c r="H797" s="46"/>
      <c r="I797" s="46"/>
      <c r="J797" s="46"/>
      <c r="K797" s="44"/>
      <c r="L797" s="52"/>
      <c r="M797" s="46"/>
      <c r="N797" s="46"/>
      <c r="O797" s="47"/>
      <c r="P797" s="47"/>
      <c r="Q797" s="47"/>
      <c r="R797" s="47"/>
      <c r="S797" s="47"/>
      <c r="T797" s="47"/>
    </row>
    <row r="798">
      <c r="A798" s="46"/>
      <c r="B798" s="46"/>
      <c r="C798" s="46"/>
      <c r="D798" s="46"/>
      <c r="E798" s="46"/>
      <c r="F798" s="46"/>
      <c r="G798" s="44"/>
      <c r="H798" s="46"/>
      <c r="I798" s="46"/>
      <c r="J798" s="46"/>
      <c r="K798" s="44"/>
      <c r="L798" s="52"/>
      <c r="M798" s="46"/>
      <c r="N798" s="46"/>
      <c r="O798" s="47"/>
      <c r="P798" s="47"/>
      <c r="Q798" s="47"/>
      <c r="R798" s="47"/>
      <c r="S798" s="47"/>
      <c r="T798" s="47"/>
    </row>
    <row r="799">
      <c r="A799" s="46"/>
      <c r="B799" s="46"/>
      <c r="C799" s="46"/>
      <c r="D799" s="46"/>
      <c r="E799" s="46"/>
      <c r="F799" s="46"/>
      <c r="G799" s="44"/>
      <c r="H799" s="46"/>
      <c r="I799" s="46"/>
      <c r="J799" s="46"/>
      <c r="K799" s="44"/>
      <c r="L799" s="52"/>
      <c r="M799" s="46"/>
      <c r="N799" s="46"/>
      <c r="O799" s="47"/>
      <c r="P799" s="47"/>
      <c r="Q799" s="47"/>
      <c r="R799" s="47"/>
      <c r="S799" s="47"/>
      <c r="T799" s="47"/>
    </row>
    <row r="800">
      <c r="A800" s="46"/>
      <c r="B800" s="46"/>
      <c r="C800" s="46"/>
      <c r="D800" s="46"/>
      <c r="E800" s="46"/>
      <c r="F800" s="46"/>
      <c r="G800" s="44"/>
      <c r="H800" s="46"/>
      <c r="I800" s="46"/>
      <c r="J800" s="46"/>
      <c r="K800" s="44"/>
      <c r="L800" s="52"/>
      <c r="M800" s="46"/>
      <c r="N800" s="46"/>
      <c r="O800" s="47"/>
      <c r="P800" s="47"/>
      <c r="Q800" s="47"/>
      <c r="R800" s="47"/>
      <c r="S800" s="47"/>
      <c r="T800" s="47"/>
    </row>
    <row r="801">
      <c r="A801" s="46"/>
      <c r="B801" s="46"/>
      <c r="C801" s="46"/>
      <c r="D801" s="46"/>
      <c r="E801" s="46"/>
      <c r="F801" s="46"/>
      <c r="G801" s="44"/>
      <c r="H801" s="46"/>
      <c r="I801" s="46"/>
      <c r="J801" s="46"/>
      <c r="K801" s="44"/>
      <c r="L801" s="52"/>
      <c r="M801" s="46"/>
      <c r="N801" s="46"/>
      <c r="O801" s="47"/>
      <c r="P801" s="47"/>
      <c r="Q801" s="47"/>
      <c r="R801" s="47"/>
      <c r="S801" s="47"/>
      <c r="T801" s="47"/>
    </row>
    <row r="802">
      <c r="A802" s="46"/>
      <c r="B802" s="46"/>
      <c r="C802" s="46"/>
      <c r="D802" s="46"/>
      <c r="E802" s="46"/>
      <c r="F802" s="46"/>
      <c r="G802" s="44"/>
      <c r="H802" s="46"/>
      <c r="I802" s="46"/>
      <c r="J802" s="46"/>
      <c r="K802" s="44"/>
      <c r="L802" s="52"/>
      <c r="M802" s="46"/>
      <c r="N802" s="46"/>
      <c r="O802" s="47"/>
      <c r="P802" s="47"/>
      <c r="Q802" s="47"/>
      <c r="R802" s="47"/>
      <c r="S802" s="47"/>
      <c r="T802" s="47"/>
    </row>
    <row r="803">
      <c r="A803" s="46"/>
      <c r="B803" s="46"/>
      <c r="C803" s="46"/>
      <c r="D803" s="46"/>
      <c r="E803" s="46"/>
      <c r="F803" s="46"/>
      <c r="G803" s="44"/>
      <c r="H803" s="46"/>
      <c r="I803" s="46"/>
      <c r="J803" s="46"/>
      <c r="K803" s="44"/>
      <c r="L803" s="52"/>
      <c r="M803" s="46"/>
      <c r="N803" s="46"/>
      <c r="O803" s="47"/>
      <c r="P803" s="47"/>
      <c r="Q803" s="47"/>
      <c r="R803" s="47"/>
      <c r="S803" s="47"/>
      <c r="T803" s="47"/>
    </row>
    <row r="804">
      <c r="A804" s="46"/>
      <c r="B804" s="46"/>
      <c r="C804" s="46"/>
      <c r="D804" s="46"/>
      <c r="E804" s="46"/>
      <c r="F804" s="46"/>
      <c r="G804" s="44"/>
      <c r="H804" s="46"/>
      <c r="I804" s="46"/>
      <c r="J804" s="46"/>
      <c r="K804" s="44"/>
      <c r="L804" s="52"/>
      <c r="M804" s="46"/>
      <c r="N804" s="46"/>
      <c r="O804" s="47"/>
      <c r="P804" s="47"/>
      <c r="Q804" s="47"/>
      <c r="R804" s="47"/>
      <c r="S804" s="47"/>
      <c r="T804" s="47"/>
    </row>
    <row r="805">
      <c r="A805" s="46"/>
      <c r="B805" s="46"/>
      <c r="C805" s="46"/>
      <c r="D805" s="46"/>
      <c r="E805" s="46"/>
      <c r="F805" s="46"/>
      <c r="G805" s="44"/>
      <c r="H805" s="46"/>
      <c r="I805" s="46"/>
      <c r="J805" s="46"/>
      <c r="K805" s="44"/>
      <c r="L805" s="52"/>
      <c r="M805" s="46"/>
      <c r="N805" s="46"/>
      <c r="O805" s="47"/>
      <c r="P805" s="47"/>
      <c r="Q805" s="47"/>
      <c r="R805" s="47"/>
      <c r="S805" s="47"/>
      <c r="T805" s="47"/>
    </row>
    <row r="806">
      <c r="A806" s="46"/>
      <c r="B806" s="46"/>
      <c r="C806" s="46"/>
      <c r="D806" s="46"/>
      <c r="E806" s="46"/>
      <c r="F806" s="46"/>
      <c r="G806" s="44"/>
      <c r="H806" s="46"/>
      <c r="I806" s="46"/>
      <c r="J806" s="46"/>
      <c r="K806" s="44"/>
      <c r="L806" s="52"/>
      <c r="M806" s="46"/>
      <c r="N806" s="46"/>
      <c r="O806" s="47"/>
      <c r="P806" s="47"/>
      <c r="Q806" s="47"/>
      <c r="R806" s="47"/>
      <c r="S806" s="47"/>
      <c r="T806" s="47"/>
    </row>
    <row r="807">
      <c r="A807" s="46"/>
      <c r="B807" s="46"/>
      <c r="C807" s="46"/>
      <c r="D807" s="46"/>
      <c r="E807" s="46"/>
      <c r="F807" s="46"/>
      <c r="G807" s="44"/>
      <c r="H807" s="46"/>
      <c r="I807" s="46"/>
      <c r="J807" s="46"/>
      <c r="K807" s="44"/>
      <c r="L807" s="52"/>
      <c r="M807" s="46"/>
      <c r="N807" s="46"/>
      <c r="O807" s="47"/>
      <c r="P807" s="47"/>
      <c r="Q807" s="47"/>
      <c r="R807" s="47"/>
      <c r="S807" s="47"/>
      <c r="T807" s="47"/>
    </row>
    <row r="808">
      <c r="A808" s="46"/>
      <c r="B808" s="46"/>
      <c r="C808" s="46"/>
      <c r="D808" s="46"/>
      <c r="E808" s="46"/>
      <c r="F808" s="46"/>
      <c r="G808" s="44"/>
      <c r="H808" s="46"/>
      <c r="I808" s="46"/>
      <c r="J808" s="46"/>
      <c r="K808" s="44"/>
      <c r="L808" s="52"/>
      <c r="M808" s="46"/>
      <c r="N808" s="46"/>
      <c r="O808" s="47"/>
      <c r="P808" s="47"/>
      <c r="Q808" s="47"/>
      <c r="R808" s="47"/>
      <c r="S808" s="47"/>
      <c r="T808" s="47"/>
    </row>
    <row r="809">
      <c r="A809" s="46"/>
      <c r="B809" s="46"/>
      <c r="C809" s="46"/>
      <c r="D809" s="46"/>
      <c r="E809" s="46"/>
      <c r="F809" s="46"/>
      <c r="G809" s="44"/>
      <c r="H809" s="46"/>
      <c r="I809" s="46"/>
      <c r="J809" s="46"/>
      <c r="K809" s="44"/>
      <c r="L809" s="52"/>
      <c r="M809" s="46"/>
      <c r="N809" s="46"/>
      <c r="O809" s="47"/>
      <c r="P809" s="47"/>
      <c r="Q809" s="47"/>
      <c r="R809" s="47"/>
      <c r="S809" s="47"/>
      <c r="T809" s="47"/>
    </row>
    <row r="810">
      <c r="A810" s="46"/>
      <c r="B810" s="46"/>
      <c r="C810" s="46"/>
      <c r="D810" s="46"/>
      <c r="E810" s="46"/>
      <c r="F810" s="46"/>
      <c r="G810" s="44"/>
      <c r="H810" s="46"/>
      <c r="I810" s="46"/>
      <c r="J810" s="46"/>
      <c r="K810" s="44"/>
      <c r="L810" s="52"/>
      <c r="M810" s="46"/>
      <c r="N810" s="46"/>
      <c r="O810" s="47"/>
      <c r="P810" s="47"/>
      <c r="Q810" s="47"/>
      <c r="R810" s="47"/>
      <c r="S810" s="47"/>
      <c r="T810" s="47"/>
    </row>
    <row r="811">
      <c r="A811" s="46"/>
      <c r="B811" s="46"/>
      <c r="C811" s="46"/>
      <c r="D811" s="46"/>
      <c r="E811" s="46"/>
      <c r="F811" s="46"/>
      <c r="G811" s="44"/>
      <c r="H811" s="46"/>
      <c r="I811" s="46"/>
      <c r="J811" s="46"/>
      <c r="K811" s="44"/>
      <c r="L811" s="52"/>
      <c r="M811" s="46"/>
      <c r="N811" s="46"/>
      <c r="O811" s="47"/>
      <c r="P811" s="47"/>
      <c r="Q811" s="47"/>
      <c r="R811" s="47"/>
      <c r="S811" s="47"/>
      <c r="T811" s="47"/>
    </row>
    <row r="812">
      <c r="A812" s="46"/>
      <c r="B812" s="46"/>
      <c r="C812" s="46"/>
      <c r="D812" s="46"/>
      <c r="E812" s="46"/>
      <c r="F812" s="46"/>
      <c r="G812" s="44"/>
      <c r="H812" s="46"/>
      <c r="I812" s="46"/>
      <c r="J812" s="46"/>
      <c r="K812" s="44"/>
      <c r="L812" s="52"/>
      <c r="M812" s="46"/>
      <c r="N812" s="46"/>
      <c r="O812" s="47"/>
      <c r="P812" s="47"/>
      <c r="Q812" s="47"/>
      <c r="R812" s="47"/>
      <c r="S812" s="47"/>
      <c r="T812" s="47"/>
    </row>
    <row r="813">
      <c r="A813" s="46"/>
      <c r="B813" s="46"/>
      <c r="C813" s="46"/>
      <c r="D813" s="46"/>
      <c r="E813" s="46"/>
      <c r="F813" s="46"/>
      <c r="G813" s="44"/>
      <c r="H813" s="46"/>
      <c r="I813" s="46"/>
      <c r="J813" s="46"/>
      <c r="K813" s="44"/>
      <c r="L813" s="52"/>
      <c r="M813" s="46"/>
      <c r="N813" s="46"/>
      <c r="O813" s="47"/>
      <c r="P813" s="47"/>
      <c r="Q813" s="47"/>
      <c r="R813" s="47"/>
      <c r="S813" s="47"/>
      <c r="T813" s="47"/>
    </row>
    <row r="814">
      <c r="A814" s="46"/>
      <c r="B814" s="46"/>
      <c r="C814" s="46"/>
      <c r="D814" s="46"/>
      <c r="E814" s="46"/>
      <c r="F814" s="46"/>
      <c r="G814" s="44"/>
      <c r="H814" s="46"/>
      <c r="I814" s="46"/>
      <c r="J814" s="46"/>
      <c r="K814" s="44"/>
      <c r="L814" s="52"/>
      <c r="M814" s="46"/>
      <c r="N814" s="46"/>
      <c r="O814" s="47"/>
      <c r="P814" s="47"/>
      <c r="Q814" s="47"/>
      <c r="R814" s="47"/>
      <c r="S814" s="47"/>
      <c r="T814" s="47"/>
    </row>
    <row r="815">
      <c r="A815" s="46"/>
      <c r="B815" s="46"/>
      <c r="C815" s="46"/>
      <c r="D815" s="46"/>
      <c r="E815" s="46"/>
      <c r="F815" s="46"/>
      <c r="G815" s="44"/>
      <c r="H815" s="46"/>
      <c r="I815" s="46"/>
      <c r="J815" s="46"/>
      <c r="K815" s="44"/>
      <c r="L815" s="52"/>
      <c r="M815" s="46"/>
      <c r="N815" s="46"/>
      <c r="O815" s="47"/>
      <c r="P815" s="47"/>
      <c r="Q815" s="47"/>
      <c r="R815" s="47"/>
      <c r="S815" s="47"/>
      <c r="T815" s="47"/>
    </row>
    <row r="816">
      <c r="A816" s="46"/>
      <c r="B816" s="46"/>
      <c r="C816" s="46"/>
      <c r="D816" s="46"/>
      <c r="E816" s="46"/>
      <c r="F816" s="46"/>
      <c r="G816" s="44"/>
      <c r="H816" s="46"/>
      <c r="I816" s="46"/>
      <c r="J816" s="46"/>
      <c r="K816" s="44"/>
      <c r="L816" s="52"/>
      <c r="M816" s="46"/>
      <c r="N816" s="46"/>
      <c r="O816" s="47"/>
      <c r="P816" s="47"/>
      <c r="Q816" s="47"/>
      <c r="R816" s="47"/>
      <c r="S816" s="47"/>
      <c r="T816" s="47"/>
    </row>
    <row r="817">
      <c r="A817" s="46"/>
      <c r="B817" s="46"/>
      <c r="C817" s="46"/>
      <c r="D817" s="46"/>
      <c r="E817" s="46"/>
      <c r="F817" s="46"/>
      <c r="G817" s="44"/>
      <c r="H817" s="46"/>
      <c r="I817" s="46"/>
      <c r="J817" s="46"/>
      <c r="K817" s="44"/>
      <c r="L817" s="52"/>
      <c r="M817" s="46"/>
      <c r="N817" s="46"/>
      <c r="O817" s="47"/>
      <c r="P817" s="47"/>
      <c r="Q817" s="47"/>
      <c r="R817" s="47"/>
      <c r="S817" s="47"/>
      <c r="T817" s="47"/>
    </row>
    <row r="818">
      <c r="A818" s="46"/>
      <c r="B818" s="46"/>
      <c r="C818" s="46"/>
      <c r="D818" s="46"/>
      <c r="E818" s="46"/>
      <c r="F818" s="46"/>
      <c r="G818" s="44"/>
      <c r="H818" s="46"/>
      <c r="I818" s="46"/>
      <c r="J818" s="46"/>
      <c r="K818" s="44"/>
      <c r="L818" s="52"/>
      <c r="M818" s="46"/>
      <c r="N818" s="46"/>
      <c r="O818" s="47"/>
      <c r="P818" s="47"/>
      <c r="Q818" s="47"/>
      <c r="R818" s="47"/>
      <c r="S818" s="47"/>
      <c r="T818" s="47"/>
    </row>
    <row r="819">
      <c r="A819" s="46"/>
      <c r="B819" s="46"/>
      <c r="C819" s="46"/>
      <c r="D819" s="46"/>
      <c r="E819" s="46"/>
      <c r="F819" s="46"/>
      <c r="G819" s="44"/>
      <c r="H819" s="46"/>
      <c r="I819" s="46"/>
      <c r="J819" s="46"/>
      <c r="K819" s="44"/>
      <c r="L819" s="52"/>
      <c r="M819" s="46"/>
      <c r="N819" s="46"/>
      <c r="O819" s="47"/>
      <c r="P819" s="47"/>
      <c r="Q819" s="47"/>
      <c r="R819" s="47"/>
      <c r="S819" s="47"/>
      <c r="T819" s="47"/>
    </row>
    <row r="820">
      <c r="A820" s="46"/>
      <c r="B820" s="46"/>
      <c r="C820" s="46"/>
      <c r="D820" s="46"/>
      <c r="E820" s="46"/>
      <c r="F820" s="46"/>
      <c r="G820" s="44"/>
      <c r="H820" s="46"/>
      <c r="I820" s="46"/>
      <c r="J820" s="46"/>
      <c r="K820" s="44"/>
      <c r="L820" s="52"/>
      <c r="M820" s="46"/>
      <c r="N820" s="46"/>
      <c r="O820" s="47"/>
      <c r="P820" s="47"/>
      <c r="Q820" s="47"/>
      <c r="R820" s="47"/>
      <c r="S820" s="47"/>
      <c r="T820" s="47"/>
    </row>
    <row r="821">
      <c r="A821" s="46"/>
      <c r="B821" s="46"/>
      <c r="C821" s="46"/>
      <c r="D821" s="46"/>
      <c r="E821" s="46"/>
      <c r="F821" s="46"/>
      <c r="G821" s="44"/>
      <c r="H821" s="46"/>
      <c r="I821" s="46"/>
      <c r="J821" s="46"/>
      <c r="K821" s="44"/>
      <c r="L821" s="52"/>
      <c r="M821" s="46"/>
      <c r="N821" s="46"/>
      <c r="O821" s="47"/>
      <c r="P821" s="47"/>
      <c r="Q821" s="47"/>
      <c r="R821" s="47"/>
      <c r="S821" s="47"/>
      <c r="T821" s="47"/>
    </row>
    <row r="822">
      <c r="A822" s="46"/>
      <c r="B822" s="46"/>
      <c r="C822" s="46"/>
      <c r="D822" s="46"/>
      <c r="E822" s="46"/>
      <c r="F822" s="46"/>
      <c r="G822" s="44"/>
      <c r="H822" s="46"/>
      <c r="I822" s="46"/>
      <c r="J822" s="46"/>
      <c r="K822" s="44"/>
      <c r="L822" s="52"/>
      <c r="M822" s="46"/>
      <c r="N822" s="46"/>
      <c r="O822" s="47"/>
      <c r="P822" s="47"/>
      <c r="Q822" s="47"/>
      <c r="R822" s="47"/>
      <c r="S822" s="47"/>
      <c r="T822" s="47"/>
    </row>
    <row r="823">
      <c r="A823" s="46"/>
      <c r="B823" s="46"/>
      <c r="C823" s="46"/>
      <c r="D823" s="46"/>
      <c r="E823" s="46"/>
      <c r="F823" s="46"/>
      <c r="G823" s="44"/>
      <c r="H823" s="46"/>
      <c r="I823" s="46"/>
      <c r="J823" s="46"/>
      <c r="K823" s="44"/>
      <c r="L823" s="52"/>
      <c r="M823" s="46"/>
      <c r="N823" s="46"/>
      <c r="O823" s="47"/>
      <c r="P823" s="47"/>
      <c r="Q823" s="47"/>
      <c r="R823" s="47"/>
      <c r="S823" s="47"/>
      <c r="T823" s="47"/>
    </row>
    <row r="824">
      <c r="A824" s="46"/>
      <c r="B824" s="46"/>
      <c r="C824" s="46"/>
      <c r="D824" s="46"/>
      <c r="E824" s="46"/>
      <c r="F824" s="46"/>
      <c r="G824" s="44"/>
      <c r="H824" s="46"/>
      <c r="I824" s="46"/>
      <c r="J824" s="46"/>
      <c r="K824" s="44"/>
      <c r="L824" s="52"/>
      <c r="M824" s="46"/>
      <c r="N824" s="46"/>
      <c r="O824" s="47"/>
      <c r="P824" s="47"/>
      <c r="Q824" s="47"/>
      <c r="R824" s="47"/>
      <c r="S824" s="47"/>
      <c r="T824" s="47"/>
    </row>
    <row r="825">
      <c r="A825" s="46"/>
      <c r="B825" s="46"/>
      <c r="C825" s="46"/>
      <c r="D825" s="46"/>
      <c r="E825" s="46"/>
      <c r="F825" s="46"/>
      <c r="G825" s="44"/>
      <c r="H825" s="46"/>
      <c r="I825" s="46"/>
      <c r="J825" s="46"/>
      <c r="K825" s="44"/>
      <c r="L825" s="52"/>
      <c r="M825" s="46"/>
      <c r="N825" s="46"/>
      <c r="O825" s="47"/>
      <c r="P825" s="47"/>
      <c r="Q825" s="47"/>
      <c r="R825" s="47"/>
      <c r="S825" s="47"/>
      <c r="T825" s="47"/>
    </row>
    <row r="826">
      <c r="A826" s="46"/>
      <c r="B826" s="46"/>
      <c r="C826" s="46"/>
      <c r="D826" s="46"/>
      <c r="E826" s="46"/>
      <c r="F826" s="46"/>
      <c r="G826" s="44"/>
      <c r="H826" s="46"/>
      <c r="I826" s="46"/>
      <c r="J826" s="46"/>
      <c r="K826" s="44"/>
      <c r="L826" s="52"/>
      <c r="M826" s="46"/>
      <c r="N826" s="46"/>
      <c r="O826" s="47"/>
      <c r="P826" s="47"/>
      <c r="Q826" s="47"/>
      <c r="R826" s="47"/>
      <c r="S826" s="47"/>
      <c r="T826" s="47"/>
    </row>
    <row r="827">
      <c r="A827" s="46"/>
      <c r="B827" s="46"/>
      <c r="C827" s="46"/>
      <c r="D827" s="46"/>
      <c r="E827" s="46"/>
      <c r="F827" s="46"/>
      <c r="G827" s="44"/>
      <c r="H827" s="46"/>
      <c r="I827" s="46"/>
      <c r="J827" s="46"/>
      <c r="K827" s="44"/>
      <c r="L827" s="52"/>
      <c r="M827" s="46"/>
      <c r="N827" s="46"/>
      <c r="O827" s="47"/>
      <c r="P827" s="47"/>
      <c r="Q827" s="47"/>
      <c r="R827" s="47"/>
      <c r="S827" s="47"/>
      <c r="T827" s="47"/>
    </row>
    <row r="828">
      <c r="A828" s="46"/>
      <c r="B828" s="46"/>
      <c r="C828" s="46"/>
      <c r="D828" s="46"/>
      <c r="E828" s="46"/>
      <c r="F828" s="46"/>
      <c r="G828" s="44"/>
      <c r="H828" s="46"/>
      <c r="I828" s="46"/>
      <c r="J828" s="46"/>
      <c r="K828" s="44"/>
      <c r="L828" s="52"/>
      <c r="M828" s="46"/>
      <c r="N828" s="46"/>
      <c r="O828" s="47"/>
      <c r="P828" s="47"/>
      <c r="Q828" s="47"/>
      <c r="R828" s="47"/>
      <c r="S828" s="47"/>
      <c r="T828" s="47"/>
    </row>
    <row r="829">
      <c r="A829" s="46"/>
      <c r="B829" s="46"/>
      <c r="C829" s="46"/>
      <c r="D829" s="46"/>
      <c r="E829" s="46"/>
      <c r="F829" s="46"/>
      <c r="G829" s="44"/>
      <c r="H829" s="46"/>
      <c r="I829" s="46"/>
      <c r="J829" s="46"/>
      <c r="K829" s="44"/>
      <c r="L829" s="52"/>
      <c r="M829" s="46"/>
      <c r="N829" s="46"/>
      <c r="O829" s="47"/>
      <c r="P829" s="47"/>
      <c r="Q829" s="47"/>
      <c r="R829" s="47"/>
      <c r="S829" s="47"/>
      <c r="T829" s="47"/>
    </row>
    <row r="830">
      <c r="A830" s="46"/>
      <c r="B830" s="46"/>
      <c r="C830" s="46"/>
      <c r="D830" s="46"/>
      <c r="E830" s="46"/>
      <c r="F830" s="46"/>
      <c r="G830" s="44"/>
      <c r="H830" s="46"/>
      <c r="I830" s="46"/>
      <c r="J830" s="46"/>
      <c r="K830" s="44"/>
      <c r="L830" s="52"/>
      <c r="M830" s="46"/>
      <c r="N830" s="46"/>
      <c r="O830" s="47"/>
      <c r="P830" s="47"/>
      <c r="Q830" s="47"/>
      <c r="R830" s="47"/>
      <c r="S830" s="47"/>
      <c r="T830" s="47"/>
    </row>
    <row r="831">
      <c r="A831" s="46"/>
      <c r="B831" s="46"/>
      <c r="C831" s="46"/>
      <c r="D831" s="46"/>
      <c r="E831" s="46"/>
      <c r="F831" s="46"/>
      <c r="G831" s="44"/>
      <c r="H831" s="46"/>
      <c r="I831" s="46"/>
      <c r="J831" s="46"/>
      <c r="K831" s="44"/>
      <c r="L831" s="52"/>
      <c r="M831" s="46"/>
      <c r="N831" s="46"/>
      <c r="O831" s="47"/>
      <c r="P831" s="47"/>
      <c r="Q831" s="47"/>
      <c r="R831" s="47"/>
      <c r="S831" s="47"/>
      <c r="T831" s="47"/>
    </row>
    <row r="832">
      <c r="A832" s="46"/>
      <c r="B832" s="46"/>
      <c r="C832" s="46"/>
      <c r="D832" s="46"/>
      <c r="E832" s="46"/>
      <c r="F832" s="46"/>
      <c r="G832" s="44"/>
      <c r="H832" s="46"/>
      <c r="I832" s="46"/>
      <c r="J832" s="46"/>
      <c r="K832" s="44"/>
      <c r="L832" s="52"/>
      <c r="M832" s="46"/>
      <c r="N832" s="46"/>
      <c r="O832" s="47"/>
      <c r="P832" s="47"/>
      <c r="Q832" s="47"/>
      <c r="R832" s="47"/>
      <c r="S832" s="47"/>
      <c r="T832" s="47"/>
    </row>
    <row r="833">
      <c r="A833" s="46"/>
      <c r="B833" s="46"/>
      <c r="C833" s="46"/>
      <c r="D833" s="46"/>
      <c r="E833" s="46"/>
      <c r="F833" s="46"/>
      <c r="G833" s="44"/>
      <c r="H833" s="46"/>
      <c r="I833" s="46"/>
      <c r="J833" s="46"/>
      <c r="K833" s="44"/>
      <c r="L833" s="52"/>
      <c r="M833" s="46"/>
      <c r="N833" s="46"/>
      <c r="O833" s="47"/>
      <c r="P833" s="47"/>
      <c r="Q833" s="47"/>
      <c r="R833" s="47"/>
      <c r="S833" s="47"/>
      <c r="T833" s="47"/>
    </row>
    <row r="834">
      <c r="A834" s="46"/>
      <c r="B834" s="46"/>
      <c r="C834" s="46"/>
      <c r="D834" s="46"/>
      <c r="E834" s="46"/>
      <c r="F834" s="46"/>
      <c r="G834" s="44"/>
      <c r="H834" s="46"/>
      <c r="I834" s="46"/>
      <c r="J834" s="46"/>
      <c r="K834" s="44"/>
      <c r="L834" s="52"/>
      <c r="M834" s="46"/>
      <c r="N834" s="46"/>
      <c r="O834" s="47"/>
      <c r="P834" s="47"/>
      <c r="Q834" s="47"/>
      <c r="R834" s="47"/>
      <c r="S834" s="47"/>
      <c r="T834" s="47"/>
    </row>
    <row r="835">
      <c r="A835" s="46"/>
      <c r="B835" s="46"/>
      <c r="C835" s="46"/>
      <c r="D835" s="46"/>
      <c r="E835" s="46"/>
      <c r="F835" s="46"/>
      <c r="G835" s="44"/>
      <c r="H835" s="46"/>
      <c r="I835" s="46"/>
      <c r="J835" s="46"/>
      <c r="K835" s="44"/>
      <c r="L835" s="52"/>
      <c r="M835" s="46"/>
      <c r="N835" s="46"/>
      <c r="O835" s="47"/>
      <c r="P835" s="47"/>
      <c r="Q835" s="47"/>
      <c r="R835" s="47"/>
      <c r="S835" s="47"/>
      <c r="T835" s="47"/>
    </row>
    <row r="836">
      <c r="A836" s="46"/>
      <c r="B836" s="46"/>
      <c r="C836" s="46"/>
      <c r="D836" s="46"/>
      <c r="E836" s="46"/>
      <c r="F836" s="46"/>
      <c r="G836" s="44"/>
      <c r="H836" s="46"/>
      <c r="I836" s="46"/>
      <c r="J836" s="46"/>
      <c r="K836" s="44"/>
      <c r="L836" s="52"/>
      <c r="M836" s="46"/>
      <c r="N836" s="46"/>
      <c r="O836" s="47"/>
      <c r="P836" s="47"/>
      <c r="Q836" s="47"/>
      <c r="R836" s="47"/>
      <c r="S836" s="47"/>
      <c r="T836" s="47"/>
    </row>
    <row r="837">
      <c r="A837" s="46"/>
      <c r="B837" s="46"/>
      <c r="C837" s="46"/>
      <c r="D837" s="46"/>
      <c r="E837" s="46"/>
      <c r="F837" s="46"/>
      <c r="G837" s="44"/>
      <c r="H837" s="46"/>
      <c r="I837" s="46"/>
      <c r="J837" s="46"/>
      <c r="K837" s="44"/>
      <c r="L837" s="52"/>
      <c r="M837" s="46"/>
      <c r="N837" s="46"/>
      <c r="O837" s="47"/>
      <c r="P837" s="47"/>
      <c r="Q837" s="47"/>
      <c r="R837" s="47"/>
      <c r="S837" s="47"/>
      <c r="T837" s="47"/>
    </row>
    <row r="838">
      <c r="A838" s="46"/>
      <c r="B838" s="46"/>
      <c r="C838" s="46"/>
      <c r="D838" s="46"/>
      <c r="E838" s="46"/>
      <c r="F838" s="46"/>
      <c r="G838" s="44"/>
      <c r="H838" s="46"/>
      <c r="I838" s="46"/>
      <c r="J838" s="46"/>
      <c r="K838" s="44"/>
      <c r="L838" s="52"/>
      <c r="M838" s="46"/>
      <c r="N838" s="46"/>
      <c r="O838" s="47"/>
      <c r="P838" s="47"/>
      <c r="Q838" s="47"/>
      <c r="R838" s="47"/>
      <c r="S838" s="47"/>
      <c r="T838" s="47"/>
    </row>
    <row r="839">
      <c r="A839" s="46"/>
      <c r="B839" s="46"/>
      <c r="C839" s="46"/>
      <c r="D839" s="46"/>
      <c r="E839" s="46"/>
      <c r="F839" s="46"/>
      <c r="G839" s="44"/>
      <c r="H839" s="46"/>
      <c r="I839" s="46"/>
      <c r="J839" s="46"/>
      <c r="K839" s="44"/>
      <c r="L839" s="52"/>
      <c r="M839" s="46"/>
      <c r="N839" s="46"/>
      <c r="O839" s="47"/>
      <c r="P839" s="47"/>
      <c r="Q839" s="47"/>
      <c r="R839" s="47"/>
      <c r="S839" s="47"/>
      <c r="T839" s="47"/>
    </row>
    <row r="840">
      <c r="A840" s="46"/>
      <c r="B840" s="46"/>
      <c r="C840" s="46"/>
      <c r="D840" s="46"/>
      <c r="E840" s="46"/>
      <c r="F840" s="46"/>
      <c r="G840" s="44"/>
      <c r="H840" s="46"/>
      <c r="I840" s="46"/>
      <c r="J840" s="46"/>
      <c r="K840" s="44"/>
      <c r="L840" s="52"/>
      <c r="M840" s="46"/>
      <c r="N840" s="46"/>
      <c r="O840" s="47"/>
      <c r="P840" s="47"/>
      <c r="Q840" s="47"/>
      <c r="R840" s="47"/>
      <c r="S840" s="47"/>
      <c r="T840" s="47"/>
    </row>
    <row r="841">
      <c r="A841" s="46"/>
      <c r="B841" s="46"/>
      <c r="C841" s="46"/>
      <c r="D841" s="46"/>
      <c r="E841" s="46"/>
      <c r="F841" s="46"/>
      <c r="G841" s="44"/>
      <c r="H841" s="46"/>
      <c r="I841" s="46"/>
      <c r="J841" s="46"/>
      <c r="K841" s="44"/>
      <c r="L841" s="52"/>
      <c r="M841" s="46"/>
      <c r="N841" s="46"/>
      <c r="O841" s="47"/>
      <c r="P841" s="47"/>
      <c r="Q841" s="47"/>
      <c r="R841" s="47"/>
      <c r="S841" s="47"/>
      <c r="T841" s="47"/>
    </row>
    <row r="842">
      <c r="A842" s="46"/>
      <c r="B842" s="46"/>
      <c r="C842" s="46"/>
      <c r="D842" s="46"/>
      <c r="E842" s="46"/>
      <c r="F842" s="46"/>
      <c r="G842" s="44"/>
      <c r="H842" s="46"/>
      <c r="I842" s="46"/>
      <c r="J842" s="46"/>
      <c r="K842" s="44"/>
      <c r="L842" s="52"/>
      <c r="M842" s="46"/>
      <c r="N842" s="46"/>
      <c r="O842" s="47"/>
      <c r="P842" s="47"/>
      <c r="Q842" s="47"/>
      <c r="R842" s="47"/>
      <c r="S842" s="47"/>
      <c r="T842" s="47"/>
    </row>
    <row r="843">
      <c r="A843" s="46"/>
      <c r="B843" s="46"/>
      <c r="C843" s="46"/>
      <c r="D843" s="46"/>
      <c r="E843" s="46"/>
      <c r="F843" s="46"/>
      <c r="G843" s="44"/>
      <c r="H843" s="46"/>
      <c r="I843" s="46"/>
      <c r="J843" s="46"/>
      <c r="K843" s="44"/>
      <c r="L843" s="52"/>
      <c r="M843" s="46"/>
      <c r="N843" s="46"/>
      <c r="O843" s="47"/>
      <c r="P843" s="47"/>
      <c r="Q843" s="47"/>
      <c r="R843" s="47"/>
      <c r="S843" s="47"/>
      <c r="T843" s="47"/>
    </row>
    <row r="844">
      <c r="A844" s="46"/>
      <c r="B844" s="46"/>
      <c r="C844" s="46"/>
      <c r="D844" s="46"/>
      <c r="E844" s="46"/>
      <c r="F844" s="46"/>
      <c r="G844" s="44"/>
      <c r="H844" s="46"/>
      <c r="I844" s="46"/>
      <c r="J844" s="46"/>
      <c r="K844" s="44"/>
      <c r="L844" s="52"/>
      <c r="M844" s="46"/>
      <c r="N844" s="46"/>
      <c r="O844" s="47"/>
      <c r="P844" s="47"/>
      <c r="Q844" s="47"/>
      <c r="R844" s="47"/>
      <c r="S844" s="47"/>
      <c r="T844" s="47"/>
    </row>
    <row r="845">
      <c r="A845" s="46"/>
      <c r="B845" s="46"/>
      <c r="C845" s="46"/>
      <c r="D845" s="46"/>
      <c r="E845" s="46"/>
      <c r="F845" s="46"/>
      <c r="G845" s="44"/>
      <c r="H845" s="46"/>
      <c r="I845" s="46"/>
      <c r="J845" s="46"/>
      <c r="K845" s="44"/>
      <c r="L845" s="52"/>
      <c r="M845" s="46"/>
      <c r="N845" s="46"/>
      <c r="O845" s="47"/>
      <c r="P845" s="47"/>
      <c r="Q845" s="47"/>
      <c r="R845" s="47"/>
      <c r="S845" s="47"/>
      <c r="T845" s="47"/>
    </row>
    <row r="846">
      <c r="A846" s="46"/>
      <c r="B846" s="46"/>
      <c r="C846" s="46"/>
      <c r="D846" s="46"/>
      <c r="E846" s="46"/>
      <c r="F846" s="46"/>
      <c r="G846" s="44"/>
      <c r="H846" s="46"/>
      <c r="I846" s="46"/>
      <c r="J846" s="46"/>
      <c r="K846" s="44"/>
      <c r="L846" s="52"/>
      <c r="M846" s="46"/>
      <c r="N846" s="46"/>
      <c r="O846" s="47"/>
      <c r="P846" s="47"/>
      <c r="Q846" s="47"/>
      <c r="R846" s="47"/>
      <c r="S846" s="47"/>
      <c r="T846" s="47"/>
    </row>
    <row r="847">
      <c r="A847" s="46"/>
      <c r="B847" s="46"/>
      <c r="C847" s="46"/>
      <c r="D847" s="46"/>
      <c r="E847" s="46"/>
      <c r="F847" s="46"/>
      <c r="G847" s="44"/>
      <c r="H847" s="46"/>
      <c r="I847" s="46"/>
      <c r="J847" s="46"/>
      <c r="K847" s="44"/>
      <c r="L847" s="52"/>
      <c r="M847" s="46"/>
      <c r="N847" s="46"/>
      <c r="O847" s="47"/>
      <c r="P847" s="47"/>
      <c r="Q847" s="47"/>
      <c r="R847" s="47"/>
      <c r="S847" s="47"/>
      <c r="T847" s="47"/>
    </row>
    <row r="848">
      <c r="A848" s="46"/>
      <c r="B848" s="46"/>
      <c r="C848" s="46"/>
      <c r="D848" s="46"/>
      <c r="E848" s="46"/>
      <c r="F848" s="46"/>
      <c r="G848" s="44"/>
      <c r="H848" s="46"/>
      <c r="I848" s="46"/>
      <c r="J848" s="46"/>
      <c r="K848" s="44"/>
      <c r="L848" s="52"/>
      <c r="M848" s="46"/>
      <c r="N848" s="46"/>
      <c r="O848" s="47"/>
      <c r="P848" s="47"/>
      <c r="Q848" s="47"/>
      <c r="R848" s="47"/>
      <c r="S848" s="47"/>
      <c r="T848" s="47"/>
    </row>
    <row r="849">
      <c r="A849" s="46"/>
      <c r="B849" s="46"/>
      <c r="C849" s="46"/>
      <c r="D849" s="46"/>
      <c r="E849" s="46"/>
      <c r="F849" s="46"/>
      <c r="G849" s="44"/>
      <c r="H849" s="46"/>
      <c r="I849" s="46"/>
      <c r="J849" s="46"/>
      <c r="K849" s="44"/>
      <c r="L849" s="52"/>
      <c r="M849" s="46"/>
      <c r="N849" s="46"/>
      <c r="O849" s="47"/>
      <c r="P849" s="47"/>
      <c r="Q849" s="47"/>
      <c r="R849" s="47"/>
      <c r="S849" s="47"/>
      <c r="T849" s="47"/>
    </row>
    <row r="850">
      <c r="A850" s="46"/>
      <c r="B850" s="46"/>
      <c r="C850" s="46"/>
      <c r="D850" s="46"/>
      <c r="E850" s="46"/>
      <c r="F850" s="46"/>
      <c r="G850" s="44"/>
      <c r="H850" s="46"/>
      <c r="I850" s="46"/>
      <c r="J850" s="46"/>
      <c r="K850" s="44"/>
      <c r="L850" s="52"/>
      <c r="M850" s="46"/>
      <c r="N850" s="46"/>
      <c r="O850" s="47"/>
      <c r="P850" s="47"/>
      <c r="Q850" s="47"/>
      <c r="R850" s="47"/>
      <c r="S850" s="47"/>
      <c r="T850" s="47"/>
    </row>
    <row r="851">
      <c r="A851" s="46"/>
      <c r="B851" s="46"/>
      <c r="C851" s="46"/>
      <c r="D851" s="46"/>
      <c r="E851" s="46"/>
      <c r="F851" s="46"/>
      <c r="G851" s="44"/>
      <c r="H851" s="46"/>
      <c r="I851" s="46"/>
      <c r="J851" s="46"/>
      <c r="K851" s="44"/>
      <c r="L851" s="52"/>
      <c r="M851" s="46"/>
      <c r="N851" s="46"/>
      <c r="O851" s="47"/>
      <c r="P851" s="47"/>
      <c r="Q851" s="47"/>
      <c r="R851" s="47"/>
      <c r="S851" s="47"/>
      <c r="T851" s="47"/>
    </row>
    <row r="852">
      <c r="A852" s="46"/>
      <c r="B852" s="46"/>
      <c r="C852" s="46"/>
      <c r="D852" s="46"/>
      <c r="E852" s="46"/>
      <c r="F852" s="46"/>
      <c r="G852" s="44"/>
      <c r="H852" s="46"/>
      <c r="I852" s="46"/>
      <c r="J852" s="46"/>
      <c r="K852" s="44"/>
      <c r="L852" s="52"/>
      <c r="M852" s="46"/>
      <c r="N852" s="46"/>
      <c r="O852" s="47"/>
      <c r="P852" s="47"/>
      <c r="Q852" s="47"/>
      <c r="R852" s="47"/>
      <c r="S852" s="47"/>
      <c r="T852" s="47"/>
    </row>
    <row r="853">
      <c r="A853" s="46"/>
      <c r="B853" s="46"/>
      <c r="C853" s="46"/>
      <c r="D853" s="46"/>
      <c r="E853" s="46"/>
      <c r="F853" s="46"/>
      <c r="G853" s="44"/>
      <c r="H853" s="46"/>
      <c r="I853" s="46"/>
      <c r="J853" s="46"/>
      <c r="K853" s="44"/>
      <c r="L853" s="52"/>
      <c r="M853" s="46"/>
      <c r="N853" s="46"/>
      <c r="O853" s="47"/>
      <c r="P853" s="47"/>
      <c r="Q853" s="47"/>
      <c r="R853" s="47"/>
      <c r="S853" s="47"/>
      <c r="T853" s="47"/>
    </row>
    <row r="854">
      <c r="A854" s="46"/>
      <c r="B854" s="46"/>
      <c r="C854" s="46"/>
      <c r="D854" s="46"/>
      <c r="E854" s="46"/>
      <c r="F854" s="46"/>
      <c r="G854" s="44"/>
      <c r="H854" s="46"/>
      <c r="I854" s="46"/>
      <c r="J854" s="46"/>
      <c r="K854" s="44"/>
      <c r="L854" s="52"/>
      <c r="M854" s="46"/>
      <c r="N854" s="46"/>
      <c r="O854" s="47"/>
      <c r="P854" s="47"/>
      <c r="Q854" s="47"/>
      <c r="R854" s="47"/>
      <c r="S854" s="47"/>
      <c r="T854" s="47"/>
    </row>
    <row r="855">
      <c r="A855" s="46"/>
      <c r="B855" s="46"/>
      <c r="C855" s="46"/>
      <c r="D855" s="46"/>
      <c r="E855" s="46"/>
      <c r="F855" s="46"/>
      <c r="G855" s="44"/>
      <c r="H855" s="46"/>
      <c r="I855" s="46"/>
      <c r="J855" s="46"/>
      <c r="K855" s="44"/>
      <c r="L855" s="52"/>
      <c r="M855" s="46"/>
      <c r="N855" s="46"/>
      <c r="O855" s="47"/>
      <c r="P855" s="47"/>
      <c r="Q855" s="47"/>
      <c r="R855" s="47"/>
      <c r="S855" s="47"/>
      <c r="T855" s="47"/>
    </row>
    <row r="856">
      <c r="A856" s="46"/>
      <c r="B856" s="46"/>
      <c r="C856" s="46"/>
      <c r="D856" s="46"/>
      <c r="E856" s="46"/>
      <c r="F856" s="46"/>
      <c r="G856" s="44"/>
      <c r="H856" s="46"/>
      <c r="I856" s="46"/>
      <c r="J856" s="46"/>
      <c r="K856" s="44"/>
      <c r="L856" s="52"/>
      <c r="M856" s="46"/>
      <c r="N856" s="46"/>
      <c r="O856" s="47"/>
      <c r="P856" s="47"/>
      <c r="Q856" s="47"/>
      <c r="R856" s="47"/>
      <c r="S856" s="47"/>
      <c r="T856" s="47"/>
    </row>
    <row r="857">
      <c r="A857" s="46"/>
      <c r="B857" s="46"/>
      <c r="C857" s="46"/>
      <c r="D857" s="46"/>
      <c r="E857" s="46"/>
      <c r="F857" s="46"/>
      <c r="G857" s="44"/>
      <c r="H857" s="46"/>
      <c r="I857" s="46"/>
      <c r="J857" s="46"/>
      <c r="K857" s="44"/>
      <c r="L857" s="52"/>
      <c r="M857" s="46"/>
      <c r="N857" s="46"/>
      <c r="O857" s="47"/>
      <c r="P857" s="47"/>
      <c r="Q857" s="47"/>
      <c r="R857" s="47"/>
      <c r="S857" s="47"/>
      <c r="T857" s="47"/>
    </row>
    <row r="858">
      <c r="A858" s="46"/>
      <c r="B858" s="46"/>
      <c r="C858" s="46"/>
      <c r="D858" s="46"/>
      <c r="E858" s="46"/>
      <c r="F858" s="46"/>
      <c r="G858" s="44"/>
      <c r="H858" s="46"/>
      <c r="I858" s="46"/>
      <c r="J858" s="46"/>
      <c r="K858" s="44"/>
      <c r="L858" s="52"/>
      <c r="M858" s="46"/>
      <c r="N858" s="46"/>
      <c r="O858" s="47"/>
      <c r="P858" s="47"/>
      <c r="Q858" s="47"/>
      <c r="R858" s="47"/>
      <c r="S858" s="47"/>
      <c r="T858" s="47"/>
    </row>
    <row r="859">
      <c r="A859" s="46"/>
      <c r="B859" s="46"/>
      <c r="C859" s="46"/>
      <c r="D859" s="46"/>
      <c r="E859" s="46"/>
      <c r="F859" s="46"/>
      <c r="G859" s="44"/>
      <c r="H859" s="46"/>
      <c r="I859" s="46"/>
      <c r="J859" s="46"/>
      <c r="K859" s="44"/>
      <c r="L859" s="52"/>
      <c r="M859" s="46"/>
      <c r="N859" s="46"/>
      <c r="O859" s="47"/>
      <c r="P859" s="47"/>
      <c r="Q859" s="47"/>
      <c r="R859" s="47"/>
      <c r="S859" s="47"/>
      <c r="T859" s="47"/>
    </row>
    <row r="860">
      <c r="A860" s="46"/>
      <c r="B860" s="46"/>
      <c r="C860" s="46"/>
      <c r="D860" s="46"/>
      <c r="E860" s="46"/>
      <c r="F860" s="46"/>
      <c r="G860" s="44"/>
      <c r="H860" s="46"/>
      <c r="I860" s="46"/>
      <c r="J860" s="46"/>
      <c r="K860" s="44"/>
      <c r="L860" s="52"/>
      <c r="M860" s="46"/>
      <c r="N860" s="46"/>
      <c r="O860" s="47"/>
      <c r="P860" s="47"/>
      <c r="Q860" s="47"/>
      <c r="R860" s="47"/>
      <c r="S860" s="47"/>
      <c r="T860" s="47"/>
    </row>
    <row r="861">
      <c r="A861" s="46"/>
      <c r="B861" s="46"/>
      <c r="C861" s="46"/>
      <c r="D861" s="46"/>
      <c r="E861" s="46"/>
      <c r="F861" s="46"/>
      <c r="G861" s="44"/>
      <c r="H861" s="46"/>
      <c r="I861" s="46"/>
      <c r="J861" s="46"/>
      <c r="K861" s="44"/>
      <c r="L861" s="52"/>
      <c r="M861" s="46"/>
      <c r="N861" s="46"/>
      <c r="O861" s="47"/>
      <c r="P861" s="47"/>
      <c r="Q861" s="47"/>
      <c r="R861" s="47"/>
      <c r="S861" s="47"/>
      <c r="T861" s="47"/>
    </row>
    <row r="862">
      <c r="A862" s="46"/>
      <c r="B862" s="46"/>
      <c r="C862" s="46"/>
      <c r="D862" s="46"/>
      <c r="E862" s="46"/>
      <c r="F862" s="46"/>
      <c r="G862" s="44"/>
      <c r="H862" s="46"/>
      <c r="I862" s="46"/>
      <c r="J862" s="46"/>
      <c r="K862" s="44"/>
      <c r="L862" s="52"/>
      <c r="M862" s="46"/>
      <c r="N862" s="46"/>
      <c r="O862" s="47"/>
      <c r="P862" s="47"/>
      <c r="Q862" s="47"/>
      <c r="R862" s="47"/>
      <c r="S862" s="47"/>
      <c r="T862" s="47"/>
    </row>
    <row r="863">
      <c r="A863" s="46"/>
      <c r="B863" s="46"/>
      <c r="C863" s="46"/>
      <c r="D863" s="46"/>
      <c r="E863" s="46"/>
      <c r="F863" s="46"/>
      <c r="G863" s="44"/>
      <c r="H863" s="46"/>
      <c r="I863" s="46"/>
      <c r="J863" s="46"/>
      <c r="K863" s="44"/>
      <c r="L863" s="52"/>
      <c r="M863" s="46"/>
      <c r="N863" s="46"/>
      <c r="O863" s="47"/>
      <c r="P863" s="47"/>
      <c r="Q863" s="47"/>
      <c r="R863" s="47"/>
      <c r="S863" s="47"/>
      <c r="T863" s="47"/>
    </row>
    <row r="864">
      <c r="A864" s="46"/>
      <c r="B864" s="46"/>
      <c r="C864" s="46"/>
      <c r="D864" s="46"/>
      <c r="E864" s="46"/>
      <c r="F864" s="46"/>
      <c r="G864" s="44"/>
      <c r="H864" s="46"/>
      <c r="I864" s="46"/>
      <c r="J864" s="46"/>
      <c r="K864" s="44"/>
      <c r="L864" s="52"/>
      <c r="M864" s="46"/>
      <c r="N864" s="46"/>
      <c r="O864" s="47"/>
      <c r="P864" s="47"/>
      <c r="Q864" s="47"/>
      <c r="R864" s="47"/>
      <c r="S864" s="47"/>
      <c r="T864" s="47"/>
    </row>
    <row r="865">
      <c r="A865" s="46"/>
      <c r="B865" s="46"/>
      <c r="C865" s="46"/>
      <c r="D865" s="46"/>
      <c r="E865" s="46"/>
      <c r="F865" s="46"/>
      <c r="G865" s="44"/>
      <c r="H865" s="46"/>
      <c r="I865" s="46"/>
      <c r="J865" s="46"/>
      <c r="K865" s="44"/>
      <c r="L865" s="52"/>
      <c r="M865" s="46"/>
      <c r="N865" s="46"/>
      <c r="O865" s="47"/>
      <c r="P865" s="47"/>
      <c r="Q865" s="47"/>
      <c r="R865" s="47"/>
      <c r="S865" s="47"/>
      <c r="T865" s="47"/>
    </row>
    <row r="866">
      <c r="A866" s="46"/>
      <c r="B866" s="46"/>
      <c r="C866" s="46"/>
      <c r="D866" s="46"/>
      <c r="E866" s="46"/>
      <c r="F866" s="46"/>
      <c r="G866" s="44"/>
      <c r="H866" s="46"/>
      <c r="I866" s="46"/>
      <c r="J866" s="46"/>
      <c r="K866" s="44"/>
      <c r="L866" s="52"/>
      <c r="M866" s="46"/>
      <c r="N866" s="46"/>
      <c r="O866" s="47"/>
      <c r="P866" s="47"/>
      <c r="Q866" s="47"/>
      <c r="R866" s="47"/>
      <c r="S866" s="47"/>
      <c r="T866" s="47"/>
    </row>
    <row r="867">
      <c r="A867" s="46"/>
      <c r="B867" s="46"/>
      <c r="C867" s="46"/>
      <c r="D867" s="46"/>
      <c r="E867" s="46"/>
      <c r="F867" s="46"/>
      <c r="G867" s="44"/>
      <c r="H867" s="46"/>
      <c r="I867" s="46"/>
      <c r="J867" s="46"/>
      <c r="K867" s="44"/>
      <c r="L867" s="52"/>
      <c r="M867" s="46"/>
      <c r="N867" s="46"/>
      <c r="O867" s="47"/>
      <c r="P867" s="47"/>
      <c r="Q867" s="47"/>
      <c r="R867" s="47"/>
      <c r="S867" s="47"/>
      <c r="T867" s="47"/>
    </row>
    <row r="868">
      <c r="A868" s="46"/>
      <c r="B868" s="46"/>
      <c r="C868" s="46"/>
      <c r="D868" s="46"/>
      <c r="E868" s="46"/>
      <c r="F868" s="46"/>
      <c r="G868" s="44"/>
      <c r="H868" s="46"/>
      <c r="I868" s="46"/>
      <c r="J868" s="46"/>
      <c r="K868" s="44"/>
      <c r="L868" s="52"/>
      <c r="M868" s="46"/>
      <c r="N868" s="46"/>
      <c r="O868" s="47"/>
      <c r="P868" s="47"/>
      <c r="Q868" s="47"/>
      <c r="R868" s="47"/>
      <c r="S868" s="47"/>
      <c r="T868" s="47"/>
    </row>
    <row r="869">
      <c r="A869" s="46"/>
      <c r="B869" s="46"/>
      <c r="C869" s="46"/>
      <c r="D869" s="46"/>
      <c r="E869" s="46"/>
      <c r="F869" s="46"/>
      <c r="G869" s="44"/>
      <c r="H869" s="46"/>
      <c r="I869" s="46"/>
      <c r="J869" s="46"/>
      <c r="K869" s="44"/>
      <c r="L869" s="52"/>
      <c r="M869" s="46"/>
      <c r="N869" s="46"/>
      <c r="O869" s="47"/>
      <c r="P869" s="47"/>
      <c r="Q869" s="47"/>
      <c r="R869" s="47"/>
      <c r="S869" s="47"/>
      <c r="T869" s="47"/>
    </row>
    <row r="870">
      <c r="A870" s="46"/>
      <c r="B870" s="46"/>
      <c r="C870" s="46"/>
      <c r="D870" s="46"/>
      <c r="E870" s="46"/>
      <c r="F870" s="46"/>
      <c r="G870" s="44"/>
      <c r="H870" s="46"/>
      <c r="I870" s="46"/>
      <c r="J870" s="46"/>
      <c r="K870" s="44"/>
      <c r="L870" s="52"/>
      <c r="M870" s="46"/>
      <c r="N870" s="46"/>
      <c r="O870" s="47"/>
      <c r="P870" s="47"/>
      <c r="Q870" s="47"/>
      <c r="R870" s="47"/>
      <c r="S870" s="47"/>
      <c r="T870" s="47"/>
    </row>
    <row r="871">
      <c r="A871" s="46"/>
      <c r="B871" s="46"/>
      <c r="C871" s="46"/>
      <c r="D871" s="46"/>
      <c r="E871" s="46"/>
      <c r="F871" s="46"/>
      <c r="G871" s="44"/>
      <c r="H871" s="46"/>
      <c r="I871" s="46"/>
      <c r="J871" s="46"/>
      <c r="K871" s="44"/>
      <c r="L871" s="52"/>
      <c r="M871" s="46"/>
      <c r="N871" s="46"/>
      <c r="O871" s="47"/>
      <c r="P871" s="47"/>
      <c r="Q871" s="47"/>
      <c r="R871" s="47"/>
      <c r="S871" s="47"/>
      <c r="T871" s="47"/>
    </row>
    <row r="872">
      <c r="A872" s="46"/>
      <c r="B872" s="46"/>
      <c r="C872" s="46"/>
      <c r="D872" s="46"/>
      <c r="E872" s="46"/>
      <c r="F872" s="46"/>
      <c r="G872" s="44"/>
      <c r="H872" s="46"/>
      <c r="I872" s="46"/>
      <c r="J872" s="46"/>
      <c r="K872" s="44"/>
      <c r="L872" s="52"/>
      <c r="M872" s="46"/>
      <c r="N872" s="46"/>
      <c r="O872" s="47"/>
      <c r="P872" s="47"/>
      <c r="Q872" s="47"/>
      <c r="R872" s="47"/>
      <c r="S872" s="47"/>
      <c r="T872" s="47"/>
    </row>
    <row r="873">
      <c r="A873" s="46"/>
      <c r="B873" s="46"/>
      <c r="C873" s="46"/>
      <c r="D873" s="46"/>
      <c r="E873" s="46"/>
      <c r="F873" s="46"/>
      <c r="G873" s="44"/>
      <c r="H873" s="46"/>
      <c r="I873" s="46"/>
      <c r="J873" s="46"/>
      <c r="K873" s="44"/>
      <c r="L873" s="52"/>
      <c r="M873" s="46"/>
      <c r="N873" s="46"/>
      <c r="O873" s="47"/>
      <c r="P873" s="47"/>
      <c r="Q873" s="47"/>
      <c r="R873" s="47"/>
      <c r="S873" s="47"/>
      <c r="T873" s="47"/>
    </row>
    <row r="874">
      <c r="A874" s="46"/>
      <c r="B874" s="46"/>
      <c r="C874" s="46"/>
      <c r="D874" s="46"/>
      <c r="E874" s="46"/>
      <c r="F874" s="46"/>
      <c r="G874" s="44"/>
      <c r="H874" s="46"/>
      <c r="I874" s="46"/>
      <c r="J874" s="46"/>
      <c r="K874" s="44"/>
      <c r="L874" s="52"/>
      <c r="M874" s="46"/>
      <c r="N874" s="46"/>
      <c r="O874" s="47"/>
      <c r="P874" s="47"/>
      <c r="Q874" s="47"/>
      <c r="R874" s="47"/>
      <c r="S874" s="47"/>
      <c r="T874" s="47"/>
    </row>
    <row r="875">
      <c r="A875" s="46"/>
      <c r="B875" s="46"/>
      <c r="C875" s="46"/>
      <c r="D875" s="46"/>
      <c r="E875" s="46"/>
      <c r="F875" s="46"/>
      <c r="G875" s="44"/>
      <c r="H875" s="46"/>
      <c r="I875" s="46"/>
      <c r="J875" s="46"/>
      <c r="K875" s="44"/>
      <c r="L875" s="52"/>
      <c r="M875" s="46"/>
      <c r="N875" s="46"/>
      <c r="O875" s="47"/>
      <c r="P875" s="47"/>
      <c r="Q875" s="47"/>
      <c r="R875" s="47"/>
      <c r="S875" s="47"/>
      <c r="T875" s="47"/>
    </row>
    <row r="876">
      <c r="A876" s="46"/>
      <c r="B876" s="46"/>
      <c r="C876" s="46"/>
      <c r="D876" s="46"/>
      <c r="E876" s="46"/>
      <c r="F876" s="46"/>
      <c r="G876" s="44"/>
      <c r="H876" s="46"/>
      <c r="I876" s="46"/>
      <c r="J876" s="46"/>
      <c r="K876" s="44"/>
      <c r="L876" s="52"/>
      <c r="M876" s="46"/>
      <c r="N876" s="46"/>
      <c r="O876" s="47"/>
      <c r="P876" s="47"/>
      <c r="Q876" s="47"/>
      <c r="R876" s="47"/>
      <c r="S876" s="47"/>
      <c r="T876" s="47"/>
    </row>
    <row r="877">
      <c r="A877" s="46"/>
      <c r="B877" s="46"/>
      <c r="C877" s="46"/>
      <c r="D877" s="46"/>
      <c r="E877" s="46"/>
      <c r="F877" s="46"/>
      <c r="G877" s="44"/>
      <c r="H877" s="46"/>
      <c r="I877" s="46"/>
      <c r="J877" s="46"/>
      <c r="K877" s="44"/>
      <c r="L877" s="52"/>
      <c r="M877" s="46"/>
      <c r="N877" s="46"/>
      <c r="O877" s="47"/>
      <c r="P877" s="47"/>
      <c r="Q877" s="47"/>
      <c r="R877" s="47"/>
      <c r="S877" s="47"/>
      <c r="T877" s="47"/>
    </row>
    <row r="878">
      <c r="A878" s="46"/>
      <c r="B878" s="46"/>
      <c r="C878" s="46"/>
      <c r="D878" s="46"/>
      <c r="E878" s="46"/>
      <c r="F878" s="46"/>
      <c r="G878" s="44"/>
      <c r="H878" s="46"/>
      <c r="I878" s="46"/>
      <c r="J878" s="46"/>
      <c r="K878" s="44"/>
      <c r="L878" s="52"/>
      <c r="M878" s="46"/>
      <c r="N878" s="46"/>
      <c r="O878" s="47"/>
      <c r="P878" s="47"/>
      <c r="Q878" s="47"/>
      <c r="R878" s="47"/>
      <c r="S878" s="47"/>
      <c r="T878" s="47"/>
    </row>
    <row r="879">
      <c r="A879" s="46"/>
      <c r="B879" s="46"/>
      <c r="C879" s="46"/>
      <c r="D879" s="46"/>
      <c r="E879" s="46"/>
      <c r="F879" s="46"/>
      <c r="G879" s="44"/>
      <c r="H879" s="46"/>
      <c r="I879" s="46"/>
      <c r="J879" s="46"/>
      <c r="K879" s="44"/>
      <c r="L879" s="52"/>
      <c r="M879" s="46"/>
      <c r="N879" s="46"/>
      <c r="O879" s="47"/>
      <c r="P879" s="47"/>
      <c r="Q879" s="47"/>
      <c r="R879" s="47"/>
      <c r="S879" s="47"/>
      <c r="T879" s="47"/>
    </row>
    <row r="880">
      <c r="A880" s="46"/>
      <c r="B880" s="46"/>
      <c r="C880" s="46"/>
      <c r="D880" s="46"/>
      <c r="E880" s="46"/>
      <c r="F880" s="46"/>
      <c r="G880" s="44"/>
      <c r="H880" s="46"/>
      <c r="I880" s="46"/>
      <c r="J880" s="46"/>
      <c r="K880" s="44"/>
      <c r="L880" s="52"/>
      <c r="M880" s="46"/>
      <c r="N880" s="46"/>
      <c r="O880" s="47"/>
      <c r="P880" s="47"/>
      <c r="Q880" s="47"/>
      <c r="R880" s="47"/>
      <c r="S880" s="47"/>
      <c r="T880" s="47"/>
    </row>
    <row r="881">
      <c r="A881" s="46"/>
      <c r="B881" s="46"/>
      <c r="C881" s="46"/>
      <c r="D881" s="46"/>
      <c r="E881" s="46"/>
      <c r="F881" s="46"/>
      <c r="G881" s="44"/>
      <c r="H881" s="46"/>
      <c r="I881" s="46"/>
      <c r="J881" s="46"/>
      <c r="K881" s="44"/>
      <c r="L881" s="52"/>
      <c r="M881" s="46"/>
      <c r="N881" s="46"/>
      <c r="O881" s="47"/>
      <c r="P881" s="47"/>
      <c r="Q881" s="47"/>
      <c r="R881" s="47"/>
      <c r="S881" s="47"/>
      <c r="T881" s="47"/>
    </row>
    <row r="882">
      <c r="A882" s="46"/>
      <c r="B882" s="46"/>
      <c r="C882" s="46"/>
      <c r="D882" s="46"/>
      <c r="E882" s="46"/>
      <c r="F882" s="46"/>
      <c r="G882" s="44"/>
      <c r="H882" s="46"/>
      <c r="I882" s="46"/>
      <c r="J882" s="46"/>
      <c r="K882" s="44"/>
      <c r="L882" s="52"/>
      <c r="M882" s="46"/>
      <c r="N882" s="46"/>
      <c r="O882" s="47"/>
      <c r="P882" s="47"/>
      <c r="Q882" s="47"/>
      <c r="R882" s="47"/>
      <c r="S882" s="47"/>
      <c r="T882" s="47"/>
    </row>
    <row r="883">
      <c r="A883" s="46"/>
      <c r="B883" s="46"/>
      <c r="C883" s="46"/>
      <c r="D883" s="46"/>
      <c r="E883" s="46"/>
      <c r="F883" s="46"/>
      <c r="G883" s="44"/>
      <c r="H883" s="46"/>
      <c r="I883" s="46"/>
      <c r="J883" s="46"/>
      <c r="K883" s="44"/>
      <c r="L883" s="52"/>
      <c r="M883" s="46"/>
      <c r="N883" s="46"/>
      <c r="O883" s="47"/>
      <c r="P883" s="47"/>
      <c r="Q883" s="47"/>
      <c r="R883" s="47"/>
      <c r="S883" s="47"/>
      <c r="T883" s="47"/>
    </row>
    <row r="884">
      <c r="A884" s="46"/>
      <c r="B884" s="46"/>
      <c r="C884" s="46"/>
      <c r="D884" s="46"/>
      <c r="E884" s="46"/>
      <c r="F884" s="46"/>
      <c r="G884" s="44"/>
      <c r="H884" s="46"/>
      <c r="I884" s="46"/>
      <c r="J884" s="46"/>
      <c r="K884" s="44"/>
      <c r="L884" s="52"/>
      <c r="M884" s="46"/>
      <c r="N884" s="46"/>
      <c r="O884" s="47"/>
      <c r="P884" s="47"/>
      <c r="Q884" s="47"/>
      <c r="R884" s="47"/>
      <c r="S884" s="47"/>
      <c r="T884" s="47"/>
    </row>
    <row r="885">
      <c r="A885" s="46"/>
      <c r="B885" s="46"/>
      <c r="C885" s="46"/>
      <c r="D885" s="46"/>
      <c r="E885" s="46"/>
      <c r="F885" s="46"/>
      <c r="G885" s="44"/>
      <c r="H885" s="46"/>
      <c r="I885" s="46"/>
      <c r="J885" s="46"/>
      <c r="K885" s="44"/>
      <c r="L885" s="52"/>
      <c r="M885" s="46"/>
      <c r="N885" s="46"/>
      <c r="O885" s="47"/>
      <c r="P885" s="47"/>
      <c r="Q885" s="47"/>
      <c r="R885" s="47"/>
      <c r="S885" s="47"/>
      <c r="T885" s="47"/>
    </row>
    <row r="886">
      <c r="A886" s="46"/>
      <c r="B886" s="46"/>
      <c r="C886" s="46"/>
      <c r="D886" s="46"/>
      <c r="E886" s="46"/>
      <c r="F886" s="46"/>
      <c r="G886" s="44"/>
      <c r="H886" s="46"/>
      <c r="I886" s="46"/>
      <c r="J886" s="46"/>
      <c r="K886" s="44"/>
      <c r="L886" s="52"/>
      <c r="M886" s="46"/>
      <c r="N886" s="46"/>
      <c r="O886" s="47"/>
      <c r="P886" s="47"/>
      <c r="Q886" s="47"/>
      <c r="R886" s="47"/>
      <c r="S886" s="47"/>
      <c r="T886" s="47"/>
    </row>
    <row r="887">
      <c r="A887" s="46"/>
      <c r="B887" s="46"/>
      <c r="C887" s="46"/>
      <c r="D887" s="46"/>
      <c r="E887" s="46"/>
      <c r="F887" s="46"/>
      <c r="G887" s="44"/>
      <c r="H887" s="46"/>
      <c r="I887" s="46"/>
      <c r="J887" s="46"/>
      <c r="K887" s="44"/>
      <c r="L887" s="52"/>
      <c r="M887" s="46"/>
      <c r="N887" s="46"/>
      <c r="O887" s="47"/>
      <c r="P887" s="47"/>
      <c r="Q887" s="47"/>
      <c r="R887" s="47"/>
      <c r="S887" s="47"/>
      <c r="T887" s="47"/>
    </row>
    <row r="888">
      <c r="A888" s="46"/>
      <c r="B888" s="46"/>
      <c r="C888" s="46"/>
      <c r="D888" s="46"/>
      <c r="E888" s="46"/>
      <c r="F888" s="46"/>
      <c r="G888" s="44"/>
      <c r="H888" s="46"/>
      <c r="I888" s="46"/>
      <c r="J888" s="46"/>
      <c r="K888" s="44"/>
      <c r="L888" s="52"/>
      <c r="M888" s="46"/>
      <c r="N888" s="46"/>
      <c r="O888" s="47"/>
      <c r="P888" s="47"/>
      <c r="Q888" s="47"/>
      <c r="R888" s="47"/>
      <c r="S888" s="47"/>
      <c r="T888" s="47"/>
    </row>
    <row r="889">
      <c r="A889" s="46"/>
      <c r="B889" s="46"/>
      <c r="C889" s="46"/>
      <c r="D889" s="46"/>
      <c r="E889" s="46"/>
      <c r="F889" s="46"/>
      <c r="G889" s="44"/>
      <c r="H889" s="46"/>
      <c r="I889" s="46"/>
      <c r="J889" s="46"/>
      <c r="K889" s="44"/>
      <c r="L889" s="52"/>
      <c r="M889" s="46"/>
      <c r="N889" s="46"/>
      <c r="O889" s="47"/>
      <c r="P889" s="47"/>
      <c r="Q889" s="47"/>
      <c r="R889" s="47"/>
      <c r="S889" s="47"/>
      <c r="T889" s="47"/>
    </row>
    <row r="890">
      <c r="A890" s="46"/>
      <c r="B890" s="46"/>
      <c r="C890" s="46"/>
      <c r="D890" s="46"/>
      <c r="E890" s="46"/>
      <c r="F890" s="46"/>
      <c r="G890" s="44"/>
      <c r="H890" s="46"/>
      <c r="I890" s="46"/>
      <c r="J890" s="46"/>
      <c r="K890" s="44"/>
      <c r="L890" s="52"/>
      <c r="M890" s="46"/>
      <c r="N890" s="46"/>
      <c r="O890" s="47"/>
      <c r="P890" s="47"/>
      <c r="Q890" s="47"/>
      <c r="R890" s="47"/>
      <c r="S890" s="47"/>
      <c r="T890" s="47"/>
    </row>
    <row r="891">
      <c r="A891" s="46"/>
      <c r="B891" s="46"/>
      <c r="C891" s="46"/>
      <c r="D891" s="46"/>
      <c r="E891" s="46"/>
      <c r="F891" s="46"/>
      <c r="G891" s="44"/>
      <c r="H891" s="46"/>
      <c r="I891" s="46"/>
      <c r="J891" s="46"/>
      <c r="K891" s="44"/>
      <c r="L891" s="52"/>
      <c r="M891" s="46"/>
      <c r="N891" s="46"/>
      <c r="O891" s="47"/>
      <c r="P891" s="47"/>
      <c r="Q891" s="47"/>
      <c r="R891" s="47"/>
      <c r="S891" s="47"/>
      <c r="T891" s="47"/>
    </row>
    <row r="892">
      <c r="A892" s="46"/>
      <c r="B892" s="46"/>
      <c r="C892" s="46"/>
      <c r="D892" s="46"/>
      <c r="E892" s="46"/>
      <c r="F892" s="46"/>
      <c r="G892" s="44"/>
      <c r="H892" s="46"/>
      <c r="I892" s="46"/>
      <c r="J892" s="46"/>
      <c r="K892" s="44"/>
      <c r="L892" s="52"/>
      <c r="M892" s="46"/>
      <c r="N892" s="46"/>
      <c r="O892" s="47"/>
      <c r="P892" s="47"/>
      <c r="Q892" s="47"/>
      <c r="R892" s="47"/>
      <c r="S892" s="47"/>
      <c r="T892" s="47"/>
    </row>
    <row r="893">
      <c r="A893" s="46"/>
      <c r="B893" s="46"/>
      <c r="C893" s="46"/>
      <c r="D893" s="46"/>
      <c r="E893" s="46"/>
      <c r="F893" s="46"/>
      <c r="G893" s="44"/>
      <c r="H893" s="46"/>
      <c r="I893" s="46"/>
      <c r="J893" s="46"/>
      <c r="K893" s="44"/>
      <c r="L893" s="52"/>
      <c r="M893" s="46"/>
      <c r="N893" s="46"/>
      <c r="O893" s="47"/>
      <c r="P893" s="47"/>
      <c r="Q893" s="47"/>
      <c r="R893" s="47"/>
      <c r="S893" s="47"/>
      <c r="T893" s="47"/>
    </row>
    <row r="894">
      <c r="A894" s="46"/>
      <c r="B894" s="46"/>
      <c r="C894" s="46"/>
      <c r="D894" s="46"/>
      <c r="E894" s="46"/>
      <c r="F894" s="46"/>
      <c r="G894" s="44"/>
      <c r="H894" s="46"/>
      <c r="I894" s="46"/>
      <c r="J894" s="46"/>
      <c r="K894" s="44"/>
      <c r="L894" s="52"/>
      <c r="M894" s="46"/>
      <c r="N894" s="46"/>
      <c r="O894" s="47"/>
      <c r="P894" s="47"/>
      <c r="Q894" s="47"/>
      <c r="R894" s="47"/>
      <c r="S894" s="47"/>
      <c r="T894" s="47"/>
    </row>
    <row r="895">
      <c r="A895" s="46"/>
      <c r="B895" s="46"/>
      <c r="C895" s="46"/>
      <c r="D895" s="46"/>
      <c r="E895" s="46"/>
      <c r="F895" s="46"/>
      <c r="G895" s="44"/>
      <c r="H895" s="46"/>
      <c r="I895" s="46"/>
      <c r="J895" s="46"/>
      <c r="K895" s="44"/>
      <c r="L895" s="52"/>
      <c r="M895" s="46"/>
      <c r="N895" s="46"/>
      <c r="O895" s="47"/>
      <c r="P895" s="47"/>
      <c r="Q895" s="47"/>
      <c r="R895" s="47"/>
      <c r="S895" s="47"/>
      <c r="T895" s="47"/>
    </row>
    <row r="896">
      <c r="A896" s="46"/>
      <c r="B896" s="46"/>
      <c r="C896" s="46"/>
      <c r="D896" s="46"/>
      <c r="E896" s="46"/>
      <c r="F896" s="46"/>
      <c r="G896" s="44"/>
      <c r="H896" s="46"/>
      <c r="I896" s="46"/>
      <c r="J896" s="46"/>
      <c r="K896" s="44"/>
      <c r="L896" s="52"/>
      <c r="M896" s="46"/>
      <c r="N896" s="46"/>
      <c r="O896" s="47"/>
      <c r="P896" s="47"/>
      <c r="Q896" s="47"/>
      <c r="R896" s="47"/>
      <c r="S896" s="47"/>
      <c r="T896" s="47"/>
    </row>
    <row r="897">
      <c r="A897" s="46"/>
      <c r="B897" s="46"/>
      <c r="C897" s="46"/>
      <c r="D897" s="46"/>
      <c r="E897" s="46"/>
      <c r="F897" s="46"/>
      <c r="G897" s="44"/>
      <c r="H897" s="46"/>
      <c r="I897" s="46"/>
      <c r="J897" s="46"/>
      <c r="K897" s="44"/>
      <c r="L897" s="52"/>
      <c r="M897" s="46"/>
      <c r="N897" s="46"/>
      <c r="O897" s="47"/>
      <c r="P897" s="47"/>
      <c r="Q897" s="47"/>
      <c r="R897" s="47"/>
      <c r="S897" s="47"/>
      <c r="T897" s="47"/>
    </row>
    <row r="898">
      <c r="A898" s="46"/>
      <c r="B898" s="46"/>
      <c r="C898" s="46"/>
      <c r="D898" s="46"/>
      <c r="E898" s="46"/>
      <c r="F898" s="46"/>
      <c r="G898" s="44"/>
      <c r="H898" s="46"/>
      <c r="I898" s="46"/>
      <c r="J898" s="46"/>
      <c r="K898" s="44"/>
      <c r="L898" s="52"/>
      <c r="M898" s="46"/>
      <c r="N898" s="46"/>
      <c r="O898" s="47"/>
      <c r="P898" s="47"/>
      <c r="Q898" s="47"/>
      <c r="R898" s="47"/>
      <c r="S898" s="47"/>
      <c r="T898" s="47"/>
    </row>
    <row r="899">
      <c r="A899" s="46"/>
      <c r="B899" s="46"/>
      <c r="C899" s="46"/>
      <c r="D899" s="46"/>
      <c r="E899" s="46"/>
      <c r="F899" s="46"/>
      <c r="G899" s="44"/>
      <c r="H899" s="46"/>
      <c r="I899" s="46"/>
      <c r="J899" s="46"/>
      <c r="K899" s="44"/>
      <c r="L899" s="52"/>
      <c r="M899" s="46"/>
      <c r="N899" s="46"/>
      <c r="O899" s="47"/>
      <c r="P899" s="47"/>
      <c r="Q899" s="47"/>
      <c r="R899" s="47"/>
      <c r="S899" s="47"/>
      <c r="T899" s="47"/>
    </row>
    <row r="900">
      <c r="A900" s="46"/>
      <c r="B900" s="46"/>
      <c r="C900" s="46"/>
      <c r="D900" s="46"/>
      <c r="E900" s="46"/>
      <c r="F900" s="46"/>
      <c r="G900" s="44"/>
      <c r="H900" s="46"/>
      <c r="I900" s="46"/>
      <c r="J900" s="46"/>
      <c r="K900" s="44"/>
      <c r="L900" s="52"/>
      <c r="M900" s="46"/>
      <c r="N900" s="46"/>
      <c r="O900" s="47"/>
      <c r="P900" s="47"/>
      <c r="Q900" s="47"/>
      <c r="R900" s="47"/>
      <c r="S900" s="47"/>
      <c r="T900" s="47"/>
    </row>
    <row r="901">
      <c r="A901" s="46"/>
      <c r="B901" s="46"/>
      <c r="C901" s="46"/>
      <c r="D901" s="46"/>
      <c r="E901" s="46"/>
      <c r="F901" s="46"/>
      <c r="G901" s="44"/>
      <c r="H901" s="46"/>
      <c r="I901" s="46"/>
      <c r="J901" s="46"/>
      <c r="K901" s="44"/>
      <c r="L901" s="52"/>
      <c r="M901" s="46"/>
      <c r="N901" s="46"/>
      <c r="O901" s="47"/>
      <c r="P901" s="47"/>
      <c r="Q901" s="47"/>
      <c r="R901" s="47"/>
      <c r="S901" s="47"/>
      <c r="T901" s="47"/>
    </row>
    <row r="902">
      <c r="A902" s="46"/>
      <c r="B902" s="46"/>
      <c r="C902" s="46"/>
      <c r="D902" s="46"/>
      <c r="E902" s="46"/>
      <c r="F902" s="46"/>
      <c r="G902" s="44"/>
      <c r="H902" s="46"/>
      <c r="I902" s="46"/>
      <c r="J902" s="46"/>
      <c r="K902" s="44"/>
      <c r="L902" s="52"/>
      <c r="M902" s="46"/>
      <c r="N902" s="46"/>
      <c r="O902" s="47"/>
      <c r="P902" s="47"/>
      <c r="Q902" s="47"/>
      <c r="R902" s="47"/>
      <c r="S902" s="47"/>
      <c r="T902" s="47"/>
    </row>
    <row r="903">
      <c r="A903" s="46"/>
      <c r="B903" s="46"/>
      <c r="C903" s="46"/>
      <c r="D903" s="46"/>
      <c r="E903" s="46"/>
      <c r="F903" s="46"/>
      <c r="G903" s="44"/>
      <c r="H903" s="46"/>
      <c r="I903" s="46"/>
      <c r="J903" s="46"/>
      <c r="K903" s="44"/>
      <c r="L903" s="52"/>
      <c r="M903" s="46"/>
      <c r="N903" s="46"/>
      <c r="O903" s="47"/>
      <c r="P903" s="47"/>
      <c r="Q903" s="47"/>
      <c r="R903" s="47"/>
      <c r="S903" s="47"/>
      <c r="T903" s="47"/>
    </row>
    <row r="904">
      <c r="A904" s="46"/>
      <c r="B904" s="46"/>
      <c r="C904" s="46"/>
      <c r="D904" s="46"/>
      <c r="E904" s="46"/>
      <c r="F904" s="46"/>
      <c r="G904" s="44"/>
      <c r="H904" s="46"/>
      <c r="I904" s="46"/>
      <c r="J904" s="46"/>
      <c r="K904" s="44"/>
      <c r="L904" s="52"/>
      <c r="M904" s="46"/>
      <c r="N904" s="46"/>
      <c r="O904" s="47"/>
      <c r="P904" s="47"/>
      <c r="Q904" s="47"/>
      <c r="R904" s="47"/>
      <c r="S904" s="47"/>
      <c r="T904" s="47"/>
    </row>
    <row r="905">
      <c r="A905" s="46"/>
      <c r="B905" s="46"/>
      <c r="C905" s="46"/>
      <c r="D905" s="46"/>
      <c r="E905" s="46"/>
      <c r="F905" s="46"/>
      <c r="G905" s="44"/>
      <c r="H905" s="46"/>
      <c r="I905" s="46"/>
      <c r="J905" s="46"/>
      <c r="K905" s="44"/>
      <c r="L905" s="52"/>
      <c r="M905" s="46"/>
      <c r="N905" s="46"/>
      <c r="O905" s="47"/>
      <c r="P905" s="47"/>
      <c r="Q905" s="47"/>
      <c r="R905" s="47"/>
      <c r="S905" s="47"/>
      <c r="T905" s="47"/>
    </row>
    <row r="906">
      <c r="A906" s="46"/>
      <c r="B906" s="46"/>
      <c r="C906" s="46"/>
      <c r="D906" s="46"/>
      <c r="E906" s="46"/>
      <c r="F906" s="46"/>
      <c r="G906" s="44"/>
      <c r="H906" s="46"/>
      <c r="I906" s="46"/>
      <c r="J906" s="46"/>
      <c r="K906" s="44"/>
      <c r="L906" s="52"/>
      <c r="M906" s="46"/>
      <c r="N906" s="46"/>
      <c r="O906" s="47"/>
      <c r="P906" s="47"/>
      <c r="Q906" s="47"/>
      <c r="R906" s="47"/>
      <c r="S906" s="47"/>
      <c r="T906" s="47"/>
    </row>
    <row r="907">
      <c r="A907" s="46"/>
      <c r="B907" s="46"/>
      <c r="C907" s="46"/>
      <c r="D907" s="46"/>
      <c r="E907" s="46"/>
      <c r="F907" s="46"/>
      <c r="G907" s="44"/>
      <c r="H907" s="46"/>
      <c r="I907" s="46"/>
      <c r="J907" s="46"/>
      <c r="K907" s="44"/>
      <c r="L907" s="52"/>
      <c r="M907" s="46"/>
      <c r="N907" s="46"/>
      <c r="O907" s="47"/>
      <c r="P907" s="47"/>
      <c r="Q907" s="47"/>
      <c r="R907" s="47"/>
      <c r="S907" s="47"/>
      <c r="T907" s="47"/>
    </row>
    <row r="908">
      <c r="A908" s="46"/>
      <c r="B908" s="46"/>
      <c r="C908" s="46"/>
      <c r="D908" s="46"/>
      <c r="E908" s="46"/>
      <c r="F908" s="46"/>
      <c r="G908" s="44"/>
      <c r="H908" s="46"/>
      <c r="I908" s="46"/>
      <c r="J908" s="46"/>
      <c r="K908" s="44"/>
      <c r="L908" s="52"/>
      <c r="M908" s="46"/>
      <c r="N908" s="46"/>
      <c r="O908" s="47"/>
      <c r="P908" s="47"/>
      <c r="Q908" s="47"/>
      <c r="R908" s="47"/>
      <c r="S908" s="47"/>
      <c r="T908" s="47"/>
    </row>
    <row r="909">
      <c r="A909" s="46"/>
      <c r="B909" s="46"/>
      <c r="C909" s="46"/>
      <c r="D909" s="46"/>
      <c r="E909" s="46"/>
      <c r="F909" s="46"/>
      <c r="G909" s="44"/>
      <c r="H909" s="46"/>
      <c r="I909" s="46"/>
      <c r="J909" s="46"/>
      <c r="K909" s="44"/>
      <c r="L909" s="52"/>
      <c r="M909" s="46"/>
      <c r="N909" s="46"/>
      <c r="O909" s="47"/>
      <c r="P909" s="47"/>
      <c r="Q909" s="47"/>
      <c r="R909" s="47"/>
      <c r="S909" s="47"/>
      <c r="T909" s="47"/>
    </row>
    <row r="910">
      <c r="A910" s="46"/>
      <c r="B910" s="46"/>
      <c r="C910" s="46"/>
      <c r="D910" s="46"/>
      <c r="E910" s="46"/>
      <c r="F910" s="46"/>
      <c r="G910" s="44"/>
      <c r="H910" s="46"/>
      <c r="I910" s="46"/>
      <c r="J910" s="46"/>
      <c r="K910" s="44"/>
      <c r="L910" s="52"/>
      <c r="M910" s="46"/>
      <c r="N910" s="46"/>
      <c r="O910" s="47"/>
      <c r="P910" s="47"/>
      <c r="Q910" s="47"/>
      <c r="R910" s="47"/>
      <c r="S910" s="47"/>
      <c r="T910" s="47"/>
    </row>
    <row r="911">
      <c r="A911" s="46"/>
      <c r="B911" s="46"/>
      <c r="C911" s="46"/>
      <c r="D911" s="46"/>
      <c r="E911" s="46"/>
      <c r="F911" s="46"/>
      <c r="G911" s="44"/>
      <c r="H911" s="46"/>
      <c r="I911" s="46"/>
      <c r="J911" s="46"/>
      <c r="K911" s="44"/>
      <c r="L911" s="52"/>
      <c r="M911" s="46"/>
      <c r="N911" s="46"/>
      <c r="O911" s="47"/>
      <c r="P911" s="47"/>
      <c r="Q911" s="47"/>
      <c r="R911" s="47"/>
      <c r="S911" s="47"/>
      <c r="T911" s="47"/>
    </row>
    <row r="912">
      <c r="A912" s="46"/>
      <c r="B912" s="46"/>
      <c r="C912" s="46"/>
      <c r="D912" s="46"/>
      <c r="E912" s="46"/>
      <c r="F912" s="46"/>
      <c r="G912" s="44"/>
      <c r="H912" s="46"/>
      <c r="I912" s="46"/>
      <c r="J912" s="46"/>
      <c r="K912" s="44"/>
      <c r="L912" s="52"/>
      <c r="M912" s="46"/>
      <c r="N912" s="46"/>
      <c r="O912" s="47"/>
      <c r="P912" s="47"/>
      <c r="Q912" s="47"/>
      <c r="R912" s="47"/>
      <c r="S912" s="47"/>
      <c r="T912" s="47"/>
    </row>
    <row r="913">
      <c r="A913" s="46"/>
      <c r="B913" s="46"/>
      <c r="C913" s="46"/>
      <c r="D913" s="46"/>
      <c r="E913" s="46"/>
      <c r="F913" s="46"/>
      <c r="G913" s="44"/>
      <c r="H913" s="46"/>
      <c r="I913" s="46"/>
      <c r="J913" s="46"/>
      <c r="K913" s="44"/>
      <c r="L913" s="52"/>
      <c r="M913" s="46"/>
      <c r="N913" s="46"/>
      <c r="O913" s="47"/>
      <c r="P913" s="47"/>
      <c r="Q913" s="47"/>
      <c r="R913" s="47"/>
      <c r="S913" s="47"/>
      <c r="T913" s="47"/>
    </row>
    <row r="914">
      <c r="A914" s="46"/>
      <c r="B914" s="46"/>
      <c r="C914" s="46"/>
      <c r="D914" s="46"/>
      <c r="E914" s="46"/>
      <c r="F914" s="46"/>
      <c r="G914" s="44"/>
      <c r="H914" s="46"/>
      <c r="I914" s="46"/>
      <c r="J914" s="46"/>
      <c r="K914" s="44"/>
      <c r="L914" s="52"/>
      <c r="M914" s="46"/>
      <c r="N914" s="46"/>
      <c r="O914" s="47"/>
      <c r="P914" s="47"/>
      <c r="Q914" s="47"/>
      <c r="R914" s="47"/>
      <c r="S914" s="47"/>
      <c r="T914" s="47"/>
    </row>
    <row r="915">
      <c r="A915" s="46"/>
      <c r="B915" s="46"/>
      <c r="C915" s="46"/>
      <c r="D915" s="46"/>
      <c r="E915" s="46"/>
      <c r="F915" s="46"/>
      <c r="G915" s="44"/>
      <c r="H915" s="46"/>
      <c r="I915" s="46"/>
      <c r="J915" s="46"/>
      <c r="K915" s="44"/>
      <c r="L915" s="52"/>
      <c r="M915" s="46"/>
      <c r="N915" s="46"/>
      <c r="O915" s="47"/>
      <c r="P915" s="47"/>
      <c r="Q915" s="47"/>
      <c r="R915" s="47"/>
      <c r="S915" s="47"/>
      <c r="T915" s="47"/>
    </row>
    <row r="916">
      <c r="A916" s="46"/>
      <c r="B916" s="46"/>
      <c r="C916" s="46"/>
      <c r="D916" s="46"/>
      <c r="E916" s="46"/>
      <c r="F916" s="46"/>
      <c r="G916" s="44"/>
      <c r="H916" s="46"/>
      <c r="I916" s="46"/>
      <c r="J916" s="46"/>
      <c r="K916" s="44"/>
      <c r="L916" s="52"/>
      <c r="M916" s="46"/>
      <c r="N916" s="46"/>
      <c r="O916" s="47"/>
      <c r="P916" s="47"/>
      <c r="Q916" s="47"/>
      <c r="R916" s="47"/>
      <c r="S916" s="47"/>
      <c r="T916" s="47"/>
    </row>
    <row r="917">
      <c r="A917" s="46"/>
      <c r="B917" s="46"/>
      <c r="C917" s="46"/>
      <c r="D917" s="46"/>
      <c r="E917" s="46"/>
      <c r="F917" s="46"/>
      <c r="G917" s="44"/>
      <c r="H917" s="46"/>
      <c r="I917" s="46"/>
      <c r="J917" s="46"/>
      <c r="K917" s="44"/>
      <c r="L917" s="52"/>
      <c r="M917" s="46"/>
      <c r="N917" s="46"/>
      <c r="O917" s="47"/>
      <c r="P917" s="47"/>
      <c r="Q917" s="47"/>
      <c r="R917" s="47"/>
      <c r="S917" s="47"/>
      <c r="T917" s="47"/>
    </row>
    <row r="918">
      <c r="A918" s="46"/>
      <c r="B918" s="46"/>
      <c r="C918" s="46"/>
      <c r="D918" s="46"/>
      <c r="E918" s="46"/>
      <c r="F918" s="46"/>
      <c r="G918" s="44"/>
      <c r="H918" s="46"/>
      <c r="I918" s="46"/>
      <c r="J918" s="46"/>
      <c r="K918" s="44"/>
      <c r="L918" s="52"/>
      <c r="M918" s="46"/>
      <c r="N918" s="46"/>
      <c r="O918" s="47"/>
      <c r="P918" s="47"/>
      <c r="Q918" s="47"/>
      <c r="R918" s="47"/>
      <c r="S918" s="47"/>
      <c r="T918" s="47"/>
    </row>
    <row r="919">
      <c r="A919" s="46"/>
      <c r="B919" s="46"/>
      <c r="C919" s="46"/>
      <c r="D919" s="46"/>
      <c r="E919" s="46"/>
      <c r="F919" s="46"/>
      <c r="G919" s="44"/>
      <c r="H919" s="46"/>
      <c r="I919" s="46"/>
      <c r="J919" s="46"/>
      <c r="K919" s="44"/>
      <c r="L919" s="52"/>
      <c r="M919" s="46"/>
      <c r="N919" s="46"/>
      <c r="O919" s="47"/>
      <c r="P919" s="47"/>
      <c r="Q919" s="47"/>
      <c r="R919" s="47"/>
      <c r="S919" s="47"/>
      <c r="T919" s="47"/>
    </row>
    <row r="920">
      <c r="A920" s="46"/>
      <c r="B920" s="46"/>
      <c r="C920" s="46"/>
      <c r="D920" s="46"/>
      <c r="E920" s="46"/>
      <c r="F920" s="46"/>
      <c r="G920" s="44"/>
      <c r="H920" s="46"/>
      <c r="I920" s="46"/>
      <c r="J920" s="46"/>
      <c r="K920" s="44"/>
      <c r="L920" s="52"/>
      <c r="M920" s="46"/>
      <c r="N920" s="46"/>
      <c r="O920" s="47"/>
      <c r="P920" s="47"/>
      <c r="Q920" s="47"/>
      <c r="R920" s="47"/>
      <c r="S920" s="47"/>
      <c r="T920" s="47"/>
    </row>
    <row r="921">
      <c r="A921" s="46"/>
      <c r="B921" s="46"/>
      <c r="C921" s="46"/>
      <c r="D921" s="46"/>
      <c r="E921" s="46"/>
      <c r="F921" s="46"/>
      <c r="G921" s="44"/>
      <c r="H921" s="46"/>
      <c r="I921" s="46"/>
      <c r="J921" s="46"/>
      <c r="K921" s="44"/>
      <c r="L921" s="52"/>
      <c r="M921" s="46"/>
      <c r="N921" s="46"/>
      <c r="O921" s="47"/>
      <c r="P921" s="47"/>
      <c r="Q921" s="47"/>
      <c r="R921" s="47"/>
      <c r="S921" s="47"/>
      <c r="T921" s="47"/>
    </row>
    <row r="922">
      <c r="A922" s="46"/>
      <c r="B922" s="46"/>
      <c r="C922" s="46"/>
      <c r="D922" s="46"/>
      <c r="E922" s="46"/>
      <c r="F922" s="46"/>
      <c r="G922" s="44"/>
      <c r="H922" s="46"/>
      <c r="I922" s="46"/>
      <c r="J922" s="46"/>
      <c r="K922" s="44"/>
      <c r="L922" s="52"/>
      <c r="M922" s="46"/>
      <c r="N922" s="46"/>
      <c r="O922" s="47"/>
      <c r="P922" s="47"/>
      <c r="Q922" s="47"/>
      <c r="R922" s="47"/>
      <c r="S922" s="47"/>
      <c r="T922" s="47"/>
    </row>
    <row r="923">
      <c r="A923" s="46"/>
      <c r="B923" s="46"/>
      <c r="C923" s="46"/>
      <c r="D923" s="46"/>
      <c r="E923" s="46"/>
      <c r="F923" s="46"/>
      <c r="G923" s="44"/>
      <c r="H923" s="46"/>
      <c r="I923" s="46"/>
      <c r="J923" s="46"/>
      <c r="K923" s="44"/>
      <c r="L923" s="52"/>
      <c r="M923" s="46"/>
      <c r="N923" s="46"/>
      <c r="O923" s="47"/>
      <c r="P923" s="47"/>
      <c r="Q923" s="47"/>
      <c r="R923" s="47"/>
      <c r="S923" s="47"/>
      <c r="T923" s="47"/>
    </row>
    <row r="924">
      <c r="A924" s="46"/>
      <c r="B924" s="46"/>
      <c r="C924" s="46"/>
      <c r="D924" s="46"/>
      <c r="E924" s="46"/>
      <c r="F924" s="46"/>
      <c r="G924" s="44"/>
      <c r="H924" s="46"/>
      <c r="I924" s="46"/>
      <c r="J924" s="46"/>
      <c r="K924" s="44"/>
      <c r="L924" s="52"/>
      <c r="M924" s="46"/>
      <c r="N924" s="46"/>
      <c r="O924" s="47"/>
      <c r="P924" s="47"/>
      <c r="Q924" s="47"/>
      <c r="R924" s="47"/>
      <c r="S924" s="47"/>
      <c r="T924" s="47"/>
    </row>
    <row r="925">
      <c r="A925" s="46"/>
      <c r="B925" s="46"/>
      <c r="C925" s="46"/>
      <c r="D925" s="46"/>
      <c r="E925" s="46"/>
      <c r="F925" s="46"/>
      <c r="G925" s="44"/>
      <c r="H925" s="46"/>
      <c r="I925" s="46"/>
      <c r="J925" s="46"/>
      <c r="K925" s="44"/>
      <c r="L925" s="52"/>
      <c r="M925" s="46"/>
      <c r="N925" s="46"/>
      <c r="O925" s="47"/>
      <c r="P925" s="47"/>
      <c r="Q925" s="47"/>
      <c r="R925" s="47"/>
      <c r="S925" s="47"/>
      <c r="T925" s="47"/>
    </row>
    <row r="926">
      <c r="A926" s="46"/>
      <c r="B926" s="46"/>
      <c r="C926" s="46"/>
      <c r="D926" s="46"/>
      <c r="E926" s="46"/>
      <c r="F926" s="46"/>
      <c r="G926" s="44"/>
      <c r="H926" s="46"/>
      <c r="I926" s="46"/>
      <c r="J926" s="46"/>
      <c r="K926" s="44"/>
      <c r="L926" s="52"/>
      <c r="M926" s="46"/>
      <c r="N926" s="46"/>
      <c r="O926" s="47"/>
      <c r="P926" s="47"/>
      <c r="Q926" s="47"/>
      <c r="R926" s="47"/>
      <c r="S926" s="47"/>
      <c r="T926" s="47"/>
    </row>
    <row r="927">
      <c r="A927" s="46"/>
      <c r="B927" s="46"/>
      <c r="C927" s="46"/>
      <c r="D927" s="46"/>
      <c r="E927" s="46"/>
      <c r="F927" s="46"/>
      <c r="G927" s="44"/>
      <c r="H927" s="46"/>
      <c r="I927" s="46"/>
      <c r="J927" s="46"/>
      <c r="K927" s="44"/>
      <c r="L927" s="52"/>
      <c r="M927" s="46"/>
      <c r="N927" s="46"/>
      <c r="O927" s="47"/>
      <c r="P927" s="47"/>
      <c r="Q927" s="47"/>
      <c r="R927" s="47"/>
      <c r="S927" s="47"/>
      <c r="T927" s="47"/>
    </row>
    <row r="928">
      <c r="A928" s="46"/>
      <c r="B928" s="46"/>
      <c r="C928" s="46"/>
      <c r="D928" s="46"/>
      <c r="E928" s="46"/>
      <c r="F928" s="46"/>
      <c r="G928" s="44"/>
      <c r="H928" s="46"/>
      <c r="I928" s="46"/>
      <c r="J928" s="46"/>
      <c r="K928" s="44"/>
      <c r="L928" s="52"/>
      <c r="M928" s="46"/>
      <c r="N928" s="46"/>
      <c r="O928" s="47"/>
      <c r="P928" s="47"/>
      <c r="Q928" s="47"/>
      <c r="R928" s="47"/>
      <c r="S928" s="47"/>
      <c r="T928" s="47"/>
    </row>
    <row r="929">
      <c r="A929" s="46"/>
      <c r="B929" s="46"/>
      <c r="C929" s="46"/>
      <c r="D929" s="46"/>
      <c r="E929" s="46"/>
      <c r="F929" s="46"/>
      <c r="G929" s="44"/>
      <c r="H929" s="46"/>
      <c r="I929" s="46"/>
      <c r="J929" s="46"/>
      <c r="K929" s="44"/>
      <c r="L929" s="52"/>
      <c r="M929" s="46"/>
      <c r="N929" s="46"/>
      <c r="O929" s="47"/>
      <c r="P929" s="47"/>
      <c r="Q929" s="47"/>
      <c r="R929" s="47"/>
      <c r="S929" s="47"/>
      <c r="T929" s="47"/>
    </row>
    <row r="930">
      <c r="A930" s="46"/>
      <c r="B930" s="46"/>
      <c r="C930" s="46"/>
      <c r="D930" s="46"/>
      <c r="E930" s="46"/>
      <c r="F930" s="46"/>
      <c r="G930" s="44"/>
      <c r="H930" s="46"/>
      <c r="I930" s="46"/>
      <c r="J930" s="46"/>
      <c r="K930" s="44"/>
      <c r="L930" s="52"/>
      <c r="M930" s="46"/>
      <c r="N930" s="46"/>
      <c r="O930" s="47"/>
      <c r="P930" s="47"/>
      <c r="Q930" s="47"/>
      <c r="R930" s="47"/>
      <c r="S930" s="47"/>
      <c r="T930" s="47"/>
    </row>
    <row r="931">
      <c r="A931" s="46"/>
      <c r="B931" s="46"/>
      <c r="C931" s="46"/>
      <c r="D931" s="46"/>
      <c r="E931" s="46"/>
      <c r="F931" s="46"/>
      <c r="G931" s="44"/>
      <c r="H931" s="46"/>
      <c r="I931" s="46"/>
      <c r="J931" s="46"/>
      <c r="K931" s="44"/>
      <c r="L931" s="52"/>
      <c r="M931" s="46"/>
      <c r="N931" s="46"/>
      <c r="O931" s="47"/>
      <c r="P931" s="47"/>
      <c r="Q931" s="47"/>
      <c r="R931" s="47"/>
      <c r="S931" s="47"/>
      <c r="T931" s="47"/>
    </row>
    <row r="932">
      <c r="A932" s="46"/>
      <c r="B932" s="46"/>
      <c r="C932" s="46"/>
      <c r="D932" s="46"/>
      <c r="E932" s="46"/>
      <c r="F932" s="46"/>
      <c r="G932" s="44"/>
      <c r="H932" s="46"/>
      <c r="I932" s="46"/>
      <c r="J932" s="46"/>
      <c r="K932" s="44"/>
      <c r="L932" s="52"/>
      <c r="M932" s="46"/>
      <c r="N932" s="46"/>
      <c r="O932" s="47"/>
      <c r="P932" s="47"/>
      <c r="Q932" s="47"/>
      <c r="R932" s="47"/>
      <c r="S932" s="47"/>
      <c r="T932" s="47"/>
    </row>
    <row r="933">
      <c r="A933" s="46"/>
      <c r="B933" s="46"/>
      <c r="C933" s="46"/>
      <c r="D933" s="46"/>
      <c r="E933" s="46"/>
      <c r="F933" s="46"/>
      <c r="G933" s="44"/>
      <c r="H933" s="46"/>
      <c r="I933" s="46"/>
      <c r="J933" s="46"/>
      <c r="K933" s="44"/>
      <c r="L933" s="52"/>
      <c r="M933" s="46"/>
      <c r="N933" s="46"/>
      <c r="O933" s="47"/>
      <c r="P933" s="47"/>
      <c r="Q933" s="47"/>
      <c r="R933" s="47"/>
      <c r="S933" s="47"/>
      <c r="T933" s="47"/>
    </row>
    <row r="934">
      <c r="A934" s="46"/>
      <c r="B934" s="46"/>
      <c r="C934" s="46"/>
      <c r="D934" s="46"/>
      <c r="E934" s="46"/>
      <c r="F934" s="46"/>
      <c r="G934" s="44"/>
      <c r="H934" s="46"/>
      <c r="I934" s="46"/>
      <c r="J934" s="46"/>
      <c r="K934" s="44"/>
      <c r="L934" s="52"/>
      <c r="M934" s="46"/>
      <c r="N934" s="46"/>
      <c r="O934" s="47"/>
      <c r="P934" s="47"/>
      <c r="Q934" s="47"/>
      <c r="R934" s="47"/>
      <c r="S934" s="47"/>
      <c r="T934" s="47"/>
    </row>
    <row r="935">
      <c r="A935" s="46"/>
      <c r="B935" s="46"/>
      <c r="C935" s="46"/>
      <c r="D935" s="46"/>
      <c r="E935" s="46"/>
      <c r="F935" s="46"/>
      <c r="G935" s="44"/>
      <c r="H935" s="46"/>
      <c r="I935" s="46"/>
      <c r="J935" s="46"/>
      <c r="K935" s="44"/>
      <c r="L935" s="52"/>
      <c r="M935" s="46"/>
      <c r="N935" s="46"/>
      <c r="O935" s="47"/>
      <c r="P935" s="47"/>
      <c r="Q935" s="47"/>
      <c r="R935" s="47"/>
      <c r="S935" s="47"/>
      <c r="T935" s="47"/>
    </row>
    <row r="936">
      <c r="A936" s="46"/>
      <c r="B936" s="46"/>
      <c r="C936" s="46"/>
      <c r="D936" s="46"/>
      <c r="E936" s="46"/>
      <c r="F936" s="46"/>
      <c r="G936" s="44"/>
      <c r="H936" s="46"/>
      <c r="I936" s="46"/>
      <c r="J936" s="46"/>
      <c r="K936" s="44"/>
      <c r="L936" s="52"/>
      <c r="M936" s="46"/>
      <c r="N936" s="46"/>
      <c r="O936" s="47"/>
      <c r="P936" s="47"/>
      <c r="Q936" s="47"/>
      <c r="R936" s="47"/>
      <c r="S936" s="47"/>
      <c r="T936" s="47"/>
    </row>
  </sheetData>
  <autoFilter ref="$A$1:$T$936">
    <sortState ref="A1:T936">
      <sortCondition ref="A1:A936"/>
    </sortState>
  </autoFilter>
  <conditionalFormatting sqref="A1:A936 K2:K936">
    <cfRule type="expression" dxfId="0" priority="1">
      <formula>COUNTIF(A:A,A1)&gt;1</formula>
    </cfRule>
  </conditionalFormatting>
  <conditionalFormatting sqref="K2:K936 A16:A17 A19 A23:A24 A31 A34 A41 A49 A55 A67 A71 A113 A117">
    <cfRule type="expression" dxfId="1" priority="2">
      <formula>K2&lt;&gt;A2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43.38"/>
    <col customWidth="1" min="2" max="2" width="20.75"/>
    <col customWidth="1" min="3" max="3" width="23.0"/>
    <col customWidth="1" min="4" max="4" width="15.63"/>
    <col customWidth="1" min="5" max="5" width="14.38"/>
    <col customWidth="1" min="6" max="6" width="19.88"/>
    <col customWidth="1" min="7" max="7" width="26.63"/>
    <col customWidth="1" min="8" max="8" width="15.25"/>
    <col customWidth="1" min="9" max="9" width="17.63"/>
    <col customWidth="1" min="10" max="10" width="65.25"/>
    <col customWidth="1" min="11" max="11" width="65.75"/>
    <col customWidth="1" min="12" max="12" width="23.88"/>
    <col customWidth="1" min="13" max="13" width="18.75"/>
    <col customWidth="1" min="14" max="14" width="40.88"/>
    <col customWidth="1" min="15" max="15" width="18.5"/>
    <col customWidth="1" min="16" max="16" width="14.25"/>
    <col customWidth="1" min="17" max="17" width="21.5"/>
    <col customWidth="1" min="18" max="18" width="18.0"/>
    <col customWidth="1" min="19" max="19" width="15.63"/>
    <col customWidth="1" min="20" max="20" width="15.75"/>
    <col customWidth="1" min="21" max="21" width="26.13"/>
    <col customWidth="1" min="22" max="22" width="20.63"/>
  </cols>
  <sheetData>
    <row r="1">
      <c r="A1" s="1" t="s">
        <v>875</v>
      </c>
      <c r="B1" s="2"/>
      <c r="C1" s="2"/>
      <c r="D1" s="2"/>
      <c r="E1" s="2"/>
      <c r="F1" s="53">
        <f>SUBTOTAL(3,F3:F1994)</f>
        <v>1259</v>
      </c>
      <c r="G1" s="54" t="s">
        <v>876</v>
      </c>
      <c r="H1" s="53">
        <f t="shared" ref="H1:I1" si="1">IF(SUBTOTAL(9,H3:H1994)=0," ",SUBTOTAL(9,H3:H1994))</f>
        <v>54487</v>
      </c>
      <c r="I1" s="55">
        <f t="shared" si="1"/>
        <v>67763895.84</v>
      </c>
      <c r="J1" s="53" t="str">
        <f>IF(SUBTOTAL(3,J3:J1994)-F1&gt;0,"NEED TO UPDATE: " &amp; (SUBTOTAL(3,J3:J1994)-F1),"LAST UPDATE: " &amp; TEXT(MAX(G3:G1994),"dd-mmmm-yyyy"))</f>
        <v>NEED TO UPDATE: 219</v>
      </c>
      <c r="K1" s="56"/>
      <c r="L1" s="57"/>
      <c r="M1" s="57"/>
      <c r="N1" s="58"/>
      <c r="O1" s="58"/>
      <c r="P1" s="58"/>
      <c r="Q1" s="59">
        <f>IF(SUBTOTAL(9,Q3:Q994)=0," ",SUBTOTAL(9,Q3:Q994))</f>
        <v>2350486</v>
      </c>
      <c r="R1" s="59"/>
      <c r="S1" s="60">
        <f t="shared" ref="S1:T1" si="2">IF(SUBTOTAL(9,S3:S994)=0," ",SUBTOTAL(9,S3:S994))</f>
        <v>96300.6</v>
      </c>
      <c r="T1" s="59">
        <f t="shared" si="2"/>
        <v>2145</v>
      </c>
      <c r="U1" s="54"/>
      <c r="V1" s="61"/>
      <c r="W1" s="62"/>
      <c r="X1" s="62"/>
    </row>
    <row r="2">
      <c r="A2" s="8" t="s">
        <v>2</v>
      </c>
      <c r="B2" s="8" t="s">
        <v>7</v>
      </c>
      <c r="C2" s="8" t="s">
        <v>340</v>
      </c>
      <c r="D2" s="8" t="s">
        <v>338</v>
      </c>
      <c r="E2" s="8" t="s">
        <v>877</v>
      </c>
      <c r="F2" s="63" t="s">
        <v>878</v>
      </c>
      <c r="G2" s="64" t="s">
        <v>4</v>
      </c>
      <c r="H2" s="9" t="s">
        <v>879</v>
      </c>
      <c r="I2" s="65" t="s">
        <v>880</v>
      </c>
      <c r="J2" s="66" t="s">
        <v>11</v>
      </c>
      <c r="K2" s="8" t="s">
        <v>881</v>
      </c>
      <c r="L2" s="8" t="s">
        <v>882</v>
      </c>
      <c r="M2" s="66" t="s">
        <v>883</v>
      </c>
      <c r="N2" s="8" t="s">
        <v>884</v>
      </c>
      <c r="O2" s="8" t="s">
        <v>346</v>
      </c>
      <c r="P2" s="8" t="s">
        <v>347</v>
      </c>
      <c r="Q2" s="67" t="s">
        <v>885</v>
      </c>
      <c r="R2" s="8" t="s">
        <v>886</v>
      </c>
      <c r="S2" s="67" t="s">
        <v>887</v>
      </c>
      <c r="T2" s="8" t="s">
        <v>888</v>
      </c>
      <c r="U2" s="68" t="s">
        <v>889</v>
      </c>
      <c r="V2" s="8" t="s">
        <v>890</v>
      </c>
      <c r="W2" s="69"/>
      <c r="X2" s="69"/>
    </row>
    <row r="3">
      <c r="A3" s="70" t="s">
        <v>413</v>
      </c>
      <c r="B3" s="70" t="str">
        <f>IF($A$3=" "," ", IFERROR( VLOOKUP($A3,'SUPPLIER DATA BASE'!$A$2:$M$936,3,0),""))</f>
        <v>KILLER</v>
      </c>
      <c r="C3" s="70" t="str">
        <f>IF($A$3=" "," ", IFERROR( VLOOKUP($A3,'SUPPLIER DATA BASE'!$A$2:$F$936,6,0),""))</f>
        <v>-</v>
      </c>
      <c r="D3" s="70" t="str">
        <f>IF($A$3=" "," ", IFERROR( VLOOKUP($A3,'SUPPLIER DATA BASE'!$A$2:$G$936,4,0),""))</f>
        <v>NO</v>
      </c>
      <c r="E3" s="71" t="str">
        <f>IF($A$3=" "," ", IFERROR( VLOOKUP($A3,'SUPPLIER DATA BASE'!$A$2:$H$936,5,0),""))</f>
        <v>-</v>
      </c>
      <c r="F3" s="72" t="s">
        <v>891</v>
      </c>
      <c r="G3" s="73">
        <v>45593.0</v>
      </c>
      <c r="H3" s="74">
        <v>22.0</v>
      </c>
      <c r="I3" s="75">
        <v>36223.0</v>
      </c>
      <c r="J3" s="76" t="s">
        <v>892</v>
      </c>
      <c r="K3" s="70" t="s">
        <v>349</v>
      </c>
      <c r="L3" s="70" t="s">
        <v>349</v>
      </c>
      <c r="M3" s="70" t="str">
        <f t="shared" ref="M3:M1994" si="3">IF(G3="", "", (TODAY() - G3) &amp; " Days")
</f>
        <v>595 Days</v>
      </c>
      <c r="N3" s="70" t="str">
        <f>IF($A$3=" "," ", IFERROR( VLOOKUP($A3,'SUPPLIER DATA BASE'!$A$2:$O$936,11,0),""))</f>
        <v>D D SALES CO</v>
      </c>
      <c r="O3" s="70" t="str">
        <f>IF($A$3=" "," ", IFERROR( VLOOKUP($A3,'SUPPLIER DATA BASE'!$A$2:$O$936,12,0),""))</f>
        <v>29205007835</v>
      </c>
      <c r="P3" s="70" t="str">
        <f>IF($A$3=" "," ", IFERROR( VLOOKUP($A3,'SUPPLIER DATA BASE'!$A$2:$O$936,13,0),""))</f>
        <v>ICIC0000292</v>
      </c>
      <c r="Q3" s="77"/>
      <c r="R3" s="73"/>
      <c r="S3" s="77"/>
      <c r="T3" s="70"/>
      <c r="U3" s="78"/>
      <c r="V3" s="70" t="str">
        <f t="shared" ref="V3:V554" si="4">IF(G3="","", IF(AND(G3&gt;=DATE(2024,4,1),G3&lt;=DATE(2025,3,31)),"FY 24-25", IF(AND(G3&gt;=DATE(2025,4,1),G3&lt;=DATE(2026,3,31)),"FY 25-26",IF(AND(G3&gt;=DATE(2026,4,1),G3&lt;=DATE(2027,3,31)),"FY 26-27",""))))</f>
        <v>FY 24-25</v>
      </c>
      <c r="W3" s="23"/>
      <c r="X3" s="23"/>
    </row>
    <row r="4">
      <c r="A4" s="70" t="s">
        <v>354</v>
      </c>
      <c r="B4" s="70" t="str">
        <f>IF($A$3=" "," ", IFERROR( VLOOKUP($A4,'SUPPLIER DATA BASE'!$A$2:$M$936,3,0),""))</f>
        <v>-</v>
      </c>
      <c r="C4" s="70" t="str">
        <f>IF($A$3=" "," ", IFERROR( VLOOKUP($A4,'SUPPLIER DATA BASE'!$A$2:$F$936,6,0),""))</f>
        <v>-</v>
      </c>
      <c r="D4" s="70" t="str">
        <f>IF($A$3=" "," ", IFERROR( VLOOKUP($A4,'SUPPLIER DATA BASE'!$A$2:$G$936,4,0),""))</f>
        <v>-</v>
      </c>
      <c r="E4" s="71" t="str">
        <f>IF($A$3=" "," ", IFERROR( VLOOKUP($A4,'SUPPLIER DATA BASE'!$A$2:$H$936,5,0),""))</f>
        <v>-</v>
      </c>
      <c r="F4" s="72" t="s">
        <v>893</v>
      </c>
      <c r="G4" s="73">
        <v>45876.0</v>
      </c>
      <c r="H4" s="74">
        <v>3.0</v>
      </c>
      <c r="I4" s="75">
        <v>6074.1</v>
      </c>
      <c r="J4" s="76" t="s">
        <v>894</v>
      </c>
      <c r="K4" s="70" t="s">
        <v>349</v>
      </c>
      <c r="L4" s="70" t="s">
        <v>349</v>
      </c>
      <c r="M4" s="70" t="str">
        <f t="shared" si="3"/>
        <v>312 Days</v>
      </c>
      <c r="N4" s="70" t="str">
        <f>IF($A$3=" "," ", IFERROR( VLOOKUP($A4,'SUPPLIER DATA BASE'!$A$2:$O$936,11,0),""))</f>
        <v>-</v>
      </c>
      <c r="O4" s="70" t="str">
        <f>IF($A$3=" "," ", IFERROR( VLOOKUP($A4,'SUPPLIER DATA BASE'!$A$2:$O$936,12,0),""))</f>
        <v>-</v>
      </c>
      <c r="P4" s="70" t="str">
        <f>IF($A$3=" "," ", IFERROR( VLOOKUP($A4,'SUPPLIER DATA BASE'!$A$2:$O$936,13,0),""))</f>
        <v>-</v>
      </c>
      <c r="Q4" s="73"/>
      <c r="R4" s="73"/>
      <c r="S4" s="70"/>
      <c r="T4" s="70"/>
      <c r="U4" s="78"/>
      <c r="V4" s="70" t="str">
        <f t="shared" si="4"/>
        <v>FY 25-26</v>
      </c>
      <c r="W4" s="23"/>
      <c r="X4" s="23"/>
    </row>
    <row r="5">
      <c r="A5" s="70" t="s">
        <v>354</v>
      </c>
      <c r="B5" s="70" t="str">
        <f>IF($A$3=" "," ", IFERROR( VLOOKUP($A5,'SUPPLIER DATA BASE'!$A$2:$M$936,3,0),""))</f>
        <v>-</v>
      </c>
      <c r="C5" s="70" t="str">
        <f>IF($A$3=" "," ", IFERROR( VLOOKUP($A5,'SUPPLIER DATA BASE'!$A$2:$F$936,6,0),""))</f>
        <v>-</v>
      </c>
      <c r="D5" s="70" t="str">
        <f>IF($A$3=" "," ", IFERROR( VLOOKUP($A5,'SUPPLIER DATA BASE'!$A$2:$G$936,4,0),""))</f>
        <v>-</v>
      </c>
      <c r="E5" s="71" t="str">
        <f>IF($A$3=" "," ", IFERROR( VLOOKUP($A5,'SUPPLIER DATA BASE'!$A$2:$H$936,5,0),""))</f>
        <v>-</v>
      </c>
      <c r="F5" s="72" t="s">
        <v>895</v>
      </c>
      <c r="G5" s="73">
        <v>45913.0</v>
      </c>
      <c r="H5" s="74">
        <v>7.0</v>
      </c>
      <c r="I5" s="75">
        <v>13088.75</v>
      </c>
      <c r="J5" s="76" t="s">
        <v>896</v>
      </c>
      <c r="K5" s="70" t="s">
        <v>349</v>
      </c>
      <c r="L5" s="70" t="s">
        <v>349</v>
      </c>
      <c r="M5" s="70" t="str">
        <f t="shared" si="3"/>
        <v>275 Days</v>
      </c>
      <c r="N5" s="70" t="str">
        <f>IF($A$3=" "," ", IFERROR( VLOOKUP($A5,'SUPPLIER DATA BASE'!$A$2:$O$936,11,0),""))</f>
        <v>-</v>
      </c>
      <c r="O5" s="70" t="str">
        <f>IF($A$3=" "," ", IFERROR( VLOOKUP($A5,'SUPPLIER DATA BASE'!$A$2:$O$936,12,0),""))</f>
        <v>-</v>
      </c>
      <c r="P5" s="70" t="str">
        <f>IF($A$3=" "," ", IFERROR( VLOOKUP($A5,'SUPPLIER DATA BASE'!$A$2:$O$936,13,0),""))</f>
        <v>-</v>
      </c>
      <c r="Q5" s="73"/>
      <c r="R5" s="73"/>
      <c r="S5" s="70"/>
      <c r="T5" s="70"/>
      <c r="U5" s="78"/>
      <c r="V5" s="70" t="str">
        <f t="shared" si="4"/>
        <v>FY 25-26</v>
      </c>
      <c r="W5" s="23"/>
      <c r="X5" s="23"/>
    </row>
    <row r="6">
      <c r="A6" s="70" t="s">
        <v>652</v>
      </c>
      <c r="B6" s="70" t="str">
        <f>IF($A$3=" "," ", IFERROR( VLOOKUP($A6,'SUPPLIER DATA BASE'!$A$2:$M$936,3,0),""))</f>
        <v>रूप लक्ष्मी</v>
      </c>
      <c r="C6" s="70" t="str">
        <f>IF($A$3=" "," ", IFERROR( VLOOKUP($A6,'SUPPLIER DATA BASE'!$A$2:$F$936,6,0),""))</f>
        <v>-</v>
      </c>
      <c r="D6" s="70" t="str">
        <f>IF($A$3=" "," ", IFERROR( VLOOKUP($A6,'SUPPLIER DATA BASE'!$A$2:$G$936,4,0),""))</f>
        <v>-</v>
      </c>
      <c r="E6" s="71" t="str">
        <f>IF($A$3=" "," ", IFERROR( VLOOKUP($A6,'SUPPLIER DATA BASE'!$A$2:$H$936,5,0),""))</f>
        <v>-</v>
      </c>
      <c r="F6" s="72" t="s">
        <v>897</v>
      </c>
      <c r="G6" s="73">
        <v>45948.0</v>
      </c>
      <c r="H6" s="74">
        <v>18.0</v>
      </c>
      <c r="I6" s="75">
        <v>23877.0</v>
      </c>
      <c r="J6" s="76" t="s">
        <v>898</v>
      </c>
      <c r="K6" s="70" t="s">
        <v>349</v>
      </c>
      <c r="L6" s="70" t="s">
        <v>349</v>
      </c>
      <c r="M6" s="70" t="str">
        <f t="shared" si="3"/>
        <v>240 Days</v>
      </c>
      <c r="N6" s="70" t="str">
        <f>IF($A$3=" "," ", IFERROR( VLOOKUP($A6,'SUPPLIER DATA BASE'!$A$2:$O$936,11,0),""))</f>
        <v>ROOP LAXMI SAREES (P) LTD</v>
      </c>
      <c r="O6" s="70" t="str">
        <f>IF($A$3=" "," ", IFERROR( VLOOKUP($A6,'SUPPLIER DATA BASE'!$A$2:$O$936,12,0),""))</f>
        <v>0221083000003432</v>
      </c>
      <c r="P6" s="70" t="str">
        <f>IF($A$3=" "," ", IFERROR( VLOOKUP($A6,'SUPPLIER DATA BASE'!$A$2:$O$936,13,0),""))</f>
        <v>SIBL0000221</v>
      </c>
      <c r="Q6" s="77"/>
      <c r="R6" s="73"/>
      <c r="S6" s="77"/>
      <c r="T6" s="70"/>
      <c r="U6" s="78"/>
      <c r="V6" s="70" t="str">
        <f t="shared" si="4"/>
        <v>FY 25-26</v>
      </c>
      <c r="W6" s="23"/>
      <c r="X6" s="23"/>
    </row>
    <row r="7">
      <c r="A7" s="70" t="s">
        <v>652</v>
      </c>
      <c r="B7" s="70" t="str">
        <f>IF($A$3=" "," ", IFERROR( VLOOKUP($A7,'SUPPLIER DATA BASE'!$A$2:$M$936,3,0),""))</f>
        <v>रूप लक्ष्मी</v>
      </c>
      <c r="C7" s="70" t="str">
        <f>IF($A$3=" "," ", IFERROR( VLOOKUP($A7,'SUPPLIER DATA BASE'!$A$2:$F$936,6,0),""))</f>
        <v>-</v>
      </c>
      <c r="D7" s="70" t="str">
        <f>IF($A$3=" "," ", IFERROR( VLOOKUP($A7,'SUPPLIER DATA BASE'!$A$2:$G$936,4,0),""))</f>
        <v>-</v>
      </c>
      <c r="E7" s="71" t="str">
        <f>IF($A$3=" "," ", IFERROR( VLOOKUP($A7,'SUPPLIER DATA BASE'!$A$2:$H$936,5,0),""))</f>
        <v>-</v>
      </c>
      <c r="F7" s="72" t="s">
        <v>899</v>
      </c>
      <c r="G7" s="73">
        <v>45948.0</v>
      </c>
      <c r="H7" s="74">
        <v>16.0</v>
      </c>
      <c r="I7" s="75">
        <v>67137.0</v>
      </c>
      <c r="J7" s="76" t="s">
        <v>900</v>
      </c>
      <c r="K7" s="70" t="s">
        <v>349</v>
      </c>
      <c r="L7" s="70" t="s">
        <v>349</v>
      </c>
      <c r="M7" s="70" t="str">
        <f t="shared" si="3"/>
        <v>240 Days</v>
      </c>
      <c r="N7" s="70" t="str">
        <f>IF($A$3=" "," ", IFERROR( VLOOKUP($A7,'SUPPLIER DATA BASE'!$A$2:$O$936,11,0),""))</f>
        <v>ROOP LAXMI SAREES (P) LTD</v>
      </c>
      <c r="O7" s="70" t="str">
        <f>IF($A$3=" "," ", IFERROR( VLOOKUP($A7,'SUPPLIER DATA BASE'!$A$2:$O$936,12,0),""))</f>
        <v>0221083000003432</v>
      </c>
      <c r="P7" s="70" t="str">
        <f>IF($A$3=" "," ", IFERROR( VLOOKUP($A7,'SUPPLIER DATA BASE'!$A$2:$O$936,13,0),""))</f>
        <v>SIBL0000221</v>
      </c>
      <c r="Q7" s="77"/>
      <c r="R7" s="73"/>
      <c r="S7" s="77"/>
      <c r="T7" s="70"/>
      <c r="U7" s="78"/>
      <c r="V7" s="70" t="str">
        <f t="shared" si="4"/>
        <v>FY 25-26</v>
      </c>
      <c r="W7" s="23"/>
      <c r="X7" s="23"/>
    </row>
    <row r="8">
      <c r="A8" s="70" t="s">
        <v>402</v>
      </c>
      <c r="B8" s="70" t="str">
        <f>IF($A$3=" "," ", IFERROR( VLOOKUP($A8,'SUPPLIER DATA BASE'!$A$2:$M$936,3,0),""))</f>
        <v>KHUSHAL/STATUS QUO</v>
      </c>
      <c r="C8" s="70" t="str">
        <f>IF($A$3=" "," ", IFERROR( VLOOKUP($A8,'SUPPLIER DATA BASE'!$A$2:$F$936,6,0),""))</f>
        <v>-</v>
      </c>
      <c r="D8" s="70" t="str">
        <f>IF($A$3=" "," ", IFERROR( VLOOKUP($A8,'SUPPLIER DATA BASE'!$A$2:$G$936,4,0),""))</f>
        <v>-</v>
      </c>
      <c r="E8" s="71" t="str">
        <f>IF($A$3=" "," ", IFERROR( VLOOKUP($A8,'SUPPLIER DATA BASE'!$A$2:$H$936,5,0),""))</f>
        <v>-</v>
      </c>
      <c r="F8" s="72" t="s">
        <v>901</v>
      </c>
      <c r="G8" s="73">
        <v>45952.0</v>
      </c>
      <c r="H8" s="74">
        <v>6.0</v>
      </c>
      <c r="I8" s="75">
        <v>25693.0</v>
      </c>
      <c r="J8" s="76" t="s">
        <v>902</v>
      </c>
      <c r="K8" s="70" t="s">
        <v>349</v>
      </c>
      <c r="L8" s="70" t="s">
        <v>349</v>
      </c>
      <c r="M8" s="70" t="str">
        <f t="shared" si="3"/>
        <v>236 Days</v>
      </c>
      <c r="N8" s="70" t="str">
        <f>IF($A$3=" "," ", IFERROR( VLOOKUP($A8,'SUPPLIER DATA BASE'!$A$2:$O$936,11,0),""))</f>
        <v>D APPAREL</v>
      </c>
      <c r="O8" s="70" t="str">
        <f>IF($A$3=" "," ", IFERROR( VLOOKUP($A8,'SUPPLIER DATA BASE'!$A$2:$O$936,12,0),""))</f>
        <v>722501010050397</v>
      </c>
      <c r="P8" s="70" t="str">
        <f>IF($A$3=" "," ", IFERROR( VLOOKUP($A8,'SUPPLIER DATA BASE'!$A$2:$O$936,13,0),""))</f>
        <v>UBIN0572250</v>
      </c>
      <c r="Q8" s="77"/>
      <c r="R8" s="73"/>
      <c r="S8" s="77"/>
      <c r="T8" s="70"/>
      <c r="U8" s="78"/>
      <c r="V8" s="70" t="str">
        <f t="shared" si="4"/>
        <v>FY 25-26</v>
      </c>
      <c r="W8" s="23"/>
      <c r="X8" s="23"/>
    </row>
    <row r="9">
      <c r="A9" s="70" t="s">
        <v>799</v>
      </c>
      <c r="B9" s="70" t="str">
        <f>IF($A$3=" "," ", IFERROR( VLOOKUP($A9,'SUPPLIER DATA BASE'!$A$2:$M$936,3,0),""))</f>
        <v>-</v>
      </c>
      <c r="C9" s="70" t="str">
        <f>IF($A$3=" "," ", IFERROR( VLOOKUP($A9,'SUPPLIER DATA BASE'!$A$2:$F$936,6,0),""))</f>
        <v>-</v>
      </c>
      <c r="D9" s="70" t="str">
        <f>IF($A$3=" "," ", IFERROR( VLOOKUP($A9,'SUPPLIER DATA BASE'!$A$2:$G$936,4,0),""))</f>
        <v>-</v>
      </c>
      <c r="E9" s="71" t="str">
        <f>IF($A$3=" "," ", IFERROR( VLOOKUP($A9,'SUPPLIER DATA BASE'!$A$2:$H$936,5,0),""))</f>
        <v>-</v>
      </c>
      <c r="F9" s="72" t="s">
        <v>903</v>
      </c>
      <c r="G9" s="73">
        <v>45986.0</v>
      </c>
      <c r="H9" s="74">
        <v>18.0</v>
      </c>
      <c r="I9" s="75">
        <v>59696.0</v>
      </c>
      <c r="J9" s="76" t="s">
        <v>904</v>
      </c>
      <c r="K9" s="70" t="s">
        <v>349</v>
      </c>
      <c r="L9" s="70" t="s">
        <v>349</v>
      </c>
      <c r="M9" s="70" t="str">
        <f t="shared" si="3"/>
        <v>202 Days</v>
      </c>
      <c r="N9" s="70" t="str">
        <f>IF($A$3=" "," ", IFERROR( VLOOKUP($A9,'SUPPLIER DATA BASE'!$A$2:$O$936,11,0),""))</f>
        <v>VISHAL MARKETING &amp; CO.</v>
      </c>
      <c r="O9" s="70" t="str">
        <f>IF($A$3=" "," ", IFERROR( VLOOKUP($A9,'SUPPLIER DATA BASE'!$A$2:$O$936,12,0),""))</f>
        <v>1091008700001025</v>
      </c>
      <c r="P9" s="70" t="str">
        <f>IF($A$3=" "," ", IFERROR( VLOOKUP($A9,'SUPPLIER DATA BASE'!$A$2:$O$936,13,0),""))</f>
        <v>PUNB0109100</v>
      </c>
      <c r="Q9" s="77"/>
      <c r="R9" s="73"/>
      <c r="S9" s="77"/>
      <c r="T9" s="70"/>
      <c r="U9" s="79"/>
      <c r="V9" s="70" t="str">
        <f t="shared" si="4"/>
        <v>FY 25-26</v>
      </c>
      <c r="W9" s="23"/>
      <c r="X9" s="23"/>
    </row>
    <row r="10">
      <c r="A10" s="70" t="s">
        <v>354</v>
      </c>
      <c r="B10" s="70" t="str">
        <f>IF($A$3=" "," ", IFERROR( VLOOKUP($A10,'SUPPLIER DATA BASE'!$A$2:$M$936,3,0),""))</f>
        <v>-</v>
      </c>
      <c r="C10" s="70" t="str">
        <f>IF($A$3=" "," ", IFERROR( VLOOKUP($A10,'SUPPLIER DATA BASE'!$A$2:$F$936,6,0),""))</f>
        <v>-</v>
      </c>
      <c r="D10" s="70" t="str">
        <f>IF($A$3=" "," ", IFERROR( VLOOKUP($A10,'SUPPLIER DATA BASE'!$A$2:$G$936,4,0),""))</f>
        <v>-</v>
      </c>
      <c r="E10" s="71" t="str">
        <f>IF($A$3=" "," ", IFERROR( VLOOKUP($A10,'SUPPLIER DATA BASE'!$A$2:$H$936,5,0),""))</f>
        <v>-</v>
      </c>
      <c r="F10" s="72" t="s">
        <v>905</v>
      </c>
      <c r="G10" s="73">
        <v>46001.0</v>
      </c>
      <c r="H10" s="74">
        <v>7.0</v>
      </c>
      <c r="I10" s="75">
        <v>38685.2</v>
      </c>
      <c r="J10" s="76" t="s">
        <v>906</v>
      </c>
      <c r="K10" s="70" t="s">
        <v>349</v>
      </c>
      <c r="L10" s="70" t="s">
        <v>349</v>
      </c>
      <c r="M10" s="70" t="str">
        <f t="shared" si="3"/>
        <v>187 Days</v>
      </c>
      <c r="N10" s="70" t="str">
        <f>IF($A$3=" "," ", IFERROR( VLOOKUP($A10,'SUPPLIER DATA BASE'!$A$2:$O$936,11,0),""))</f>
        <v>-</v>
      </c>
      <c r="O10" s="70" t="str">
        <f>IF($A$3=" "," ", IFERROR( VLOOKUP($A10,'SUPPLIER DATA BASE'!$A$2:$O$936,12,0),""))</f>
        <v>-</v>
      </c>
      <c r="P10" s="70" t="str">
        <f>IF($A$3=" "," ", IFERROR( VLOOKUP($A10,'SUPPLIER DATA BASE'!$A$2:$O$936,13,0),""))</f>
        <v>-</v>
      </c>
      <c r="Q10" s="73"/>
      <c r="R10" s="73"/>
      <c r="S10" s="70"/>
      <c r="T10" s="70"/>
      <c r="U10" s="78"/>
      <c r="V10" s="70" t="str">
        <f t="shared" si="4"/>
        <v>FY 25-26</v>
      </c>
      <c r="W10" s="23"/>
      <c r="X10" s="23"/>
    </row>
    <row r="11">
      <c r="A11" s="70" t="s">
        <v>354</v>
      </c>
      <c r="B11" s="70" t="str">
        <f>IF($A$3=" "," ", IFERROR( VLOOKUP($A11,'SUPPLIER DATA BASE'!$A$2:$M$936,3,0),""))</f>
        <v>-</v>
      </c>
      <c r="C11" s="70" t="str">
        <f>IF($A$3=" "," ", IFERROR( VLOOKUP($A11,'SUPPLIER DATA BASE'!$A$2:$F$936,6,0),""))</f>
        <v>-</v>
      </c>
      <c r="D11" s="70" t="str">
        <f>IF($A$3=" "," ", IFERROR( VLOOKUP($A11,'SUPPLIER DATA BASE'!$A$2:$G$936,4,0),""))</f>
        <v>-</v>
      </c>
      <c r="E11" s="71" t="str">
        <f>IF($A$3=" "," ", IFERROR( VLOOKUP($A11,'SUPPLIER DATA BASE'!$A$2:$H$936,5,0),""))</f>
        <v>-</v>
      </c>
      <c r="F11" s="72" t="s">
        <v>907</v>
      </c>
      <c r="G11" s="73">
        <v>46002.0</v>
      </c>
      <c r="H11" s="74">
        <v>23.0</v>
      </c>
      <c r="I11" s="75">
        <v>97197.17</v>
      </c>
      <c r="J11" s="76" t="s">
        <v>908</v>
      </c>
      <c r="K11" s="70" t="s">
        <v>349</v>
      </c>
      <c r="L11" s="70" t="s">
        <v>349</v>
      </c>
      <c r="M11" s="70" t="str">
        <f t="shared" si="3"/>
        <v>186 Days</v>
      </c>
      <c r="N11" s="70" t="str">
        <f>IF($A$3=" "," ", IFERROR( VLOOKUP($A11,'SUPPLIER DATA BASE'!$A$2:$O$936,11,0),""))</f>
        <v>-</v>
      </c>
      <c r="O11" s="70" t="str">
        <f>IF($A$3=" "," ", IFERROR( VLOOKUP($A11,'SUPPLIER DATA BASE'!$A$2:$O$936,12,0),""))</f>
        <v>-</v>
      </c>
      <c r="P11" s="70" t="str">
        <f>IF($A$3=" "," ", IFERROR( VLOOKUP($A11,'SUPPLIER DATA BASE'!$A$2:$O$936,13,0),""))</f>
        <v>-</v>
      </c>
      <c r="Q11" s="73"/>
      <c r="R11" s="73"/>
      <c r="S11" s="70"/>
      <c r="T11" s="70"/>
      <c r="U11" s="78"/>
      <c r="V11" s="70" t="str">
        <f t="shared" si="4"/>
        <v>FY 25-26</v>
      </c>
      <c r="W11" s="23"/>
      <c r="X11" s="23"/>
    </row>
    <row r="12">
      <c r="A12" s="70" t="s">
        <v>354</v>
      </c>
      <c r="B12" s="70" t="str">
        <f>IF($A$3=" "," ", IFERROR( VLOOKUP($A12,'SUPPLIER DATA BASE'!$A$2:$M$936,3,0),""))</f>
        <v>-</v>
      </c>
      <c r="C12" s="70" t="str">
        <f>IF($A$3=" "," ", IFERROR( VLOOKUP($A12,'SUPPLIER DATA BASE'!$A$2:$F$936,6,0),""))</f>
        <v>-</v>
      </c>
      <c r="D12" s="70" t="str">
        <f>IF($A$3=" "," ", IFERROR( VLOOKUP($A12,'SUPPLIER DATA BASE'!$A$2:$G$936,4,0),""))</f>
        <v>-</v>
      </c>
      <c r="E12" s="71" t="str">
        <f>IF($A$3=" "," ", IFERROR( VLOOKUP($A12,'SUPPLIER DATA BASE'!$A$2:$H$936,5,0),""))</f>
        <v>-</v>
      </c>
      <c r="F12" s="72" t="s">
        <v>909</v>
      </c>
      <c r="G12" s="73">
        <v>46002.0</v>
      </c>
      <c r="H12" s="74">
        <v>22.0</v>
      </c>
      <c r="I12" s="75">
        <v>42886.53</v>
      </c>
      <c r="J12" s="76" t="s">
        <v>910</v>
      </c>
      <c r="K12" s="70" t="s">
        <v>349</v>
      </c>
      <c r="L12" s="70" t="s">
        <v>349</v>
      </c>
      <c r="M12" s="70" t="str">
        <f t="shared" si="3"/>
        <v>186 Days</v>
      </c>
      <c r="N12" s="70" t="str">
        <f>IF($A$3=" "," ", IFERROR( VLOOKUP($A12,'SUPPLIER DATA BASE'!$A$2:$O$936,11,0),""))</f>
        <v>-</v>
      </c>
      <c r="O12" s="70" t="str">
        <f>IF($A$3=" "," ", IFERROR( VLOOKUP($A12,'SUPPLIER DATA BASE'!$A$2:$O$936,12,0),""))</f>
        <v>-</v>
      </c>
      <c r="P12" s="70" t="str">
        <f>IF($A$3=" "," ", IFERROR( VLOOKUP($A12,'SUPPLIER DATA BASE'!$A$2:$O$936,13,0),""))</f>
        <v>-</v>
      </c>
      <c r="Q12" s="73"/>
      <c r="R12" s="73"/>
      <c r="S12" s="70"/>
      <c r="T12" s="70"/>
      <c r="U12" s="78"/>
      <c r="V12" s="70" t="str">
        <f t="shared" si="4"/>
        <v>FY 25-26</v>
      </c>
      <c r="W12" s="23"/>
      <c r="X12" s="23"/>
    </row>
    <row r="13">
      <c r="A13" s="70" t="s">
        <v>354</v>
      </c>
      <c r="B13" s="70" t="str">
        <f>IF($A$3=" "," ", IFERROR( VLOOKUP($A13,'SUPPLIER DATA BASE'!$A$2:$M$936,3,0),""))</f>
        <v>-</v>
      </c>
      <c r="C13" s="80" t="str">
        <f>IF($A$3=" "," ", IFERROR( VLOOKUP($A13,'SUPPLIER DATA BASE'!$A$2:$F$936,6,0),""))</f>
        <v>-</v>
      </c>
      <c r="D13" s="70" t="str">
        <f>IF($A$3=" "," ", IFERROR( VLOOKUP($A13,'SUPPLIER DATA BASE'!$A$2:$G$936,4,0),""))</f>
        <v>-</v>
      </c>
      <c r="E13" s="71" t="str">
        <f>IF($A$3=" "," ", IFERROR( VLOOKUP($A13,'SUPPLIER DATA BASE'!$A$2:$H$936,5,0),""))</f>
        <v>-</v>
      </c>
      <c r="F13" s="72" t="s">
        <v>911</v>
      </c>
      <c r="G13" s="73">
        <v>46013.0</v>
      </c>
      <c r="H13" s="74">
        <v>85.0</v>
      </c>
      <c r="I13" s="75">
        <v>157878.07</v>
      </c>
      <c r="J13" s="76" t="s">
        <v>912</v>
      </c>
      <c r="K13" s="70" t="s">
        <v>349</v>
      </c>
      <c r="L13" s="70" t="s">
        <v>349</v>
      </c>
      <c r="M13" s="70" t="str">
        <f t="shared" si="3"/>
        <v>175 Days</v>
      </c>
      <c r="N13" s="70" t="str">
        <f>IF($A$3=" "," ", IFERROR( VLOOKUP($A13,'SUPPLIER DATA BASE'!$A$2:$O$936,11,0),""))</f>
        <v>-</v>
      </c>
      <c r="O13" s="70" t="str">
        <f>IF($A$3=" "," ", IFERROR( VLOOKUP($A13,'SUPPLIER DATA BASE'!$A$2:$O$936,12,0),""))</f>
        <v>-</v>
      </c>
      <c r="P13" s="70" t="str">
        <f>IF($A$3=" "," ", IFERROR( VLOOKUP($A13,'SUPPLIER DATA BASE'!$A$2:$O$936,13,0),""))</f>
        <v>-</v>
      </c>
      <c r="Q13" s="73"/>
      <c r="R13" s="73"/>
      <c r="S13" s="70"/>
      <c r="T13" s="70"/>
      <c r="U13" s="78"/>
      <c r="V13" s="70" t="str">
        <f t="shared" si="4"/>
        <v>FY 25-26</v>
      </c>
      <c r="W13" s="23"/>
      <c r="X13" s="23"/>
    </row>
    <row r="14">
      <c r="A14" s="70" t="s">
        <v>733</v>
      </c>
      <c r="B14" s="70" t="str">
        <f>IF($A$3=" "," ", IFERROR( VLOOKUP($A14,'SUPPLIER DATA BASE'!$A$2:$M$936,3,0),""))</f>
        <v>-</v>
      </c>
      <c r="C14" s="70" t="str">
        <f>IF($A$3=" "," ", IFERROR( VLOOKUP($A14,'SUPPLIER DATA BASE'!$A$2:$F$936,6,0),""))</f>
        <v>-</v>
      </c>
      <c r="D14" s="70" t="str">
        <f>IF($A$3=" "," ", IFERROR( VLOOKUP($A14,'SUPPLIER DATA BASE'!$A$2:$G$936,4,0),""))</f>
        <v>-</v>
      </c>
      <c r="E14" s="71" t="str">
        <f>IF($A$3=" "," ", IFERROR( VLOOKUP($A14,'SUPPLIER DATA BASE'!$A$2:$H$936,5,0),""))</f>
        <v>-</v>
      </c>
      <c r="F14" s="72" t="s">
        <v>913</v>
      </c>
      <c r="G14" s="73">
        <v>46017.0</v>
      </c>
      <c r="H14" s="74">
        <v>103.0</v>
      </c>
      <c r="I14" s="75">
        <v>149799.69</v>
      </c>
      <c r="J14" s="76" t="s">
        <v>914</v>
      </c>
      <c r="K14" s="70" t="s">
        <v>349</v>
      </c>
      <c r="L14" s="70" t="s">
        <v>349</v>
      </c>
      <c r="M14" s="70" t="str">
        <f t="shared" si="3"/>
        <v>171 Days</v>
      </c>
      <c r="N14" s="70" t="str">
        <f>IF($A$3=" "," ", IFERROR( VLOOKUP($A14,'SUPPLIER DATA BASE'!$A$2:$O$936,11,0),""))</f>
        <v>SOUL INDIA</v>
      </c>
      <c r="O14" s="70" t="str">
        <f>IF($A$3=" "," ", IFERROR( VLOOKUP($A14,'SUPPLIER DATA BASE'!$A$2:$O$936,12,0),""))</f>
        <v>250705501258</v>
      </c>
      <c r="P14" s="70" t="str">
        <f>IF($A$3=" "," ", IFERROR( VLOOKUP($A14,'SUPPLIER DATA BASE'!$A$2:$O$936,13,0),""))</f>
        <v>ICIC0002507</v>
      </c>
      <c r="Q14" s="73"/>
      <c r="R14" s="73"/>
      <c r="S14" s="70"/>
      <c r="T14" s="70"/>
      <c r="U14" s="81"/>
      <c r="V14" s="70" t="str">
        <f t="shared" si="4"/>
        <v>FY 25-26</v>
      </c>
      <c r="W14" s="23"/>
      <c r="X14" s="23"/>
    </row>
    <row r="15">
      <c r="A15" s="70" t="s">
        <v>354</v>
      </c>
      <c r="B15" s="70" t="str">
        <f>IF($A$3=" "," ", IFERROR( VLOOKUP($A15,'SUPPLIER DATA BASE'!$A$2:$M$936,3,0),""))</f>
        <v>-</v>
      </c>
      <c r="C15" s="70" t="str">
        <f>IF($A$3=" "," ", IFERROR( VLOOKUP($A15,'SUPPLIER DATA BASE'!$A$2:$F$936,6,0),""))</f>
        <v>-</v>
      </c>
      <c r="D15" s="70" t="str">
        <f>IF($A$3=" "," ", IFERROR( VLOOKUP($A15,'SUPPLIER DATA BASE'!$A$2:$G$936,4,0),""))</f>
        <v>-</v>
      </c>
      <c r="E15" s="71" t="str">
        <f>IF($A$3=" "," ", IFERROR( VLOOKUP($A15,'SUPPLIER DATA BASE'!$A$2:$H$936,5,0),""))</f>
        <v>-</v>
      </c>
      <c r="F15" s="72" t="s">
        <v>915</v>
      </c>
      <c r="G15" s="73">
        <v>46020.0</v>
      </c>
      <c r="H15" s="74">
        <v>24.0</v>
      </c>
      <c r="I15" s="75">
        <v>26287.6</v>
      </c>
      <c r="J15" s="76" t="s">
        <v>916</v>
      </c>
      <c r="K15" s="70" t="s">
        <v>349</v>
      </c>
      <c r="L15" s="70" t="s">
        <v>349</v>
      </c>
      <c r="M15" s="70" t="str">
        <f t="shared" si="3"/>
        <v>168 Days</v>
      </c>
      <c r="N15" s="70" t="str">
        <f>IF($A$3=" "," ", IFERROR( VLOOKUP($A15,'SUPPLIER DATA BASE'!$A$2:$O$936,11,0),""))</f>
        <v>-</v>
      </c>
      <c r="O15" s="70" t="str">
        <f>IF($A$3=" "," ", IFERROR( VLOOKUP($A15,'SUPPLIER DATA BASE'!$A$2:$O$936,12,0),""))</f>
        <v>-</v>
      </c>
      <c r="P15" s="70" t="str">
        <f>IF($A$3=" "," ", IFERROR( VLOOKUP($A15,'SUPPLIER DATA BASE'!$A$2:$O$936,13,0),""))</f>
        <v>-</v>
      </c>
      <c r="Q15" s="73"/>
      <c r="R15" s="73"/>
      <c r="S15" s="70"/>
      <c r="T15" s="70"/>
      <c r="U15" s="78"/>
      <c r="V15" s="70" t="str">
        <f t="shared" si="4"/>
        <v>FY 25-26</v>
      </c>
      <c r="W15" s="23"/>
      <c r="X15" s="23"/>
    </row>
    <row r="16">
      <c r="A16" s="70" t="s">
        <v>354</v>
      </c>
      <c r="B16" s="70" t="str">
        <f>IF($A$3=" "," ", IFERROR( VLOOKUP($A16,'SUPPLIER DATA BASE'!$A$2:$M$936,3,0),""))</f>
        <v>-</v>
      </c>
      <c r="C16" s="70" t="str">
        <f>IF($A$3=" "," ", IFERROR( VLOOKUP($A16,'SUPPLIER DATA BASE'!$A$2:$F$936,6,0),""))</f>
        <v>-</v>
      </c>
      <c r="D16" s="70" t="str">
        <f>IF($A$3=" "," ", IFERROR( VLOOKUP($A16,'SUPPLIER DATA BASE'!$A$2:$G$936,4,0),""))</f>
        <v>-</v>
      </c>
      <c r="E16" s="71" t="str">
        <f>IF($A$3=" "," ", IFERROR( VLOOKUP($A16,'SUPPLIER DATA BASE'!$A$2:$H$936,5,0),""))</f>
        <v>-</v>
      </c>
      <c r="F16" s="72" t="s">
        <v>917</v>
      </c>
      <c r="G16" s="73">
        <v>46020.0</v>
      </c>
      <c r="H16" s="74">
        <v>30.0</v>
      </c>
      <c r="I16" s="75">
        <v>129280.76</v>
      </c>
      <c r="J16" s="76" t="s">
        <v>918</v>
      </c>
      <c r="K16" s="70" t="s">
        <v>349</v>
      </c>
      <c r="L16" s="70" t="s">
        <v>349</v>
      </c>
      <c r="M16" s="70" t="str">
        <f t="shared" si="3"/>
        <v>168 Days</v>
      </c>
      <c r="N16" s="70" t="str">
        <f>IF($A$3=" "," ", IFERROR( VLOOKUP($A16,'SUPPLIER DATA BASE'!$A$2:$O$936,11,0),""))</f>
        <v>-</v>
      </c>
      <c r="O16" s="70" t="str">
        <f>IF($A$3=" "," ", IFERROR( VLOOKUP($A16,'SUPPLIER DATA BASE'!$A$2:$O$936,12,0),""))</f>
        <v>-</v>
      </c>
      <c r="P16" s="70" t="str">
        <f>IF($A$3=" "," ", IFERROR( VLOOKUP($A16,'SUPPLIER DATA BASE'!$A$2:$O$936,13,0),""))</f>
        <v>-</v>
      </c>
      <c r="Q16" s="73"/>
      <c r="R16" s="73"/>
      <c r="S16" s="70"/>
      <c r="T16" s="70"/>
      <c r="U16" s="78"/>
      <c r="V16" s="70" t="str">
        <f t="shared" si="4"/>
        <v>FY 25-26</v>
      </c>
      <c r="W16" s="23"/>
      <c r="X16" s="23"/>
    </row>
    <row r="17">
      <c r="A17" s="70" t="s">
        <v>416</v>
      </c>
      <c r="B17" s="70" t="str">
        <f>IF($A$3=" "," ", IFERROR( VLOOKUP($A17,'SUPPLIER DATA BASE'!$A$2:$M$936,3,0),""))</f>
        <v>YES MAAM</v>
      </c>
      <c r="C17" s="70" t="str">
        <f>IF($A$3=" "," ", IFERROR( VLOOKUP($A17,'SUPPLIER DATA BASE'!$A$2:$F$936,6,0),""))</f>
        <v>NEPOLIAN</v>
      </c>
      <c r="D17" s="70">
        <f>IF($A$3=" "," ", IFERROR( VLOOKUP($A17,'SUPPLIER DATA BASE'!$A$2:$G$936,4,0),""))</f>
        <v>60</v>
      </c>
      <c r="E17" s="71">
        <f>IF($A$3=" "," ", IFERROR( VLOOKUP($A17,'SUPPLIER DATA BASE'!$A$2:$H$936,5,0),""))</f>
        <v>0.03</v>
      </c>
      <c r="F17" s="72" t="s">
        <v>919</v>
      </c>
      <c r="G17" s="73">
        <v>46020.0</v>
      </c>
      <c r="H17" s="74">
        <v>1.0</v>
      </c>
      <c r="I17" s="75">
        <v>4065.0</v>
      </c>
      <c r="J17" s="76" t="s">
        <v>920</v>
      </c>
      <c r="K17" s="70" t="s">
        <v>349</v>
      </c>
      <c r="L17" s="70" t="s">
        <v>349</v>
      </c>
      <c r="M17" s="70" t="str">
        <f t="shared" si="3"/>
        <v>168 Days</v>
      </c>
      <c r="N17" s="70" t="str">
        <f>IF($A$3=" "," ", IFERROR( VLOOKUP($A17,'SUPPLIER DATA BASE'!$A$2:$O$936,11,0),""))</f>
        <v>D S CREATION</v>
      </c>
      <c r="O17" s="70" t="str">
        <f>IF($A$3=" "," ", IFERROR( VLOOKUP($A17,'SUPPLIER DATA BASE'!$A$2:$O$936,12,0),""))</f>
        <v>9830047013</v>
      </c>
      <c r="P17" s="70" t="str">
        <f>IF($A$3=" "," ", IFERROR( VLOOKUP($A17,'SUPPLIER DATA BASE'!$A$2:$O$936,13,0),""))</f>
        <v>KKBK0006562</v>
      </c>
      <c r="Q17" s="73"/>
      <c r="R17" s="73"/>
      <c r="S17" s="70"/>
      <c r="T17" s="70"/>
      <c r="U17" s="78"/>
      <c r="V17" s="70" t="str">
        <f t="shared" si="4"/>
        <v>FY 25-26</v>
      </c>
      <c r="W17" s="23"/>
      <c r="X17" s="23"/>
    </row>
    <row r="18">
      <c r="A18" s="70" t="s">
        <v>623</v>
      </c>
      <c r="B18" s="70" t="str">
        <f>IF($A$3=" "," ", IFERROR( VLOOKUP($A18,'SUPPLIER DATA BASE'!$A$2:$M$936,3,0),""))</f>
        <v>-</v>
      </c>
      <c r="C18" s="70" t="str">
        <f>IF($A$3=" "," ", IFERROR( VLOOKUP($A18,'SUPPLIER DATA BASE'!$A$2:$F$936,6,0),""))</f>
        <v>-</v>
      </c>
      <c r="D18" s="70" t="str">
        <f>IF($A$3=" "," ", IFERROR( VLOOKUP($A18,'SUPPLIER DATA BASE'!$A$2:$G$936,4,0),""))</f>
        <v>-</v>
      </c>
      <c r="E18" s="71" t="str">
        <f>IF($A$3=" "," ", IFERROR( VLOOKUP($A18,'SUPPLIER DATA BASE'!$A$2:$H$936,5,0),""))</f>
        <v>-</v>
      </c>
      <c r="F18" s="72">
        <v>2265.0</v>
      </c>
      <c r="G18" s="73">
        <v>46024.0</v>
      </c>
      <c r="H18" s="74">
        <v>11.0</v>
      </c>
      <c r="I18" s="75">
        <v>8377.0</v>
      </c>
      <c r="J18" s="76" t="s">
        <v>921</v>
      </c>
      <c r="K18" s="70" t="s">
        <v>349</v>
      </c>
      <c r="L18" s="70" t="s">
        <v>349</v>
      </c>
      <c r="M18" s="70" t="str">
        <f t="shared" si="3"/>
        <v>164 Days</v>
      </c>
      <c r="N18" s="70" t="str">
        <f>IF($A$3=" "," ", IFERROR( VLOOKUP($A18,'SUPPLIER DATA BASE'!$A$2:$O$936,11,0),""))</f>
        <v>PLAZER FABRICS</v>
      </c>
      <c r="O18" s="70" t="str">
        <f>IF($A$3=" "," ", IFERROR( VLOOKUP($A18,'SUPPLIER DATA BASE'!$A$2:$O$936,12,0),""))</f>
        <v>50200014256984</v>
      </c>
      <c r="P18" s="70" t="str">
        <f>IF($A$3=" "," ", IFERROR( VLOOKUP($A18,'SUPPLIER DATA BASE'!$A$2:$O$936,13,0),""))</f>
        <v>HDFC0002834</v>
      </c>
      <c r="Q18" s="73"/>
      <c r="R18" s="73"/>
      <c r="S18" s="70"/>
      <c r="T18" s="70"/>
      <c r="U18" s="78"/>
      <c r="V18" s="70" t="str">
        <f t="shared" si="4"/>
        <v>FY 25-26</v>
      </c>
      <c r="W18" s="23"/>
      <c r="X18" s="23"/>
    </row>
    <row r="19">
      <c r="A19" s="70" t="s">
        <v>609</v>
      </c>
      <c r="B19" s="70" t="str">
        <f>IF($A$3=" "," ", IFERROR( VLOOKUP($A19,'SUPPLIER DATA BASE'!$A$2:$M$936,3,0),""))</f>
        <v>-</v>
      </c>
      <c r="C19" s="70" t="str">
        <f>IF($A$3=" "," ", IFERROR( VLOOKUP($A19,'SUPPLIER DATA BASE'!$A$2:$F$936,6,0),""))</f>
        <v>-</v>
      </c>
      <c r="D19" s="70" t="str">
        <f>IF($A$3=" "," ", IFERROR( VLOOKUP($A19,'SUPPLIER DATA BASE'!$A$2:$G$936,4,0),""))</f>
        <v>-</v>
      </c>
      <c r="E19" s="71" t="str">
        <f>IF($A$3=" "," ", IFERROR( VLOOKUP($A19,'SUPPLIER DATA BASE'!$A$2:$H$936,5,0),""))</f>
        <v>-</v>
      </c>
      <c r="F19" s="72">
        <v>19221.0</v>
      </c>
      <c r="G19" s="73">
        <v>46024.0</v>
      </c>
      <c r="H19" s="74">
        <v>15.0</v>
      </c>
      <c r="I19" s="75">
        <v>21920.0</v>
      </c>
      <c r="J19" s="76" t="s">
        <v>922</v>
      </c>
      <c r="K19" s="70" t="s">
        <v>349</v>
      </c>
      <c r="L19" s="70" t="s">
        <v>349</v>
      </c>
      <c r="M19" s="70" t="str">
        <f t="shared" si="3"/>
        <v>164 Days</v>
      </c>
      <c r="N19" s="70" t="str">
        <f>IF($A$3=" "," ", IFERROR( VLOOKUP($A19,'SUPPLIER DATA BASE'!$A$2:$O$936,11,0),""))</f>
        <v>P R MODI AND SONS</v>
      </c>
      <c r="O19" s="70" t="str">
        <f>IF($A$3=" "," ", IFERROR( VLOOKUP($A19,'SUPPLIER DATA BASE'!$A$2:$O$936,12,0),""))</f>
        <v>490930150000030</v>
      </c>
      <c r="P19" s="70" t="str">
        <f>IF($A$3=" "," ", IFERROR( VLOOKUP($A19,'SUPPLIER DATA BASE'!$A$2:$O$936,13,0),""))</f>
        <v>BKID0004909</v>
      </c>
      <c r="Q19" s="73"/>
      <c r="R19" s="73"/>
      <c r="S19" s="70"/>
      <c r="T19" s="70"/>
      <c r="U19" s="78"/>
      <c r="V19" s="70" t="str">
        <f t="shared" si="4"/>
        <v>FY 25-26</v>
      </c>
      <c r="W19" s="23"/>
      <c r="X19" s="23"/>
    </row>
    <row r="20">
      <c r="A20" s="70" t="s">
        <v>609</v>
      </c>
      <c r="B20" s="70" t="str">
        <f>IF($A$3=" "," ", IFERROR( VLOOKUP($A20,'SUPPLIER DATA BASE'!$A$2:$M$936,3,0),""))</f>
        <v>-</v>
      </c>
      <c r="C20" s="70" t="str">
        <f>IF($A$3=" "," ", IFERROR( VLOOKUP($A20,'SUPPLIER DATA BASE'!$A$2:$F$936,6,0),""))</f>
        <v>-</v>
      </c>
      <c r="D20" s="70" t="str">
        <f>IF($A$3=" "," ", IFERROR( VLOOKUP($A20,'SUPPLIER DATA BASE'!$A$2:$G$936,4,0),""))</f>
        <v>-</v>
      </c>
      <c r="E20" s="71" t="str">
        <f>IF($A$3=" "," ", IFERROR( VLOOKUP($A20,'SUPPLIER DATA BASE'!$A$2:$H$936,5,0),""))</f>
        <v>-</v>
      </c>
      <c r="F20" s="72">
        <v>19222.0</v>
      </c>
      <c r="G20" s="73">
        <v>46024.0</v>
      </c>
      <c r="H20" s="74">
        <v>12.0</v>
      </c>
      <c r="I20" s="75">
        <v>12231.0</v>
      </c>
      <c r="J20" s="76" t="s">
        <v>923</v>
      </c>
      <c r="K20" s="70" t="s">
        <v>349</v>
      </c>
      <c r="L20" s="70" t="s">
        <v>349</v>
      </c>
      <c r="M20" s="70" t="str">
        <f t="shared" si="3"/>
        <v>164 Days</v>
      </c>
      <c r="N20" s="70" t="str">
        <f>IF($A$3=" "," ", IFERROR( VLOOKUP($A20,'SUPPLIER DATA BASE'!$A$2:$O$936,11,0),""))</f>
        <v>P R MODI AND SONS</v>
      </c>
      <c r="O20" s="70" t="str">
        <f>IF($A$3=" "," ", IFERROR( VLOOKUP($A20,'SUPPLIER DATA BASE'!$A$2:$O$936,12,0),""))</f>
        <v>490930150000030</v>
      </c>
      <c r="P20" s="70" t="str">
        <f>IF($A$3=" "," ", IFERROR( VLOOKUP($A20,'SUPPLIER DATA BASE'!$A$2:$O$936,13,0),""))</f>
        <v>BKID0004909</v>
      </c>
      <c r="Q20" s="73"/>
      <c r="R20" s="73"/>
      <c r="S20" s="70"/>
      <c r="T20" s="70"/>
      <c r="U20" s="78"/>
      <c r="V20" s="70" t="str">
        <f t="shared" si="4"/>
        <v>FY 25-26</v>
      </c>
      <c r="W20" s="23"/>
      <c r="X20" s="23"/>
    </row>
    <row r="21">
      <c r="A21" s="70" t="s">
        <v>609</v>
      </c>
      <c r="B21" s="70" t="str">
        <f>IF($A$3=" "," ", IFERROR( VLOOKUP($A21,'SUPPLIER DATA BASE'!$A$2:$M$936,3,0),""))</f>
        <v>-</v>
      </c>
      <c r="C21" s="70" t="str">
        <f>IF($A$3=" "," ", IFERROR( VLOOKUP($A21,'SUPPLIER DATA BASE'!$A$2:$F$936,6,0),""))</f>
        <v>-</v>
      </c>
      <c r="D21" s="70" t="str">
        <f>IF($A$3=" "," ", IFERROR( VLOOKUP($A21,'SUPPLIER DATA BASE'!$A$2:$G$936,4,0),""))</f>
        <v>-</v>
      </c>
      <c r="E21" s="71" t="str">
        <f>IF($A$3=" "," ", IFERROR( VLOOKUP($A21,'SUPPLIER DATA BASE'!$A$2:$H$936,5,0),""))</f>
        <v>-</v>
      </c>
      <c r="F21" s="72">
        <v>19220.0</v>
      </c>
      <c r="G21" s="73">
        <v>46024.0</v>
      </c>
      <c r="H21" s="74">
        <v>62.0</v>
      </c>
      <c r="I21" s="75">
        <v>59442.0</v>
      </c>
      <c r="J21" s="76" t="s">
        <v>924</v>
      </c>
      <c r="K21" s="70" t="s">
        <v>349</v>
      </c>
      <c r="L21" s="70" t="s">
        <v>349</v>
      </c>
      <c r="M21" s="70" t="str">
        <f t="shared" si="3"/>
        <v>164 Days</v>
      </c>
      <c r="N21" s="70" t="str">
        <f>IF($A$3=" "," ", IFERROR( VLOOKUP($A21,'SUPPLIER DATA BASE'!$A$2:$O$936,11,0),""))</f>
        <v>P R MODI AND SONS</v>
      </c>
      <c r="O21" s="70" t="str">
        <f>IF($A$3=" "," ", IFERROR( VLOOKUP($A21,'SUPPLIER DATA BASE'!$A$2:$O$936,12,0),""))</f>
        <v>490930150000030</v>
      </c>
      <c r="P21" s="70" t="str">
        <f>IF($A$3=" "," ", IFERROR( VLOOKUP($A21,'SUPPLIER DATA BASE'!$A$2:$O$936,13,0),""))</f>
        <v>BKID0004909</v>
      </c>
      <c r="Q21" s="73"/>
      <c r="R21" s="73"/>
      <c r="S21" s="70"/>
      <c r="T21" s="70"/>
      <c r="U21" s="78"/>
      <c r="V21" s="70" t="str">
        <f t="shared" si="4"/>
        <v>FY 25-26</v>
      </c>
      <c r="W21" s="23"/>
      <c r="X21" s="23"/>
    </row>
    <row r="22">
      <c r="A22" s="70" t="s">
        <v>609</v>
      </c>
      <c r="B22" s="70" t="str">
        <f>IF($A$3=" "," ", IFERROR( VLOOKUP($A22,'SUPPLIER DATA BASE'!$A$2:$M$936,3,0),""))</f>
        <v>-</v>
      </c>
      <c r="C22" s="70" t="str">
        <f>IF($A$3=" "," ", IFERROR( VLOOKUP($A22,'SUPPLIER DATA BASE'!$A$2:$F$936,6,0),""))</f>
        <v>-</v>
      </c>
      <c r="D22" s="70" t="str">
        <f>IF($A$3=" "," ", IFERROR( VLOOKUP($A22,'SUPPLIER DATA BASE'!$A$2:$G$936,4,0),""))</f>
        <v>-</v>
      </c>
      <c r="E22" s="71" t="str">
        <f>IF($A$3=" "," ", IFERROR( VLOOKUP($A22,'SUPPLIER DATA BASE'!$A$2:$H$936,5,0),""))</f>
        <v>-</v>
      </c>
      <c r="F22" s="72">
        <v>19240.0</v>
      </c>
      <c r="G22" s="73">
        <v>46025.0</v>
      </c>
      <c r="H22" s="74">
        <v>2.0</v>
      </c>
      <c r="I22" s="75">
        <v>7236.0</v>
      </c>
      <c r="J22" s="76" t="s">
        <v>925</v>
      </c>
      <c r="K22" s="70" t="s">
        <v>349</v>
      </c>
      <c r="L22" s="70" t="s">
        <v>349</v>
      </c>
      <c r="M22" s="70" t="str">
        <f t="shared" si="3"/>
        <v>163 Days</v>
      </c>
      <c r="N22" s="70" t="str">
        <f>IF($A$3=" "," ", IFERROR( VLOOKUP($A22,'SUPPLIER DATA BASE'!$A$2:$O$936,11,0),""))</f>
        <v>P R MODI AND SONS</v>
      </c>
      <c r="O22" s="70" t="str">
        <f>IF($A$3=" "," ", IFERROR( VLOOKUP($A22,'SUPPLIER DATA BASE'!$A$2:$O$936,12,0),""))</f>
        <v>490930150000030</v>
      </c>
      <c r="P22" s="70" t="str">
        <f>IF($A$3=" "," ", IFERROR( VLOOKUP($A22,'SUPPLIER DATA BASE'!$A$2:$O$936,13,0),""))</f>
        <v>BKID0004909</v>
      </c>
      <c r="Q22" s="73"/>
      <c r="R22" s="73"/>
      <c r="S22" s="70"/>
      <c r="T22" s="70"/>
      <c r="U22" s="78"/>
      <c r="V22" s="70" t="str">
        <f t="shared" si="4"/>
        <v>FY 25-26</v>
      </c>
      <c r="W22" s="23"/>
      <c r="X22" s="23"/>
    </row>
    <row r="23">
      <c r="A23" s="70" t="s">
        <v>393</v>
      </c>
      <c r="B23" s="70" t="str">
        <f>IF($A$3=" "," ", IFERROR( VLOOKUP($A23,'SUPPLIER DATA BASE'!$A$2:$M$936,3,0),""))</f>
        <v>WELSPUN, VAN HEUSEN</v>
      </c>
      <c r="C23" s="70" t="str">
        <f>IF($A$3=" "," ", IFERROR( VLOOKUP($A23,'SUPPLIER DATA BASE'!$A$2:$F$936,6,0),""))</f>
        <v>DIRECT</v>
      </c>
      <c r="D23" s="70">
        <f>IF($A$3=" "," ", IFERROR( VLOOKUP($A23,'SUPPLIER DATA BASE'!$A$2:$G$936,4,0),""))</f>
        <v>15</v>
      </c>
      <c r="E23" s="71">
        <f>IF($A$3=" "," ", IFERROR( VLOOKUP($A23,'SUPPLIER DATA BASE'!$A$2:$H$936,5,0),""))</f>
        <v>5</v>
      </c>
      <c r="F23" s="72" t="s">
        <v>926</v>
      </c>
      <c r="G23" s="73">
        <v>46027.0</v>
      </c>
      <c r="H23" s="74">
        <v>93.0</v>
      </c>
      <c r="I23" s="75">
        <v>26019.0</v>
      </c>
      <c r="J23" s="76" t="s">
        <v>927</v>
      </c>
      <c r="K23" s="70" t="s">
        <v>349</v>
      </c>
      <c r="L23" s="70" t="s">
        <v>349</v>
      </c>
      <c r="M23" s="70" t="str">
        <f t="shared" si="3"/>
        <v>161 Days</v>
      </c>
      <c r="N23" s="70" t="str">
        <f>IF($A$3=" "," ", IFERROR( VLOOKUP($A23,'SUPPLIER DATA BASE'!$A$2:$O$936,11,0),""))</f>
        <v>C2D VENTURES LLP</v>
      </c>
      <c r="O23" s="70" t="str">
        <f>IF($A$3=" "," ", IFERROR( VLOOKUP($A23,'SUPPLIER DATA BASE'!$A$2:$O$936,12,0),""))</f>
        <v>50484840037</v>
      </c>
      <c r="P23" s="70" t="str">
        <f>IF($A$3=" "," ", IFERROR( VLOOKUP($A23,'SUPPLIER DATA BASE'!$A$2:$O$936,13,0),""))</f>
        <v>IDIB000D600</v>
      </c>
      <c r="Q23" s="73"/>
      <c r="R23" s="73"/>
      <c r="S23" s="70"/>
      <c r="T23" s="70"/>
      <c r="U23" s="78"/>
      <c r="V23" s="70" t="str">
        <f t="shared" si="4"/>
        <v>FY 25-26</v>
      </c>
      <c r="W23" s="23"/>
      <c r="X23" s="23"/>
    </row>
    <row r="24">
      <c r="A24" s="70" t="s">
        <v>393</v>
      </c>
      <c r="B24" s="70" t="str">
        <f>IF($A$3=" "," ", IFERROR( VLOOKUP($A24,'SUPPLIER DATA BASE'!$A$2:$M$936,3,0),""))</f>
        <v>WELSPUN, VAN HEUSEN</v>
      </c>
      <c r="C24" s="70" t="str">
        <f>IF($A$3=" "," ", IFERROR( VLOOKUP($A24,'SUPPLIER DATA BASE'!$A$2:$F$936,6,0),""))</f>
        <v>DIRECT</v>
      </c>
      <c r="D24" s="70">
        <f>IF($A$3=" "," ", IFERROR( VLOOKUP($A24,'SUPPLIER DATA BASE'!$A$2:$G$936,4,0),""))</f>
        <v>15</v>
      </c>
      <c r="E24" s="71">
        <f>IF($A$3=" "," ", IFERROR( VLOOKUP($A24,'SUPPLIER DATA BASE'!$A$2:$H$936,5,0),""))</f>
        <v>5</v>
      </c>
      <c r="F24" s="72" t="s">
        <v>928</v>
      </c>
      <c r="G24" s="73">
        <v>46027.0</v>
      </c>
      <c r="H24" s="74">
        <v>158.0</v>
      </c>
      <c r="I24" s="75">
        <v>89116.0</v>
      </c>
      <c r="J24" s="76" t="s">
        <v>929</v>
      </c>
      <c r="K24" s="70" t="s">
        <v>349</v>
      </c>
      <c r="L24" s="70" t="s">
        <v>349</v>
      </c>
      <c r="M24" s="70" t="str">
        <f t="shared" si="3"/>
        <v>161 Days</v>
      </c>
      <c r="N24" s="70" t="str">
        <f>IF($A$3=" "," ", IFERROR( VLOOKUP($A24,'SUPPLIER DATA BASE'!$A$2:$O$936,11,0),""))</f>
        <v>C2D VENTURES LLP</v>
      </c>
      <c r="O24" s="70" t="str">
        <f>IF($A$3=" "," ", IFERROR( VLOOKUP($A24,'SUPPLIER DATA BASE'!$A$2:$O$936,12,0),""))</f>
        <v>50484840037</v>
      </c>
      <c r="P24" s="70" t="str">
        <f>IF($A$3=" "," ", IFERROR( VLOOKUP($A24,'SUPPLIER DATA BASE'!$A$2:$O$936,13,0),""))</f>
        <v>IDIB000D600</v>
      </c>
      <c r="Q24" s="73"/>
      <c r="R24" s="73"/>
      <c r="S24" s="70"/>
      <c r="T24" s="70"/>
      <c r="U24" s="78"/>
      <c r="V24" s="70" t="str">
        <f t="shared" si="4"/>
        <v>FY 25-26</v>
      </c>
      <c r="W24" s="23"/>
      <c r="X24" s="23"/>
    </row>
    <row r="25">
      <c r="A25" s="70" t="s">
        <v>427</v>
      </c>
      <c r="B25" s="70" t="str">
        <f>IF($A$3=" "," ", IFERROR( VLOOKUP($A25,'SUPPLIER DATA BASE'!$A$2:$M$936,3,0),""))</f>
        <v>-</v>
      </c>
      <c r="C25" s="70" t="str">
        <f>IF($A$3=" "," ", IFERROR( VLOOKUP($A25,'SUPPLIER DATA BASE'!$A$2:$F$936,6,0),""))</f>
        <v>-</v>
      </c>
      <c r="D25" s="70" t="str">
        <f>IF($A$3=" "," ", IFERROR( VLOOKUP($A25,'SUPPLIER DATA BASE'!$A$2:$G$936,4,0),""))</f>
        <v>-</v>
      </c>
      <c r="E25" s="71" t="str">
        <f>IF($A$3=" "," ", IFERROR( VLOOKUP($A25,'SUPPLIER DATA BASE'!$A$2:$H$936,5,0),""))</f>
        <v>-</v>
      </c>
      <c r="F25" s="72" t="s">
        <v>930</v>
      </c>
      <c r="G25" s="73">
        <v>46028.0</v>
      </c>
      <c r="H25" s="74">
        <v>1.0</v>
      </c>
      <c r="I25" s="75">
        <v>3245.0</v>
      </c>
      <c r="J25" s="76" t="s">
        <v>931</v>
      </c>
      <c r="K25" s="70" t="s">
        <v>349</v>
      </c>
      <c r="L25" s="70" t="s">
        <v>349</v>
      </c>
      <c r="M25" s="70" t="str">
        <f t="shared" si="3"/>
        <v>160 Days</v>
      </c>
      <c r="N25" s="70" t="str">
        <f>IF($A$3=" "," ", IFERROR( VLOOKUP($A25,'SUPPLIER DATA BASE'!$A$2:$O$936,11,0),""))</f>
        <v>DIL SE</v>
      </c>
      <c r="O25" s="70" t="str">
        <f>IF($A$3=" "," ", IFERROR( VLOOKUP($A25,'SUPPLIER DATA BASE'!$A$2:$O$936,12,0),""))</f>
        <v>11197610000574</v>
      </c>
      <c r="P25" s="70" t="str">
        <f>IF($A$3=" "," ", IFERROR( VLOOKUP($A25,'SUPPLIER DATA BASE'!$A$2:$O$936,13,0),""))</f>
        <v>HDFC0001119</v>
      </c>
      <c r="Q25" s="73"/>
      <c r="R25" s="73"/>
      <c r="S25" s="70"/>
      <c r="T25" s="70"/>
      <c r="U25" s="78"/>
      <c r="V25" s="70" t="str">
        <f t="shared" si="4"/>
        <v>FY 25-26</v>
      </c>
      <c r="W25" s="23"/>
      <c r="X25" s="23"/>
    </row>
    <row r="26">
      <c r="A26" s="70" t="s">
        <v>677</v>
      </c>
      <c r="B26" s="70" t="str">
        <f>IF($A$3=" "," ", IFERROR( VLOOKUP($A26,'SUPPLIER DATA BASE'!$A$2:$M$936,3,0),""))</f>
        <v>-</v>
      </c>
      <c r="C26" s="70" t="str">
        <f>IF($A$3=" "," ", IFERROR( VLOOKUP($A26,'SUPPLIER DATA BASE'!$A$2:$F$936,6,0),""))</f>
        <v>-</v>
      </c>
      <c r="D26" s="70" t="str">
        <f>IF($A$3=" "," ", IFERROR( VLOOKUP($A26,'SUPPLIER DATA BASE'!$A$2:$G$936,4,0),""))</f>
        <v>-</v>
      </c>
      <c r="E26" s="71" t="str">
        <f>IF($A$3=" "," ", IFERROR( VLOOKUP($A26,'SUPPLIER DATA BASE'!$A$2:$H$936,5,0),""))</f>
        <v>-</v>
      </c>
      <c r="F26" s="72" t="s">
        <v>932</v>
      </c>
      <c r="G26" s="73">
        <v>46030.0</v>
      </c>
      <c r="H26" s="74">
        <v>4.0</v>
      </c>
      <c r="I26" s="75">
        <v>7049.0</v>
      </c>
      <c r="J26" s="76" t="s">
        <v>933</v>
      </c>
      <c r="K26" s="70" t="s">
        <v>349</v>
      </c>
      <c r="L26" s="70" t="s">
        <v>349</v>
      </c>
      <c r="M26" s="70" t="str">
        <f t="shared" si="3"/>
        <v>158 Days</v>
      </c>
      <c r="N26" s="70" t="str">
        <f>IF($A$3=" "," ", IFERROR( VLOOKUP($A26,'SUPPLIER DATA BASE'!$A$2:$O$936,11,0),""))</f>
        <v>SARAOGI SUPER SALES PVT LTD</v>
      </c>
      <c r="O26" s="70" t="str">
        <f>IF($A$3=" "," ", IFERROR( VLOOKUP($A26,'SUPPLIER DATA BASE'!$A$2:$O$936,12,0),""))</f>
        <v>SASUSP011006</v>
      </c>
      <c r="P26" s="70" t="str">
        <f>IF($A$3=" "," ", IFERROR( VLOOKUP($A26,'SUPPLIER DATA BASE'!$A$2:$O$936,13,0),""))</f>
        <v>ICIC0000106</v>
      </c>
      <c r="Q26" s="73"/>
      <c r="R26" s="73"/>
      <c r="S26" s="70"/>
      <c r="T26" s="70"/>
      <c r="U26" s="78"/>
      <c r="V26" s="70" t="str">
        <f t="shared" si="4"/>
        <v>FY 25-26</v>
      </c>
      <c r="W26" s="23"/>
      <c r="X26" s="23"/>
    </row>
    <row r="27">
      <c r="A27" s="70" t="s">
        <v>519</v>
      </c>
      <c r="B27" s="70" t="str">
        <f>IF($A$3=" "," ", IFERROR( VLOOKUP($A27,'SUPPLIER DATA BASE'!$A$2:$M$936,3,0),""))</f>
        <v>-</v>
      </c>
      <c r="C27" s="70" t="str">
        <f>IF($A$3=" "," ", IFERROR( VLOOKUP($A27,'SUPPLIER DATA BASE'!$A$2:$F$936,6,0),""))</f>
        <v>-</v>
      </c>
      <c r="D27" s="70" t="str">
        <f>IF($A$3=" "," ", IFERROR( VLOOKUP($A27,'SUPPLIER DATA BASE'!$A$2:$G$936,4,0),""))</f>
        <v>-</v>
      </c>
      <c r="E27" s="71" t="str">
        <f>IF($A$3=" "," ", IFERROR( VLOOKUP($A27,'SUPPLIER DATA BASE'!$A$2:$H$936,5,0),""))</f>
        <v>-</v>
      </c>
      <c r="F27" s="72" t="s">
        <v>934</v>
      </c>
      <c r="G27" s="73">
        <v>46032.0</v>
      </c>
      <c r="H27" s="74">
        <v>104.0</v>
      </c>
      <c r="I27" s="75">
        <v>11152.0</v>
      </c>
      <c r="J27" s="76" t="s">
        <v>935</v>
      </c>
      <c r="K27" s="70" t="s">
        <v>349</v>
      </c>
      <c r="L27" s="70" t="s">
        <v>349</v>
      </c>
      <c r="M27" s="70" t="str">
        <f t="shared" si="3"/>
        <v>156 Days</v>
      </c>
      <c r="N27" s="70" t="str">
        <f>IF($A$3=" "," ", IFERROR( VLOOKUP($A27,'SUPPLIER DATA BASE'!$A$2:$O$936,11,0),""))</f>
        <v>KIRAN CREATION</v>
      </c>
      <c r="O27" s="70" t="str">
        <f>IF($A$3=" "," ", IFERROR( VLOOKUP($A27,'SUPPLIER DATA BASE'!$A$2:$O$936,12,0),""))</f>
        <v>50200007524171</v>
      </c>
      <c r="P27" s="70" t="str">
        <f>IF($A$3=" "," ", IFERROR( VLOOKUP($A27,'SUPPLIER DATA BASE'!$A$2:$O$936,13,0),""))</f>
        <v>HDFC0000765</v>
      </c>
      <c r="Q27" s="73"/>
      <c r="R27" s="73"/>
      <c r="S27" s="70"/>
      <c r="T27" s="70"/>
      <c r="U27" s="78"/>
      <c r="V27" s="70" t="str">
        <f t="shared" si="4"/>
        <v>FY 25-26</v>
      </c>
      <c r="W27" s="23"/>
      <c r="X27" s="23"/>
    </row>
    <row r="28">
      <c r="A28" s="70" t="s">
        <v>393</v>
      </c>
      <c r="B28" s="70" t="str">
        <f>IF($A$3=" "," ", IFERROR( VLOOKUP($A28,'SUPPLIER DATA BASE'!$A$2:$M$936,3,0),""))</f>
        <v>WELSPUN, VAN HEUSEN</v>
      </c>
      <c r="C28" s="70" t="str">
        <f>IF($A$3=" "," ", IFERROR( VLOOKUP($A28,'SUPPLIER DATA BASE'!$A$2:$F$936,6,0),""))</f>
        <v>DIRECT</v>
      </c>
      <c r="D28" s="70">
        <f>IF($A$3=" "," ", IFERROR( VLOOKUP($A28,'SUPPLIER DATA BASE'!$A$2:$G$936,4,0),""))</f>
        <v>15</v>
      </c>
      <c r="E28" s="71">
        <f>IF($A$3=" "," ", IFERROR( VLOOKUP($A28,'SUPPLIER DATA BASE'!$A$2:$H$936,5,0),""))</f>
        <v>5</v>
      </c>
      <c r="F28" s="72" t="s">
        <v>936</v>
      </c>
      <c r="G28" s="73">
        <v>46034.0</v>
      </c>
      <c r="H28" s="74">
        <v>60.0</v>
      </c>
      <c r="I28" s="75">
        <v>20604.0</v>
      </c>
      <c r="J28" s="76" t="s">
        <v>937</v>
      </c>
      <c r="K28" s="70" t="s">
        <v>349</v>
      </c>
      <c r="L28" s="70" t="s">
        <v>349</v>
      </c>
      <c r="M28" s="70" t="str">
        <f t="shared" si="3"/>
        <v>154 Days</v>
      </c>
      <c r="N28" s="70" t="str">
        <f>IF($A$3=" "," ", IFERROR( VLOOKUP($A28,'SUPPLIER DATA BASE'!$A$2:$O$936,11,0),""))</f>
        <v>C2D VENTURES LLP</v>
      </c>
      <c r="O28" s="70" t="str">
        <f>IF($A$3=" "," ", IFERROR( VLOOKUP($A28,'SUPPLIER DATA BASE'!$A$2:$O$936,12,0),""))</f>
        <v>50484840037</v>
      </c>
      <c r="P28" s="70" t="str">
        <f>IF($A$3=" "," ", IFERROR( VLOOKUP($A28,'SUPPLIER DATA BASE'!$A$2:$O$936,13,0),""))</f>
        <v>IDIB000D600</v>
      </c>
      <c r="Q28" s="73"/>
      <c r="R28" s="73"/>
      <c r="S28" s="70"/>
      <c r="T28" s="70"/>
      <c r="U28" s="78"/>
      <c r="V28" s="70" t="str">
        <f t="shared" si="4"/>
        <v>FY 25-26</v>
      </c>
      <c r="W28" s="23"/>
      <c r="X28" s="23"/>
    </row>
    <row r="29">
      <c r="A29" s="70" t="s">
        <v>706</v>
      </c>
      <c r="B29" s="70" t="str">
        <f>IF($A$3=" "," ", IFERROR( VLOOKUP($A29,'SUPPLIER DATA BASE'!$A$2:$M$936,3,0),""))</f>
        <v>-</v>
      </c>
      <c r="C29" s="70" t="str">
        <f>IF($A$3=" "," ", IFERROR( VLOOKUP($A29,'SUPPLIER DATA BASE'!$A$2:$F$936,6,0),""))</f>
        <v>-</v>
      </c>
      <c r="D29" s="70" t="str">
        <f>IF($A$3=" "," ", IFERROR( VLOOKUP($A29,'SUPPLIER DATA BASE'!$A$2:$G$936,4,0),""))</f>
        <v>-</v>
      </c>
      <c r="E29" s="71" t="str">
        <f>IF($A$3=" "," ", IFERROR( VLOOKUP($A29,'SUPPLIER DATA BASE'!$A$2:$H$936,5,0),""))</f>
        <v>-</v>
      </c>
      <c r="F29" s="72" t="s">
        <v>938</v>
      </c>
      <c r="G29" s="73">
        <v>46034.0</v>
      </c>
      <c r="H29" s="74">
        <v>45.0</v>
      </c>
      <c r="I29" s="75">
        <v>27257.0</v>
      </c>
      <c r="J29" s="76" t="s">
        <v>939</v>
      </c>
      <c r="K29" s="70" t="s">
        <v>349</v>
      </c>
      <c r="L29" s="70" t="s">
        <v>349</v>
      </c>
      <c r="M29" s="70" t="str">
        <f t="shared" si="3"/>
        <v>154 Days</v>
      </c>
      <c r="N29" s="70" t="str">
        <f>IF($A$3=" "," ", IFERROR( VLOOKUP($A29,'SUPPLIER DATA BASE'!$A$2:$O$936,11,0),""))</f>
        <v>SHRIJEE ENTERPRISES</v>
      </c>
      <c r="O29" s="70" t="str">
        <f>IF($A$3=" "," ", IFERROR( VLOOKUP($A29,'SUPPLIER DATA BASE'!$A$2:$O$936,12,0),""))</f>
        <v>31849543930</v>
      </c>
      <c r="P29" s="70" t="str">
        <f>IF($A$3=" "," ", IFERROR( VLOOKUP($A29,'SUPPLIER DATA BASE'!$A$2:$O$936,13,0),""))</f>
        <v>SBIN0001521</v>
      </c>
      <c r="Q29" s="73"/>
      <c r="R29" s="73"/>
      <c r="S29" s="70"/>
      <c r="T29" s="70"/>
      <c r="U29" s="78"/>
      <c r="V29" s="70" t="str">
        <f t="shared" si="4"/>
        <v>FY 25-26</v>
      </c>
      <c r="W29" s="23"/>
      <c r="X29" s="23"/>
    </row>
    <row r="30">
      <c r="A30" s="70" t="s">
        <v>757</v>
      </c>
      <c r="B30" s="70" t="str">
        <f>IF($A$3=" "," ", IFERROR( VLOOKUP($A30,'SUPPLIER DATA BASE'!$A$2:$M$936,3,0),""))</f>
        <v>-</v>
      </c>
      <c r="C30" s="70" t="str">
        <f>IF($A$3=" "," ", IFERROR( VLOOKUP($A30,'SUPPLIER DATA BASE'!$A$2:$F$936,6,0),""))</f>
        <v>SURYAM TEXTILE AGENCY</v>
      </c>
      <c r="D30" s="70">
        <f>IF($A$3=" "," ", IFERROR( VLOOKUP($A30,'SUPPLIER DATA BASE'!$A$2:$G$936,4,0),""))</f>
        <v>50</v>
      </c>
      <c r="E30" s="71" t="str">
        <f>IF($A$3=" "," ", IFERROR( VLOOKUP($A30,'SUPPLIER DATA BASE'!$A$2:$H$936,5,0),""))</f>
        <v>10% IN BILL</v>
      </c>
      <c r="F30" s="72">
        <v>8579.0</v>
      </c>
      <c r="G30" s="73">
        <v>46034.0</v>
      </c>
      <c r="H30" s="74">
        <v>25.0</v>
      </c>
      <c r="I30" s="75">
        <v>81731.0</v>
      </c>
      <c r="J30" s="76" t="s">
        <v>940</v>
      </c>
      <c r="K30" s="70" t="s">
        <v>349</v>
      </c>
      <c r="L30" s="70" t="s">
        <v>349</v>
      </c>
      <c r="M30" s="70" t="str">
        <f t="shared" si="3"/>
        <v>154 Days</v>
      </c>
      <c r="N30" s="70" t="str">
        <f>IF($A$3=" "," ", IFERROR( VLOOKUP($A30,'SUPPLIER DATA BASE'!$A$2:$O$936,11,0),""))</f>
        <v>TATHASTU ENTERPRISE</v>
      </c>
      <c r="O30" s="70" t="str">
        <f>IF($A$3=" "," ", IFERROR( VLOOKUP($A30,'SUPPLIER DATA BASE'!$A$2:$O$936,12,0),""))</f>
        <v>50200043443581</v>
      </c>
      <c r="P30" s="70" t="str">
        <f>IF($A$3=" "," ", IFERROR( VLOOKUP($A30,'SUPPLIER DATA BASE'!$A$2:$O$936,13,0),""))</f>
        <v>HDFC0001704</v>
      </c>
      <c r="Q30" s="77">
        <v>81731.0</v>
      </c>
      <c r="R30" s="73">
        <v>46080.0</v>
      </c>
      <c r="S30" s="70"/>
      <c r="T30" s="70"/>
      <c r="U30" s="78"/>
      <c r="V30" s="70" t="str">
        <f t="shared" si="4"/>
        <v>FY 25-26</v>
      </c>
      <c r="W30" s="23"/>
      <c r="X30" s="23"/>
    </row>
    <row r="31">
      <c r="A31" s="70" t="s">
        <v>495</v>
      </c>
      <c r="B31" s="70" t="str">
        <f>IF($A$3=" "," ", IFERROR( VLOOKUP($A31,'SUPPLIER DATA BASE'!$A$2:$M$936,3,0),""))</f>
        <v>-</v>
      </c>
      <c r="C31" s="70" t="str">
        <f>IF($A$3=" "," ", IFERROR( VLOOKUP($A31,'SUPPLIER DATA BASE'!$A$2:$F$936,6,0),""))</f>
        <v>-</v>
      </c>
      <c r="D31" s="70" t="str">
        <f>IF($A$3=" "," ", IFERROR( VLOOKUP($A31,'SUPPLIER DATA BASE'!$A$2:$G$936,4,0),""))</f>
        <v>-</v>
      </c>
      <c r="E31" s="71" t="str">
        <f>IF($A$3=" "," ", IFERROR( VLOOKUP($A31,'SUPPLIER DATA BASE'!$A$2:$H$936,5,0),""))</f>
        <v>-</v>
      </c>
      <c r="F31" s="72" t="s">
        <v>941</v>
      </c>
      <c r="G31" s="73">
        <v>46035.0</v>
      </c>
      <c r="H31" s="74">
        <v>72.0</v>
      </c>
      <c r="I31" s="75">
        <v>208983.0</v>
      </c>
      <c r="J31" s="76" t="s">
        <v>942</v>
      </c>
      <c r="K31" s="70" t="s">
        <v>349</v>
      </c>
      <c r="L31" s="70" t="s">
        <v>349</v>
      </c>
      <c r="M31" s="70" t="str">
        <f t="shared" si="3"/>
        <v>153 Days</v>
      </c>
      <c r="N31" s="70" t="str">
        <f>IF($A$3=" "," ", IFERROR( VLOOKUP($A31,'SUPPLIER DATA BASE'!$A$2:$O$936,11,0),""))</f>
        <v>JAIN ADISHWAR HOSIERY WORKS LLP</v>
      </c>
      <c r="O31" s="70" t="str">
        <f>IF($A$3=" "," ", IFERROR( VLOOKUP($A31,'SUPPLIER DATA BASE'!$A$2:$O$936,12,0),""))</f>
        <v>99917644444444</v>
      </c>
      <c r="P31" s="70" t="str">
        <f>IF($A$3=" "," ", IFERROR( VLOOKUP($A31,'SUPPLIER DATA BASE'!$A$2:$O$936,13,0),""))</f>
        <v>HDFC0002063</v>
      </c>
      <c r="Q31" s="73"/>
      <c r="R31" s="73"/>
      <c r="S31" s="70"/>
      <c r="T31" s="70"/>
      <c r="U31" s="78"/>
      <c r="V31" s="70" t="str">
        <f t="shared" si="4"/>
        <v>FY 25-26</v>
      </c>
      <c r="W31" s="23"/>
      <c r="X31" s="23"/>
    </row>
    <row r="32">
      <c r="A32" s="70" t="s">
        <v>713</v>
      </c>
      <c r="B32" s="70" t="str">
        <f>IF($A$3=" "," ", IFERROR( VLOOKUP($A32,'SUPPLIER DATA BASE'!$A$2:$M$936,3,0),""))</f>
        <v>-</v>
      </c>
      <c r="C32" s="70" t="str">
        <f>IF($A$3=" "," ", IFERROR( VLOOKUP($A32,'SUPPLIER DATA BASE'!$A$2:$F$936,6,0),""))</f>
        <v>SURYAM TEXTILE AGENCY</v>
      </c>
      <c r="D32" s="70" t="str">
        <f>IF($A$3=" "," ", IFERROR( VLOOKUP($A32,'SUPPLIER DATA BASE'!$A$2:$G$936,4,0),""))</f>
        <v>NO</v>
      </c>
      <c r="E32" s="71" t="str">
        <f>IF($A$3=" "," ", IFERROR( VLOOKUP($A32,'SUPPLIER DATA BASE'!$A$2:$H$936,5,0),""))</f>
        <v>-</v>
      </c>
      <c r="F32" s="82">
        <v>19541.0</v>
      </c>
      <c r="G32" s="73">
        <v>46035.0</v>
      </c>
      <c r="H32" s="74">
        <v>62.0</v>
      </c>
      <c r="I32" s="75">
        <v>54167.0</v>
      </c>
      <c r="J32" s="76" t="s">
        <v>943</v>
      </c>
      <c r="K32" s="70" t="s">
        <v>349</v>
      </c>
      <c r="L32" s="70" t="s">
        <v>349</v>
      </c>
      <c r="M32" s="70" t="str">
        <f t="shared" si="3"/>
        <v>153 Days</v>
      </c>
      <c r="N32" s="70" t="str">
        <f>IF($A$3=" "," ", IFERROR( VLOOKUP($A32,'SUPPLIER DATA BASE'!$A$2:$O$936,11,0),""))</f>
        <v>SHRITHIK DESIGNER LLP</v>
      </c>
      <c r="O32" s="70" t="str">
        <f>IF($A$3=" "," ", IFERROR( VLOOKUP($A32,'SUPPLIER DATA BASE'!$A$2:$O$936,12,0),""))</f>
        <v>339805000598</v>
      </c>
      <c r="P32" s="70" t="str">
        <f>IF($A$3=" "," ", IFERROR( VLOOKUP($A32,'SUPPLIER DATA BASE'!$A$2:$O$936,13,0),""))</f>
        <v>ICIC0003398</v>
      </c>
      <c r="Q32" s="70">
        <v>54167.0</v>
      </c>
      <c r="R32" s="73">
        <v>46131.0</v>
      </c>
      <c r="S32" s="70"/>
      <c r="T32" s="70"/>
      <c r="U32" s="78"/>
      <c r="V32" s="70" t="str">
        <f t="shared" si="4"/>
        <v>FY 25-26</v>
      </c>
      <c r="W32" s="23"/>
      <c r="X32" s="23"/>
    </row>
    <row r="33">
      <c r="A33" s="70" t="s">
        <v>776</v>
      </c>
      <c r="B33" s="70" t="str">
        <f>IF($A$3=" "," ", IFERROR( VLOOKUP($A33,'SUPPLIER DATA BASE'!$A$2:$M$936,3,0),""))</f>
        <v>-</v>
      </c>
      <c r="C33" s="70" t="str">
        <f>IF($A$3=" "," ", IFERROR( VLOOKUP($A33,'SUPPLIER DATA BASE'!$A$2:$F$936,6,0),""))</f>
        <v>SURYAM TEXTILE AGENCY</v>
      </c>
      <c r="D33" s="70">
        <f>IF($A$3=" "," ", IFERROR( VLOOKUP($A33,'SUPPLIER DATA BASE'!$A$2:$G$936,4,0),""))</f>
        <v>60</v>
      </c>
      <c r="E33" s="71" t="str">
        <f>IF($A$3=" "," ", IFERROR( VLOOKUP($A33,'SUPPLIER DATA BASE'!$A$2:$H$936,5,0),""))</f>
        <v>5% IN BILL</v>
      </c>
      <c r="F33" s="72" t="s">
        <v>944</v>
      </c>
      <c r="G33" s="73">
        <v>46035.0</v>
      </c>
      <c r="H33" s="74">
        <v>29.0</v>
      </c>
      <c r="I33" s="75">
        <v>51401.0</v>
      </c>
      <c r="J33" s="76" t="s">
        <v>945</v>
      </c>
      <c r="K33" s="70" t="s">
        <v>349</v>
      </c>
      <c r="L33" s="70" t="s">
        <v>349</v>
      </c>
      <c r="M33" s="70" t="str">
        <f t="shared" si="3"/>
        <v>153 Days</v>
      </c>
      <c r="N33" s="70" t="str">
        <f>IF($A$3=" "," ", IFERROR( VLOOKUP($A33,'SUPPLIER DATA BASE'!$A$2:$O$936,11,0),""))</f>
        <v>UNNATI CREATION</v>
      </c>
      <c r="O33" s="70" t="str">
        <f>IF($A$3=" "," ", IFERROR( VLOOKUP($A33,'SUPPLIER DATA BASE'!$A$2:$O$936,12,0),""))</f>
        <v>99992001015861</v>
      </c>
      <c r="P33" s="70" t="str">
        <f>IF($A$3=" "," ", IFERROR( VLOOKUP($A33,'SUPPLIER DATA BASE'!$A$2:$O$936,13,0),""))</f>
        <v>GSCB0ASCB02</v>
      </c>
      <c r="Q33" s="77">
        <v>51401.0</v>
      </c>
      <c r="R33" s="73">
        <v>46080.0</v>
      </c>
      <c r="S33" s="70"/>
      <c r="T33" s="70"/>
      <c r="U33" s="78"/>
      <c r="V33" s="70" t="str">
        <f t="shared" si="4"/>
        <v>FY 25-26</v>
      </c>
      <c r="W33" s="23"/>
      <c r="X33" s="23"/>
    </row>
    <row r="34">
      <c r="A34" s="70" t="s">
        <v>370</v>
      </c>
      <c r="B34" s="70" t="str">
        <f>IF($A$3=" "," ", IFERROR( VLOOKUP($A34,'SUPPLIER DATA BASE'!$A$2:$M$936,3,0),""))</f>
        <v>-</v>
      </c>
      <c r="C34" s="70" t="str">
        <f>IF($A$3=" "," ", IFERROR( VLOOKUP($A34,'SUPPLIER DATA BASE'!$A$2:$F$936,6,0),""))</f>
        <v>SURYAM TEXTILE AGENCY</v>
      </c>
      <c r="D34" s="70">
        <f>IF($A$3=" "," ", IFERROR( VLOOKUP($A34,'SUPPLIER DATA BASE'!$A$2:$G$936,4,0),""))</f>
        <v>30</v>
      </c>
      <c r="E34" s="71">
        <f>IF($A$3=" "," ", IFERROR( VLOOKUP($A34,'SUPPLIER DATA BASE'!$A$2:$H$936,5,0),""))</f>
        <v>0.09</v>
      </c>
      <c r="F34" s="72">
        <v>131.0</v>
      </c>
      <c r="G34" s="73">
        <v>46035.0</v>
      </c>
      <c r="H34" s="74">
        <v>2.0</v>
      </c>
      <c r="I34" s="75">
        <v>17388.0</v>
      </c>
      <c r="J34" s="76" t="s">
        <v>946</v>
      </c>
      <c r="K34" s="70" t="s">
        <v>349</v>
      </c>
      <c r="L34" s="70" t="s">
        <v>349</v>
      </c>
      <c r="M34" s="70" t="str">
        <f t="shared" si="3"/>
        <v>153 Days</v>
      </c>
      <c r="N34" s="70" t="str">
        <f>IF($A$3=" "," ", IFERROR( VLOOKUP($A34,'SUPPLIER DATA BASE'!$A$2:$O$936,11,0),""))</f>
        <v>AS TEXTILE</v>
      </c>
      <c r="O34" s="70" t="str">
        <f>IF($A$3=" "," ", IFERROR( VLOOKUP($A34,'SUPPLIER DATA BASE'!$A$2:$O$936,12,0),""))</f>
        <v>50200012846193</v>
      </c>
      <c r="P34" s="70" t="str">
        <f>IF($A$3=" "," ", IFERROR( VLOOKUP($A34,'SUPPLIER DATA BASE'!$A$2:$O$936,13,0),""))</f>
        <v>HDFC0001249</v>
      </c>
      <c r="Q34" s="77">
        <v>17388.0</v>
      </c>
      <c r="R34" s="73">
        <v>46064.0</v>
      </c>
      <c r="S34" s="77"/>
      <c r="T34" s="70"/>
      <c r="U34" s="78"/>
      <c r="V34" s="70" t="str">
        <f t="shared" si="4"/>
        <v>FY 25-26</v>
      </c>
      <c r="W34" s="23"/>
      <c r="X34" s="23"/>
    </row>
    <row r="35">
      <c r="A35" s="70" t="s">
        <v>370</v>
      </c>
      <c r="B35" s="70" t="str">
        <f>IF($A$3=" "," ", IFERROR( VLOOKUP($A35,'SUPPLIER DATA BASE'!$A$2:$M$936,3,0),""))</f>
        <v>-</v>
      </c>
      <c r="C35" s="70" t="str">
        <f>IF($A$3=" "," ", IFERROR( VLOOKUP($A35,'SUPPLIER DATA BASE'!$A$2:$F$936,6,0),""))</f>
        <v>SURYAM TEXTILE AGENCY</v>
      </c>
      <c r="D35" s="70">
        <f>IF($A$3=" "," ", IFERROR( VLOOKUP($A35,'SUPPLIER DATA BASE'!$A$2:$G$936,4,0),""))</f>
        <v>30</v>
      </c>
      <c r="E35" s="71">
        <f>IF($A$3=" "," ", IFERROR( VLOOKUP($A35,'SUPPLIER DATA BASE'!$A$2:$H$936,5,0),""))</f>
        <v>0.09</v>
      </c>
      <c r="F35" s="72">
        <v>132.0</v>
      </c>
      <c r="G35" s="73">
        <v>46035.0</v>
      </c>
      <c r="H35" s="74">
        <v>2.0</v>
      </c>
      <c r="I35" s="75">
        <v>17388.0</v>
      </c>
      <c r="J35" s="76" t="s">
        <v>947</v>
      </c>
      <c r="K35" s="70" t="s">
        <v>349</v>
      </c>
      <c r="L35" s="70" t="s">
        <v>349</v>
      </c>
      <c r="M35" s="70" t="str">
        <f t="shared" si="3"/>
        <v>153 Days</v>
      </c>
      <c r="N35" s="70" t="str">
        <f>IF($A$3=" "," ", IFERROR( VLOOKUP($A35,'SUPPLIER DATA BASE'!$A$2:$O$936,11,0),""))</f>
        <v>AS TEXTILE</v>
      </c>
      <c r="O35" s="70" t="str">
        <f>IF($A$3=" "," ", IFERROR( VLOOKUP($A35,'SUPPLIER DATA BASE'!$A$2:$O$936,12,0),""))</f>
        <v>50200012846193</v>
      </c>
      <c r="P35" s="70" t="str">
        <f>IF($A$3=" "," ", IFERROR( VLOOKUP($A35,'SUPPLIER DATA BASE'!$A$2:$O$936,13,0),""))</f>
        <v>HDFC0001249</v>
      </c>
      <c r="Q35" s="77">
        <v>17388.0</v>
      </c>
      <c r="R35" s="73">
        <v>46064.0</v>
      </c>
      <c r="S35" s="77"/>
      <c r="T35" s="70"/>
      <c r="U35" s="78"/>
      <c r="V35" s="70" t="str">
        <f t="shared" si="4"/>
        <v>FY 25-26</v>
      </c>
      <c r="W35" s="23"/>
      <c r="X35" s="23"/>
    </row>
    <row r="36">
      <c r="A36" s="70" t="s">
        <v>370</v>
      </c>
      <c r="B36" s="70" t="str">
        <f>IF($A$3=" "," ", IFERROR( VLOOKUP($A36,'SUPPLIER DATA BASE'!$A$2:$M$936,3,0),""))</f>
        <v>-</v>
      </c>
      <c r="C36" s="70" t="str">
        <f>IF($A$3=" "," ", IFERROR( VLOOKUP($A36,'SUPPLIER DATA BASE'!$A$2:$F$936,6,0),""))</f>
        <v>SURYAM TEXTILE AGENCY</v>
      </c>
      <c r="D36" s="70">
        <f>IF($A$3=" "," ", IFERROR( VLOOKUP($A36,'SUPPLIER DATA BASE'!$A$2:$G$936,4,0),""))</f>
        <v>30</v>
      </c>
      <c r="E36" s="71">
        <f>IF($A$3=" "," ", IFERROR( VLOOKUP($A36,'SUPPLIER DATA BASE'!$A$2:$H$936,5,0),""))</f>
        <v>0.09</v>
      </c>
      <c r="F36" s="72">
        <v>125.0</v>
      </c>
      <c r="G36" s="73">
        <v>46035.0</v>
      </c>
      <c r="H36" s="74">
        <v>2.0</v>
      </c>
      <c r="I36" s="75">
        <v>15215.0</v>
      </c>
      <c r="J36" s="76" t="s">
        <v>948</v>
      </c>
      <c r="K36" s="70" t="s">
        <v>349</v>
      </c>
      <c r="L36" s="70" t="s">
        <v>349</v>
      </c>
      <c r="M36" s="70" t="str">
        <f t="shared" si="3"/>
        <v>153 Days</v>
      </c>
      <c r="N36" s="70" t="str">
        <f>IF($A$3=" "," ", IFERROR( VLOOKUP($A36,'SUPPLIER DATA BASE'!$A$2:$O$936,11,0),""))</f>
        <v>AS TEXTILE</v>
      </c>
      <c r="O36" s="70" t="str">
        <f>IF($A$3=" "," ", IFERROR( VLOOKUP($A36,'SUPPLIER DATA BASE'!$A$2:$O$936,12,0),""))</f>
        <v>50200012846193</v>
      </c>
      <c r="P36" s="70" t="str">
        <f>IF($A$3=" "," ", IFERROR( VLOOKUP($A36,'SUPPLIER DATA BASE'!$A$2:$O$936,13,0),""))</f>
        <v>HDFC0001249</v>
      </c>
      <c r="Q36" s="77">
        <v>15215.0</v>
      </c>
      <c r="R36" s="73">
        <v>46064.0</v>
      </c>
      <c r="S36" s="77"/>
      <c r="T36" s="70"/>
      <c r="U36" s="78"/>
      <c r="V36" s="70" t="str">
        <f t="shared" si="4"/>
        <v>FY 25-26</v>
      </c>
      <c r="W36" s="23"/>
      <c r="X36" s="23"/>
    </row>
    <row r="37">
      <c r="A37" s="70" t="s">
        <v>370</v>
      </c>
      <c r="B37" s="70" t="str">
        <f>IF($A$3=" "," ", IFERROR( VLOOKUP($A37,'SUPPLIER DATA BASE'!$A$2:$M$936,3,0),""))</f>
        <v>-</v>
      </c>
      <c r="C37" s="70" t="str">
        <f>IF($A$3=" "," ", IFERROR( VLOOKUP($A37,'SUPPLIER DATA BASE'!$A$2:$F$936,6,0),""))</f>
        <v>SURYAM TEXTILE AGENCY</v>
      </c>
      <c r="D37" s="70">
        <f>IF($A$3=" "," ", IFERROR( VLOOKUP($A37,'SUPPLIER DATA BASE'!$A$2:$G$936,4,0),""))</f>
        <v>30</v>
      </c>
      <c r="E37" s="71">
        <f>IF($A$3=" "," ", IFERROR( VLOOKUP($A37,'SUPPLIER DATA BASE'!$A$2:$H$936,5,0),""))</f>
        <v>0.09</v>
      </c>
      <c r="F37" s="72">
        <v>122.0</v>
      </c>
      <c r="G37" s="73">
        <v>46035.0</v>
      </c>
      <c r="H37" s="74">
        <v>4.0</v>
      </c>
      <c r="I37" s="75">
        <v>10601.0</v>
      </c>
      <c r="J37" s="76" t="s">
        <v>949</v>
      </c>
      <c r="K37" s="70" t="s">
        <v>349</v>
      </c>
      <c r="L37" s="70" t="s">
        <v>349</v>
      </c>
      <c r="M37" s="70" t="str">
        <f t="shared" si="3"/>
        <v>153 Days</v>
      </c>
      <c r="N37" s="70" t="str">
        <f>IF($A$3=" "," ", IFERROR( VLOOKUP($A37,'SUPPLIER DATA BASE'!$A$2:$O$936,11,0),""))</f>
        <v>AS TEXTILE</v>
      </c>
      <c r="O37" s="70" t="str">
        <f>IF($A$3=" "," ", IFERROR( VLOOKUP($A37,'SUPPLIER DATA BASE'!$A$2:$O$936,12,0),""))</f>
        <v>50200012846193</v>
      </c>
      <c r="P37" s="70" t="str">
        <f>IF($A$3=" "," ", IFERROR( VLOOKUP($A37,'SUPPLIER DATA BASE'!$A$2:$O$936,13,0),""))</f>
        <v>HDFC0001249</v>
      </c>
      <c r="Q37" s="77">
        <v>10601.0</v>
      </c>
      <c r="R37" s="73">
        <v>46064.0</v>
      </c>
      <c r="S37" s="77"/>
      <c r="T37" s="73"/>
      <c r="U37" s="78"/>
      <c r="V37" s="70" t="str">
        <f t="shared" si="4"/>
        <v>FY 25-26</v>
      </c>
      <c r="W37" s="23"/>
      <c r="X37" s="23"/>
    </row>
    <row r="38">
      <c r="A38" s="70" t="s">
        <v>370</v>
      </c>
      <c r="B38" s="70" t="str">
        <f>IF($A$3=" "," ", IFERROR( VLOOKUP($A38,'SUPPLIER DATA BASE'!$A$2:$M$936,3,0),""))</f>
        <v>-</v>
      </c>
      <c r="C38" s="70" t="str">
        <f>IF($A$3=" "," ", IFERROR( VLOOKUP($A38,'SUPPLIER DATA BASE'!$A$2:$F$936,6,0),""))</f>
        <v>SURYAM TEXTILE AGENCY</v>
      </c>
      <c r="D38" s="70">
        <f>IF($A$3=" "," ", IFERROR( VLOOKUP($A38,'SUPPLIER DATA BASE'!$A$2:$G$936,4,0),""))</f>
        <v>30</v>
      </c>
      <c r="E38" s="71">
        <f>IF($A$3=" "," ", IFERROR( VLOOKUP($A38,'SUPPLIER DATA BASE'!$A$2:$H$936,5,0),""))</f>
        <v>0.09</v>
      </c>
      <c r="F38" s="72">
        <v>135.0</v>
      </c>
      <c r="G38" s="73">
        <v>46035.0</v>
      </c>
      <c r="H38" s="74">
        <v>3.0</v>
      </c>
      <c r="I38" s="75">
        <v>23643.0</v>
      </c>
      <c r="J38" s="76" t="s">
        <v>950</v>
      </c>
      <c r="K38" s="70" t="s">
        <v>349</v>
      </c>
      <c r="L38" s="70" t="s">
        <v>349</v>
      </c>
      <c r="M38" s="70" t="str">
        <f t="shared" si="3"/>
        <v>153 Days</v>
      </c>
      <c r="N38" s="70" t="str">
        <f>IF($A$3=" "," ", IFERROR( VLOOKUP($A38,'SUPPLIER DATA BASE'!$A$2:$O$936,11,0),""))</f>
        <v>AS TEXTILE</v>
      </c>
      <c r="O38" s="70" t="str">
        <f>IF($A$3=" "," ", IFERROR( VLOOKUP($A38,'SUPPLIER DATA BASE'!$A$2:$O$936,12,0),""))</f>
        <v>50200012846193</v>
      </c>
      <c r="P38" s="70" t="str">
        <f>IF($A$3=" "," ", IFERROR( VLOOKUP($A38,'SUPPLIER DATA BASE'!$A$2:$O$936,13,0),""))</f>
        <v>HDFC0001249</v>
      </c>
      <c r="Q38" s="77">
        <v>3396.0</v>
      </c>
      <c r="R38" s="73">
        <v>46064.0</v>
      </c>
      <c r="S38" s="77">
        <v>20247.0</v>
      </c>
      <c r="T38" s="70"/>
      <c r="U38" s="78"/>
      <c r="V38" s="70" t="str">
        <f t="shared" si="4"/>
        <v>FY 25-26</v>
      </c>
      <c r="W38" s="23"/>
      <c r="X38" s="23"/>
    </row>
    <row r="39">
      <c r="A39" s="70" t="s">
        <v>370</v>
      </c>
      <c r="B39" s="70" t="str">
        <f>IF($A$3=" "," ", IFERROR( VLOOKUP($A39,'SUPPLIER DATA BASE'!$A$2:$M$936,3,0),""))</f>
        <v>-</v>
      </c>
      <c r="C39" s="70" t="str">
        <f>IF($A$3=" "," ", IFERROR( VLOOKUP($A39,'SUPPLIER DATA BASE'!$A$2:$F$936,6,0),""))</f>
        <v>SURYAM TEXTILE AGENCY</v>
      </c>
      <c r="D39" s="70">
        <f>IF($A$3=" "," ", IFERROR( VLOOKUP($A39,'SUPPLIER DATA BASE'!$A$2:$G$936,4,0),""))</f>
        <v>30</v>
      </c>
      <c r="E39" s="71">
        <f>IF($A$3=" "," ", IFERROR( VLOOKUP($A39,'SUPPLIER DATA BASE'!$A$2:$H$936,5,0),""))</f>
        <v>0.09</v>
      </c>
      <c r="F39" s="72">
        <v>134.0</v>
      </c>
      <c r="G39" s="73">
        <v>46035.0</v>
      </c>
      <c r="H39" s="74">
        <v>2.0</v>
      </c>
      <c r="I39" s="75">
        <v>13402.0</v>
      </c>
      <c r="J39" s="76" t="s">
        <v>951</v>
      </c>
      <c r="K39" s="70" t="s">
        <v>349</v>
      </c>
      <c r="L39" s="70" t="s">
        <v>349</v>
      </c>
      <c r="M39" s="70" t="str">
        <f t="shared" si="3"/>
        <v>153 Days</v>
      </c>
      <c r="N39" s="70" t="str">
        <f>IF($A$3=" "," ", IFERROR( VLOOKUP($A39,'SUPPLIER DATA BASE'!$A$2:$O$936,11,0),""))</f>
        <v>AS TEXTILE</v>
      </c>
      <c r="O39" s="70" t="str">
        <f>IF($A$3=" "," ", IFERROR( VLOOKUP($A39,'SUPPLIER DATA BASE'!$A$2:$O$936,12,0),""))</f>
        <v>50200012846193</v>
      </c>
      <c r="P39" s="70" t="str">
        <f>IF($A$3=" "," ", IFERROR( VLOOKUP($A39,'SUPPLIER DATA BASE'!$A$2:$O$936,13,0),""))</f>
        <v>HDFC0001249</v>
      </c>
      <c r="Q39" s="77">
        <v>13402.0</v>
      </c>
      <c r="R39" s="73">
        <v>46064.0</v>
      </c>
      <c r="S39" s="77"/>
      <c r="T39" s="70"/>
      <c r="U39" s="78"/>
      <c r="V39" s="70" t="str">
        <f t="shared" si="4"/>
        <v>FY 25-26</v>
      </c>
      <c r="W39" s="23"/>
      <c r="X39" s="23"/>
    </row>
    <row r="40">
      <c r="A40" s="70" t="s">
        <v>370</v>
      </c>
      <c r="B40" s="70" t="str">
        <f>IF($A$3=" "," ", IFERROR( VLOOKUP($A40,'SUPPLIER DATA BASE'!$A$2:$M$936,3,0),""))</f>
        <v>-</v>
      </c>
      <c r="C40" s="70" t="str">
        <f>IF($A$3=" "," ", IFERROR( VLOOKUP($A40,'SUPPLIER DATA BASE'!$A$2:$F$936,6,0),""))</f>
        <v>SURYAM TEXTILE AGENCY</v>
      </c>
      <c r="D40" s="70">
        <f>IF($A$3=" "," ", IFERROR( VLOOKUP($A40,'SUPPLIER DATA BASE'!$A$2:$G$936,4,0),""))</f>
        <v>30</v>
      </c>
      <c r="E40" s="71">
        <f>IF($A$3=" "," ", IFERROR( VLOOKUP($A40,'SUPPLIER DATA BASE'!$A$2:$H$936,5,0),""))</f>
        <v>0.09</v>
      </c>
      <c r="F40" s="72">
        <v>120.0</v>
      </c>
      <c r="G40" s="73">
        <v>46035.0</v>
      </c>
      <c r="H40" s="74">
        <v>4.0</v>
      </c>
      <c r="I40" s="75">
        <v>14200.0</v>
      </c>
      <c r="J40" s="76" t="s">
        <v>952</v>
      </c>
      <c r="K40" s="70" t="s">
        <v>349</v>
      </c>
      <c r="L40" s="70" t="s">
        <v>349</v>
      </c>
      <c r="M40" s="70" t="str">
        <f t="shared" si="3"/>
        <v>153 Days</v>
      </c>
      <c r="N40" s="70" t="str">
        <f>IF($A$3=" "," ", IFERROR( VLOOKUP($A40,'SUPPLIER DATA BASE'!$A$2:$O$936,11,0),""))</f>
        <v>AS TEXTILE</v>
      </c>
      <c r="O40" s="70" t="str">
        <f>IF($A$3=" "," ", IFERROR( VLOOKUP($A40,'SUPPLIER DATA BASE'!$A$2:$O$936,12,0),""))</f>
        <v>50200012846193</v>
      </c>
      <c r="P40" s="70" t="str">
        <f>IF($A$3=" "," ", IFERROR( VLOOKUP($A40,'SUPPLIER DATA BASE'!$A$2:$O$936,13,0),""))</f>
        <v>HDFC0001249</v>
      </c>
      <c r="Q40" s="77">
        <v>14200.0</v>
      </c>
      <c r="R40" s="73">
        <v>46064.0</v>
      </c>
      <c r="S40" s="77"/>
      <c r="T40" s="70"/>
      <c r="U40" s="78"/>
      <c r="V40" s="70" t="str">
        <f t="shared" si="4"/>
        <v>FY 25-26</v>
      </c>
      <c r="W40" s="23"/>
      <c r="X40" s="23"/>
    </row>
    <row r="41">
      <c r="A41" s="70" t="s">
        <v>370</v>
      </c>
      <c r="B41" s="70" t="str">
        <f>IF($A$3=" "," ", IFERROR( VLOOKUP($A41,'SUPPLIER DATA BASE'!$A$2:$M$936,3,0),""))</f>
        <v>-</v>
      </c>
      <c r="C41" s="70" t="str">
        <f>IF($A$3=" "," ", IFERROR( VLOOKUP($A41,'SUPPLIER DATA BASE'!$A$2:$F$936,6,0),""))</f>
        <v>SURYAM TEXTILE AGENCY</v>
      </c>
      <c r="D41" s="70">
        <f>IF($A$3=" "," ", IFERROR( VLOOKUP($A41,'SUPPLIER DATA BASE'!$A$2:$G$936,4,0),""))</f>
        <v>30</v>
      </c>
      <c r="E41" s="71">
        <f>IF($A$3=" "," ", IFERROR( VLOOKUP($A41,'SUPPLIER DATA BASE'!$A$2:$H$936,5,0),""))</f>
        <v>0.09</v>
      </c>
      <c r="F41" s="72">
        <v>121.0</v>
      </c>
      <c r="G41" s="73">
        <v>46035.0</v>
      </c>
      <c r="H41" s="74">
        <v>4.0</v>
      </c>
      <c r="I41" s="75">
        <v>9416.0</v>
      </c>
      <c r="J41" s="76" t="s">
        <v>953</v>
      </c>
      <c r="K41" s="70" t="s">
        <v>349</v>
      </c>
      <c r="L41" s="70" t="s">
        <v>349</v>
      </c>
      <c r="M41" s="70" t="str">
        <f t="shared" si="3"/>
        <v>153 Days</v>
      </c>
      <c r="N41" s="70" t="str">
        <f>IF($A$3=" "," ", IFERROR( VLOOKUP($A41,'SUPPLIER DATA BASE'!$A$2:$O$936,11,0),""))</f>
        <v>AS TEXTILE</v>
      </c>
      <c r="O41" s="70" t="str">
        <f>IF($A$3=" "," ", IFERROR( VLOOKUP($A41,'SUPPLIER DATA BASE'!$A$2:$O$936,12,0),""))</f>
        <v>50200012846193</v>
      </c>
      <c r="P41" s="70" t="str">
        <f>IF($A$3=" "," ", IFERROR( VLOOKUP($A41,'SUPPLIER DATA BASE'!$A$2:$O$936,13,0),""))</f>
        <v>HDFC0001249</v>
      </c>
      <c r="Q41" s="77">
        <v>9416.0</v>
      </c>
      <c r="R41" s="73">
        <v>46064.0</v>
      </c>
      <c r="S41" s="77"/>
      <c r="T41" s="70"/>
      <c r="U41" s="78"/>
      <c r="V41" s="70" t="str">
        <f t="shared" si="4"/>
        <v>FY 25-26</v>
      </c>
      <c r="W41" s="23"/>
      <c r="X41" s="23"/>
    </row>
    <row r="42">
      <c r="A42" s="70" t="s">
        <v>370</v>
      </c>
      <c r="B42" s="70" t="str">
        <f>IF($A$3=" "," ", IFERROR( VLOOKUP($A42,'SUPPLIER DATA BASE'!$A$2:$M$936,3,0),""))</f>
        <v>-</v>
      </c>
      <c r="C42" s="70" t="str">
        <f>IF($A$3=" "," ", IFERROR( VLOOKUP($A42,'SUPPLIER DATA BASE'!$A$2:$F$936,6,0),""))</f>
        <v>SURYAM TEXTILE AGENCY</v>
      </c>
      <c r="D42" s="70">
        <f>IF($A$3=" "," ", IFERROR( VLOOKUP($A42,'SUPPLIER DATA BASE'!$A$2:$G$936,4,0),""))</f>
        <v>30</v>
      </c>
      <c r="E42" s="71">
        <f>IF($A$3=" "," ", IFERROR( VLOOKUP($A42,'SUPPLIER DATA BASE'!$A$2:$H$936,5,0),""))</f>
        <v>0.09</v>
      </c>
      <c r="F42" s="72">
        <v>119.0</v>
      </c>
      <c r="G42" s="73">
        <v>46035.0</v>
      </c>
      <c r="H42" s="74">
        <v>4.0</v>
      </c>
      <c r="I42" s="75">
        <v>11592.0</v>
      </c>
      <c r="J42" s="76" t="s">
        <v>954</v>
      </c>
      <c r="K42" s="70" t="s">
        <v>349</v>
      </c>
      <c r="L42" s="70" t="s">
        <v>349</v>
      </c>
      <c r="M42" s="70" t="str">
        <f t="shared" si="3"/>
        <v>153 Days</v>
      </c>
      <c r="N42" s="70" t="str">
        <f>IF($A$3=" "," ", IFERROR( VLOOKUP($A42,'SUPPLIER DATA BASE'!$A$2:$O$936,11,0),""))</f>
        <v>AS TEXTILE</v>
      </c>
      <c r="O42" s="70" t="str">
        <f>IF($A$3=" "," ", IFERROR( VLOOKUP($A42,'SUPPLIER DATA BASE'!$A$2:$O$936,12,0),""))</f>
        <v>50200012846193</v>
      </c>
      <c r="P42" s="70" t="str">
        <f>IF($A$3=" "," ", IFERROR( VLOOKUP($A42,'SUPPLIER DATA BASE'!$A$2:$O$936,13,0),""))</f>
        <v>HDFC0001249</v>
      </c>
      <c r="Q42" s="77">
        <v>11592.0</v>
      </c>
      <c r="R42" s="73">
        <v>46064.0</v>
      </c>
      <c r="S42" s="77"/>
      <c r="T42" s="70"/>
      <c r="U42" s="78"/>
      <c r="V42" s="70" t="str">
        <f t="shared" si="4"/>
        <v>FY 25-26</v>
      </c>
      <c r="W42" s="23"/>
      <c r="X42" s="23"/>
    </row>
    <row r="43">
      <c r="A43" s="70" t="s">
        <v>370</v>
      </c>
      <c r="B43" s="70" t="str">
        <f>IF($A$3=" "," ", IFERROR( VLOOKUP($A43,'SUPPLIER DATA BASE'!$A$2:$M$936,3,0),""))</f>
        <v>-</v>
      </c>
      <c r="C43" s="70" t="str">
        <f>IF($A$3=" "," ", IFERROR( VLOOKUP($A43,'SUPPLIER DATA BASE'!$A$2:$F$936,6,0),""))</f>
        <v>SURYAM TEXTILE AGENCY</v>
      </c>
      <c r="D43" s="70">
        <f>IF($A$3=" "," ", IFERROR( VLOOKUP($A43,'SUPPLIER DATA BASE'!$A$2:$G$936,4,0),""))</f>
        <v>30</v>
      </c>
      <c r="E43" s="71">
        <f>IF($A$3=" "," ", IFERROR( VLOOKUP($A43,'SUPPLIER DATA BASE'!$A$2:$H$936,5,0),""))</f>
        <v>0.09</v>
      </c>
      <c r="F43" s="72">
        <v>118.0</v>
      </c>
      <c r="G43" s="73">
        <v>46035.0</v>
      </c>
      <c r="H43" s="74">
        <v>4.0</v>
      </c>
      <c r="I43" s="75">
        <v>11084.0</v>
      </c>
      <c r="J43" s="76" t="s">
        <v>955</v>
      </c>
      <c r="K43" s="70" t="s">
        <v>349</v>
      </c>
      <c r="L43" s="70" t="s">
        <v>349</v>
      </c>
      <c r="M43" s="70" t="str">
        <f t="shared" si="3"/>
        <v>153 Days</v>
      </c>
      <c r="N43" s="70" t="str">
        <f>IF($A$3=" "," ", IFERROR( VLOOKUP($A43,'SUPPLIER DATA BASE'!$A$2:$O$936,11,0),""))</f>
        <v>AS TEXTILE</v>
      </c>
      <c r="O43" s="70" t="str">
        <f>IF($A$3=" "," ", IFERROR( VLOOKUP($A43,'SUPPLIER DATA BASE'!$A$2:$O$936,12,0),""))</f>
        <v>50200012846193</v>
      </c>
      <c r="P43" s="70" t="str">
        <f>IF($A$3=" "," ", IFERROR( VLOOKUP($A43,'SUPPLIER DATA BASE'!$A$2:$O$936,13,0),""))</f>
        <v>HDFC0001249</v>
      </c>
      <c r="Q43" s="77">
        <v>11084.0</v>
      </c>
      <c r="R43" s="73">
        <v>46064.0</v>
      </c>
      <c r="S43" s="77"/>
      <c r="T43" s="70"/>
      <c r="U43" s="78"/>
      <c r="V43" s="70" t="str">
        <f t="shared" si="4"/>
        <v>FY 25-26</v>
      </c>
      <c r="W43" s="23"/>
      <c r="X43" s="23"/>
    </row>
    <row r="44">
      <c r="A44" s="70" t="s">
        <v>370</v>
      </c>
      <c r="B44" s="70" t="str">
        <f>IF($A$3=" "," ", IFERROR( VLOOKUP($A44,'SUPPLIER DATA BASE'!$A$2:$M$936,3,0),""))</f>
        <v>-</v>
      </c>
      <c r="C44" s="70" t="str">
        <f>IF($A$3=" "," ", IFERROR( VLOOKUP($A44,'SUPPLIER DATA BASE'!$A$2:$F$936,6,0),""))</f>
        <v>SURYAM TEXTILE AGENCY</v>
      </c>
      <c r="D44" s="70">
        <f>IF($A$3=" "," ", IFERROR( VLOOKUP($A44,'SUPPLIER DATA BASE'!$A$2:$G$936,4,0),""))</f>
        <v>30</v>
      </c>
      <c r="E44" s="71">
        <f>IF($A$3=" "," ", IFERROR( VLOOKUP($A44,'SUPPLIER DATA BASE'!$A$2:$H$936,5,0),""))</f>
        <v>0.09</v>
      </c>
      <c r="F44" s="72">
        <v>133.0</v>
      </c>
      <c r="G44" s="73">
        <v>46035.0</v>
      </c>
      <c r="H44" s="74">
        <v>2.0</v>
      </c>
      <c r="I44" s="75">
        <v>16300.0</v>
      </c>
      <c r="J44" s="76" t="s">
        <v>956</v>
      </c>
      <c r="K44" s="70" t="s">
        <v>349</v>
      </c>
      <c r="L44" s="70" t="s">
        <v>349</v>
      </c>
      <c r="M44" s="70" t="str">
        <f t="shared" si="3"/>
        <v>153 Days</v>
      </c>
      <c r="N44" s="70" t="str">
        <f>IF($A$3=" "," ", IFERROR( VLOOKUP($A44,'SUPPLIER DATA BASE'!$A$2:$O$936,11,0),""))</f>
        <v>AS TEXTILE</v>
      </c>
      <c r="O44" s="70" t="str">
        <f>IF($A$3=" "," ", IFERROR( VLOOKUP($A44,'SUPPLIER DATA BASE'!$A$2:$O$936,12,0),""))</f>
        <v>50200012846193</v>
      </c>
      <c r="P44" s="70" t="str">
        <f>IF($A$3=" "," ", IFERROR( VLOOKUP($A44,'SUPPLIER DATA BASE'!$A$2:$O$936,13,0),""))</f>
        <v>HDFC0001249</v>
      </c>
      <c r="Q44" s="77">
        <v>16300.0</v>
      </c>
      <c r="R44" s="73">
        <v>46064.0</v>
      </c>
      <c r="S44" s="77"/>
      <c r="T44" s="70"/>
      <c r="U44" s="78"/>
      <c r="V44" s="70" t="str">
        <f t="shared" si="4"/>
        <v>FY 25-26</v>
      </c>
      <c r="W44" s="23"/>
      <c r="X44" s="23"/>
    </row>
    <row r="45">
      <c r="A45" s="70" t="s">
        <v>370</v>
      </c>
      <c r="B45" s="70" t="str">
        <f>IF($A$3=" "," ", IFERROR( VLOOKUP($A45,'SUPPLIER DATA BASE'!$A$2:$M$936,3,0),""))</f>
        <v>-</v>
      </c>
      <c r="C45" s="70" t="str">
        <f>IF($A$3=" "," ", IFERROR( VLOOKUP($A45,'SUPPLIER DATA BASE'!$A$2:$F$936,6,0),""))</f>
        <v>SURYAM TEXTILE AGENCY</v>
      </c>
      <c r="D45" s="70">
        <f>IF($A$3=" "," ", IFERROR( VLOOKUP($A45,'SUPPLIER DATA BASE'!$A$2:$G$936,4,0),""))</f>
        <v>30</v>
      </c>
      <c r="E45" s="71">
        <f>IF($A$3=" "," ", IFERROR( VLOOKUP($A45,'SUPPLIER DATA BASE'!$A$2:$H$936,5,0),""))</f>
        <v>0.09</v>
      </c>
      <c r="F45" s="72">
        <v>124.0</v>
      </c>
      <c r="G45" s="73">
        <v>46035.0</v>
      </c>
      <c r="H45" s="74">
        <v>4.0</v>
      </c>
      <c r="I45" s="75">
        <v>6279.0</v>
      </c>
      <c r="J45" s="76" t="s">
        <v>957</v>
      </c>
      <c r="K45" s="70" t="s">
        <v>349</v>
      </c>
      <c r="L45" s="70" t="s">
        <v>349</v>
      </c>
      <c r="M45" s="70" t="str">
        <f t="shared" si="3"/>
        <v>153 Days</v>
      </c>
      <c r="N45" s="70" t="str">
        <f>IF($A$3=" "," ", IFERROR( VLOOKUP($A45,'SUPPLIER DATA BASE'!$A$2:$O$936,11,0),""))</f>
        <v>AS TEXTILE</v>
      </c>
      <c r="O45" s="70" t="str">
        <f>IF($A$3=" "," ", IFERROR( VLOOKUP($A45,'SUPPLIER DATA BASE'!$A$2:$O$936,12,0),""))</f>
        <v>50200012846193</v>
      </c>
      <c r="P45" s="70" t="str">
        <f>IF($A$3=" "," ", IFERROR( VLOOKUP($A45,'SUPPLIER DATA BASE'!$A$2:$O$936,13,0),""))</f>
        <v>HDFC0001249</v>
      </c>
      <c r="Q45" s="77">
        <v>6279.0</v>
      </c>
      <c r="R45" s="73">
        <v>46064.0</v>
      </c>
      <c r="S45" s="77"/>
      <c r="T45" s="70"/>
      <c r="U45" s="78"/>
      <c r="V45" s="70" t="str">
        <f t="shared" si="4"/>
        <v>FY 25-26</v>
      </c>
      <c r="W45" s="23"/>
      <c r="X45" s="23"/>
    </row>
    <row r="46">
      <c r="A46" s="70" t="s">
        <v>370</v>
      </c>
      <c r="B46" s="70" t="str">
        <f>IF($A$3=" "," ", IFERROR( VLOOKUP($A46,'SUPPLIER DATA BASE'!$A$2:$M$936,3,0),""))</f>
        <v>-</v>
      </c>
      <c r="C46" s="70" t="str">
        <f>IF($A$3=" "," ", IFERROR( VLOOKUP($A46,'SUPPLIER DATA BASE'!$A$2:$F$936,6,0),""))</f>
        <v>SURYAM TEXTILE AGENCY</v>
      </c>
      <c r="D46" s="70">
        <f>IF($A$3=" "," ", IFERROR( VLOOKUP($A46,'SUPPLIER DATA BASE'!$A$2:$G$936,4,0),""))</f>
        <v>30</v>
      </c>
      <c r="E46" s="71">
        <f>IF($A$3=" "," ", IFERROR( VLOOKUP($A46,'SUPPLIER DATA BASE'!$A$2:$H$936,5,0),""))</f>
        <v>0.09</v>
      </c>
      <c r="F46" s="72">
        <v>123.0</v>
      </c>
      <c r="G46" s="73">
        <v>46035.0</v>
      </c>
      <c r="H46" s="74">
        <v>4.0</v>
      </c>
      <c r="I46" s="75">
        <v>10601.0</v>
      </c>
      <c r="J46" s="76" t="s">
        <v>958</v>
      </c>
      <c r="K46" s="70" t="s">
        <v>349</v>
      </c>
      <c r="L46" s="70" t="s">
        <v>349</v>
      </c>
      <c r="M46" s="70" t="str">
        <f t="shared" si="3"/>
        <v>153 Days</v>
      </c>
      <c r="N46" s="70" t="str">
        <f>IF($A$3=" "," ", IFERROR( VLOOKUP($A46,'SUPPLIER DATA BASE'!$A$2:$O$936,11,0),""))</f>
        <v>AS TEXTILE</v>
      </c>
      <c r="O46" s="70" t="str">
        <f>IF($A$3=" "," ", IFERROR( VLOOKUP($A46,'SUPPLIER DATA BASE'!$A$2:$O$936,12,0),""))</f>
        <v>50200012846193</v>
      </c>
      <c r="P46" s="70" t="str">
        <f>IF($A$3=" "," ", IFERROR( VLOOKUP($A46,'SUPPLIER DATA BASE'!$A$2:$O$936,13,0),""))</f>
        <v>HDFC0001249</v>
      </c>
      <c r="Q46" s="77">
        <v>10601.0</v>
      </c>
      <c r="R46" s="73">
        <v>46064.0</v>
      </c>
      <c r="S46" s="77"/>
      <c r="T46" s="70"/>
      <c r="U46" s="78"/>
      <c r="V46" s="70" t="str">
        <f t="shared" si="4"/>
        <v>FY 25-26</v>
      </c>
      <c r="W46" s="23"/>
      <c r="X46" s="23"/>
    </row>
    <row r="47">
      <c r="A47" s="70" t="s">
        <v>370</v>
      </c>
      <c r="B47" s="70" t="str">
        <f>IF($A$3=" "," ", IFERROR( VLOOKUP($A47,'SUPPLIER DATA BASE'!$A$2:$M$936,3,0),""))</f>
        <v>-</v>
      </c>
      <c r="C47" s="70" t="str">
        <f>IF($A$3=" "," ", IFERROR( VLOOKUP($A47,'SUPPLIER DATA BASE'!$A$2:$F$936,6,0),""))</f>
        <v>SURYAM TEXTILE AGENCY</v>
      </c>
      <c r="D47" s="70">
        <f>IF($A$3=" "," ", IFERROR( VLOOKUP($A47,'SUPPLIER DATA BASE'!$A$2:$G$936,4,0),""))</f>
        <v>30</v>
      </c>
      <c r="E47" s="71">
        <f>IF($A$3=" "," ", IFERROR( VLOOKUP($A47,'SUPPLIER DATA BASE'!$A$2:$H$936,5,0),""))</f>
        <v>0.09</v>
      </c>
      <c r="F47" s="72">
        <v>130.0</v>
      </c>
      <c r="G47" s="73">
        <v>46035.0</v>
      </c>
      <c r="H47" s="74">
        <v>12.0</v>
      </c>
      <c r="I47" s="75">
        <v>9349.0</v>
      </c>
      <c r="J47" s="76" t="s">
        <v>959</v>
      </c>
      <c r="K47" s="70" t="s">
        <v>349</v>
      </c>
      <c r="L47" s="70" t="s">
        <v>349</v>
      </c>
      <c r="M47" s="70" t="str">
        <f t="shared" si="3"/>
        <v>153 Days</v>
      </c>
      <c r="N47" s="70" t="str">
        <f>IF($A$3=" "," ", IFERROR( VLOOKUP($A47,'SUPPLIER DATA BASE'!$A$2:$O$936,11,0),""))</f>
        <v>AS TEXTILE</v>
      </c>
      <c r="O47" s="70" t="str">
        <f>IF($A$3=" "," ", IFERROR( VLOOKUP($A47,'SUPPLIER DATA BASE'!$A$2:$O$936,12,0),""))</f>
        <v>50200012846193</v>
      </c>
      <c r="P47" s="70" t="str">
        <f>IF($A$3=" "," ", IFERROR( VLOOKUP($A47,'SUPPLIER DATA BASE'!$A$2:$O$936,13,0),""))</f>
        <v>HDFC0001249</v>
      </c>
      <c r="Q47" s="77">
        <v>9349.0</v>
      </c>
      <c r="R47" s="73">
        <v>46064.0</v>
      </c>
      <c r="S47" s="77"/>
      <c r="T47" s="70"/>
      <c r="U47" s="78"/>
      <c r="V47" s="70" t="str">
        <f t="shared" si="4"/>
        <v>FY 25-26</v>
      </c>
      <c r="W47" s="23"/>
      <c r="X47" s="23"/>
    </row>
    <row r="48">
      <c r="A48" s="70" t="s">
        <v>370</v>
      </c>
      <c r="B48" s="70" t="str">
        <f>IF($A$3=" "," ", IFERROR( VLOOKUP($A48,'SUPPLIER DATA BASE'!$A$2:$M$936,3,0),""))</f>
        <v>-</v>
      </c>
      <c r="C48" s="70" t="str">
        <f>IF($A$3=" "," ", IFERROR( VLOOKUP($A48,'SUPPLIER DATA BASE'!$A$2:$F$936,6,0),""))</f>
        <v>SURYAM TEXTILE AGENCY</v>
      </c>
      <c r="D48" s="70">
        <f>IF($A$3=" "," ", IFERROR( VLOOKUP($A48,'SUPPLIER DATA BASE'!$A$2:$G$936,4,0),""))</f>
        <v>30</v>
      </c>
      <c r="E48" s="71">
        <f>IF($A$3=" "," ", IFERROR( VLOOKUP($A48,'SUPPLIER DATA BASE'!$A$2:$H$936,5,0),""))</f>
        <v>0.09</v>
      </c>
      <c r="F48" s="72">
        <v>126.0</v>
      </c>
      <c r="G48" s="73">
        <v>46035.0</v>
      </c>
      <c r="H48" s="74">
        <v>4.0</v>
      </c>
      <c r="I48" s="75">
        <v>11348.0</v>
      </c>
      <c r="J48" s="76" t="s">
        <v>960</v>
      </c>
      <c r="K48" s="70" t="s">
        <v>349</v>
      </c>
      <c r="L48" s="70" t="s">
        <v>349</v>
      </c>
      <c r="M48" s="70" t="str">
        <f t="shared" si="3"/>
        <v>153 Days</v>
      </c>
      <c r="N48" s="70" t="str">
        <f>IF($A$3=" "," ", IFERROR( VLOOKUP($A48,'SUPPLIER DATA BASE'!$A$2:$O$936,11,0),""))</f>
        <v>AS TEXTILE</v>
      </c>
      <c r="O48" s="70" t="str">
        <f>IF($A$3=" "," ", IFERROR( VLOOKUP($A48,'SUPPLIER DATA BASE'!$A$2:$O$936,12,0),""))</f>
        <v>50200012846193</v>
      </c>
      <c r="P48" s="70" t="str">
        <f>IF($A$3=" "," ", IFERROR( VLOOKUP($A48,'SUPPLIER DATA BASE'!$A$2:$O$936,13,0),""))</f>
        <v>HDFC0001249</v>
      </c>
      <c r="Q48" s="77">
        <v>11348.0</v>
      </c>
      <c r="R48" s="73">
        <v>46064.0</v>
      </c>
      <c r="S48" s="77"/>
      <c r="T48" s="70"/>
      <c r="U48" s="78"/>
      <c r="V48" s="70" t="str">
        <f t="shared" si="4"/>
        <v>FY 25-26</v>
      </c>
      <c r="W48" s="23"/>
      <c r="X48" s="23"/>
    </row>
    <row r="49">
      <c r="A49" s="70" t="s">
        <v>370</v>
      </c>
      <c r="B49" s="70" t="str">
        <f>IF($A$3=" "," ", IFERROR( VLOOKUP($A49,'SUPPLIER DATA BASE'!$A$2:$M$936,3,0),""))</f>
        <v>-</v>
      </c>
      <c r="C49" s="70" t="str">
        <f>IF($A$3=" "," ", IFERROR( VLOOKUP($A49,'SUPPLIER DATA BASE'!$A$2:$F$936,6,0),""))</f>
        <v>SURYAM TEXTILE AGENCY</v>
      </c>
      <c r="D49" s="70">
        <f>IF($A$3=" "," ", IFERROR( VLOOKUP($A49,'SUPPLIER DATA BASE'!$A$2:$G$936,4,0),""))</f>
        <v>30</v>
      </c>
      <c r="E49" s="71">
        <f>IF($A$3=" "," ", IFERROR( VLOOKUP($A49,'SUPPLIER DATA BASE'!$A$2:$H$936,5,0),""))</f>
        <v>0.09</v>
      </c>
      <c r="F49" s="72">
        <v>128.0</v>
      </c>
      <c r="G49" s="73">
        <v>46035.0</v>
      </c>
      <c r="H49" s="74">
        <v>4.0</v>
      </c>
      <c r="I49" s="75">
        <v>6254.0</v>
      </c>
      <c r="J49" s="76" t="s">
        <v>961</v>
      </c>
      <c r="K49" s="70" t="s">
        <v>349</v>
      </c>
      <c r="L49" s="70" t="s">
        <v>349</v>
      </c>
      <c r="M49" s="70" t="str">
        <f t="shared" si="3"/>
        <v>153 Days</v>
      </c>
      <c r="N49" s="70" t="str">
        <f>IF($A$3=" "," ", IFERROR( VLOOKUP($A49,'SUPPLIER DATA BASE'!$A$2:$O$936,11,0),""))</f>
        <v>AS TEXTILE</v>
      </c>
      <c r="O49" s="70" t="str">
        <f>IF($A$3=" "," ", IFERROR( VLOOKUP($A49,'SUPPLIER DATA BASE'!$A$2:$O$936,12,0),""))</f>
        <v>50200012846193</v>
      </c>
      <c r="P49" s="70" t="str">
        <f>IF($A$3=" "," ", IFERROR( VLOOKUP($A49,'SUPPLIER DATA BASE'!$A$2:$O$936,13,0),""))</f>
        <v>HDFC0001249</v>
      </c>
      <c r="Q49" s="77">
        <v>6254.0</v>
      </c>
      <c r="R49" s="73">
        <v>46064.0</v>
      </c>
      <c r="S49" s="77"/>
      <c r="T49" s="70"/>
      <c r="U49" s="78"/>
      <c r="V49" s="70" t="str">
        <f t="shared" si="4"/>
        <v>FY 25-26</v>
      </c>
      <c r="W49" s="23"/>
      <c r="X49" s="23"/>
    </row>
    <row r="50">
      <c r="A50" s="70" t="s">
        <v>370</v>
      </c>
      <c r="B50" s="70" t="str">
        <f>IF($A$3=" "," ", IFERROR( VLOOKUP($A50,'SUPPLIER DATA BASE'!$A$2:$M$936,3,0),""))</f>
        <v>-</v>
      </c>
      <c r="C50" s="70" t="str">
        <f>IF($A$3=" "," ", IFERROR( VLOOKUP($A50,'SUPPLIER DATA BASE'!$A$2:$F$936,6,0),""))</f>
        <v>SURYAM TEXTILE AGENCY</v>
      </c>
      <c r="D50" s="70">
        <f>IF($A$3=" "," ", IFERROR( VLOOKUP($A50,'SUPPLIER DATA BASE'!$A$2:$G$936,4,0),""))</f>
        <v>30</v>
      </c>
      <c r="E50" s="71">
        <f>IF($A$3=" "," ", IFERROR( VLOOKUP($A50,'SUPPLIER DATA BASE'!$A$2:$H$936,5,0),""))</f>
        <v>0.09</v>
      </c>
      <c r="F50" s="72">
        <v>129.0</v>
      </c>
      <c r="G50" s="73">
        <v>46035.0</v>
      </c>
      <c r="H50" s="74">
        <v>20.0</v>
      </c>
      <c r="I50" s="75">
        <v>16674.0</v>
      </c>
      <c r="J50" s="76" t="s">
        <v>962</v>
      </c>
      <c r="K50" s="70" t="s">
        <v>349</v>
      </c>
      <c r="L50" s="70" t="s">
        <v>349</v>
      </c>
      <c r="M50" s="70" t="str">
        <f t="shared" si="3"/>
        <v>153 Days</v>
      </c>
      <c r="N50" s="70" t="str">
        <f>IF($A$3=" "," ", IFERROR( VLOOKUP($A50,'SUPPLIER DATA BASE'!$A$2:$O$936,11,0),""))</f>
        <v>AS TEXTILE</v>
      </c>
      <c r="O50" s="70" t="str">
        <f>IF($A$3=" "," ", IFERROR( VLOOKUP($A50,'SUPPLIER DATA BASE'!$A$2:$O$936,12,0),""))</f>
        <v>50200012846193</v>
      </c>
      <c r="P50" s="70" t="str">
        <f>IF($A$3=" "," ", IFERROR( VLOOKUP($A50,'SUPPLIER DATA BASE'!$A$2:$O$936,13,0),""))</f>
        <v>HDFC0001249</v>
      </c>
      <c r="Q50" s="77">
        <v>16674.0</v>
      </c>
      <c r="R50" s="73">
        <v>46064.0</v>
      </c>
      <c r="S50" s="77"/>
      <c r="T50" s="70"/>
      <c r="U50" s="78"/>
      <c r="V50" s="70" t="str">
        <f t="shared" si="4"/>
        <v>FY 25-26</v>
      </c>
      <c r="W50" s="23"/>
      <c r="X50" s="23"/>
    </row>
    <row r="51">
      <c r="A51" s="70" t="s">
        <v>370</v>
      </c>
      <c r="B51" s="70" t="str">
        <f>IF($A$3=" "," ", IFERROR( VLOOKUP($A51,'SUPPLIER DATA BASE'!$A$2:$M$936,3,0),""))</f>
        <v>-</v>
      </c>
      <c r="C51" s="70" t="str">
        <f>IF($A$3=" "," ", IFERROR( VLOOKUP($A51,'SUPPLIER DATA BASE'!$A$2:$F$936,6,0),""))</f>
        <v>SURYAM TEXTILE AGENCY</v>
      </c>
      <c r="D51" s="70">
        <f>IF($A$3=" "," ", IFERROR( VLOOKUP($A51,'SUPPLIER DATA BASE'!$A$2:$G$936,4,0),""))</f>
        <v>30</v>
      </c>
      <c r="E51" s="71">
        <f>IF($A$3=" "," ", IFERROR( VLOOKUP($A51,'SUPPLIER DATA BASE'!$A$2:$H$936,5,0),""))</f>
        <v>0.09</v>
      </c>
      <c r="F51" s="72">
        <v>127.0</v>
      </c>
      <c r="G51" s="73">
        <v>46035.0</v>
      </c>
      <c r="H51" s="74">
        <v>12.0</v>
      </c>
      <c r="I51" s="75">
        <v>9349.0</v>
      </c>
      <c r="J51" s="76" t="s">
        <v>963</v>
      </c>
      <c r="K51" s="70" t="s">
        <v>349</v>
      </c>
      <c r="L51" s="70" t="s">
        <v>349</v>
      </c>
      <c r="M51" s="70" t="str">
        <f t="shared" si="3"/>
        <v>153 Days</v>
      </c>
      <c r="N51" s="70" t="str">
        <f>IF($A$3=" "," ", IFERROR( VLOOKUP($A51,'SUPPLIER DATA BASE'!$A$2:$O$936,11,0),""))</f>
        <v>AS TEXTILE</v>
      </c>
      <c r="O51" s="70" t="str">
        <f>IF($A$3=" "," ", IFERROR( VLOOKUP($A51,'SUPPLIER DATA BASE'!$A$2:$O$936,12,0),""))</f>
        <v>50200012846193</v>
      </c>
      <c r="P51" s="70" t="str">
        <f>IF($A$3=" "," ", IFERROR( VLOOKUP($A51,'SUPPLIER DATA BASE'!$A$2:$O$936,13,0),""))</f>
        <v>HDFC0001249</v>
      </c>
      <c r="Q51" s="77">
        <v>9349.0</v>
      </c>
      <c r="R51" s="73">
        <v>46064.0</v>
      </c>
      <c r="S51" s="77"/>
      <c r="T51" s="70"/>
      <c r="U51" s="78"/>
      <c r="V51" s="70" t="str">
        <f t="shared" si="4"/>
        <v>FY 25-26</v>
      </c>
      <c r="W51" s="23"/>
      <c r="X51" s="23"/>
    </row>
    <row r="52">
      <c r="A52" s="70" t="s">
        <v>805</v>
      </c>
      <c r="B52" s="70" t="str">
        <f>IF($A$3=" "," ", IFERROR( VLOOKUP($A52,'SUPPLIER DATA BASE'!$A$2:$M$936,3,0),""))</f>
        <v>-</v>
      </c>
      <c r="C52" s="70" t="str">
        <f>IF($A$3=" "," ", IFERROR( VLOOKUP($A52,'SUPPLIER DATA BASE'!$A$2:$F$936,6,0),""))</f>
        <v>SURYAM TEXTILE AGENCY</v>
      </c>
      <c r="D52" s="70" t="str">
        <f>IF($A$3=" "," ", IFERROR( VLOOKUP($A52,'SUPPLIER DATA BASE'!$A$2:$G$936,4,0),""))</f>
        <v>NO</v>
      </c>
      <c r="E52" s="71" t="str">
        <f>IF($A$3=" "," ", IFERROR( VLOOKUP($A52,'SUPPLIER DATA BASE'!$A$2:$H$936,5,0),""))</f>
        <v>-</v>
      </c>
      <c r="F52" s="72">
        <v>2581.0</v>
      </c>
      <c r="G52" s="73">
        <v>46037.0</v>
      </c>
      <c r="H52" s="74">
        <v>54.0</v>
      </c>
      <c r="I52" s="75">
        <v>52736.0</v>
      </c>
      <c r="J52" s="76" t="s">
        <v>964</v>
      </c>
      <c r="K52" s="70" t="s">
        <v>349</v>
      </c>
      <c r="L52" s="70" t="s">
        <v>349</v>
      </c>
      <c r="M52" s="70" t="str">
        <f t="shared" si="3"/>
        <v>151 Days</v>
      </c>
      <c r="N52" s="70" t="str">
        <f>IF($A$3=" "," ", IFERROR( VLOOKUP($A52,'SUPPLIER DATA BASE'!$A$2:$O$936,11,0),""))</f>
        <v>WILSON PRINTS</v>
      </c>
      <c r="O52" s="70" t="str">
        <f>IF($A$3=" "," ", IFERROR( VLOOKUP($A52,'SUPPLIER DATA BASE'!$A$2:$O$936,12,0),""))</f>
        <v>510044017719</v>
      </c>
      <c r="P52" s="70" t="str">
        <f>IF($A$3=" "," ", IFERROR( VLOOKUP($A52,'SUPPLIER DATA BASE'!$A$2:$O$936,13,0),""))</f>
        <v>KKBK0002852</v>
      </c>
      <c r="Q52" s="70">
        <v>52736.0</v>
      </c>
      <c r="R52" s="73">
        <v>46131.0</v>
      </c>
      <c r="S52" s="70"/>
      <c r="T52" s="70"/>
      <c r="U52" s="78"/>
      <c r="V52" s="70" t="str">
        <f t="shared" si="4"/>
        <v>FY 25-26</v>
      </c>
      <c r="W52" s="23"/>
      <c r="X52" s="23"/>
    </row>
    <row r="53">
      <c r="A53" s="70" t="s">
        <v>596</v>
      </c>
      <c r="B53" s="70" t="str">
        <f>IF($A$3=" "," ", IFERROR( VLOOKUP($A53,'SUPPLIER DATA BASE'!$A$2:$M$936,3,0),""))</f>
        <v>JOCKEY</v>
      </c>
      <c r="C53" s="70" t="str">
        <f>IF($A$3=" "," ", IFERROR( VLOOKUP($A53,'SUPPLIER DATA BASE'!$A$2:$F$936,6,0),""))</f>
        <v>DIRECT</v>
      </c>
      <c r="D53" s="70">
        <f>IF($A$3=" "," ", IFERROR( VLOOKUP($A53,'SUPPLIER DATA BASE'!$A$2:$G$936,4,0),""))</f>
        <v>21</v>
      </c>
      <c r="E53" s="71">
        <f>IF($A$3=" "," ", IFERROR( VLOOKUP($A53,'SUPPLIER DATA BASE'!$A$2:$H$936,5,0),""))</f>
        <v>0.02</v>
      </c>
      <c r="F53" s="72" t="s">
        <v>965</v>
      </c>
      <c r="G53" s="73">
        <v>46038.0</v>
      </c>
      <c r="H53" s="74">
        <v>100.0</v>
      </c>
      <c r="I53" s="75">
        <v>11619.0</v>
      </c>
      <c r="J53" s="76" t="s">
        <v>966</v>
      </c>
      <c r="K53" s="70" t="s">
        <v>349</v>
      </c>
      <c r="L53" s="70" t="s">
        <v>349</v>
      </c>
      <c r="M53" s="70" t="str">
        <f t="shared" si="3"/>
        <v>150 Days</v>
      </c>
      <c r="N53" s="70" t="str">
        <f>IF($A$3=" "," ", IFERROR( VLOOKUP($A53,'SUPPLIER DATA BASE'!$A$2:$O$936,11,0),""))</f>
        <v>NARVADA TEXTILES</v>
      </c>
      <c r="O53" s="70" t="str">
        <f>IF($A$3=" "," ", IFERROR( VLOOKUP($A53,'SUPPLIER DATA BASE'!$A$2:$O$936,12,0),""))</f>
        <v>72610200000442</v>
      </c>
      <c r="P53" s="70" t="str">
        <f>IF($A$3=" "," ", IFERROR( VLOOKUP($A53,'SUPPLIER DATA BASE'!$A$2:$O$936,13,0),""))</f>
        <v>BARB0DBRANC</v>
      </c>
      <c r="Q53" s="73"/>
      <c r="R53" s="73"/>
      <c r="S53" s="70"/>
      <c r="T53" s="70"/>
      <c r="U53" s="78"/>
      <c r="V53" s="70" t="str">
        <f t="shared" si="4"/>
        <v>FY 25-26</v>
      </c>
      <c r="W53" s="23"/>
      <c r="X53" s="23"/>
    </row>
    <row r="54">
      <c r="A54" s="70" t="s">
        <v>783</v>
      </c>
      <c r="B54" s="70" t="str">
        <f>IF($A$3=" "," ", IFERROR( VLOOKUP($A54,'SUPPLIER DATA BASE'!$A$2:$M$936,3,0),""))</f>
        <v>JOCKEY</v>
      </c>
      <c r="C54" s="70" t="str">
        <f>IF($A$3=" "," ", IFERROR( VLOOKUP($A54,'SUPPLIER DATA BASE'!$A$2:$F$936,6,0),""))</f>
        <v>DIRECT</v>
      </c>
      <c r="D54" s="70">
        <f>IF($A$3=" "," ", IFERROR( VLOOKUP($A54,'SUPPLIER DATA BASE'!$A$2:$G$936,4,0),""))</f>
        <v>21</v>
      </c>
      <c r="E54" s="71">
        <f>IF($A$3=" "," ", IFERROR( VLOOKUP($A54,'SUPPLIER DATA BASE'!$A$2:$H$936,5,0),""))</f>
        <v>0.02</v>
      </c>
      <c r="F54" s="72" t="s">
        <v>967</v>
      </c>
      <c r="G54" s="73">
        <v>46038.0</v>
      </c>
      <c r="H54" s="74">
        <v>15.0</v>
      </c>
      <c r="I54" s="75">
        <v>8477.0</v>
      </c>
      <c r="J54" s="76" t="s">
        <v>968</v>
      </c>
      <c r="K54" s="70" t="s">
        <v>349</v>
      </c>
      <c r="L54" s="70" t="s">
        <v>349</v>
      </c>
      <c r="M54" s="70" t="str">
        <f t="shared" si="3"/>
        <v>150 Days</v>
      </c>
      <c r="N54" s="70" t="str">
        <f>IF($A$3=" "," ", IFERROR( VLOOKUP($A54,'SUPPLIER DATA BASE'!$A$2:$O$936,11,0),""))</f>
        <v>V N TEXTILE</v>
      </c>
      <c r="O54" s="70" t="str">
        <f>IF($A$3=" "," ", IFERROR( VLOOKUP($A54,'SUPPLIER DATA BASE'!$A$2:$O$936,12,0),""))</f>
        <v>252005000323</v>
      </c>
      <c r="P54" s="70" t="str">
        <f>IF($A$3=" "," ", IFERROR( VLOOKUP($A54,'SUPPLIER DATA BASE'!$A$2:$O$936,13,0),""))</f>
        <v>ICIC0002520</v>
      </c>
      <c r="Q54" s="77">
        <v>21920.0</v>
      </c>
      <c r="R54" s="73">
        <v>46069.0</v>
      </c>
      <c r="S54" s="70" t="s">
        <v>780</v>
      </c>
      <c r="T54" s="70"/>
      <c r="U54" s="78"/>
      <c r="V54" s="70" t="str">
        <f t="shared" si="4"/>
        <v>FY 25-26</v>
      </c>
      <c r="W54" s="23"/>
      <c r="X54" s="23"/>
    </row>
    <row r="55">
      <c r="A55" s="70" t="s">
        <v>692</v>
      </c>
      <c r="B55" s="70" t="str">
        <f>IF($A$3=" "," ", IFERROR( VLOOKUP($A55,'SUPPLIER DATA BASE'!$A$2:$M$936,3,0),""))</f>
        <v>JOCKEY</v>
      </c>
      <c r="C55" s="70" t="str">
        <f>IF($A$3=" "," ", IFERROR( VLOOKUP($A55,'SUPPLIER DATA BASE'!$A$2:$F$936,6,0),""))</f>
        <v>DIRECT</v>
      </c>
      <c r="D55" s="70">
        <f>IF($A$3=" "," ", IFERROR( VLOOKUP($A55,'SUPPLIER DATA BASE'!$A$2:$G$936,4,0),""))</f>
        <v>30</v>
      </c>
      <c r="E55" s="71">
        <f>IF($A$3=" "," ", IFERROR( VLOOKUP($A55,'SUPPLIER DATA BASE'!$A$2:$H$936,5,0),""))</f>
        <v>2</v>
      </c>
      <c r="F55" s="72" t="s">
        <v>969</v>
      </c>
      <c r="G55" s="73">
        <v>46038.0</v>
      </c>
      <c r="H55" s="74">
        <v>85.0</v>
      </c>
      <c r="I55" s="75">
        <v>30472.0</v>
      </c>
      <c r="J55" s="76" t="s">
        <v>970</v>
      </c>
      <c r="K55" s="70" t="s">
        <v>349</v>
      </c>
      <c r="L55" s="70" t="s">
        <v>349</v>
      </c>
      <c r="M55" s="70" t="str">
        <f t="shared" si="3"/>
        <v>150 Days</v>
      </c>
      <c r="N55" s="70" t="str">
        <f>IF($A$3=" "," ", IFERROR( VLOOKUP($A55,'SUPPLIER DATA BASE'!$A$2:$O$936,11,0),""))</f>
        <v>SHREE NARAYANI ENTERPRISE</v>
      </c>
      <c r="O55" s="70" t="str">
        <f>IF($A$3=" "," ", IFERROR( VLOOKUP($A55,'SUPPLIER DATA BASE'!$A$2:$O$936,12,0),""))</f>
        <v>29205005382</v>
      </c>
      <c r="P55" s="70" t="str">
        <f>IF($A$3=" "," ", IFERROR( VLOOKUP($A55,'SUPPLIER DATA BASE'!$A$2:$O$936,13,0),""))</f>
        <v>ICIC0000292</v>
      </c>
      <c r="Q55" s="73"/>
      <c r="R55" s="73"/>
      <c r="S55" s="70"/>
      <c r="T55" s="70"/>
      <c r="U55" s="78"/>
      <c r="V55" s="70" t="str">
        <f t="shared" si="4"/>
        <v>FY 25-26</v>
      </c>
      <c r="W55" s="23"/>
      <c r="X55" s="23"/>
    </row>
    <row r="56">
      <c r="A56" s="70" t="s">
        <v>692</v>
      </c>
      <c r="B56" s="70" t="str">
        <f>IF($A$3=" "," ", IFERROR( VLOOKUP($A56,'SUPPLIER DATA BASE'!$A$2:$M$936,3,0),""))</f>
        <v>JOCKEY</v>
      </c>
      <c r="C56" s="70" t="str">
        <f>IF($A$3=" "," ", IFERROR( VLOOKUP($A56,'SUPPLIER DATA BASE'!$A$2:$F$936,6,0),""))</f>
        <v>DIRECT</v>
      </c>
      <c r="D56" s="70">
        <f>IF($A$3=" "," ", IFERROR( VLOOKUP($A56,'SUPPLIER DATA BASE'!$A$2:$G$936,4,0),""))</f>
        <v>30</v>
      </c>
      <c r="E56" s="71">
        <f>IF($A$3=" "," ", IFERROR( VLOOKUP($A56,'SUPPLIER DATA BASE'!$A$2:$H$936,5,0),""))</f>
        <v>2</v>
      </c>
      <c r="F56" s="72" t="s">
        <v>971</v>
      </c>
      <c r="G56" s="73">
        <v>46038.0</v>
      </c>
      <c r="H56" s="74">
        <v>89.0</v>
      </c>
      <c r="I56" s="75">
        <v>33532.0</v>
      </c>
      <c r="J56" s="76" t="s">
        <v>972</v>
      </c>
      <c r="K56" s="70" t="s">
        <v>349</v>
      </c>
      <c r="L56" s="70" t="s">
        <v>349</v>
      </c>
      <c r="M56" s="70" t="str">
        <f t="shared" si="3"/>
        <v>150 Days</v>
      </c>
      <c r="N56" s="70" t="str">
        <f>IF($A$3=" "," ", IFERROR( VLOOKUP($A56,'SUPPLIER DATA BASE'!$A$2:$O$936,11,0),""))</f>
        <v>SHREE NARAYANI ENTERPRISE</v>
      </c>
      <c r="O56" s="70" t="str">
        <f>IF($A$3=" "," ", IFERROR( VLOOKUP($A56,'SUPPLIER DATA BASE'!$A$2:$O$936,12,0),""))</f>
        <v>29205005382</v>
      </c>
      <c r="P56" s="70" t="str">
        <f>IF($A$3=" "," ", IFERROR( VLOOKUP($A56,'SUPPLIER DATA BASE'!$A$2:$O$936,13,0),""))</f>
        <v>ICIC0000292</v>
      </c>
      <c r="Q56" s="73"/>
      <c r="R56" s="73"/>
      <c r="S56" s="70"/>
      <c r="T56" s="70"/>
      <c r="U56" s="78"/>
      <c r="V56" s="70" t="str">
        <f t="shared" si="4"/>
        <v>FY 25-26</v>
      </c>
      <c r="W56" s="23"/>
      <c r="X56" s="23"/>
    </row>
    <row r="57">
      <c r="A57" s="70" t="s">
        <v>499</v>
      </c>
      <c r="B57" s="70" t="str">
        <f>IF($A$3=" "," ", IFERROR( VLOOKUP($A57,'SUPPLIER DATA BASE'!$A$2:$M$936,3,0),""))</f>
        <v>-</v>
      </c>
      <c r="C57" s="70" t="str">
        <f>IF($A$3=" "," ", IFERROR( VLOOKUP($A57,'SUPPLIER DATA BASE'!$A$2:$F$936,6,0),""))</f>
        <v>SURYAM TEXTILE AGENCY</v>
      </c>
      <c r="D57" s="70" t="str">
        <f>IF($A$3=" "," ", IFERROR( VLOOKUP($A57,'SUPPLIER DATA BASE'!$A$2:$G$936,4,0),""))</f>
        <v>NO</v>
      </c>
      <c r="E57" s="71" t="str">
        <f>IF($A$3=" "," ", IFERROR( VLOOKUP($A57,'SUPPLIER DATA BASE'!$A$2:$H$936,5,0),""))</f>
        <v>-</v>
      </c>
      <c r="F57" s="72">
        <v>6635.0</v>
      </c>
      <c r="G57" s="73">
        <v>46038.0</v>
      </c>
      <c r="H57" s="74">
        <v>7.0</v>
      </c>
      <c r="I57" s="75">
        <v>28088.0</v>
      </c>
      <c r="J57" s="76" t="s">
        <v>973</v>
      </c>
      <c r="K57" s="70" t="s">
        <v>349</v>
      </c>
      <c r="L57" s="70" t="s">
        <v>349</v>
      </c>
      <c r="M57" s="70" t="str">
        <f t="shared" si="3"/>
        <v>150 Days</v>
      </c>
      <c r="N57" s="70" t="str">
        <f>IF($A$3=" "," ", IFERROR( VLOOKUP($A57,'SUPPLIER DATA BASE'!$A$2:$O$936,11,0),""))</f>
        <v>JAY AMBEY SAREES</v>
      </c>
      <c r="O57" s="70" t="str">
        <f>IF($A$3=" "," ", IFERROR( VLOOKUP($A57,'SUPPLIER DATA BASE'!$A$2:$O$936,12,0),""))</f>
        <v>50200027562802</v>
      </c>
      <c r="P57" s="70" t="str">
        <f>IF($A$3=" "," ", IFERROR( VLOOKUP($A57,'SUPPLIER DATA BASE'!$A$2:$O$936,13,0),""))</f>
        <v>HDFC0009027</v>
      </c>
      <c r="Q57" s="75">
        <v>28088.0</v>
      </c>
      <c r="R57" s="73">
        <v>46131.0</v>
      </c>
      <c r="S57" s="70"/>
      <c r="T57" s="70"/>
      <c r="U57" s="78"/>
      <c r="V57" s="70" t="str">
        <f t="shared" si="4"/>
        <v>FY 25-26</v>
      </c>
      <c r="W57" s="23"/>
      <c r="X57" s="23"/>
    </row>
    <row r="58">
      <c r="A58" s="70" t="s">
        <v>499</v>
      </c>
      <c r="B58" s="70" t="str">
        <f>IF($A$3=" "," ", IFERROR( VLOOKUP($A58,'SUPPLIER DATA BASE'!$A$2:$M$936,3,0),""))</f>
        <v>-</v>
      </c>
      <c r="C58" s="70" t="str">
        <f>IF($A$3=" "," ", IFERROR( VLOOKUP($A58,'SUPPLIER DATA BASE'!$A$2:$F$936,6,0),""))</f>
        <v>SURYAM TEXTILE AGENCY</v>
      </c>
      <c r="D58" s="70" t="str">
        <f>IF($A$3=" "," ", IFERROR( VLOOKUP($A58,'SUPPLIER DATA BASE'!$A$2:$G$936,4,0),""))</f>
        <v>NO</v>
      </c>
      <c r="E58" s="71" t="str">
        <f>IF($A$3=" "," ", IFERROR( VLOOKUP($A58,'SUPPLIER DATA BASE'!$A$2:$H$936,5,0),""))</f>
        <v>-</v>
      </c>
      <c r="F58" s="72">
        <v>6636.0</v>
      </c>
      <c r="G58" s="73">
        <v>46038.0</v>
      </c>
      <c r="H58" s="74">
        <v>6.0</v>
      </c>
      <c r="I58" s="75">
        <v>23447.0</v>
      </c>
      <c r="J58" s="76" t="s">
        <v>974</v>
      </c>
      <c r="K58" s="70" t="s">
        <v>349</v>
      </c>
      <c r="L58" s="70" t="s">
        <v>349</v>
      </c>
      <c r="M58" s="70" t="str">
        <f t="shared" si="3"/>
        <v>150 Days</v>
      </c>
      <c r="N58" s="70" t="str">
        <f>IF($A$3=" "," ", IFERROR( VLOOKUP($A58,'SUPPLIER DATA BASE'!$A$2:$O$936,11,0),""))</f>
        <v>JAY AMBEY SAREES</v>
      </c>
      <c r="O58" s="70" t="str">
        <f>IF($A$3=" "," ", IFERROR( VLOOKUP($A58,'SUPPLIER DATA BASE'!$A$2:$O$936,12,0),""))</f>
        <v>50200027562802</v>
      </c>
      <c r="P58" s="70" t="str">
        <f>IF($A$3=" "," ", IFERROR( VLOOKUP($A58,'SUPPLIER DATA BASE'!$A$2:$O$936,13,0),""))</f>
        <v>HDFC0009027</v>
      </c>
      <c r="Q58" s="75">
        <v>23447.0</v>
      </c>
      <c r="R58" s="73">
        <v>46131.0</v>
      </c>
      <c r="S58" s="70"/>
      <c r="T58" s="70"/>
      <c r="U58" s="78"/>
      <c r="V58" s="70" t="str">
        <f t="shared" si="4"/>
        <v>FY 25-26</v>
      </c>
      <c r="W58" s="23"/>
      <c r="X58" s="23"/>
    </row>
    <row r="59">
      <c r="A59" s="70" t="s">
        <v>370</v>
      </c>
      <c r="B59" s="70" t="str">
        <f>IF($A$3=" "," ", IFERROR( VLOOKUP($A59,'SUPPLIER DATA BASE'!$A$2:$M$936,3,0),""))</f>
        <v>-</v>
      </c>
      <c r="C59" s="70" t="str">
        <f>IF($A$3=" "," ", IFERROR( VLOOKUP($A59,'SUPPLIER DATA BASE'!$A$2:$F$936,6,0),""))</f>
        <v>SURYAM TEXTILE AGENCY</v>
      </c>
      <c r="D59" s="70">
        <f>IF($A$3=" "," ", IFERROR( VLOOKUP($A59,'SUPPLIER DATA BASE'!$A$2:$G$936,4,0),""))</f>
        <v>30</v>
      </c>
      <c r="E59" s="71">
        <f>IF($A$3=" "," ", IFERROR( VLOOKUP($A59,'SUPPLIER DATA BASE'!$A$2:$H$936,5,0),""))</f>
        <v>0.09</v>
      </c>
      <c r="F59" s="72">
        <v>162.0</v>
      </c>
      <c r="G59" s="73">
        <v>46038.0</v>
      </c>
      <c r="H59" s="74">
        <v>4.0</v>
      </c>
      <c r="I59" s="75">
        <v>11567.0</v>
      </c>
      <c r="J59" s="76" t="s">
        <v>975</v>
      </c>
      <c r="K59" s="70" t="s">
        <v>349</v>
      </c>
      <c r="L59" s="70" t="s">
        <v>349</v>
      </c>
      <c r="M59" s="70" t="str">
        <f t="shared" si="3"/>
        <v>150 Days</v>
      </c>
      <c r="N59" s="70" t="str">
        <f>IF($A$3=" "," ", IFERROR( VLOOKUP($A59,'SUPPLIER DATA BASE'!$A$2:$O$936,11,0),""))</f>
        <v>AS TEXTILE</v>
      </c>
      <c r="O59" s="70" t="str">
        <f>IF($A$3=" "," ", IFERROR( VLOOKUP($A59,'SUPPLIER DATA BASE'!$A$2:$O$936,12,0),""))</f>
        <v>50200012846193</v>
      </c>
      <c r="P59" s="70" t="str">
        <f>IF($A$3=" "," ", IFERROR( VLOOKUP($A59,'SUPPLIER DATA BASE'!$A$2:$O$936,13,0),""))</f>
        <v>HDFC0001249</v>
      </c>
      <c r="Q59" s="77">
        <v>10575.0</v>
      </c>
      <c r="R59" s="73">
        <v>46085.0</v>
      </c>
      <c r="S59" s="77">
        <v>991.44</v>
      </c>
      <c r="T59" s="70"/>
      <c r="U59" s="78"/>
      <c r="V59" s="70" t="str">
        <f t="shared" si="4"/>
        <v>FY 25-26</v>
      </c>
      <c r="W59" s="23"/>
      <c r="X59" s="23"/>
    </row>
    <row r="60">
      <c r="A60" s="70" t="s">
        <v>370</v>
      </c>
      <c r="B60" s="70" t="str">
        <f>IF($A$3=" "," ", IFERROR( VLOOKUP($A60,'SUPPLIER DATA BASE'!$A$2:$M$936,3,0),""))</f>
        <v>-</v>
      </c>
      <c r="C60" s="70" t="str">
        <f>IF($A$3=" "," ", IFERROR( VLOOKUP($A60,'SUPPLIER DATA BASE'!$A$2:$F$936,6,0),""))</f>
        <v>SURYAM TEXTILE AGENCY</v>
      </c>
      <c r="D60" s="70">
        <f>IF($A$3=" "," ", IFERROR( VLOOKUP($A60,'SUPPLIER DATA BASE'!$A$2:$G$936,4,0),""))</f>
        <v>30</v>
      </c>
      <c r="E60" s="71">
        <f>IF($A$3=" "," ", IFERROR( VLOOKUP($A60,'SUPPLIER DATA BASE'!$A$2:$H$936,5,0),""))</f>
        <v>0.09</v>
      </c>
      <c r="F60" s="72">
        <v>161.0</v>
      </c>
      <c r="G60" s="73">
        <v>46038.0</v>
      </c>
      <c r="H60" s="74">
        <v>2.0</v>
      </c>
      <c r="I60" s="75">
        <v>13885.0</v>
      </c>
      <c r="J60" s="76" t="s">
        <v>976</v>
      </c>
      <c r="K60" s="70" t="s">
        <v>349</v>
      </c>
      <c r="L60" s="70" t="s">
        <v>349</v>
      </c>
      <c r="M60" s="70" t="str">
        <f t="shared" si="3"/>
        <v>150 Days</v>
      </c>
      <c r="N60" s="70" t="str">
        <f>IF($A$3=" "," ", IFERROR( VLOOKUP($A60,'SUPPLIER DATA BASE'!$A$2:$O$936,11,0),""))</f>
        <v>AS TEXTILE</v>
      </c>
      <c r="O60" s="70" t="str">
        <f>IF($A$3=" "," ", IFERROR( VLOOKUP($A60,'SUPPLIER DATA BASE'!$A$2:$O$936,12,0),""))</f>
        <v>50200012846193</v>
      </c>
      <c r="P60" s="70" t="str">
        <f>IF($A$3=" "," ", IFERROR( VLOOKUP($A60,'SUPPLIER DATA BASE'!$A$2:$O$936,13,0),""))</f>
        <v>HDFC0001249</v>
      </c>
      <c r="Q60" s="77">
        <v>12695.0</v>
      </c>
      <c r="R60" s="73">
        <v>46085.0</v>
      </c>
      <c r="S60" s="77">
        <v>1190.16</v>
      </c>
      <c r="T60" s="70"/>
      <c r="U60" s="78"/>
      <c r="V60" s="70" t="str">
        <f t="shared" si="4"/>
        <v>FY 25-26</v>
      </c>
      <c r="W60" s="23"/>
      <c r="X60" s="23"/>
    </row>
    <row r="61">
      <c r="A61" s="70" t="s">
        <v>480</v>
      </c>
      <c r="B61" s="70" t="str">
        <f>IF($A$3=" "," ", IFERROR( VLOOKUP($A61,'SUPPLIER DATA BASE'!$A$2:$M$936,3,0),""))</f>
        <v>-</v>
      </c>
      <c r="C61" s="70" t="str">
        <f>IF($A$3=" "," ", IFERROR( VLOOKUP($A61,'SUPPLIER DATA BASE'!$A$2:$F$936,6,0),""))</f>
        <v>-</v>
      </c>
      <c r="D61" s="70" t="str">
        <f>IF($A$3=" "," ", IFERROR( VLOOKUP($A61,'SUPPLIER DATA BASE'!$A$2:$G$936,4,0),""))</f>
        <v>-</v>
      </c>
      <c r="E61" s="71" t="str">
        <f>IF($A$3=" "," ", IFERROR( VLOOKUP($A61,'SUPPLIER DATA BASE'!$A$2:$H$936,5,0),""))</f>
        <v>-</v>
      </c>
      <c r="F61" s="72" t="s">
        <v>977</v>
      </c>
      <c r="G61" s="73">
        <v>46039.0</v>
      </c>
      <c r="H61" s="74">
        <v>280.0</v>
      </c>
      <c r="I61" s="75">
        <v>13123.0</v>
      </c>
      <c r="J61" s="76" t="s">
        <v>978</v>
      </c>
      <c r="K61" s="70" t="s">
        <v>349</v>
      </c>
      <c r="L61" s="70" t="s">
        <v>349</v>
      </c>
      <c r="M61" s="70" t="str">
        <f t="shared" si="3"/>
        <v>149 Days</v>
      </c>
      <c r="N61" s="70" t="str">
        <f>IF($A$3=" "," ", IFERROR( VLOOKUP($A61,'SUPPLIER DATA BASE'!$A$2:$O$936,11,0),""))</f>
        <v>GTN ENGINEERING INDIA LTD</v>
      </c>
      <c r="O61" s="70" t="str">
        <f>IF($A$3=" "," ", IFERROR( VLOOKUP($A61,'SUPPLIER DATA BASE'!$A$2:$O$936,12,0),""))</f>
        <v>4437002100000153</v>
      </c>
      <c r="P61" s="70" t="str">
        <f>IF($A$3=" "," ", IFERROR( VLOOKUP($A61,'SUPPLIER DATA BASE'!$A$2:$O$936,13,0),""))</f>
        <v>PUNB0020700</v>
      </c>
      <c r="Q61" s="73"/>
      <c r="R61" s="73"/>
      <c r="S61" s="70"/>
      <c r="T61" s="70"/>
      <c r="U61" s="78"/>
      <c r="V61" s="70" t="str">
        <f t="shared" si="4"/>
        <v>FY 25-26</v>
      </c>
      <c r="W61" s="23"/>
      <c r="X61" s="23"/>
    </row>
    <row r="62">
      <c r="A62" s="70" t="s">
        <v>480</v>
      </c>
      <c r="B62" s="70" t="str">
        <f>IF($A$3=" "," ", IFERROR( VLOOKUP($A62,'SUPPLIER DATA BASE'!$A$2:$M$936,3,0),""))</f>
        <v>-</v>
      </c>
      <c r="C62" s="70" t="str">
        <f>IF($A$3=" "," ", IFERROR( VLOOKUP($A62,'SUPPLIER DATA BASE'!$A$2:$F$936,6,0),""))</f>
        <v>-</v>
      </c>
      <c r="D62" s="70" t="str">
        <f>IF($A$3=" "," ", IFERROR( VLOOKUP($A62,'SUPPLIER DATA BASE'!$A$2:$G$936,4,0),""))</f>
        <v>-</v>
      </c>
      <c r="E62" s="71" t="str">
        <f>IF($A$3=" "," ", IFERROR( VLOOKUP($A62,'SUPPLIER DATA BASE'!$A$2:$H$936,5,0),""))</f>
        <v>-</v>
      </c>
      <c r="F62" s="72" t="s">
        <v>979</v>
      </c>
      <c r="G62" s="73">
        <v>46039.0</v>
      </c>
      <c r="H62" s="74">
        <v>140.0</v>
      </c>
      <c r="I62" s="75">
        <v>8600.0</v>
      </c>
      <c r="J62" s="76" t="s">
        <v>980</v>
      </c>
      <c r="K62" s="70" t="s">
        <v>349</v>
      </c>
      <c r="L62" s="70" t="s">
        <v>349</v>
      </c>
      <c r="M62" s="70" t="str">
        <f t="shared" si="3"/>
        <v>149 Days</v>
      </c>
      <c r="N62" s="70" t="str">
        <f>IF($A$3=" "," ", IFERROR( VLOOKUP($A62,'SUPPLIER DATA BASE'!$A$2:$O$936,11,0),""))</f>
        <v>GTN ENGINEERING INDIA LTD</v>
      </c>
      <c r="O62" s="70" t="str">
        <f>IF($A$3=" "," ", IFERROR( VLOOKUP($A62,'SUPPLIER DATA BASE'!$A$2:$O$936,12,0),""))</f>
        <v>4437002100000153</v>
      </c>
      <c r="P62" s="70" t="str">
        <f>IF($A$3=" "," ", IFERROR( VLOOKUP($A62,'SUPPLIER DATA BASE'!$A$2:$O$936,13,0),""))</f>
        <v>PUNB0020700</v>
      </c>
      <c r="Q62" s="73"/>
      <c r="R62" s="73"/>
      <c r="S62" s="70"/>
      <c r="T62" s="70"/>
      <c r="U62" s="78"/>
      <c r="V62" s="70" t="str">
        <f t="shared" si="4"/>
        <v>FY 25-26</v>
      </c>
      <c r="W62" s="23"/>
      <c r="X62" s="23"/>
    </row>
    <row r="63">
      <c r="A63" s="70" t="s">
        <v>809</v>
      </c>
      <c r="B63" s="70" t="str">
        <f>IF($A$3=" "," ", IFERROR( VLOOKUP($A63,'SUPPLIER DATA BASE'!$A$2:$M$936,3,0),""))</f>
        <v>-</v>
      </c>
      <c r="C63" s="70" t="str">
        <f>IF($A$3=" "," ", IFERROR( VLOOKUP($A63,'SUPPLIER DATA BASE'!$A$2:$F$936,6,0),""))</f>
        <v>SURYAM TEXTILE AGENCY</v>
      </c>
      <c r="D63" s="70" t="str">
        <f>IF($A$3=" "," ", IFERROR( VLOOKUP($A63,'SUPPLIER DATA BASE'!$A$2:$G$936,4,0),""))</f>
        <v>-</v>
      </c>
      <c r="E63" s="71" t="str">
        <f>IF($A$3=" "," ", IFERROR( VLOOKUP($A63,'SUPPLIER DATA BASE'!$A$2:$H$936,5,0),""))</f>
        <v>-</v>
      </c>
      <c r="F63" s="72">
        <v>2864.0</v>
      </c>
      <c r="G63" s="73">
        <v>46039.0</v>
      </c>
      <c r="H63" s="74">
        <v>34.0</v>
      </c>
      <c r="I63" s="75">
        <v>108744.0</v>
      </c>
      <c r="J63" s="83" t="s">
        <v>981</v>
      </c>
      <c r="K63" s="70" t="s">
        <v>349</v>
      </c>
      <c r="L63" s="70" t="s">
        <v>349</v>
      </c>
      <c r="M63" s="70" t="str">
        <f t="shared" si="3"/>
        <v>149 Days</v>
      </c>
      <c r="N63" s="70" t="str">
        <f>IF($A$3=" "," ", IFERROR( VLOOKUP($A63,'SUPPLIER DATA BASE'!$A$2:$O$936,11,0),""))</f>
        <v>ANAYA DESIGNER</v>
      </c>
      <c r="O63" s="70" t="str">
        <f>IF($A$3=" "," ", IFERROR( VLOOKUP($A63,'SUPPLIER DATA BASE'!$A$2:$O$936,12,0),""))</f>
        <v>2650415227</v>
      </c>
      <c r="P63" s="70" t="str">
        <f>IF($A$3=" "," ", IFERROR( VLOOKUP($A63,'SUPPLIER DATA BASE'!$A$2:$O$936,13,0),""))</f>
        <v>KKBK0000884</v>
      </c>
      <c r="Q63" s="77">
        <v>108744.0</v>
      </c>
      <c r="R63" s="73">
        <v>46133.0</v>
      </c>
      <c r="S63" s="77"/>
      <c r="T63" s="70"/>
      <c r="U63" s="78"/>
      <c r="V63" s="70" t="str">
        <f t="shared" si="4"/>
        <v>FY 25-26</v>
      </c>
      <c r="W63" s="23"/>
      <c r="X63" s="23"/>
    </row>
    <row r="64">
      <c r="A64" s="70" t="s">
        <v>809</v>
      </c>
      <c r="B64" s="70" t="str">
        <f>IF($A$3=" "," ", IFERROR( VLOOKUP($A64,'SUPPLIER DATA BASE'!$A$2:$M$936,3,0),""))</f>
        <v>-</v>
      </c>
      <c r="C64" s="70" t="str">
        <f>IF($A$3=" "," ", IFERROR( VLOOKUP($A64,'SUPPLIER DATA BASE'!$A$2:$F$936,6,0),""))</f>
        <v>SURYAM TEXTILE AGENCY</v>
      </c>
      <c r="D64" s="70" t="str">
        <f>IF($A$3=" "," ", IFERROR( VLOOKUP($A64,'SUPPLIER DATA BASE'!$A$2:$G$936,4,0),""))</f>
        <v>-</v>
      </c>
      <c r="E64" s="71" t="str">
        <f>IF($A$3=" "," ", IFERROR( VLOOKUP($A64,'SUPPLIER DATA BASE'!$A$2:$H$936,5,0),""))</f>
        <v>-</v>
      </c>
      <c r="F64" s="72">
        <v>2865.0</v>
      </c>
      <c r="G64" s="73">
        <v>46039.0</v>
      </c>
      <c r="H64" s="74">
        <v>33.0</v>
      </c>
      <c r="I64" s="75">
        <v>99768.0</v>
      </c>
      <c r="J64" s="76" t="s">
        <v>982</v>
      </c>
      <c r="K64" s="70" t="s">
        <v>349</v>
      </c>
      <c r="L64" s="70" t="s">
        <v>349</v>
      </c>
      <c r="M64" s="70" t="str">
        <f t="shared" si="3"/>
        <v>149 Days</v>
      </c>
      <c r="N64" s="70" t="str">
        <f>IF($A$3=" "," ", IFERROR( VLOOKUP($A64,'SUPPLIER DATA BASE'!$A$2:$O$936,11,0),""))</f>
        <v>ANAYA DESIGNER</v>
      </c>
      <c r="O64" s="70" t="str">
        <f>IF($A$3=" "," ", IFERROR( VLOOKUP($A64,'SUPPLIER DATA BASE'!$A$2:$O$936,12,0),""))</f>
        <v>2650415227</v>
      </c>
      <c r="P64" s="70" t="str">
        <f>IF($A$3=" "," ", IFERROR( VLOOKUP($A64,'SUPPLIER DATA BASE'!$A$2:$O$936,13,0),""))</f>
        <v>KKBK0000884</v>
      </c>
      <c r="Q64" s="77">
        <v>93680.0</v>
      </c>
      <c r="R64" s="73">
        <v>46133.0</v>
      </c>
      <c r="S64" s="77">
        <v>3044.0</v>
      </c>
      <c r="T64" s="70"/>
      <c r="U64" s="84" t="s">
        <v>983</v>
      </c>
      <c r="V64" s="70" t="str">
        <f t="shared" si="4"/>
        <v>FY 25-26</v>
      </c>
      <c r="W64" s="23"/>
      <c r="X64" s="23"/>
    </row>
    <row r="65">
      <c r="A65" s="70" t="s">
        <v>370</v>
      </c>
      <c r="B65" s="70" t="str">
        <f>IF($A$3=" "," ", IFERROR( VLOOKUP($A65,'SUPPLIER DATA BASE'!$A$2:$M$936,3,0),""))</f>
        <v>-</v>
      </c>
      <c r="C65" s="70" t="str">
        <f>IF($A$3=" "," ", IFERROR( VLOOKUP($A65,'SUPPLIER DATA BASE'!$A$2:$F$936,6,0),""))</f>
        <v>SURYAM TEXTILE AGENCY</v>
      </c>
      <c r="D65" s="70">
        <f>IF($A$3=" "," ", IFERROR( VLOOKUP($A65,'SUPPLIER DATA BASE'!$A$2:$G$936,4,0),""))</f>
        <v>30</v>
      </c>
      <c r="E65" s="71">
        <f>IF($A$3=" "," ", IFERROR( VLOOKUP($A65,'SUPPLIER DATA BASE'!$A$2:$H$936,5,0),""))</f>
        <v>0.09</v>
      </c>
      <c r="F65" s="72">
        <v>175.0</v>
      </c>
      <c r="G65" s="73">
        <v>46043.0</v>
      </c>
      <c r="H65" s="74">
        <v>4.0</v>
      </c>
      <c r="I65" s="75">
        <v>10601.0</v>
      </c>
      <c r="J65" s="76" t="s">
        <v>984</v>
      </c>
      <c r="K65" s="70" t="s">
        <v>349</v>
      </c>
      <c r="L65" s="70" t="s">
        <v>349</v>
      </c>
      <c r="M65" s="70" t="str">
        <f t="shared" si="3"/>
        <v>145 Days</v>
      </c>
      <c r="N65" s="70" t="str">
        <f>IF($A$3=" "," ", IFERROR( VLOOKUP($A65,'SUPPLIER DATA BASE'!$A$2:$O$936,11,0),""))</f>
        <v>AS TEXTILE</v>
      </c>
      <c r="O65" s="70" t="str">
        <f>IF($A$3=" "," ", IFERROR( VLOOKUP($A65,'SUPPLIER DATA BASE'!$A$2:$O$936,12,0),""))</f>
        <v>50200012846193</v>
      </c>
      <c r="P65" s="70" t="str">
        <f>IF($A$3=" "," ", IFERROR( VLOOKUP($A65,'SUPPLIER DATA BASE'!$A$2:$O$936,13,0),""))</f>
        <v>HDFC0001249</v>
      </c>
      <c r="Q65" s="77"/>
      <c r="R65" s="73"/>
      <c r="S65" s="77"/>
      <c r="T65" s="70"/>
      <c r="U65" s="78"/>
      <c r="V65" s="70" t="str">
        <f t="shared" si="4"/>
        <v>FY 25-26</v>
      </c>
      <c r="W65" s="23"/>
      <c r="X65" s="23"/>
    </row>
    <row r="66">
      <c r="A66" s="70" t="s">
        <v>413</v>
      </c>
      <c r="B66" s="70" t="str">
        <f>IF($A$3=" "," ", IFERROR( VLOOKUP($A66,'SUPPLIER DATA BASE'!$A$2:$M$936,3,0),""))</f>
        <v>KILLER</v>
      </c>
      <c r="C66" s="70" t="str">
        <f>IF($A$3=" "," ", IFERROR( VLOOKUP($A66,'SUPPLIER DATA BASE'!$A$2:$F$936,6,0),""))</f>
        <v>-</v>
      </c>
      <c r="D66" s="70" t="str">
        <f>IF($A$3=" "," ", IFERROR( VLOOKUP($A66,'SUPPLIER DATA BASE'!$A$2:$G$936,4,0),""))</f>
        <v>NO</v>
      </c>
      <c r="E66" s="71" t="str">
        <f>IF($A$3=" "," ", IFERROR( VLOOKUP($A66,'SUPPLIER DATA BASE'!$A$2:$H$936,5,0),""))</f>
        <v>-</v>
      </c>
      <c r="F66" s="72" t="s">
        <v>985</v>
      </c>
      <c r="G66" s="73">
        <v>46044.0</v>
      </c>
      <c r="H66" s="74">
        <v>408.0</v>
      </c>
      <c r="I66" s="75">
        <v>682915.0</v>
      </c>
      <c r="J66" s="76" t="s">
        <v>986</v>
      </c>
      <c r="K66" s="70" t="s">
        <v>349</v>
      </c>
      <c r="L66" s="70" t="s">
        <v>349</v>
      </c>
      <c r="M66" s="70" t="str">
        <f t="shared" si="3"/>
        <v>144 Days</v>
      </c>
      <c r="N66" s="70" t="str">
        <f>IF($A$3=" "," ", IFERROR( VLOOKUP($A66,'SUPPLIER DATA BASE'!$A$2:$O$936,11,0),""))</f>
        <v>D D SALES CO</v>
      </c>
      <c r="O66" s="70" t="str">
        <f>IF($A$3=" "," ", IFERROR( VLOOKUP($A66,'SUPPLIER DATA BASE'!$A$2:$O$936,12,0),""))</f>
        <v>29205007835</v>
      </c>
      <c r="P66" s="70" t="str">
        <f>IF($A$3=" "," ", IFERROR( VLOOKUP($A66,'SUPPLIER DATA BASE'!$A$2:$O$936,13,0),""))</f>
        <v>ICIC0000292</v>
      </c>
      <c r="Q66" s="73"/>
      <c r="R66" s="73"/>
      <c r="S66" s="70"/>
      <c r="T66" s="70"/>
      <c r="U66" s="78"/>
      <c r="V66" s="70" t="str">
        <f t="shared" si="4"/>
        <v>FY 25-26</v>
      </c>
      <c r="W66" s="23"/>
      <c r="X66" s="23"/>
    </row>
    <row r="67">
      <c r="A67" s="70" t="s">
        <v>581</v>
      </c>
      <c r="B67" s="70" t="str">
        <f>IF($A$3=" "," ", IFERROR( VLOOKUP($A67,'SUPPLIER DATA BASE'!$A$2:$M$936,3,0),""))</f>
        <v>-</v>
      </c>
      <c r="C67" s="70" t="str">
        <f>IF($A$3=" "," ", IFERROR( VLOOKUP($A67,'SUPPLIER DATA BASE'!$A$2:$F$936,6,0),""))</f>
        <v>-</v>
      </c>
      <c r="D67" s="70" t="str">
        <f>IF($A$3=" "," ", IFERROR( VLOOKUP($A67,'SUPPLIER DATA BASE'!$A$2:$G$936,4,0),""))</f>
        <v>-</v>
      </c>
      <c r="E67" s="71" t="str">
        <f>IF($A$3=" "," ", IFERROR( VLOOKUP($A67,'SUPPLIER DATA BASE'!$A$2:$H$936,5,0),""))</f>
        <v>-</v>
      </c>
      <c r="F67" s="72" t="s">
        <v>987</v>
      </c>
      <c r="G67" s="73">
        <v>46044.0</v>
      </c>
      <c r="H67" s="74">
        <v>282.0</v>
      </c>
      <c r="I67" s="75">
        <v>28200.0</v>
      </c>
      <c r="J67" s="76" t="s">
        <v>988</v>
      </c>
      <c r="K67" s="70" t="s">
        <v>349</v>
      </c>
      <c r="L67" s="70" t="s">
        <v>349</v>
      </c>
      <c r="M67" s="70" t="str">
        <f t="shared" si="3"/>
        <v>144 Days</v>
      </c>
      <c r="N67" s="70" t="str">
        <f>IF($A$3=" "," ", IFERROR( VLOOKUP($A67,'SUPPLIER DATA BASE'!$A$2:$O$936,11,0),""))</f>
        <v>MUKESH AGRAWAL</v>
      </c>
      <c r="O67" s="70" t="str">
        <f>IF($A$3=" "," ", IFERROR( VLOOKUP($A67,'SUPPLIER DATA BASE'!$A$2:$O$936,12,0),""))</f>
        <v>3581044998</v>
      </c>
      <c r="P67" s="70" t="str">
        <f>IF($A$3=" "," ", IFERROR( VLOOKUP($A67,'SUPPLIER DATA BASE'!$A$2:$O$936,13,0),""))</f>
        <v>CBIN0281277</v>
      </c>
      <c r="Q67" s="73"/>
      <c r="R67" s="73"/>
      <c r="S67" s="70"/>
      <c r="T67" s="70"/>
      <c r="U67" s="78"/>
      <c r="V67" s="70" t="str">
        <f t="shared" si="4"/>
        <v>FY 25-26</v>
      </c>
      <c r="W67" s="23"/>
      <c r="X67" s="23"/>
    </row>
    <row r="68">
      <c r="A68" s="70" t="s">
        <v>402</v>
      </c>
      <c r="B68" s="70" t="str">
        <f>IF($A$3=" "," ", IFERROR( VLOOKUP($A68,'SUPPLIER DATA BASE'!$A$2:$M$936,3,0),""))</f>
        <v>KHUSHAL/STATUS QUO</v>
      </c>
      <c r="C68" s="70" t="str">
        <f>IF($A$3=" "," ", IFERROR( VLOOKUP($A68,'SUPPLIER DATA BASE'!$A$2:$F$936,6,0),""))</f>
        <v>-</v>
      </c>
      <c r="D68" s="70" t="str">
        <f>IF($A$3=" "," ", IFERROR( VLOOKUP($A68,'SUPPLIER DATA BASE'!$A$2:$G$936,4,0),""))</f>
        <v>-</v>
      </c>
      <c r="E68" s="71" t="str">
        <f>IF($A$3=" "," ", IFERROR( VLOOKUP($A68,'SUPPLIER DATA BASE'!$A$2:$H$936,5,0),""))</f>
        <v>-</v>
      </c>
      <c r="F68" s="72" t="s">
        <v>989</v>
      </c>
      <c r="G68" s="73">
        <v>46044.0</v>
      </c>
      <c r="H68" s="74">
        <v>19.0</v>
      </c>
      <c r="I68" s="75">
        <v>80161.0</v>
      </c>
      <c r="J68" s="76" t="s">
        <v>990</v>
      </c>
      <c r="K68" s="70" t="s">
        <v>349</v>
      </c>
      <c r="L68" s="70" t="s">
        <v>349</v>
      </c>
      <c r="M68" s="70" t="str">
        <f t="shared" si="3"/>
        <v>144 Days</v>
      </c>
      <c r="N68" s="70" t="str">
        <f>IF($A$3=" "," ", IFERROR( VLOOKUP($A68,'SUPPLIER DATA BASE'!$A$2:$O$936,11,0),""))</f>
        <v>D APPAREL</v>
      </c>
      <c r="O68" s="70" t="str">
        <f>IF($A$3=" "," ", IFERROR( VLOOKUP($A68,'SUPPLIER DATA BASE'!$A$2:$O$936,12,0),""))</f>
        <v>722501010050397</v>
      </c>
      <c r="P68" s="70" t="str">
        <f>IF($A$3=" "," ", IFERROR( VLOOKUP($A68,'SUPPLIER DATA BASE'!$A$2:$O$936,13,0),""))</f>
        <v>UBIN0572250</v>
      </c>
      <c r="Q68" s="73"/>
      <c r="R68" s="73"/>
      <c r="S68" s="70"/>
      <c r="T68" s="70"/>
      <c r="U68" s="78"/>
      <c r="V68" s="70" t="str">
        <f t="shared" si="4"/>
        <v>FY 25-26</v>
      </c>
      <c r="W68" s="23"/>
      <c r="X68" s="23"/>
    </row>
    <row r="69">
      <c r="A69" s="70" t="s">
        <v>413</v>
      </c>
      <c r="B69" s="70" t="str">
        <f>IF($A$3=" "," ", IFERROR( VLOOKUP($A69,'SUPPLIER DATA BASE'!$A$2:$M$936,3,0),""))</f>
        <v>KILLER</v>
      </c>
      <c r="C69" s="70" t="str">
        <f>IF($A$3=" "," ", IFERROR( VLOOKUP($A69,'SUPPLIER DATA BASE'!$A$2:$F$936,6,0),""))</f>
        <v>-</v>
      </c>
      <c r="D69" s="70" t="str">
        <f>IF($A$3=" "," ", IFERROR( VLOOKUP($A69,'SUPPLIER DATA BASE'!$A$2:$G$936,4,0),""))</f>
        <v>NO</v>
      </c>
      <c r="E69" s="71" t="str">
        <f>IF($A$3=" "," ", IFERROR( VLOOKUP($A69,'SUPPLIER DATA BASE'!$A$2:$H$936,5,0),""))</f>
        <v>-</v>
      </c>
      <c r="F69" s="72" t="s">
        <v>991</v>
      </c>
      <c r="G69" s="73">
        <v>46044.0</v>
      </c>
      <c r="H69" s="74">
        <v>155.0</v>
      </c>
      <c r="I69" s="75">
        <v>246671.0</v>
      </c>
      <c r="J69" s="76" t="s">
        <v>992</v>
      </c>
      <c r="K69" s="70" t="s">
        <v>349</v>
      </c>
      <c r="L69" s="70" t="s">
        <v>349</v>
      </c>
      <c r="M69" s="70" t="str">
        <f t="shared" si="3"/>
        <v>144 Days</v>
      </c>
      <c r="N69" s="70" t="str">
        <f>IF($A$3=" "," ", IFERROR( VLOOKUP($A69,'SUPPLIER DATA BASE'!$A$2:$O$936,11,0),""))</f>
        <v>D D SALES CO</v>
      </c>
      <c r="O69" s="70" t="str">
        <f>IF($A$3=" "," ", IFERROR( VLOOKUP($A69,'SUPPLIER DATA BASE'!$A$2:$O$936,12,0),""))</f>
        <v>29205007835</v>
      </c>
      <c r="P69" s="70" t="str">
        <f>IF($A$3=" "," ", IFERROR( VLOOKUP($A69,'SUPPLIER DATA BASE'!$A$2:$O$936,13,0),""))</f>
        <v>ICIC0000292</v>
      </c>
      <c r="Q69" s="73"/>
      <c r="R69" s="73"/>
      <c r="S69" s="70"/>
      <c r="T69" s="70"/>
      <c r="U69" s="78"/>
      <c r="V69" s="70" t="str">
        <f t="shared" si="4"/>
        <v>FY 25-26</v>
      </c>
      <c r="W69" s="23"/>
      <c r="X69" s="23"/>
    </row>
    <row r="70">
      <c r="A70" s="70" t="s">
        <v>413</v>
      </c>
      <c r="B70" s="70" t="str">
        <f>IF($A$3=" "," ", IFERROR( VLOOKUP($A70,'SUPPLIER DATA BASE'!$A$2:$M$936,3,0),""))</f>
        <v>KILLER</v>
      </c>
      <c r="C70" s="70" t="str">
        <f>IF($A$3=" "," ", IFERROR( VLOOKUP($A70,'SUPPLIER DATA BASE'!$A$2:$F$936,6,0),""))</f>
        <v>-</v>
      </c>
      <c r="D70" s="70" t="str">
        <f>IF($A$3=" "," ", IFERROR( VLOOKUP($A70,'SUPPLIER DATA BASE'!$A$2:$G$936,4,0),""))</f>
        <v>NO</v>
      </c>
      <c r="E70" s="71" t="str">
        <f>IF($A$3=" "," ", IFERROR( VLOOKUP($A70,'SUPPLIER DATA BASE'!$A$2:$H$936,5,0),""))</f>
        <v>-</v>
      </c>
      <c r="F70" s="72" t="s">
        <v>993</v>
      </c>
      <c r="G70" s="73">
        <v>46044.0</v>
      </c>
      <c r="H70" s="74">
        <v>238.0</v>
      </c>
      <c r="I70" s="75">
        <v>398654.0</v>
      </c>
      <c r="J70" s="76" t="s">
        <v>994</v>
      </c>
      <c r="K70" s="70" t="s">
        <v>349</v>
      </c>
      <c r="L70" s="70" t="s">
        <v>349</v>
      </c>
      <c r="M70" s="70" t="str">
        <f t="shared" si="3"/>
        <v>144 Days</v>
      </c>
      <c r="N70" s="70" t="str">
        <f>IF($A$3=" "," ", IFERROR( VLOOKUP($A70,'SUPPLIER DATA BASE'!$A$2:$O$936,11,0),""))</f>
        <v>D D SALES CO</v>
      </c>
      <c r="O70" s="70" t="str">
        <f>IF($A$3=" "," ", IFERROR( VLOOKUP($A70,'SUPPLIER DATA BASE'!$A$2:$O$936,12,0),""))</f>
        <v>29205007835</v>
      </c>
      <c r="P70" s="70" t="str">
        <f>IF($A$3=" "," ", IFERROR( VLOOKUP($A70,'SUPPLIER DATA BASE'!$A$2:$O$936,13,0),""))</f>
        <v>ICIC0000292</v>
      </c>
      <c r="Q70" s="73"/>
      <c r="R70" s="73"/>
      <c r="S70" s="70"/>
      <c r="T70" s="70"/>
      <c r="U70" s="78"/>
      <c r="V70" s="70" t="str">
        <f t="shared" si="4"/>
        <v>FY 25-26</v>
      </c>
      <c r="W70" s="23"/>
      <c r="X70" s="23"/>
    </row>
    <row r="71">
      <c r="A71" s="70" t="s">
        <v>379</v>
      </c>
      <c r="B71" s="70" t="str">
        <f>IF($A$3=" "," ", IFERROR( VLOOKUP($A71,'SUPPLIER DATA BASE'!$A$2:$M$936,3,0),""))</f>
        <v>-</v>
      </c>
      <c r="C71" s="70" t="str">
        <f>IF($A$3=" "," ", IFERROR( VLOOKUP($A71,'SUPPLIER DATA BASE'!$A$2:$F$936,6,0),""))</f>
        <v>-</v>
      </c>
      <c r="D71" s="70" t="str">
        <f>IF($A$3=" "," ", IFERROR( VLOOKUP($A71,'SUPPLIER DATA BASE'!$A$2:$G$936,4,0),""))</f>
        <v>-</v>
      </c>
      <c r="E71" s="71" t="str">
        <f>IF($A$3=" "," ", IFERROR( VLOOKUP($A71,'SUPPLIER DATA BASE'!$A$2:$H$936,5,0),""))</f>
        <v>-</v>
      </c>
      <c r="F71" s="72">
        <v>3001.0</v>
      </c>
      <c r="G71" s="73">
        <v>46045.0</v>
      </c>
      <c r="H71" s="74">
        <v>102.0</v>
      </c>
      <c r="I71" s="75">
        <v>57346.0</v>
      </c>
      <c r="J71" s="76" t="s">
        <v>995</v>
      </c>
      <c r="K71" s="70" t="s">
        <v>349</v>
      </c>
      <c r="L71" s="70" t="s">
        <v>349</v>
      </c>
      <c r="M71" s="70" t="str">
        <f t="shared" si="3"/>
        <v>143 Days</v>
      </c>
      <c r="N71" s="70" t="str">
        <f>IF($A$3=" "," ", IFERROR( VLOOKUP($A71,'SUPPLIER DATA BASE'!$A$2:$O$936,11,0),""))</f>
        <v>B B FASHIONS</v>
      </c>
      <c r="O71" s="70" t="str">
        <f>IF($A$3=" "," ", IFERROR( VLOOKUP($A71,'SUPPLIER DATA BASE'!$A$2:$O$936,12,0),""))</f>
        <v>4913058844</v>
      </c>
      <c r="P71" s="70" t="str">
        <f>IF($A$3=" "," ", IFERROR( VLOOKUP($A71,'SUPPLIER DATA BASE'!$A$2:$O$936,13,0),""))</f>
        <v>KKBK0004599</v>
      </c>
      <c r="Q71" s="73"/>
      <c r="R71" s="73"/>
      <c r="S71" s="70"/>
      <c r="T71" s="70"/>
      <c r="U71" s="78"/>
      <c r="V71" s="70" t="str">
        <f t="shared" si="4"/>
        <v>FY 25-26</v>
      </c>
      <c r="W71" s="23"/>
      <c r="X71" s="23"/>
    </row>
    <row r="72">
      <c r="A72" s="70" t="s">
        <v>467</v>
      </c>
      <c r="B72" s="70" t="str">
        <f>IF($A$3=" "," ", IFERROR( VLOOKUP($A72,'SUPPLIER DATA BASE'!$A$2:$M$936,3,0),""))</f>
        <v>-</v>
      </c>
      <c r="C72" s="70" t="str">
        <f>IF($A$3=" "," ", IFERROR( VLOOKUP($A72,'SUPPLIER DATA BASE'!$A$2:$F$936,6,0),""))</f>
        <v>SURYAM TEXTILE AGENCY</v>
      </c>
      <c r="D72" s="70" t="str">
        <f>IF($A$3=" "," ", IFERROR( VLOOKUP($A72,'SUPPLIER DATA BASE'!$A$2:$G$936,4,0),""))</f>
        <v>NO</v>
      </c>
      <c r="E72" s="71" t="str">
        <f>IF($A$3=" "," ", IFERROR( VLOOKUP($A72,'SUPPLIER DATA BASE'!$A$2:$H$936,5,0),""))</f>
        <v>-</v>
      </c>
      <c r="F72" s="72">
        <v>3991.0</v>
      </c>
      <c r="G72" s="73">
        <v>46045.0</v>
      </c>
      <c r="H72" s="74">
        <v>57.0</v>
      </c>
      <c r="I72" s="75">
        <v>102706.0</v>
      </c>
      <c r="J72" s="76" t="s">
        <v>996</v>
      </c>
      <c r="K72" s="70" t="s">
        <v>349</v>
      </c>
      <c r="L72" s="70" t="s">
        <v>349</v>
      </c>
      <c r="M72" s="70" t="str">
        <f t="shared" si="3"/>
        <v>143 Days</v>
      </c>
      <c r="N72" s="70" t="str">
        <f>IF($A$3=" "," ", IFERROR( VLOOKUP($A72,'SUPPLIER DATA BASE'!$A$2:$O$936,11,0),""))</f>
        <v>GAJENDRA OVERSEAS</v>
      </c>
      <c r="O72" s="70" t="str">
        <f>IF($A$3=" "," ", IFERROR( VLOOKUP($A72,'SUPPLIER DATA BASE'!$A$2:$O$936,12,0),""))</f>
        <v>777705312611</v>
      </c>
      <c r="P72" s="70" t="str">
        <f>IF($A$3=" "," ", IFERROR( VLOOKUP($A72,'SUPPLIER DATA BASE'!$A$2:$O$936,13,0),""))</f>
        <v>ICIC0001387</v>
      </c>
      <c r="Q72" s="73"/>
      <c r="R72" s="73"/>
      <c r="S72" s="70"/>
      <c r="T72" s="70"/>
      <c r="U72" s="78"/>
      <c r="V72" s="70" t="str">
        <f t="shared" si="4"/>
        <v>FY 25-26</v>
      </c>
      <c r="W72" s="23"/>
      <c r="X72" s="23"/>
    </row>
    <row r="73">
      <c r="A73" s="70" t="s">
        <v>495</v>
      </c>
      <c r="B73" s="70" t="str">
        <f>IF($A$3=" "," ", IFERROR( VLOOKUP($A73,'SUPPLIER DATA BASE'!$A$2:$M$936,3,0),""))</f>
        <v>-</v>
      </c>
      <c r="C73" s="70" t="str">
        <f>IF($A$3=" "," ", IFERROR( VLOOKUP($A73,'SUPPLIER DATA BASE'!$A$2:$F$936,6,0),""))</f>
        <v>-</v>
      </c>
      <c r="D73" s="70" t="str">
        <f>IF($A$3=" "," ", IFERROR( VLOOKUP($A73,'SUPPLIER DATA BASE'!$A$2:$G$936,4,0),""))</f>
        <v>-</v>
      </c>
      <c r="E73" s="71" t="str">
        <f>IF($A$3=" "," ", IFERROR( VLOOKUP($A73,'SUPPLIER DATA BASE'!$A$2:$H$936,5,0),""))</f>
        <v>-</v>
      </c>
      <c r="F73" s="72" t="s">
        <v>997</v>
      </c>
      <c r="G73" s="73">
        <v>46045.0</v>
      </c>
      <c r="H73" s="74">
        <v>195.0</v>
      </c>
      <c r="I73" s="75">
        <v>606778.0</v>
      </c>
      <c r="J73" s="76" t="s">
        <v>998</v>
      </c>
      <c r="K73" s="70" t="s">
        <v>349</v>
      </c>
      <c r="L73" s="70" t="s">
        <v>349</v>
      </c>
      <c r="M73" s="70" t="str">
        <f t="shared" si="3"/>
        <v>143 Days</v>
      </c>
      <c r="N73" s="70" t="str">
        <f>IF($A$3=" "," ", IFERROR( VLOOKUP($A73,'SUPPLIER DATA BASE'!$A$2:$O$936,11,0),""))</f>
        <v>JAIN ADISHWAR HOSIERY WORKS LLP</v>
      </c>
      <c r="O73" s="70" t="str">
        <f>IF($A$3=" "," ", IFERROR( VLOOKUP($A73,'SUPPLIER DATA BASE'!$A$2:$O$936,12,0),""))</f>
        <v>99917644444444</v>
      </c>
      <c r="P73" s="70" t="str">
        <f>IF($A$3=" "," ", IFERROR( VLOOKUP($A73,'SUPPLIER DATA BASE'!$A$2:$O$936,13,0),""))</f>
        <v>HDFC0002063</v>
      </c>
      <c r="Q73" s="73"/>
      <c r="R73" s="73"/>
      <c r="S73" s="70"/>
      <c r="T73" s="70"/>
      <c r="U73" s="78"/>
      <c r="V73" s="70" t="str">
        <f t="shared" si="4"/>
        <v>FY 25-26</v>
      </c>
      <c r="W73" s="23"/>
      <c r="X73" s="23"/>
    </row>
    <row r="74">
      <c r="A74" s="70" t="s">
        <v>495</v>
      </c>
      <c r="B74" s="70" t="str">
        <f>IF($A$3=" "," ", IFERROR( VLOOKUP($A74,'SUPPLIER DATA BASE'!$A$2:$M$936,3,0),""))</f>
        <v>-</v>
      </c>
      <c r="C74" s="70" t="str">
        <f>IF($A$3=" "," ", IFERROR( VLOOKUP($A74,'SUPPLIER DATA BASE'!$A$2:$F$936,6,0),""))</f>
        <v>-</v>
      </c>
      <c r="D74" s="70" t="str">
        <f>IF($A$3=" "," ", IFERROR( VLOOKUP($A74,'SUPPLIER DATA BASE'!$A$2:$G$936,4,0),""))</f>
        <v>-</v>
      </c>
      <c r="E74" s="71" t="str">
        <f>IF($A$3=" "," ", IFERROR( VLOOKUP($A74,'SUPPLIER DATA BASE'!$A$2:$H$936,5,0),""))</f>
        <v>-</v>
      </c>
      <c r="F74" s="72" t="s">
        <v>999</v>
      </c>
      <c r="G74" s="73">
        <v>46046.0</v>
      </c>
      <c r="H74" s="74">
        <v>206.0</v>
      </c>
      <c r="I74" s="75">
        <v>595367.0</v>
      </c>
      <c r="J74" s="76" t="s">
        <v>1000</v>
      </c>
      <c r="K74" s="70" t="s">
        <v>349</v>
      </c>
      <c r="L74" s="70" t="s">
        <v>349</v>
      </c>
      <c r="M74" s="70" t="str">
        <f t="shared" si="3"/>
        <v>142 Days</v>
      </c>
      <c r="N74" s="70" t="str">
        <f>IF($A$3=" "," ", IFERROR( VLOOKUP($A74,'SUPPLIER DATA BASE'!$A$2:$O$936,11,0),""))</f>
        <v>JAIN ADISHWAR HOSIERY WORKS LLP</v>
      </c>
      <c r="O74" s="70" t="str">
        <f>IF($A$3=" "," ", IFERROR( VLOOKUP($A74,'SUPPLIER DATA BASE'!$A$2:$O$936,12,0),""))</f>
        <v>99917644444444</v>
      </c>
      <c r="P74" s="70" t="str">
        <f>IF($A$3=" "," ", IFERROR( VLOOKUP($A74,'SUPPLIER DATA BASE'!$A$2:$O$936,13,0),""))</f>
        <v>HDFC0002063</v>
      </c>
      <c r="Q74" s="73"/>
      <c r="R74" s="73"/>
      <c r="S74" s="70"/>
      <c r="T74" s="70"/>
      <c r="U74" s="78"/>
      <c r="V74" s="70" t="str">
        <f t="shared" si="4"/>
        <v>FY 25-26</v>
      </c>
      <c r="W74" s="23"/>
      <c r="X74" s="23"/>
    </row>
    <row r="75">
      <c r="A75" s="70" t="s">
        <v>413</v>
      </c>
      <c r="B75" s="70" t="str">
        <f>IF($A$3=" "," ", IFERROR( VLOOKUP($A75,'SUPPLIER DATA BASE'!$A$2:$M$936,3,0),""))</f>
        <v>KILLER</v>
      </c>
      <c r="C75" s="70" t="str">
        <f>IF($A$3=" "," ", IFERROR( VLOOKUP($A75,'SUPPLIER DATA BASE'!$A$2:$F$936,6,0),""))</f>
        <v>-</v>
      </c>
      <c r="D75" s="70" t="str">
        <f>IF($A$3=" "," ", IFERROR( VLOOKUP($A75,'SUPPLIER DATA BASE'!$A$2:$G$936,4,0),""))</f>
        <v>NO</v>
      </c>
      <c r="E75" s="71" t="str">
        <f>IF($A$3=" "," ", IFERROR( VLOOKUP($A75,'SUPPLIER DATA BASE'!$A$2:$H$936,5,0),""))</f>
        <v>-</v>
      </c>
      <c r="F75" s="72" t="s">
        <v>1001</v>
      </c>
      <c r="G75" s="73">
        <v>46046.0</v>
      </c>
      <c r="H75" s="74">
        <v>241.0</v>
      </c>
      <c r="I75" s="75">
        <v>415368.0</v>
      </c>
      <c r="J75" s="76" t="s">
        <v>1002</v>
      </c>
      <c r="K75" s="70" t="s">
        <v>349</v>
      </c>
      <c r="L75" s="70" t="s">
        <v>349</v>
      </c>
      <c r="M75" s="70" t="str">
        <f t="shared" si="3"/>
        <v>142 Days</v>
      </c>
      <c r="N75" s="70" t="str">
        <f>IF($A$3=" "," ", IFERROR( VLOOKUP($A75,'SUPPLIER DATA BASE'!$A$2:$O$936,11,0),""))</f>
        <v>D D SALES CO</v>
      </c>
      <c r="O75" s="70" t="str">
        <f>IF($A$3=" "," ", IFERROR( VLOOKUP($A75,'SUPPLIER DATA BASE'!$A$2:$O$936,12,0),""))</f>
        <v>29205007835</v>
      </c>
      <c r="P75" s="70" t="str">
        <f>IF($A$3=" "," ", IFERROR( VLOOKUP($A75,'SUPPLIER DATA BASE'!$A$2:$O$936,13,0),""))</f>
        <v>ICIC0000292</v>
      </c>
      <c r="Q75" s="73"/>
      <c r="R75" s="73"/>
      <c r="S75" s="70"/>
      <c r="T75" s="70"/>
      <c r="U75" s="78"/>
      <c r="V75" s="70" t="str">
        <f t="shared" si="4"/>
        <v>FY 25-26</v>
      </c>
      <c r="W75" s="23"/>
      <c r="X75" s="23"/>
    </row>
    <row r="76">
      <c r="A76" s="70" t="s">
        <v>495</v>
      </c>
      <c r="B76" s="70" t="str">
        <f>IF($A$3=" "," ", IFERROR( VLOOKUP($A76,'SUPPLIER DATA BASE'!$A$2:$M$936,3,0),""))</f>
        <v>-</v>
      </c>
      <c r="C76" s="70" t="str">
        <f>IF($A$3=" "," ", IFERROR( VLOOKUP($A76,'SUPPLIER DATA BASE'!$A$2:$F$936,6,0),""))</f>
        <v>-</v>
      </c>
      <c r="D76" s="70" t="str">
        <f>IF($A$3=" "," ", IFERROR( VLOOKUP($A76,'SUPPLIER DATA BASE'!$A$2:$G$936,4,0),""))</f>
        <v>-</v>
      </c>
      <c r="E76" s="71" t="str">
        <f>IF($A$3=" "," ", IFERROR( VLOOKUP($A76,'SUPPLIER DATA BASE'!$A$2:$H$936,5,0),""))</f>
        <v>-</v>
      </c>
      <c r="F76" s="72" t="s">
        <v>1003</v>
      </c>
      <c r="G76" s="73">
        <v>46050.0</v>
      </c>
      <c r="H76" s="74">
        <v>200.0</v>
      </c>
      <c r="I76" s="75">
        <v>633512.0</v>
      </c>
      <c r="J76" s="76" t="s">
        <v>1004</v>
      </c>
      <c r="K76" s="70" t="s">
        <v>349</v>
      </c>
      <c r="L76" s="70" t="s">
        <v>349</v>
      </c>
      <c r="M76" s="70" t="str">
        <f t="shared" si="3"/>
        <v>138 Days</v>
      </c>
      <c r="N76" s="70" t="str">
        <f>IF($A$3=" "," ", IFERROR( VLOOKUP($A76,'SUPPLIER DATA BASE'!$A$2:$O$936,11,0),""))</f>
        <v>JAIN ADISHWAR HOSIERY WORKS LLP</v>
      </c>
      <c r="O76" s="70" t="str">
        <f>IF($A$3=" "," ", IFERROR( VLOOKUP($A76,'SUPPLIER DATA BASE'!$A$2:$O$936,12,0),""))</f>
        <v>99917644444444</v>
      </c>
      <c r="P76" s="70" t="str">
        <f>IF($A$3=" "," ", IFERROR( VLOOKUP($A76,'SUPPLIER DATA BASE'!$A$2:$O$936,13,0),""))</f>
        <v>HDFC0002063</v>
      </c>
      <c r="Q76" s="73"/>
      <c r="R76" s="73"/>
      <c r="S76" s="70"/>
      <c r="T76" s="70"/>
      <c r="U76" s="78"/>
      <c r="V76" s="70" t="str">
        <f t="shared" si="4"/>
        <v>FY 25-26</v>
      </c>
      <c r="W76" s="23"/>
      <c r="X76" s="23"/>
    </row>
    <row r="77">
      <c r="A77" s="70" t="s">
        <v>743</v>
      </c>
      <c r="B77" s="70" t="str">
        <f>IF($A$3=" "," ", IFERROR( VLOOKUP($A77,'SUPPLIER DATA BASE'!$A$2:$M$936,3,0),""))</f>
        <v>PETTY COAT</v>
      </c>
      <c r="C77" s="70" t="str">
        <f>IF($A$3=" "," ", IFERROR( VLOOKUP($A77,'SUPPLIER DATA BASE'!$A$2:$F$936,6,0),""))</f>
        <v>-</v>
      </c>
      <c r="D77" s="70" t="str">
        <f>IF($A$3=" "," ", IFERROR( VLOOKUP($A77,'SUPPLIER DATA BASE'!$A$2:$G$936,4,0),""))</f>
        <v>-</v>
      </c>
      <c r="E77" s="71" t="str">
        <f>IF($A$3=" "," ", IFERROR( VLOOKUP($A77,'SUPPLIER DATA BASE'!$A$2:$H$936,5,0),""))</f>
        <v>-</v>
      </c>
      <c r="F77" s="72">
        <v>597.0</v>
      </c>
      <c r="G77" s="73">
        <v>46050.0</v>
      </c>
      <c r="H77" s="74">
        <v>314.0</v>
      </c>
      <c r="I77" s="75">
        <v>35929.0</v>
      </c>
      <c r="J77" s="76" t="s">
        <v>1005</v>
      </c>
      <c r="K77" s="70" t="s">
        <v>349</v>
      </c>
      <c r="L77" s="70" t="s">
        <v>349</v>
      </c>
      <c r="M77" s="70" t="str">
        <f t="shared" si="3"/>
        <v>138 Days</v>
      </c>
      <c r="N77" s="70" t="str">
        <f>IF($A$3=" "," ", IFERROR( VLOOKUP($A77,'SUPPLIER DATA BASE'!$A$2:$O$936,11,0),""))</f>
        <v>SRI RADHEY MACHING CENTER</v>
      </c>
      <c r="O77" s="70" t="str">
        <f>IF($A$3=" "," ", IFERROR( VLOOKUP($A77,'SUPPLIER DATA BASE'!$A$2:$O$936,12,0),""))</f>
        <v>3626026563</v>
      </c>
      <c r="P77" s="70" t="str">
        <f>IF($A$3=" "," ", IFERROR( VLOOKUP($A77,'SUPPLIER DATA BASE'!$A$2:$O$936,13,0),""))</f>
        <v>CBIN0281393</v>
      </c>
      <c r="Q77" s="73"/>
      <c r="R77" s="73"/>
      <c r="S77" s="70"/>
      <c r="T77" s="70"/>
      <c r="U77" s="78"/>
      <c r="V77" s="70" t="str">
        <f t="shared" si="4"/>
        <v>FY 25-26</v>
      </c>
      <c r="W77" s="23"/>
      <c r="X77" s="23"/>
    </row>
    <row r="78">
      <c r="A78" s="70" t="s">
        <v>677</v>
      </c>
      <c r="B78" s="70" t="str">
        <f>IF($A$3=" "," ", IFERROR( VLOOKUP($A78,'SUPPLIER DATA BASE'!$A$2:$M$936,3,0),""))</f>
        <v>-</v>
      </c>
      <c r="C78" s="70" t="str">
        <f>IF($A$3=" "," ", IFERROR( VLOOKUP($A78,'SUPPLIER DATA BASE'!$A$2:$F$936,6,0),""))</f>
        <v>-</v>
      </c>
      <c r="D78" s="70" t="str">
        <f>IF($A$3=" "," ", IFERROR( VLOOKUP($A78,'SUPPLIER DATA BASE'!$A$2:$G$936,4,0),""))</f>
        <v>-</v>
      </c>
      <c r="E78" s="71" t="str">
        <f>IF($A$3=" "," ", IFERROR( VLOOKUP($A78,'SUPPLIER DATA BASE'!$A$2:$H$936,5,0),""))</f>
        <v>-</v>
      </c>
      <c r="F78" s="72" t="s">
        <v>1006</v>
      </c>
      <c r="G78" s="73">
        <v>46051.0</v>
      </c>
      <c r="H78" s="74">
        <v>36.0</v>
      </c>
      <c r="I78" s="75">
        <v>29460.0</v>
      </c>
      <c r="J78" s="76" t="s">
        <v>1007</v>
      </c>
      <c r="K78" s="70" t="s">
        <v>349</v>
      </c>
      <c r="L78" s="70" t="s">
        <v>349</v>
      </c>
      <c r="M78" s="70" t="str">
        <f t="shared" si="3"/>
        <v>137 Days</v>
      </c>
      <c r="N78" s="70" t="str">
        <f>IF($A$3=" "," ", IFERROR( VLOOKUP($A78,'SUPPLIER DATA BASE'!$A$2:$O$936,11,0),""))</f>
        <v>SARAOGI SUPER SALES PVT LTD</v>
      </c>
      <c r="O78" s="70" t="str">
        <f>IF($A$3=" "," ", IFERROR( VLOOKUP($A78,'SUPPLIER DATA BASE'!$A$2:$O$936,12,0),""))</f>
        <v>SASUSP011006</v>
      </c>
      <c r="P78" s="70" t="str">
        <f>IF($A$3=" "," ", IFERROR( VLOOKUP($A78,'SUPPLIER DATA BASE'!$A$2:$O$936,13,0),""))</f>
        <v>ICIC0000106</v>
      </c>
      <c r="Q78" s="77"/>
      <c r="R78" s="73"/>
      <c r="S78" s="77"/>
      <c r="T78" s="70"/>
      <c r="U78" s="78"/>
      <c r="V78" s="70" t="str">
        <f t="shared" si="4"/>
        <v>FY 25-26</v>
      </c>
      <c r="W78" s="23"/>
      <c r="X78" s="23"/>
    </row>
    <row r="79">
      <c r="A79" s="70" t="s">
        <v>354</v>
      </c>
      <c r="B79" s="70" t="str">
        <f>IF($A$3=" "," ", IFERROR( VLOOKUP($A79,'SUPPLIER DATA BASE'!$A$2:$M$936,3,0),""))</f>
        <v>-</v>
      </c>
      <c r="C79" s="70" t="str">
        <f>IF($A$3=" "," ", IFERROR( VLOOKUP($A79,'SUPPLIER DATA BASE'!$A$2:$F$936,6,0),""))</f>
        <v>-</v>
      </c>
      <c r="D79" s="70" t="str">
        <f>IF($A$3=" "," ", IFERROR( VLOOKUP($A79,'SUPPLIER DATA BASE'!$A$2:$G$936,4,0),""))</f>
        <v>-</v>
      </c>
      <c r="E79" s="71" t="str">
        <f>IF($A$3=" "," ", IFERROR( VLOOKUP($A79,'SUPPLIER DATA BASE'!$A$2:$H$936,5,0),""))</f>
        <v>-</v>
      </c>
      <c r="F79" s="72" t="s">
        <v>1008</v>
      </c>
      <c r="G79" s="73">
        <v>46051.0</v>
      </c>
      <c r="H79" s="74">
        <v>18.0</v>
      </c>
      <c r="I79" s="75">
        <v>32845.85</v>
      </c>
      <c r="J79" s="76" t="s">
        <v>1009</v>
      </c>
      <c r="K79" s="70" t="s">
        <v>349</v>
      </c>
      <c r="L79" s="70" t="s">
        <v>349</v>
      </c>
      <c r="M79" s="70" t="str">
        <f t="shared" si="3"/>
        <v>137 Days</v>
      </c>
      <c r="N79" s="70" t="str">
        <f>IF($A$3=" "," ", IFERROR( VLOOKUP($A79,'SUPPLIER DATA BASE'!$A$2:$O$936,11,0),""))</f>
        <v>-</v>
      </c>
      <c r="O79" s="70" t="str">
        <f>IF($A$3=" "," ", IFERROR( VLOOKUP($A79,'SUPPLIER DATA BASE'!$A$2:$O$936,12,0),""))</f>
        <v>-</v>
      </c>
      <c r="P79" s="70" t="str">
        <f>IF($A$3=" "," ", IFERROR( VLOOKUP($A79,'SUPPLIER DATA BASE'!$A$2:$O$936,13,0),""))</f>
        <v>-</v>
      </c>
      <c r="Q79" s="77"/>
      <c r="R79" s="73"/>
      <c r="S79" s="77"/>
      <c r="T79" s="70"/>
      <c r="U79" s="78"/>
      <c r="V79" s="70" t="str">
        <f t="shared" si="4"/>
        <v>FY 25-26</v>
      </c>
      <c r="W79" s="23"/>
      <c r="X79" s="23"/>
    </row>
    <row r="80">
      <c r="A80" s="70" t="s">
        <v>354</v>
      </c>
      <c r="B80" s="70" t="str">
        <f>IF($A$3=" "," ", IFERROR( VLOOKUP($A80,'SUPPLIER DATA BASE'!$A$2:$M$936,3,0),""))</f>
        <v>-</v>
      </c>
      <c r="C80" s="70" t="str">
        <f>IF($A$3=" "," ", IFERROR( VLOOKUP($A80,'SUPPLIER DATA BASE'!$A$2:$F$936,6,0),""))</f>
        <v>-</v>
      </c>
      <c r="D80" s="70" t="str">
        <f>IF($A$3=" "," ", IFERROR( VLOOKUP($A80,'SUPPLIER DATA BASE'!$A$2:$G$936,4,0),""))</f>
        <v>-</v>
      </c>
      <c r="E80" s="71" t="str">
        <f>IF($A$3=" "," ", IFERROR( VLOOKUP($A80,'SUPPLIER DATA BASE'!$A$2:$H$936,5,0),""))</f>
        <v>-</v>
      </c>
      <c r="F80" s="72" t="s">
        <v>1010</v>
      </c>
      <c r="G80" s="73">
        <v>46051.0</v>
      </c>
      <c r="H80" s="74">
        <v>102.0</v>
      </c>
      <c r="I80" s="75">
        <v>171967.42</v>
      </c>
      <c r="J80" s="76" t="s">
        <v>1011</v>
      </c>
      <c r="K80" s="70" t="s">
        <v>349</v>
      </c>
      <c r="L80" s="70" t="s">
        <v>349</v>
      </c>
      <c r="M80" s="70" t="str">
        <f t="shared" si="3"/>
        <v>137 Days</v>
      </c>
      <c r="N80" s="70" t="str">
        <f>IF($A$3=" "," ", IFERROR( VLOOKUP($A80,'SUPPLIER DATA BASE'!$A$2:$O$936,11,0),""))</f>
        <v>-</v>
      </c>
      <c r="O80" s="70" t="str">
        <f>IF($A$3=" "," ", IFERROR( VLOOKUP($A80,'SUPPLIER DATA BASE'!$A$2:$O$936,12,0),""))</f>
        <v>-</v>
      </c>
      <c r="P80" s="70" t="str">
        <f>IF($A$3=" "," ", IFERROR( VLOOKUP($A80,'SUPPLIER DATA BASE'!$A$2:$O$936,13,0),""))</f>
        <v>-</v>
      </c>
      <c r="Q80" s="77"/>
      <c r="R80" s="73"/>
      <c r="S80" s="77"/>
      <c r="T80" s="70"/>
      <c r="U80" s="78"/>
      <c r="V80" s="70" t="str">
        <f t="shared" si="4"/>
        <v>FY 25-26</v>
      </c>
      <c r="W80" s="23"/>
      <c r="X80" s="23"/>
    </row>
    <row r="81">
      <c r="A81" s="70" t="s">
        <v>354</v>
      </c>
      <c r="B81" s="70" t="str">
        <f>IF($A$3=" "," ", IFERROR( VLOOKUP($A81,'SUPPLIER DATA BASE'!$A$2:$M$936,3,0),""))</f>
        <v>-</v>
      </c>
      <c r="C81" s="70" t="str">
        <f>IF($A$3=" "," ", IFERROR( VLOOKUP($A81,'SUPPLIER DATA BASE'!$A$2:$F$936,6,0),""))</f>
        <v>-</v>
      </c>
      <c r="D81" s="70" t="str">
        <f>IF($A$3=" "," ", IFERROR( VLOOKUP($A81,'SUPPLIER DATA BASE'!$A$2:$G$936,4,0),""))</f>
        <v>-</v>
      </c>
      <c r="E81" s="71" t="str">
        <f>IF($A$3=" "," ", IFERROR( VLOOKUP($A81,'SUPPLIER DATA BASE'!$A$2:$H$936,5,0),""))</f>
        <v>-</v>
      </c>
      <c r="F81" s="72" t="s">
        <v>1012</v>
      </c>
      <c r="G81" s="73">
        <v>46052.0</v>
      </c>
      <c r="H81" s="74">
        <v>20.0</v>
      </c>
      <c r="I81" s="75">
        <v>19409.76</v>
      </c>
      <c r="J81" s="76" t="s">
        <v>1013</v>
      </c>
      <c r="K81" s="70" t="s">
        <v>349</v>
      </c>
      <c r="L81" s="70" t="s">
        <v>349</v>
      </c>
      <c r="M81" s="70" t="str">
        <f t="shared" si="3"/>
        <v>136 Days</v>
      </c>
      <c r="N81" s="70" t="str">
        <f>IF($A$3=" "," ", IFERROR( VLOOKUP($A81,'SUPPLIER DATA BASE'!$A$2:$O$936,11,0),""))</f>
        <v>-</v>
      </c>
      <c r="O81" s="70" t="str">
        <f>IF($A$3=" "," ", IFERROR( VLOOKUP($A81,'SUPPLIER DATA BASE'!$A$2:$O$936,12,0),""))</f>
        <v>-</v>
      </c>
      <c r="P81" s="70" t="str">
        <f>IF($A$3=" "," ", IFERROR( VLOOKUP($A81,'SUPPLIER DATA BASE'!$A$2:$O$936,13,0),""))</f>
        <v>-</v>
      </c>
      <c r="Q81" s="77"/>
      <c r="R81" s="73"/>
      <c r="S81" s="77"/>
      <c r="T81" s="70"/>
      <c r="U81" s="78"/>
      <c r="V81" s="70" t="str">
        <f t="shared" si="4"/>
        <v>FY 25-26</v>
      </c>
      <c r="W81" s="23"/>
      <c r="X81" s="23"/>
    </row>
    <row r="82">
      <c r="A82" s="70" t="s">
        <v>354</v>
      </c>
      <c r="B82" s="70" t="str">
        <f>IF($A$3=" "," ", IFERROR( VLOOKUP($A82,'SUPPLIER DATA BASE'!$A$2:$M$936,3,0),""))</f>
        <v>-</v>
      </c>
      <c r="C82" s="70" t="str">
        <f>IF($A$3=" "," ", IFERROR( VLOOKUP($A82,'SUPPLIER DATA BASE'!$A$2:$F$936,6,0),""))</f>
        <v>-</v>
      </c>
      <c r="D82" s="70" t="str">
        <f>IF($A$3=" "," ", IFERROR( VLOOKUP($A82,'SUPPLIER DATA BASE'!$A$2:$G$936,4,0),""))</f>
        <v>-</v>
      </c>
      <c r="E82" s="71" t="str">
        <f>IF($A$3=" "," ", IFERROR( VLOOKUP($A82,'SUPPLIER DATA BASE'!$A$2:$H$936,5,0),""))</f>
        <v>-</v>
      </c>
      <c r="F82" s="72" t="s">
        <v>1014</v>
      </c>
      <c r="G82" s="73">
        <v>46052.0</v>
      </c>
      <c r="H82" s="74">
        <v>142.0</v>
      </c>
      <c r="I82" s="75">
        <v>170944.08</v>
      </c>
      <c r="J82" s="76" t="s">
        <v>1015</v>
      </c>
      <c r="K82" s="70" t="s">
        <v>349</v>
      </c>
      <c r="L82" s="70" t="s">
        <v>349</v>
      </c>
      <c r="M82" s="70" t="str">
        <f t="shared" si="3"/>
        <v>136 Days</v>
      </c>
      <c r="N82" s="70" t="str">
        <f>IF($A$3=" "," ", IFERROR( VLOOKUP($A82,'SUPPLIER DATA BASE'!$A$2:$O$936,11,0),""))</f>
        <v>-</v>
      </c>
      <c r="O82" s="70" t="str">
        <f>IF($A$3=" "," ", IFERROR( VLOOKUP($A82,'SUPPLIER DATA BASE'!$A$2:$O$936,12,0),""))</f>
        <v>-</v>
      </c>
      <c r="P82" s="70" t="str">
        <f>IF($A$3=" "," ", IFERROR( VLOOKUP($A82,'SUPPLIER DATA BASE'!$A$2:$O$936,13,0),""))</f>
        <v>-</v>
      </c>
      <c r="Q82" s="77"/>
      <c r="R82" s="73"/>
      <c r="S82" s="77"/>
      <c r="T82" s="70"/>
      <c r="U82" s="78"/>
      <c r="V82" s="70" t="str">
        <f t="shared" si="4"/>
        <v>FY 25-26</v>
      </c>
      <c r="W82" s="23"/>
      <c r="X82" s="23"/>
    </row>
    <row r="83">
      <c r="A83" s="70" t="s">
        <v>354</v>
      </c>
      <c r="B83" s="70" t="str">
        <f>IF($A$3=" "," ", IFERROR( VLOOKUP($A83,'SUPPLIER DATA BASE'!$A$2:$M$936,3,0),""))</f>
        <v>-</v>
      </c>
      <c r="C83" s="70" t="str">
        <f>IF($A$3=" "," ", IFERROR( VLOOKUP($A83,'SUPPLIER DATA BASE'!$A$2:$F$936,6,0),""))</f>
        <v>-</v>
      </c>
      <c r="D83" s="70" t="str">
        <f>IF($A$3=" "," ", IFERROR( VLOOKUP($A83,'SUPPLIER DATA BASE'!$A$2:$G$936,4,0),""))</f>
        <v>-</v>
      </c>
      <c r="E83" s="71" t="str">
        <f>IF($A$3=" "," ", IFERROR( VLOOKUP($A83,'SUPPLIER DATA BASE'!$A$2:$H$936,5,0),""))</f>
        <v>-</v>
      </c>
      <c r="F83" s="72" t="s">
        <v>1016</v>
      </c>
      <c r="G83" s="73">
        <v>46052.0</v>
      </c>
      <c r="H83" s="74">
        <v>36.0</v>
      </c>
      <c r="I83" s="75">
        <v>70099.05</v>
      </c>
      <c r="J83" s="76" t="s">
        <v>1017</v>
      </c>
      <c r="K83" s="70" t="s">
        <v>349</v>
      </c>
      <c r="L83" s="70" t="s">
        <v>349</v>
      </c>
      <c r="M83" s="70" t="str">
        <f t="shared" si="3"/>
        <v>136 Days</v>
      </c>
      <c r="N83" s="70" t="str">
        <f>IF($A$3=" "," ", IFERROR( VLOOKUP($A83,'SUPPLIER DATA BASE'!$A$2:$O$936,11,0),""))</f>
        <v>-</v>
      </c>
      <c r="O83" s="70" t="str">
        <f>IF($A$3=" "," ", IFERROR( VLOOKUP($A83,'SUPPLIER DATA BASE'!$A$2:$O$936,12,0),""))</f>
        <v>-</v>
      </c>
      <c r="P83" s="70" t="str">
        <f>IF($A$3=" "," ", IFERROR( VLOOKUP($A83,'SUPPLIER DATA BASE'!$A$2:$O$936,13,0),""))</f>
        <v>-</v>
      </c>
      <c r="Q83" s="77"/>
      <c r="R83" s="73"/>
      <c r="S83" s="77"/>
      <c r="T83" s="70"/>
      <c r="U83" s="78"/>
      <c r="V83" s="70" t="str">
        <f t="shared" si="4"/>
        <v>FY 25-26</v>
      </c>
      <c r="W83" s="23"/>
      <c r="X83" s="23"/>
    </row>
    <row r="84">
      <c r="A84" s="70" t="s">
        <v>354</v>
      </c>
      <c r="B84" s="70" t="str">
        <f>IF($A$3=" "," ", IFERROR( VLOOKUP($A84,'SUPPLIER DATA BASE'!$A$2:$M$936,3,0),""))</f>
        <v>-</v>
      </c>
      <c r="C84" s="70" t="str">
        <f>IF($A$3=" "," ", IFERROR( VLOOKUP($A84,'SUPPLIER DATA BASE'!$A$2:$F$936,6,0),""))</f>
        <v>-</v>
      </c>
      <c r="D84" s="70" t="str">
        <f>IF($A$3=" "," ", IFERROR( VLOOKUP($A84,'SUPPLIER DATA BASE'!$A$2:$G$936,4,0),""))</f>
        <v>-</v>
      </c>
      <c r="E84" s="71" t="str">
        <f>IF($A$3=" "," ", IFERROR( VLOOKUP($A84,'SUPPLIER DATA BASE'!$A$2:$H$936,5,0),""))</f>
        <v>-</v>
      </c>
      <c r="F84" s="72" t="s">
        <v>1018</v>
      </c>
      <c r="G84" s="73">
        <v>46052.0</v>
      </c>
      <c r="H84" s="74">
        <v>11.0</v>
      </c>
      <c r="I84" s="75">
        <v>22280.06</v>
      </c>
      <c r="J84" s="76" t="s">
        <v>1019</v>
      </c>
      <c r="K84" s="70" t="s">
        <v>349</v>
      </c>
      <c r="L84" s="70" t="s">
        <v>349</v>
      </c>
      <c r="M84" s="70" t="str">
        <f t="shared" si="3"/>
        <v>136 Days</v>
      </c>
      <c r="N84" s="70" t="str">
        <f>IF($A$3=" "," ", IFERROR( VLOOKUP($A84,'SUPPLIER DATA BASE'!$A$2:$O$936,11,0),""))</f>
        <v>-</v>
      </c>
      <c r="O84" s="70" t="str">
        <f>IF($A$3=" "," ", IFERROR( VLOOKUP($A84,'SUPPLIER DATA BASE'!$A$2:$O$936,12,0),""))</f>
        <v>-</v>
      </c>
      <c r="P84" s="70" t="str">
        <f>IF($A$3=" "," ", IFERROR( VLOOKUP($A84,'SUPPLIER DATA BASE'!$A$2:$O$936,13,0),""))</f>
        <v>-</v>
      </c>
      <c r="Q84" s="77"/>
      <c r="R84" s="73"/>
      <c r="S84" s="77"/>
      <c r="T84" s="70"/>
      <c r="U84" s="78"/>
      <c r="V84" s="70" t="str">
        <f t="shared" si="4"/>
        <v>FY 25-26</v>
      </c>
      <c r="W84" s="23"/>
      <c r="X84" s="23"/>
    </row>
    <row r="85">
      <c r="A85" s="70" t="s">
        <v>354</v>
      </c>
      <c r="B85" s="70" t="str">
        <f>IF($A$3=" "," ", IFERROR( VLOOKUP($A85,'SUPPLIER DATA BASE'!$A$2:$M$936,3,0),""))</f>
        <v>-</v>
      </c>
      <c r="C85" s="70" t="str">
        <f>IF($A$3=" "," ", IFERROR( VLOOKUP($A85,'SUPPLIER DATA BASE'!$A$2:$F$936,6,0),""))</f>
        <v>-</v>
      </c>
      <c r="D85" s="70" t="str">
        <f>IF($A$3=" "," ", IFERROR( VLOOKUP($A85,'SUPPLIER DATA BASE'!$A$2:$G$936,4,0),""))</f>
        <v>-</v>
      </c>
      <c r="E85" s="71" t="str">
        <f>IF($A$3=" "," ", IFERROR( VLOOKUP($A85,'SUPPLIER DATA BASE'!$A$2:$H$936,5,0),""))</f>
        <v>-</v>
      </c>
      <c r="F85" s="72" t="s">
        <v>1020</v>
      </c>
      <c r="G85" s="73">
        <v>46052.0</v>
      </c>
      <c r="H85" s="74">
        <v>15.0</v>
      </c>
      <c r="I85" s="75">
        <v>21755.16</v>
      </c>
      <c r="J85" s="76" t="s">
        <v>1021</v>
      </c>
      <c r="K85" s="70" t="s">
        <v>349</v>
      </c>
      <c r="L85" s="70" t="s">
        <v>349</v>
      </c>
      <c r="M85" s="70" t="str">
        <f t="shared" si="3"/>
        <v>136 Days</v>
      </c>
      <c r="N85" s="70" t="str">
        <f>IF($A$3=" "," ", IFERROR( VLOOKUP($A85,'SUPPLIER DATA BASE'!$A$2:$O$936,11,0),""))</f>
        <v>-</v>
      </c>
      <c r="O85" s="70" t="str">
        <f>IF($A$3=" "," ", IFERROR( VLOOKUP($A85,'SUPPLIER DATA BASE'!$A$2:$O$936,12,0),""))</f>
        <v>-</v>
      </c>
      <c r="P85" s="70" t="str">
        <f>IF($A$3=" "," ", IFERROR( VLOOKUP($A85,'SUPPLIER DATA BASE'!$A$2:$O$936,13,0),""))</f>
        <v>-</v>
      </c>
      <c r="Q85" s="77"/>
      <c r="R85" s="73"/>
      <c r="S85" s="77"/>
      <c r="T85" s="70"/>
      <c r="U85" s="78"/>
      <c r="V85" s="70" t="str">
        <f t="shared" si="4"/>
        <v>FY 25-26</v>
      </c>
      <c r="W85" s="23"/>
      <c r="X85" s="23"/>
    </row>
    <row r="86">
      <c r="A86" s="70" t="s">
        <v>677</v>
      </c>
      <c r="B86" s="70" t="str">
        <f>IF($A$3=" "," ", IFERROR( VLOOKUP($A86,'SUPPLIER DATA BASE'!$A$2:$M$936,3,0),""))</f>
        <v>-</v>
      </c>
      <c r="C86" s="70" t="str">
        <f>IF($A$3=" "," ", IFERROR( VLOOKUP($A86,'SUPPLIER DATA BASE'!$A$2:$F$936,6,0),""))</f>
        <v>-</v>
      </c>
      <c r="D86" s="70" t="str">
        <f>IF($A$3=" "," ", IFERROR( VLOOKUP($A86,'SUPPLIER DATA BASE'!$A$2:$G$936,4,0),""))</f>
        <v>-</v>
      </c>
      <c r="E86" s="71" t="str">
        <f>IF($A$3=" "," ", IFERROR( VLOOKUP($A86,'SUPPLIER DATA BASE'!$A$2:$H$936,5,0),""))</f>
        <v>-</v>
      </c>
      <c r="F86" s="72" t="s">
        <v>1022</v>
      </c>
      <c r="G86" s="73">
        <v>46053.0</v>
      </c>
      <c r="H86" s="74">
        <v>22.0</v>
      </c>
      <c r="I86" s="75">
        <v>34304.0</v>
      </c>
      <c r="J86" s="76" t="s">
        <v>1023</v>
      </c>
      <c r="K86" s="70" t="s">
        <v>349</v>
      </c>
      <c r="L86" s="70" t="s">
        <v>349</v>
      </c>
      <c r="M86" s="70" t="str">
        <f t="shared" si="3"/>
        <v>135 Days</v>
      </c>
      <c r="N86" s="70" t="str">
        <f>IF($A$3=" "," ", IFERROR( VLOOKUP($A86,'SUPPLIER DATA BASE'!$A$2:$O$936,11,0),""))</f>
        <v>SARAOGI SUPER SALES PVT LTD</v>
      </c>
      <c r="O86" s="70" t="str">
        <f>IF($A$3=" "," ", IFERROR( VLOOKUP($A86,'SUPPLIER DATA BASE'!$A$2:$O$936,12,0),""))</f>
        <v>SASUSP011006</v>
      </c>
      <c r="P86" s="70" t="str">
        <f>IF($A$3=" "," ", IFERROR( VLOOKUP($A86,'SUPPLIER DATA BASE'!$A$2:$O$936,13,0),""))</f>
        <v>ICIC0000106</v>
      </c>
      <c r="Q86" s="77"/>
      <c r="R86" s="73"/>
      <c r="S86" s="77"/>
      <c r="T86" s="70"/>
      <c r="U86" s="78"/>
      <c r="V86" s="70" t="str">
        <f t="shared" si="4"/>
        <v>FY 25-26</v>
      </c>
      <c r="W86" s="23"/>
      <c r="X86" s="23"/>
    </row>
    <row r="87">
      <c r="A87" s="70" t="s">
        <v>354</v>
      </c>
      <c r="B87" s="70" t="str">
        <f>IF($A$3=" "," ", IFERROR( VLOOKUP($A87,'SUPPLIER DATA BASE'!$A$2:$M$936,3,0),""))</f>
        <v>-</v>
      </c>
      <c r="C87" s="70" t="str">
        <f>IF($A$3=" "," ", IFERROR( VLOOKUP($A87,'SUPPLIER DATA BASE'!$A$2:$F$936,6,0),""))</f>
        <v>-</v>
      </c>
      <c r="D87" s="70" t="str">
        <f>IF($A$3=" "," ", IFERROR( VLOOKUP($A87,'SUPPLIER DATA BASE'!$A$2:$G$936,4,0),""))</f>
        <v>-</v>
      </c>
      <c r="E87" s="71" t="str">
        <f>IF($A$3=" "," ", IFERROR( VLOOKUP($A87,'SUPPLIER DATA BASE'!$A$2:$H$936,5,0),""))</f>
        <v>-</v>
      </c>
      <c r="F87" s="72" t="s">
        <v>1024</v>
      </c>
      <c r="G87" s="73">
        <v>46053.0</v>
      </c>
      <c r="H87" s="74">
        <v>14.0</v>
      </c>
      <c r="I87" s="75">
        <v>30443.37</v>
      </c>
      <c r="J87" s="76" t="s">
        <v>1025</v>
      </c>
      <c r="K87" s="70" t="s">
        <v>349</v>
      </c>
      <c r="L87" s="70" t="s">
        <v>349</v>
      </c>
      <c r="M87" s="70" t="str">
        <f t="shared" si="3"/>
        <v>135 Days</v>
      </c>
      <c r="N87" s="70" t="str">
        <f>IF($A$3=" "," ", IFERROR( VLOOKUP($A87,'SUPPLIER DATA BASE'!$A$2:$O$936,11,0),""))</f>
        <v>-</v>
      </c>
      <c r="O87" s="70" t="str">
        <f>IF($A$3=" "," ", IFERROR( VLOOKUP($A87,'SUPPLIER DATA BASE'!$A$2:$O$936,12,0),""))</f>
        <v>-</v>
      </c>
      <c r="P87" s="70" t="str">
        <f>IF($A$3=" "," ", IFERROR( VLOOKUP($A87,'SUPPLIER DATA BASE'!$A$2:$O$936,13,0),""))</f>
        <v>-</v>
      </c>
      <c r="Q87" s="77"/>
      <c r="R87" s="73"/>
      <c r="S87" s="77"/>
      <c r="T87" s="70"/>
      <c r="U87" s="78"/>
      <c r="V87" s="70" t="str">
        <f t="shared" si="4"/>
        <v>FY 25-26</v>
      </c>
      <c r="W87" s="23"/>
      <c r="X87" s="23"/>
    </row>
    <row r="88">
      <c r="A88" s="70" t="s">
        <v>354</v>
      </c>
      <c r="B88" s="70" t="str">
        <f>IF($A$3=" "," ", IFERROR( VLOOKUP($A88,'SUPPLIER DATA BASE'!$A$2:$M$936,3,0),""))</f>
        <v>-</v>
      </c>
      <c r="C88" s="70" t="str">
        <f>IF($A$3=" "," ", IFERROR( VLOOKUP($A88,'SUPPLIER DATA BASE'!$A$2:$F$936,6,0),""))</f>
        <v>-</v>
      </c>
      <c r="D88" s="70" t="str">
        <f>IF($A$3=" "," ", IFERROR( VLOOKUP($A88,'SUPPLIER DATA BASE'!$A$2:$G$936,4,0),""))</f>
        <v>-</v>
      </c>
      <c r="E88" s="71" t="str">
        <f>IF($A$3=" "," ", IFERROR( VLOOKUP($A88,'SUPPLIER DATA BASE'!$A$2:$H$936,5,0),""))</f>
        <v>-</v>
      </c>
      <c r="F88" s="72" t="s">
        <v>1026</v>
      </c>
      <c r="G88" s="73">
        <v>46053.0</v>
      </c>
      <c r="H88" s="74">
        <v>6.0</v>
      </c>
      <c r="I88" s="75">
        <v>13883.16</v>
      </c>
      <c r="J88" s="76" t="s">
        <v>1027</v>
      </c>
      <c r="K88" s="70" t="s">
        <v>349</v>
      </c>
      <c r="L88" s="70" t="s">
        <v>349</v>
      </c>
      <c r="M88" s="70" t="str">
        <f t="shared" si="3"/>
        <v>135 Days</v>
      </c>
      <c r="N88" s="70" t="str">
        <f>IF($A$3=" "," ", IFERROR( VLOOKUP($A88,'SUPPLIER DATA BASE'!$A$2:$O$936,11,0),""))</f>
        <v>-</v>
      </c>
      <c r="O88" s="70" t="str">
        <f>IF($A$3=" "," ", IFERROR( VLOOKUP($A88,'SUPPLIER DATA BASE'!$A$2:$O$936,12,0),""))</f>
        <v>-</v>
      </c>
      <c r="P88" s="70" t="str">
        <f>IF($A$3=" "," ", IFERROR( VLOOKUP($A88,'SUPPLIER DATA BASE'!$A$2:$O$936,13,0),""))</f>
        <v>-</v>
      </c>
      <c r="Q88" s="77"/>
      <c r="R88" s="73"/>
      <c r="S88" s="77"/>
      <c r="T88" s="70"/>
      <c r="U88" s="78"/>
      <c r="V88" s="70" t="str">
        <f t="shared" si="4"/>
        <v>FY 25-26</v>
      </c>
      <c r="W88" s="23"/>
      <c r="X88" s="23"/>
    </row>
    <row r="89">
      <c r="A89" s="70" t="s">
        <v>354</v>
      </c>
      <c r="B89" s="70" t="str">
        <f>IF($A$3=" "," ", IFERROR( VLOOKUP($A89,'SUPPLIER DATA BASE'!$A$2:$M$936,3,0),""))</f>
        <v>-</v>
      </c>
      <c r="C89" s="70" t="str">
        <f>IF($A$3=" "," ", IFERROR( VLOOKUP($A89,'SUPPLIER DATA BASE'!$A$2:$F$936,6,0),""))</f>
        <v>-</v>
      </c>
      <c r="D89" s="70" t="str">
        <f>IF($A$3=" "," ", IFERROR( VLOOKUP($A89,'SUPPLIER DATA BASE'!$A$2:$G$936,4,0),""))</f>
        <v>-</v>
      </c>
      <c r="E89" s="71" t="str">
        <f>IF($A$3=" "," ", IFERROR( VLOOKUP($A89,'SUPPLIER DATA BASE'!$A$2:$H$936,5,0),""))</f>
        <v>-</v>
      </c>
      <c r="F89" s="72" t="s">
        <v>1028</v>
      </c>
      <c r="G89" s="73">
        <v>46053.0</v>
      </c>
      <c r="H89" s="74">
        <v>1.0</v>
      </c>
      <c r="I89" s="75">
        <v>1790.14</v>
      </c>
      <c r="J89" s="76" t="s">
        <v>1029</v>
      </c>
      <c r="K89" s="70" t="s">
        <v>349</v>
      </c>
      <c r="L89" s="70" t="s">
        <v>349</v>
      </c>
      <c r="M89" s="70" t="str">
        <f t="shared" si="3"/>
        <v>135 Days</v>
      </c>
      <c r="N89" s="70" t="str">
        <f>IF($A$3=" "," ", IFERROR( VLOOKUP($A89,'SUPPLIER DATA BASE'!$A$2:$O$936,11,0),""))</f>
        <v>-</v>
      </c>
      <c r="O89" s="70" t="str">
        <f>IF($A$3=" "," ", IFERROR( VLOOKUP($A89,'SUPPLIER DATA BASE'!$A$2:$O$936,12,0),""))</f>
        <v>-</v>
      </c>
      <c r="P89" s="70" t="str">
        <f>IF($A$3=" "," ", IFERROR( VLOOKUP($A89,'SUPPLIER DATA BASE'!$A$2:$O$936,13,0),""))</f>
        <v>-</v>
      </c>
      <c r="Q89" s="77"/>
      <c r="R89" s="73"/>
      <c r="S89" s="77"/>
      <c r="T89" s="70"/>
      <c r="U89" s="78"/>
      <c r="V89" s="70" t="str">
        <f t="shared" si="4"/>
        <v>FY 25-26</v>
      </c>
      <c r="W89" s="23"/>
      <c r="X89" s="23"/>
    </row>
    <row r="90">
      <c r="A90" s="70" t="s">
        <v>354</v>
      </c>
      <c r="B90" s="70" t="str">
        <f>IF($A$3=" "," ", IFERROR( VLOOKUP($A90,'SUPPLIER DATA BASE'!$A$2:$M$936,3,0),""))</f>
        <v>-</v>
      </c>
      <c r="C90" s="70" t="str">
        <f>IF($A$3=" "," ", IFERROR( VLOOKUP($A90,'SUPPLIER DATA BASE'!$A$2:$F$936,6,0),""))</f>
        <v>-</v>
      </c>
      <c r="D90" s="70" t="str">
        <f>IF($A$3=" "," ", IFERROR( VLOOKUP($A90,'SUPPLIER DATA BASE'!$A$2:$G$936,4,0),""))</f>
        <v>-</v>
      </c>
      <c r="E90" s="71" t="str">
        <f>IF($A$3=" "," ", IFERROR( VLOOKUP($A90,'SUPPLIER DATA BASE'!$A$2:$H$936,5,0),""))</f>
        <v>-</v>
      </c>
      <c r="F90" s="72" t="s">
        <v>1030</v>
      </c>
      <c r="G90" s="73">
        <v>46055.0</v>
      </c>
      <c r="H90" s="74">
        <v>25.0</v>
      </c>
      <c r="I90" s="75">
        <v>50440.39</v>
      </c>
      <c r="J90" s="76" t="s">
        <v>1031</v>
      </c>
      <c r="K90" s="70" t="s">
        <v>349</v>
      </c>
      <c r="L90" s="70" t="s">
        <v>349</v>
      </c>
      <c r="M90" s="70" t="str">
        <f t="shared" si="3"/>
        <v>133 Days</v>
      </c>
      <c r="N90" s="70" t="str">
        <f>IF($A$3=" "," ", IFERROR( VLOOKUP($A90,'SUPPLIER DATA BASE'!$A$2:$O$936,11,0),""))</f>
        <v>-</v>
      </c>
      <c r="O90" s="70" t="str">
        <f>IF($A$3=" "," ", IFERROR( VLOOKUP($A90,'SUPPLIER DATA BASE'!$A$2:$O$936,12,0),""))</f>
        <v>-</v>
      </c>
      <c r="P90" s="70" t="str">
        <f>IF($A$3=" "," ", IFERROR( VLOOKUP($A90,'SUPPLIER DATA BASE'!$A$2:$O$936,13,0),""))</f>
        <v>-</v>
      </c>
      <c r="Q90" s="77"/>
      <c r="R90" s="73"/>
      <c r="S90" s="77"/>
      <c r="T90" s="70"/>
      <c r="U90" s="78"/>
      <c r="V90" s="70" t="str">
        <f t="shared" si="4"/>
        <v>FY 25-26</v>
      </c>
      <c r="W90" s="23"/>
      <c r="X90" s="23"/>
    </row>
    <row r="91">
      <c r="A91" s="70" t="s">
        <v>354</v>
      </c>
      <c r="B91" s="70" t="str">
        <f>IF($A$3=" "," ", IFERROR( VLOOKUP($A91,'SUPPLIER DATA BASE'!$A$2:$M$936,3,0),""))</f>
        <v>-</v>
      </c>
      <c r="C91" s="70" t="str">
        <f>IF($A$3=" "," ", IFERROR( VLOOKUP($A91,'SUPPLIER DATA BASE'!$A$2:$F$936,6,0),""))</f>
        <v>-</v>
      </c>
      <c r="D91" s="70" t="str">
        <f>IF($A$3=" "," ", IFERROR( VLOOKUP($A91,'SUPPLIER DATA BASE'!$A$2:$G$936,4,0),""))</f>
        <v>-</v>
      </c>
      <c r="E91" s="71" t="str">
        <f>IF($A$3=" "," ", IFERROR( VLOOKUP($A91,'SUPPLIER DATA BASE'!$A$2:$H$936,5,0),""))</f>
        <v>-</v>
      </c>
      <c r="F91" s="72" t="s">
        <v>1032</v>
      </c>
      <c r="G91" s="73">
        <v>46055.0</v>
      </c>
      <c r="H91" s="74">
        <v>7.0</v>
      </c>
      <c r="I91" s="75">
        <v>12656.35</v>
      </c>
      <c r="J91" s="76" t="s">
        <v>1033</v>
      </c>
      <c r="K91" s="70" t="s">
        <v>349</v>
      </c>
      <c r="L91" s="70" t="s">
        <v>349</v>
      </c>
      <c r="M91" s="70" t="str">
        <f t="shared" si="3"/>
        <v>133 Days</v>
      </c>
      <c r="N91" s="70" t="str">
        <f>IF($A$3=" "," ", IFERROR( VLOOKUP($A91,'SUPPLIER DATA BASE'!$A$2:$O$936,11,0),""))</f>
        <v>-</v>
      </c>
      <c r="O91" s="70" t="str">
        <f>IF($A$3=" "," ", IFERROR( VLOOKUP($A91,'SUPPLIER DATA BASE'!$A$2:$O$936,12,0),""))</f>
        <v>-</v>
      </c>
      <c r="P91" s="70" t="str">
        <f>IF($A$3=" "," ", IFERROR( VLOOKUP($A91,'SUPPLIER DATA BASE'!$A$2:$O$936,13,0),""))</f>
        <v>-</v>
      </c>
      <c r="Q91" s="77"/>
      <c r="R91" s="73"/>
      <c r="S91" s="77"/>
      <c r="T91" s="70"/>
      <c r="U91" s="78"/>
      <c r="V91" s="70" t="str">
        <f t="shared" si="4"/>
        <v>FY 25-26</v>
      </c>
      <c r="W91" s="23"/>
      <c r="X91" s="23"/>
    </row>
    <row r="92">
      <c r="A92" s="70" t="s">
        <v>354</v>
      </c>
      <c r="B92" s="70" t="str">
        <f>IF($A$3=" "," ", IFERROR( VLOOKUP($A92,'SUPPLIER DATA BASE'!$A$2:$M$936,3,0),""))</f>
        <v>-</v>
      </c>
      <c r="C92" s="70" t="str">
        <f>IF($A$3=" "," ", IFERROR( VLOOKUP($A92,'SUPPLIER DATA BASE'!$A$2:$F$936,6,0),""))</f>
        <v>-</v>
      </c>
      <c r="D92" s="70" t="str">
        <f>IF($A$3=" "," ", IFERROR( VLOOKUP($A92,'SUPPLIER DATA BASE'!$A$2:$G$936,4,0),""))</f>
        <v>-</v>
      </c>
      <c r="E92" s="71" t="str">
        <f>IF($A$3=" "," ", IFERROR( VLOOKUP($A92,'SUPPLIER DATA BASE'!$A$2:$H$936,5,0),""))</f>
        <v>-</v>
      </c>
      <c r="F92" s="72" t="s">
        <v>1034</v>
      </c>
      <c r="G92" s="73">
        <v>46055.0</v>
      </c>
      <c r="H92" s="74">
        <v>5.0</v>
      </c>
      <c r="I92" s="75">
        <v>7917.54</v>
      </c>
      <c r="J92" s="76" t="s">
        <v>1035</v>
      </c>
      <c r="K92" s="70" t="s">
        <v>349</v>
      </c>
      <c r="L92" s="70" t="s">
        <v>349</v>
      </c>
      <c r="M92" s="70" t="str">
        <f t="shared" si="3"/>
        <v>133 Days</v>
      </c>
      <c r="N92" s="70" t="str">
        <f>IF($A$3=" "," ", IFERROR( VLOOKUP($A92,'SUPPLIER DATA BASE'!$A$2:$O$936,11,0),""))</f>
        <v>-</v>
      </c>
      <c r="O92" s="70" t="str">
        <f>IF($A$3=" "," ", IFERROR( VLOOKUP($A92,'SUPPLIER DATA BASE'!$A$2:$O$936,12,0),""))</f>
        <v>-</v>
      </c>
      <c r="P92" s="70" t="str">
        <f>IF($A$3=" "," ", IFERROR( VLOOKUP($A92,'SUPPLIER DATA BASE'!$A$2:$O$936,13,0),""))</f>
        <v>-</v>
      </c>
      <c r="Q92" s="77"/>
      <c r="R92" s="73"/>
      <c r="S92" s="77"/>
      <c r="T92" s="70"/>
      <c r="U92" s="78"/>
      <c r="V92" s="70" t="str">
        <f t="shared" si="4"/>
        <v>FY 25-26</v>
      </c>
      <c r="W92" s="23"/>
      <c r="X92" s="23"/>
    </row>
    <row r="93">
      <c r="A93" s="70" t="s">
        <v>354</v>
      </c>
      <c r="B93" s="70" t="str">
        <f>IF($A$3=" "," ", IFERROR( VLOOKUP($A93,'SUPPLIER DATA BASE'!$A$2:$M$936,3,0),""))</f>
        <v>-</v>
      </c>
      <c r="C93" s="70" t="str">
        <f>IF($A$3=" "," ", IFERROR( VLOOKUP($A93,'SUPPLIER DATA BASE'!$A$2:$F$936,6,0),""))</f>
        <v>-</v>
      </c>
      <c r="D93" s="70" t="str">
        <f>IF($A$3=" "," ", IFERROR( VLOOKUP($A93,'SUPPLIER DATA BASE'!$A$2:$G$936,4,0),""))</f>
        <v>-</v>
      </c>
      <c r="E93" s="71" t="str">
        <f>IF($A$3=" "," ", IFERROR( VLOOKUP($A93,'SUPPLIER DATA BASE'!$A$2:$H$936,5,0),""))</f>
        <v>-</v>
      </c>
      <c r="F93" s="72" t="s">
        <v>1036</v>
      </c>
      <c r="G93" s="73">
        <v>46055.0</v>
      </c>
      <c r="H93" s="74">
        <v>22.0</v>
      </c>
      <c r="I93" s="75">
        <v>34618.08</v>
      </c>
      <c r="J93" s="76" t="s">
        <v>1037</v>
      </c>
      <c r="K93" s="70" t="s">
        <v>349</v>
      </c>
      <c r="L93" s="70" t="s">
        <v>349</v>
      </c>
      <c r="M93" s="70" t="str">
        <f t="shared" si="3"/>
        <v>133 Days</v>
      </c>
      <c r="N93" s="70" t="str">
        <f>IF($A$3=" "," ", IFERROR( VLOOKUP($A93,'SUPPLIER DATA BASE'!$A$2:$O$936,11,0),""))</f>
        <v>-</v>
      </c>
      <c r="O93" s="70" t="str">
        <f>IF($A$3=" "," ", IFERROR( VLOOKUP($A93,'SUPPLIER DATA BASE'!$A$2:$O$936,12,0),""))</f>
        <v>-</v>
      </c>
      <c r="P93" s="70" t="str">
        <f>IF($A$3=" "," ", IFERROR( VLOOKUP($A93,'SUPPLIER DATA BASE'!$A$2:$O$936,13,0),""))</f>
        <v>-</v>
      </c>
      <c r="Q93" s="77"/>
      <c r="R93" s="73"/>
      <c r="S93" s="77"/>
      <c r="T93" s="70"/>
      <c r="U93" s="78"/>
      <c r="V93" s="70" t="str">
        <f t="shared" si="4"/>
        <v>FY 25-26</v>
      </c>
      <c r="W93" s="23"/>
      <c r="X93" s="23"/>
    </row>
    <row r="94">
      <c r="A94" s="70" t="s">
        <v>354</v>
      </c>
      <c r="B94" s="70" t="str">
        <f>IF($A$3=" "," ", IFERROR( VLOOKUP($A94,'SUPPLIER DATA BASE'!$A$2:$M$936,3,0),""))</f>
        <v>-</v>
      </c>
      <c r="C94" s="70" t="str">
        <f>IF($A$3=" "," ", IFERROR( VLOOKUP($A94,'SUPPLIER DATA BASE'!$A$2:$F$936,6,0),""))</f>
        <v>-</v>
      </c>
      <c r="D94" s="70" t="str">
        <f>IF($A$3=" "," ", IFERROR( VLOOKUP($A94,'SUPPLIER DATA BASE'!$A$2:$G$936,4,0),""))</f>
        <v>-</v>
      </c>
      <c r="E94" s="71" t="str">
        <f>IF($A$3=" "," ", IFERROR( VLOOKUP($A94,'SUPPLIER DATA BASE'!$A$2:$H$936,5,0),""))</f>
        <v>-</v>
      </c>
      <c r="F94" s="72" t="s">
        <v>1038</v>
      </c>
      <c r="G94" s="73">
        <v>46055.0</v>
      </c>
      <c r="H94" s="74">
        <v>2.0</v>
      </c>
      <c r="I94" s="75">
        <v>5070.63</v>
      </c>
      <c r="J94" s="76" t="s">
        <v>1039</v>
      </c>
      <c r="K94" s="70" t="s">
        <v>349</v>
      </c>
      <c r="L94" s="70" t="s">
        <v>349</v>
      </c>
      <c r="M94" s="70" t="str">
        <f t="shared" si="3"/>
        <v>133 Days</v>
      </c>
      <c r="N94" s="70" t="str">
        <f>IF($A$3=" "," ", IFERROR( VLOOKUP($A94,'SUPPLIER DATA BASE'!$A$2:$O$936,11,0),""))</f>
        <v>-</v>
      </c>
      <c r="O94" s="70" t="str">
        <f>IF($A$3=" "," ", IFERROR( VLOOKUP($A94,'SUPPLIER DATA BASE'!$A$2:$O$936,12,0),""))</f>
        <v>-</v>
      </c>
      <c r="P94" s="70" t="str">
        <f>IF($A$3=" "," ", IFERROR( VLOOKUP($A94,'SUPPLIER DATA BASE'!$A$2:$O$936,13,0),""))</f>
        <v>-</v>
      </c>
      <c r="Q94" s="77"/>
      <c r="R94" s="73"/>
      <c r="S94" s="77"/>
      <c r="T94" s="70"/>
      <c r="U94" s="78"/>
      <c r="V94" s="70" t="str">
        <f t="shared" si="4"/>
        <v>FY 25-26</v>
      </c>
      <c r="W94" s="23"/>
      <c r="X94" s="23"/>
    </row>
    <row r="95">
      <c r="A95" s="70" t="s">
        <v>564</v>
      </c>
      <c r="B95" s="70" t="str">
        <f>IF($A$3=" "," ", IFERROR( VLOOKUP($A95,'SUPPLIER DATA BASE'!$A$2:$M$936,3,0),""))</f>
        <v>-</v>
      </c>
      <c r="C95" s="70" t="str">
        <f>IF($A$3=" "," ", IFERROR( VLOOKUP($A95,'SUPPLIER DATA BASE'!$A$2:$F$936,6,0),""))</f>
        <v>RTC</v>
      </c>
      <c r="D95" s="70" t="str">
        <f>IF($A$3=" "," ", IFERROR( VLOOKUP($A95,'SUPPLIER DATA BASE'!$A$2:$G$936,4,0),""))</f>
        <v>-</v>
      </c>
      <c r="E95" s="71" t="str">
        <f>IF($A$3=" "," ", IFERROR( VLOOKUP($A95,'SUPPLIER DATA BASE'!$A$2:$H$936,5,0),""))</f>
        <v>-</v>
      </c>
      <c r="F95" s="72" t="s">
        <v>1040</v>
      </c>
      <c r="G95" s="73">
        <v>46055.0</v>
      </c>
      <c r="H95" s="74">
        <v>64.0</v>
      </c>
      <c r="I95" s="75">
        <v>48047.0</v>
      </c>
      <c r="J95" s="76" t="s">
        <v>1041</v>
      </c>
      <c r="K95" s="70" t="s">
        <v>349</v>
      </c>
      <c r="L95" s="70" t="s">
        <v>349</v>
      </c>
      <c r="M95" s="70" t="str">
        <f t="shared" si="3"/>
        <v>133 Days</v>
      </c>
      <c r="N95" s="70" t="str">
        <f>IF($A$3=" "," ", IFERROR( VLOOKUP($A95,'SUPPLIER DATA BASE'!$A$2:$O$936,11,0),""))</f>
        <v>RTC Garmentex India Pvgt LTd</v>
      </c>
      <c r="O95" s="70" t="str">
        <f>IF($A$3=" "," ", IFERROR( VLOOKUP($A95,'SUPPLIER DATA BASE'!$A$2:$O$936,12,0),""))</f>
        <v>112605502571</v>
      </c>
      <c r="P95" s="70" t="str">
        <f>IF($A$3=" "," ", IFERROR( VLOOKUP($A95,'SUPPLIER DATA BASE'!$A$2:$O$936,13,0),""))</f>
        <v>ICIC0001126</v>
      </c>
      <c r="Q95" s="77"/>
      <c r="R95" s="73"/>
      <c r="S95" s="77"/>
      <c r="T95" s="70"/>
      <c r="U95" s="78"/>
      <c r="V95" s="70" t="str">
        <f t="shared" si="4"/>
        <v>FY 25-26</v>
      </c>
      <c r="W95" s="23"/>
      <c r="X95" s="23"/>
    </row>
    <row r="96">
      <c r="A96" s="70" t="s">
        <v>354</v>
      </c>
      <c r="B96" s="70" t="str">
        <f>IF($A$3=" "," ", IFERROR( VLOOKUP($A96,'SUPPLIER DATA BASE'!$A$2:$M$936,3,0),""))</f>
        <v>-</v>
      </c>
      <c r="C96" s="70" t="str">
        <f>IF($A$3=" "," ", IFERROR( VLOOKUP($A96,'SUPPLIER DATA BASE'!$A$2:$F$936,6,0),""))</f>
        <v>-</v>
      </c>
      <c r="D96" s="70" t="str">
        <f>IF($A$3=" "," ", IFERROR( VLOOKUP($A96,'SUPPLIER DATA BASE'!$A$2:$G$936,4,0),""))</f>
        <v>-</v>
      </c>
      <c r="E96" s="71" t="str">
        <f>IF($A$3=" "," ", IFERROR( VLOOKUP($A96,'SUPPLIER DATA BASE'!$A$2:$H$936,5,0),""))</f>
        <v>-</v>
      </c>
      <c r="F96" s="72" t="s">
        <v>1042</v>
      </c>
      <c r="G96" s="73">
        <v>46055.0</v>
      </c>
      <c r="H96" s="74">
        <v>10.0</v>
      </c>
      <c r="I96" s="75">
        <v>16745.56</v>
      </c>
      <c r="J96" s="76" t="s">
        <v>1043</v>
      </c>
      <c r="K96" s="70" t="s">
        <v>349</v>
      </c>
      <c r="L96" s="73"/>
      <c r="M96" s="70" t="str">
        <f t="shared" si="3"/>
        <v>133 Days</v>
      </c>
      <c r="N96" s="70" t="str">
        <f>IF($A$3=" "," ", IFERROR( VLOOKUP($A96,'SUPPLIER DATA BASE'!$A$2:$O$936,11,0),""))</f>
        <v>-</v>
      </c>
      <c r="O96" s="70" t="str">
        <f>IF($A$3=" "," ", IFERROR( VLOOKUP($A96,'SUPPLIER DATA BASE'!$A$2:$O$936,12,0),""))</f>
        <v>-</v>
      </c>
      <c r="P96" s="70" t="str">
        <f>IF($A$3=" "," ", IFERROR( VLOOKUP($A96,'SUPPLIER DATA BASE'!$A$2:$O$936,13,0),""))</f>
        <v>-</v>
      </c>
      <c r="Q96" s="77"/>
      <c r="R96" s="73"/>
      <c r="S96" s="77"/>
      <c r="T96" s="70"/>
      <c r="U96" s="78"/>
      <c r="V96" s="70" t="str">
        <f t="shared" si="4"/>
        <v>FY 25-26</v>
      </c>
      <c r="W96" s="23"/>
      <c r="X96" s="23"/>
    </row>
    <row r="97">
      <c r="A97" s="70" t="s">
        <v>677</v>
      </c>
      <c r="B97" s="70" t="str">
        <f>IF($A$3=" "," ", IFERROR( VLOOKUP($A97,'SUPPLIER DATA BASE'!$A$2:$M$936,3,0),""))</f>
        <v>-</v>
      </c>
      <c r="C97" s="70" t="str">
        <f>IF($A$3=" "," ", IFERROR( VLOOKUP($A97,'SUPPLIER DATA BASE'!$A$2:$F$936,6,0),""))</f>
        <v>-</v>
      </c>
      <c r="D97" s="70" t="str">
        <f>IF($A$3=" "," ", IFERROR( VLOOKUP($A97,'SUPPLIER DATA BASE'!$A$2:$G$936,4,0),""))</f>
        <v>-</v>
      </c>
      <c r="E97" s="71" t="str">
        <f>IF($A$3=" "," ", IFERROR( VLOOKUP($A97,'SUPPLIER DATA BASE'!$A$2:$H$936,5,0),""))</f>
        <v>-</v>
      </c>
      <c r="F97" s="72" t="s">
        <v>1044</v>
      </c>
      <c r="G97" s="73">
        <v>46056.0</v>
      </c>
      <c r="H97" s="74">
        <v>28.0</v>
      </c>
      <c r="I97" s="75">
        <v>39207.0</v>
      </c>
      <c r="J97" s="76" t="s">
        <v>1045</v>
      </c>
      <c r="K97" s="70" t="s">
        <v>349</v>
      </c>
      <c r="L97" s="70" t="s">
        <v>349</v>
      </c>
      <c r="M97" s="70" t="str">
        <f t="shared" si="3"/>
        <v>132 Days</v>
      </c>
      <c r="N97" s="70" t="str">
        <f>IF($A$3=" "," ", IFERROR( VLOOKUP($A97,'SUPPLIER DATA BASE'!$A$2:$O$936,11,0),""))</f>
        <v>SARAOGI SUPER SALES PVT LTD</v>
      </c>
      <c r="O97" s="70" t="str">
        <f>IF($A$3=" "," ", IFERROR( VLOOKUP($A97,'SUPPLIER DATA BASE'!$A$2:$O$936,12,0),""))</f>
        <v>SASUSP011006</v>
      </c>
      <c r="P97" s="70" t="str">
        <f>IF($A$3=" "," ", IFERROR( VLOOKUP($A97,'SUPPLIER DATA BASE'!$A$2:$O$936,13,0),""))</f>
        <v>ICIC0000106</v>
      </c>
      <c r="Q97" s="77"/>
      <c r="R97" s="73"/>
      <c r="S97" s="77"/>
      <c r="T97" s="70"/>
      <c r="U97" s="78"/>
      <c r="V97" s="70" t="str">
        <f t="shared" si="4"/>
        <v>FY 25-26</v>
      </c>
      <c r="W97" s="23"/>
      <c r="X97" s="23"/>
    </row>
    <row r="98">
      <c r="A98" s="70" t="s">
        <v>677</v>
      </c>
      <c r="B98" s="70" t="str">
        <f>IF($A$3=" "," ", IFERROR( VLOOKUP($A98,'SUPPLIER DATA BASE'!$A$2:$M$936,3,0),""))</f>
        <v>-</v>
      </c>
      <c r="C98" s="70" t="str">
        <f>IF($A$3=" "," ", IFERROR( VLOOKUP($A98,'SUPPLIER DATA BASE'!$A$2:$F$936,6,0),""))</f>
        <v>-</v>
      </c>
      <c r="D98" s="70" t="str">
        <f>IF($A$3=" "," ", IFERROR( VLOOKUP($A98,'SUPPLIER DATA BASE'!$A$2:$G$936,4,0),""))</f>
        <v>-</v>
      </c>
      <c r="E98" s="71" t="str">
        <f>IF($A$3=" "," ", IFERROR( VLOOKUP($A98,'SUPPLIER DATA BASE'!$A$2:$H$936,5,0),""))</f>
        <v>-</v>
      </c>
      <c r="F98" s="72" t="s">
        <v>1046</v>
      </c>
      <c r="G98" s="73">
        <v>46056.0</v>
      </c>
      <c r="H98" s="74">
        <v>17.0</v>
      </c>
      <c r="I98" s="75">
        <v>36575.0</v>
      </c>
      <c r="J98" s="76" t="s">
        <v>1047</v>
      </c>
      <c r="K98" s="70" t="s">
        <v>349</v>
      </c>
      <c r="L98" s="70" t="s">
        <v>349</v>
      </c>
      <c r="M98" s="70" t="str">
        <f t="shared" si="3"/>
        <v>132 Days</v>
      </c>
      <c r="N98" s="70" t="str">
        <f>IF($A$3=" "," ", IFERROR( VLOOKUP($A98,'SUPPLIER DATA BASE'!$A$2:$O$936,11,0),""))</f>
        <v>SARAOGI SUPER SALES PVT LTD</v>
      </c>
      <c r="O98" s="70" t="str">
        <f>IF($A$3=" "," ", IFERROR( VLOOKUP($A98,'SUPPLIER DATA BASE'!$A$2:$O$936,12,0),""))</f>
        <v>SASUSP011006</v>
      </c>
      <c r="P98" s="70" t="str">
        <f>IF($A$3=" "," ", IFERROR( VLOOKUP($A98,'SUPPLIER DATA BASE'!$A$2:$O$936,13,0),""))</f>
        <v>ICIC0000106</v>
      </c>
      <c r="Q98" s="77"/>
      <c r="R98" s="73"/>
      <c r="S98" s="77"/>
      <c r="T98" s="70"/>
      <c r="U98" s="78"/>
      <c r="V98" s="70" t="str">
        <f t="shared" si="4"/>
        <v>FY 25-26</v>
      </c>
      <c r="W98" s="23"/>
      <c r="X98" s="23"/>
    </row>
    <row r="99">
      <c r="A99" s="70" t="s">
        <v>354</v>
      </c>
      <c r="B99" s="70" t="str">
        <f>IF($A$3=" "," ", IFERROR( VLOOKUP($A99,'SUPPLIER DATA BASE'!$A$2:$M$936,3,0),""))</f>
        <v>-</v>
      </c>
      <c r="C99" s="70" t="str">
        <f>IF($A$3=" "," ", IFERROR( VLOOKUP($A99,'SUPPLIER DATA BASE'!$A$2:$F$936,6,0),""))</f>
        <v>-</v>
      </c>
      <c r="D99" s="70" t="str">
        <f>IF($A$3=" "," ", IFERROR( VLOOKUP($A99,'SUPPLIER DATA BASE'!$A$2:$G$936,4,0),""))</f>
        <v>-</v>
      </c>
      <c r="E99" s="71" t="str">
        <f>IF($A$3=" "," ", IFERROR( VLOOKUP($A99,'SUPPLIER DATA BASE'!$A$2:$H$936,5,0),""))</f>
        <v>-</v>
      </c>
      <c r="F99" s="72" t="s">
        <v>1048</v>
      </c>
      <c r="G99" s="73">
        <v>46056.0</v>
      </c>
      <c r="H99" s="74">
        <v>10.0</v>
      </c>
      <c r="I99" s="75">
        <v>24903.4</v>
      </c>
      <c r="J99" s="76" t="s">
        <v>1049</v>
      </c>
      <c r="K99" s="70" t="s">
        <v>349</v>
      </c>
      <c r="L99" s="70" t="s">
        <v>349</v>
      </c>
      <c r="M99" s="70" t="str">
        <f t="shared" si="3"/>
        <v>132 Days</v>
      </c>
      <c r="N99" s="70" t="str">
        <f>IF($A$3=" "," ", IFERROR( VLOOKUP($A99,'SUPPLIER DATA BASE'!$A$2:$O$936,11,0),""))</f>
        <v>-</v>
      </c>
      <c r="O99" s="70" t="str">
        <f>IF($A$3=" "," ", IFERROR( VLOOKUP($A99,'SUPPLIER DATA BASE'!$A$2:$O$936,12,0),""))</f>
        <v>-</v>
      </c>
      <c r="P99" s="70" t="str">
        <f>IF($A$3=" "," ", IFERROR( VLOOKUP($A99,'SUPPLIER DATA BASE'!$A$2:$O$936,13,0),""))</f>
        <v>-</v>
      </c>
      <c r="Q99" s="77"/>
      <c r="R99" s="73"/>
      <c r="S99" s="77"/>
      <c r="T99" s="70"/>
      <c r="U99" s="78"/>
      <c r="V99" s="70" t="str">
        <f t="shared" si="4"/>
        <v>FY 25-26</v>
      </c>
      <c r="W99" s="23"/>
      <c r="X99" s="23"/>
    </row>
    <row r="100">
      <c r="A100" s="70" t="s">
        <v>717</v>
      </c>
      <c r="B100" s="70" t="str">
        <f>IF($A$3=" "," ", IFERROR( VLOOKUP($A100,'SUPPLIER DATA BASE'!$A$2:$M$936,3,0),""))</f>
        <v>MINELLI</v>
      </c>
      <c r="C100" s="70" t="str">
        <f>IF($A$3=" "," ", IFERROR( VLOOKUP($A100,'SUPPLIER DATA BASE'!$A$2:$F$936,6,0),""))</f>
        <v>-</v>
      </c>
      <c r="D100" s="70">
        <f>IF($A$3=" "," ", IFERROR( VLOOKUP($A100,'SUPPLIER DATA BASE'!$A$2:$G$936,4,0),""))</f>
        <v>45</v>
      </c>
      <c r="E100" s="71">
        <f>IF($A$3=" "," ", IFERROR( VLOOKUP($A100,'SUPPLIER DATA BASE'!$A$2:$H$936,5,0),""))</f>
        <v>0.1</v>
      </c>
      <c r="F100" s="72" t="s">
        <v>1050</v>
      </c>
      <c r="G100" s="73">
        <v>46056.0</v>
      </c>
      <c r="H100" s="74"/>
      <c r="I100" s="75">
        <v>75079.0</v>
      </c>
      <c r="J100" s="85"/>
      <c r="K100" s="70"/>
      <c r="L100" s="73"/>
      <c r="M100" s="70" t="str">
        <f t="shared" si="3"/>
        <v>132 Days</v>
      </c>
      <c r="N100" s="70" t="str">
        <f>IF($A$3=" "," ", IFERROR( VLOOKUP($A100,'SUPPLIER DATA BASE'!$A$2:$O$936,11,0),""))</f>
        <v>SHUBH SHRI CLOTHING PVT LTD</v>
      </c>
      <c r="O100" s="70" t="str">
        <f>IF($A$3=" "," ", IFERROR( VLOOKUP($A100,'SUPPLIER DATA BASE'!$A$2:$O$936,12,0),""))</f>
        <v>002225010000006</v>
      </c>
      <c r="P100" s="70" t="str">
        <f>IF($A$3=" "," ", IFERROR( VLOOKUP($A100,'SUPPLIER DATA BASE'!$A$2:$O$936,13,0),""))</f>
        <v>UBIN0900222</v>
      </c>
      <c r="Q100" s="77">
        <v>75079.0</v>
      </c>
      <c r="R100" s="73">
        <v>46134.0</v>
      </c>
      <c r="S100" s="77"/>
      <c r="T100" s="70"/>
      <c r="U100" s="84" t="s">
        <v>1051</v>
      </c>
      <c r="V100" s="70" t="str">
        <f t="shared" si="4"/>
        <v>FY 25-26</v>
      </c>
      <c r="W100" s="23"/>
      <c r="X100" s="23"/>
    </row>
    <row r="101">
      <c r="A101" s="70" t="s">
        <v>354</v>
      </c>
      <c r="B101" s="70" t="str">
        <f>IF($A$3=" "," ", IFERROR( VLOOKUP($A101,'SUPPLIER DATA BASE'!$A$2:$M$936,3,0),""))</f>
        <v>-</v>
      </c>
      <c r="C101" s="70" t="str">
        <f>IF($A$3=" "," ", IFERROR( VLOOKUP($A101,'SUPPLIER DATA BASE'!$A$2:$F$936,6,0),""))</f>
        <v>-</v>
      </c>
      <c r="D101" s="70" t="str">
        <f>IF($A$3=" "," ", IFERROR( VLOOKUP($A101,'SUPPLIER DATA BASE'!$A$2:$G$936,4,0),""))</f>
        <v>-</v>
      </c>
      <c r="E101" s="71" t="str">
        <f>IF($A$3=" "," ", IFERROR( VLOOKUP($A101,'SUPPLIER DATA BASE'!$A$2:$H$936,5,0),""))</f>
        <v>-</v>
      </c>
      <c r="F101" s="72" t="s">
        <v>1052</v>
      </c>
      <c r="G101" s="73">
        <v>46057.0</v>
      </c>
      <c r="H101" s="74">
        <v>6.0</v>
      </c>
      <c r="I101" s="75">
        <v>10848.3</v>
      </c>
      <c r="J101" s="76" t="s">
        <v>1053</v>
      </c>
      <c r="K101" s="70" t="s">
        <v>349</v>
      </c>
      <c r="L101" s="70" t="s">
        <v>349</v>
      </c>
      <c r="M101" s="70" t="str">
        <f t="shared" si="3"/>
        <v>131 Days</v>
      </c>
      <c r="N101" s="70" t="str">
        <f>IF($A$3=" "," ", IFERROR( VLOOKUP($A101,'SUPPLIER DATA BASE'!$A$2:$O$936,11,0),""))</f>
        <v>-</v>
      </c>
      <c r="O101" s="70" t="str">
        <f>IF($A$3=" "," ", IFERROR( VLOOKUP($A101,'SUPPLIER DATA BASE'!$A$2:$O$936,12,0),""))</f>
        <v>-</v>
      </c>
      <c r="P101" s="70" t="str">
        <f>IF($A$3=" "," ", IFERROR( VLOOKUP($A101,'SUPPLIER DATA BASE'!$A$2:$O$936,13,0),""))</f>
        <v>-</v>
      </c>
      <c r="Q101" s="77"/>
      <c r="R101" s="73"/>
      <c r="S101" s="77"/>
      <c r="T101" s="70"/>
      <c r="U101" s="78"/>
      <c r="V101" s="70" t="str">
        <f t="shared" si="4"/>
        <v>FY 25-26</v>
      </c>
      <c r="W101" s="23"/>
      <c r="X101" s="23"/>
    </row>
    <row r="102">
      <c r="A102" s="70" t="s">
        <v>677</v>
      </c>
      <c r="B102" s="70" t="str">
        <f>IF($A$3=" "," ", IFERROR( VLOOKUP($A102,'SUPPLIER DATA BASE'!$A$2:$M$936,3,0),""))</f>
        <v>-</v>
      </c>
      <c r="C102" s="70" t="str">
        <f>IF($A$3=" "," ", IFERROR( VLOOKUP($A102,'SUPPLIER DATA BASE'!$A$2:$F$936,6,0),""))</f>
        <v>-</v>
      </c>
      <c r="D102" s="70" t="str">
        <f>IF($A$3=" "," ", IFERROR( VLOOKUP($A102,'SUPPLIER DATA BASE'!$A$2:$G$936,4,0),""))</f>
        <v>-</v>
      </c>
      <c r="E102" s="71" t="str">
        <f>IF($A$3=" "," ", IFERROR( VLOOKUP($A102,'SUPPLIER DATA BASE'!$A$2:$H$936,5,0),""))</f>
        <v>-</v>
      </c>
      <c r="F102" s="72" t="s">
        <v>1054</v>
      </c>
      <c r="G102" s="73">
        <v>46057.0</v>
      </c>
      <c r="H102" s="74">
        <v>209.0</v>
      </c>
      <c r="I102" s="75">
        <v>106282.0</v>
      </c>
      <c r="J102" s="76" t="s">
        <v>1055</v>
      </c>
      <c r="K102" s="70" t="s">
        <v>349</v>
      </c>
      <c r="L102" s="70" t="s">
        <v>349</v>
      </c>
      <c r="M102" s="70" t="str">
        <f t="shared" si="3"/>
        <v>131 Days</v>
      </c>
      <c r="N102" s="70" t="str">
        <f>IF($A$3=" "," ", IFERROR( VLOOKUP($A102,'SUPPLIER DATA BASE'!$A$2:$O$936,11,0),""))</f>
        <v>SARAOGI SUPER SALES PVT LTD</v>
      </c>
      <c r="O102" s="70" t="str">
        <f>IF($A$3=" "," ", IFERROR( VLOOKUP($A102,'SUPPLIER DATA BASE'!$A$2:$O$936,12,0),""))</f>
        <v>SASUSP011006</v>
      </c>
      <c r="P102" s="70" t="str">
        <f>IF($A$3=" "," ", IFERROR( VLOOKUP($A102,'SUPPLIER DATA BASE'!$A$2:$O$936,13,0),""))</f>
        <v>ICIC0000106</v>
      </c>
      <c r="Q102" s="77"/>
      <c r="R102" s="73"/>
      <c r="S102" s="77"/>
      <c r="T102" s="70"/>
      <c r="U102" s="78"/>
      <c r="V102" s="70" t="str">
        <f t="shared" si="4"/>
        <v>FY 25-26</v>
      </c>
      <c r="W102" s="23"/>
      <c r="X102" s="23"/>
    </row>
    <row r="103">
      <c r="A103" s="70" t="s">
        <v>677</v>
      </c>
      <c r="B103" s="70" t="str">
        <f>IF($A$3=" "," ", IFERROR( VLOOKUP($A103,'SUPPLIER DATA BASE'!$A$2:$M$936,3,0),""))</f>
        <v>-</v>
      </c>
      <c r="C103" s="70" t="str">
        <f>IF($A$3=" "," ", IFERROR( VLOOKUP($A103,'SUPPLIER DATA BASE'!$A$2:$F$936,6,0),""))</f>
        <v>-</v>
      </c>
      <c r="D103" s="70" t="str">
        <f>IF($A$3=" "," ", IFERROR( VLOOKUP($A103,'SUPPLIER DATA BASE'!$A$2:$G$936,4,0),""))</f>
        <v>-</v>
      </c>
      <c r="E103" s="71" t="str">
        <f>IF($A$3=" "," ", IFERROR( VLOOKUP($A103,'SUPPLIER DATA BASE'!$A$2:$H$936,5,0),""))</f>
        <v>-</v>
      </c>
      <c r="F103" s="72" t="s">
        <v>1056</v>
      </c>
      <c r="G103" s="73">
        <v>46057.0</v>
      </c>
      <c r="H103" s="74">
        <v>213.0</v>
      </c>
      <c r="I103" s="75">
        <v>118079.0</v>
      </c>
      <c r="J103" s="76" t="s">
        <v>1057</v>
      </c>
      <c r="K103" s="70" t="s">
        <v>349</v>
      </c>
      <c r="L103" s="70" t="s">
        <v>349</v>
      </c>
      <c r="M103" s="70" t="str">
        <f t="shared" si="3"/>
        <v>131 Days</v>
      </c>
      <c r="N103" s="70" t="str">
        <f>IF($A$3=" "," ", IFERROR( VLOOKUP($A103,'SUPPLIER DATA BASE'!$A$2:$O$936,11,0),""))</f>
        <v>SARAOGI SUPER SALES PVT LTD</v>
      </c>
      <c r="O103" s="70" t="str">
        <f>IF($A$3=" "," ", IFERROR( VLOOKUP($A103,'SUPPLIER DATA BASE'!$A$2:$O$936,12,0),""))</f>
        <v>SASUSP011006</v>
      </c>
      <c r="P103" s="70" t="str">
        <f>IF($A$3=" "," ", IFERROR( VLOOKUP($A103,'SUPPLIER DATA BASE'!$A$2:$O$936,13,0),""))</f>
        <v>ICIC0000106</v>
      </c>
      <c r="Q103" s="77"/>
      <c r="R103" s="73"/>
      <c r="S103" s="77"/>
      <c r="T103" s="70"/>
      <c r="U103" s="78"/>
      <c r="V103" s="70" t="str">
        <f t="shared" si="4"/>
        <v>FY 25-26</v>
      </c>
      <c r="W103" s="23"/>
      <c r="X103" s="23"/>
    </row>
    <row r="104">
      <c r="A104" s="70" t="s">
        <v>677</v>
      </c>
      <c r="B104" s="70" t="str">
        <f>IF($A$3=" "," ", IFERROR( VLOOKUP($A104,'SUPPLIER DATA BASE'!$A$2:$M$936,3,0),""))</f>
        <v>-</v>
      </c>
      <c r="C104" s="70" t="str">
        <f>IF($A$3=" "," ", IFERROR( VLOOKUP($A104,'SUPPLIER DATA BASE'!$A$2:$F$936,6,0),""))</f>
        <v>-</v>
      </c>
      <c r="D104" s="70" t="str">
        <f>IF($A$3=" "," ", IFERROR( VLOOKUP($A104,'SUPPLIER DATA BASE'!$A$2:$G$936,4,0),""))</f>
        <v>-</v>
      </c>
      <c r="E104" s="71" t="str">
        <f>IF($A$3=" "," ", IFERROR( VLOOKUP($A104,'SUPPLIER DATA BASE'!$A$2:$H$936,5,0),""))</f>
        <v>-</v>
      </c>
      <c r="F104" s="72" t="s">
        <v>1058</v>
      </c>
      <c r="G104" s="73">
        <v>46057.0</v>
      </c>
      <c r="H104" s="74">
        <v>101.0</v>
      </c>
      <c r="I104" s="75">
        <v>65597.0</v>
      </c>
      <c r="J104" s="76" t="s">
        <v>1059</v>
      </c>
      <c r="K104" s="70" t="s">
        <v>349</v>
      </c>
      <c r="L104" s="70" t="s">
        <v>349</v>
      </c>
      <c r="M104" s="70" t="str">
        <f t="shared" si="3"/>
        <v>131 Days</v>
      </c>
      <c r="N104" s="70" t="str">
        <f>IF($A$3=" "," ", IFERROR( VLOOKUP($A104,'SUPPLIER DATA BASE'!$A$2:$O$936,11,0),""))</f>
        <v>SARAOGI SUPER SALES PVT LTD</v>
      </c>
      <c r="O104" s="70" t="str">
        <f>IF($A$3=" "," ", IFERROR( VLOOKUP($A104,'SUPPLIER DATA BASE'!$A$2:$O$936,12,0),""))</f>
        <v>SASUSP011006</v>
      </c>
      <c r="P104" s="70" t="str">
        <f>IF($A$3=" "," ", IFERROR( VLOOKUP($A104,'SUPPLIER DATA BASE'!$A$2:$O$936,13,0),""))</f>
        <v>ICIC0000106</v>
      </c>
      <c r="Q104" s="77"/>
      <c r="R104" s="73"/>
      <c r="S104" s="77"/>
      <c r="T104" s="70"/>
      <c r="U104" s="78"/>
      <c r="V104" s="70" t="str">
        <f t="shared" si="4"/>
        <v>FY 25-26</v>
      </c>
      <c r="W104" s="23"/>
      <c r="X104" s="23"/>
    </row>
    <row r="105">
      <c r="A105" s="70" t="s">
        <v>677</v>
      </c>
      <c r="B105" s="70" t="str">
        <f>IF($A$3=" "," ", IFERROR( VLOOKUP($A105,'SUPPLIER DATA BASE'!$A$2:$M$936,3,0),""))</f>
        <v>-</v>
      </c>
      <c r="C105" s="70" t="str">
        <f>IF($A$3=" "," ", IFERROR( VLOOKUP($A105,'SUPPLIER DATA BASE'!$A$2:$F$936,6,0),""))</f>
        <v>-</v>
      </c>
      <c r="D105" s="70" t="str">
        <f>IF($A$3=" "," ", IFERROR( VLOOKUP($A105,'SUPPLIER DATA BASE'!$A$2:$G$936,4,0),""))</f>
        <v>-</v>
      </c>
      <c r="E105" s="71" t="str">
        <f>IF($A$3=" "," ", IFERROR( VLOOKUP($A105,'SUPPLIER DATA BASE'!$A$2:$H$936,5,0),""))</f>
        <v>-</v>
      </c>
      <c r="F105" s="72" t="s">
        <v>1060</v>
      </c>
      <c r="G105" s="73">
        <v>46057.0</v>
      </c>
      <c r="H105" s="74">
        <v>167.0</v>
      </c>
      <c r="I105" s="75">
        <v>106209.0</v>
      </c>
      <c r="J105" s="76" t="s">
        <v>1061</v>
      </c>
      <c r="K105" s="70" t="s">
        <v>349</v>
      </c>
      <c r="L105" s="70" t="s">
        <v>349</v>
      </c>
      <c r="M105" s="70" t="str">
        <f t="shared" si="3"/>
        <v>131 Days</v>
      </c>
      <c r="N105" s="70" t="str">
        <f>IF($A$3=" "," ", IFERROR( VLOOKUP($A105,'SUPPLIER DATA BASE'!$A$2:$O$936,11,0),""))</f>
        <v>SARAOGI SUPER SALES PVT LTD</v>
      </c>
      <c r="O105" s="70" t="str">
        <f>IF($A$3=" "," ", IFERROR( VLOOKUP($A105,'SUPPLIER DATA BASE'!$A$2:$O$936,12,0),""))</f>
        <v>SASUSP011006</v>
      </c>
      <c r="P105" s="70" t="str">
        <f>IF($A$3=" "," ", IFERROR( VLOOKUP($A105,'SUPPLIER DATA BASE'!$A$2:$O$936,13,0),""))</f>
        <v>ICIC0000106</v>
      </c>
      <c r="Q105" s="77"/>
      <c r="R105" s="73"/>
      <c r="S105" s="77"/>
      <c r="T105" s="70"/>
      <c r="U105" s="78"/>
      <c r="V105" s="70" t="str">
        <f t="shared" si="4"/>
        <v>FY 25-26</v>
      </c>
      <c r="W105" s="23"/>
      <c r="X105" s="23"/>
    </row>
    <row r="106">
      <c r="A106" s="70" t="s">
        <v>677</v>
      </c>
      <c r="B106" s="70" t="str">
        <f>IF($A$3=" "," ", IFERROR( VLOOKUP($A106,'SUPPLIER DATA BASE'!$A$2:$M$936,3,0),""))</f>
        <v>-</v>
      </c>
      <c r="C106" s="70" t="str">
        <f>IF($A$3=" "," ", IFERROR( VLOOKUP($A106,'SUPPLIER DATA BASE'!$A$2:$F$936,6,0),""))</f>
        <v>-</v>
      </c>
      <c r="D106" s="70" t="str">
        <f>IF($A$3=" "," ", IFERROR( VLOOKUP($A106,'SUPPLIER DATA BASE'!$A$2:$G$936,4,0),""))</f>
        <v>-</v>
      </c>
      <c r="E106" s="71" t="str">
        <f>IF($A$3=" "," ", IFERROR( VLOOKUP($A106,'SUPPLIER DATA BASE'!$A$2:$H$936,5,0),""))</f>
        <v>-</v>
      </c>
      <c r="F106" s="72" t="s">
        <v>1062</v>
      </c>
      <c r="G106" s="73">
        <v>46057.0</v>
      </c>
      <c r="H106" s="74">
        <v>192.0</v>
      </c>
      <c r="I106" s="75">
        <v>101280.0</v>
      </c>
      <c r="J106" s="76" t="s">
        <v>1063</v>
      </c>
      <c r="K106" s="70" t="s">
        <v>349</v>
      </c>
      <c r="L106" s="70" t="s">
        <v>349</v>
      </c>
      <c r="M106" s="70" t="str">
        <f t="shared" si="3"/>
        <v>131 Days</v>
      </c>
      <c r="N106" s="70" t="str">
        <f>IF($A$3=" "," ", IFERROR( VLOOKUP($A106,'SUPPLIER DATA BASE'!$A$2:$O$936,11,0),""))</f>
        <v>SARAOGI SUPER SALES PVT LTD</v>
      </c>
      <c r="O106" s="70" t="str">
        <f>IF($A$3=" "," ", IFERROR( VLOOKUP($A106,'SUPPLIER DATA BASE'!$A$2:$O$936,12,0),""))</f>
        <v>SASUSP011006</v>
      </c>
      <c r="P106" s="70" t="str">
        <f>IF($A$3=" "," ", IFERROR( VLOOKUP($A106,'SUPPLIER DATA BASE'!$A$2:$O$936,13,0),""))</f>
        <v>ICIC0000106</v>
      </c>
      <c r="Q106" s="77"/>
      <c r="R106" s="73"/>
      <c r="S106" s="77"/>
      <c r="T106" s="70"/>
      <c r="U106" s="78"/>
      <c r="V106" s="70" t="str">
        <f t="shared" si="4"/>
        <v>FY 25-26</v>
      </c>
      <c r="W106" s="23"/>
      <c r="X106" s="23"/>
    </row>
    <row r="107">
      <c r="A107" s="70" t="s">
        <v>677</v>
      </c>
      <c r="B107" s="70" t="str">
        <f>IF($A$3=" "," ", IFERROR( VLOOKUP($A107,'SUPPLIER DATA BASE'!$A$2:$M$936,3,0),""))</f>
        <v>-</v>
      </c>
      <c r="C107" s="70" t="str">
        <f>IF($A$3=" "," ", IFERROR( VLOOKUP($A107,'SUPPLIER DATA BASE'!$A$2:$F$936,6,0),""))</f>
        <v>-</v>
      </c>
      <c r="D107" s="70" t="str">
        <f>IF($A$3=" "," ", IFERROR( VLOOKUP($A107,'SUPPLIER DATA BASE'!$A$2:$G$936,4,0),""))</f>
        <v>-</v>
      </c>
      <c r="E107" s="71" t="str">
        <f>IF($A$3=" "," ", IFERROR( VLOOKUP($A107,'SUPPLIER DATA BASE'!$A$2:$H$936,5,0),""))</f>
        <v>-</v>
      </c>
      <c r="F107" s="72" t="s">
        <v>1064</v>
      </c>
      <c r="G107" s="73">
        <v>46057.0</v>
      </c>
      <c r="H107" s="74">
        <v>168.0</v>
      </c>
      <c r="I107" s="75">
        <v>91583.0</v>
      </c>
      <c r="J107" s="76" t="s">
        <v>1065</v>
      </c>
      <c r="K107" s="70" t="s">
        <v>349</v>
      </c>
      <c r="L107" s="70" t="s">
        <v>349</v>
      </c>
      <c r="M107" s="70" t="str">
        <f t="shared" si="3"/>
        <v>131 Days</v>
      </c>
      <c r="N107" s="70" t="str">
        <f>IF($A$3=" "," ", IFERROR( VLOOKUP($A107,'SUPPLIER DATA BASE'!$A$2:$O$936,11,0),""))</f>
        <v>SARAOGI SUPER SALES PVT LTD</v>
      </c>
      <c r="O107" s="70" t="str">
        <f>IF($A$3=" "," ", IFERROR( VLOOKUP($A107,'SUPPLIER DATA BASE'!$A$2:$O$936,12,0),""))</f>
        <v>SASUSP011006</v>
      </c>
      <c r="P107" s="70" t="str">
        <f>IF($A$3=" "," ", IFERROR( VLOOKUP($A107,'SUPPLIER DATA BASE'!$A$2:$O$936,13,0),""))</f>
        <v>ICIC0000106</v>
      </c>
      <c r="Q107" s="77"/>
      <c r="R107" s="73"/>
      <c r="S107" s="77"/>
      <c r="T107" s="70"/>
      <c r="U107" s="78"/>
      <c r="V107" s="70" t="str">
        <f t="shared" si="4"/>
        <v>FY 25-26</v>
      </c>
      <c r="W107" s="23"/>
      <c r="X107" s="23"/>
    </row>
    <row r="108">
      <c r="A108" s="70" t="s">
        <v>677</v>
      </c>
      <c r="B108" s="70" t="str">
        <f>IF($A$3=" "," ", IFERROR( VLOOKUP($A108,'SUPPLIER DATA BASE'!$A$2:$M$936,3,0),""))</f>
        <v>-</v>
      </c>
      <c r="C108" s="70" t="str">
        <f>IF($A$3=" "," ", IFERROR( VLOOKUP($A108,'SUPPLIER DATA BASE'!$A$2:$F$936,6,0),""))</f>
        <v>-</v>
      </c>
      <c r="D108" s="70" t="str">
        <f>IF($A$3=" "," ", IFERROR( VLOOKUP($A108,'SUPPLIER DATA BASE'!$A$2:$G$936,4,0),""))</f>
        <v>-</v>
      </c>
      <c r="E108" s="71" t="str">
        <f>IF($A$3=" "," ", IFERROR( VLOOKUP($A108,'SUPPLIER DATA BASE'!$A$2:$H$936,5,0),""))</f>
        <v>-</v>
      </c>
      <c r="F108" s="72" t="s">
        <v>1066</v>
      </c>
      <c r="G108" s="73">
        <v>46057.0</v>
      </c>
      <c r="H108" s="74">
        <v>113.0</v>
      </c>
      <c r="I108" s="75">
        <v>62848.0</v>
      </c>
      <c r="J108" s="76" t="s">
        <v>1067</v>
      </c>
      <c r="K108" s="70" t="s">
        <v>349</v>
      </c>
      <c r="L108" s="70" t="s">
        <v>349</v>
      </c>
      <c r="M108" s="70" t="str">
        <f t="shared" si="3"/>
        <v>131 Days</v>
      </c>
      <c r="N108" s="70" t="str">
        <f>IF($A$3=" "," ", IFERROR( VLOOKUP($A108,'SUPPLIER DATA BASE'!$A$2:$O$936,11,0),""))</f>
        <v>SARAOGI SUPER SALES PVT LTD</v>
      </c>
      <c r="O108" s="70" t="str">
        <f>IF($A$3=" "," ", IFERROR( VLOOKUP($A108,'SUPPLIER DATA BASE'!$A$2:$O$936,12,0),""))</f>
        <v>SASUSP011006</v>
      </c>
      <c r="P108" s="70" t="str">
        <f>IF($A$3=" "," ", IFERROR( VLOOKUP($A108,'SUPPLIER DATA BASE'!$A$2:$O$936,13,0),""))</f>
        <v>ICIC0000106</v>
      </c>
      <c r="Q108" s="77"/>
      <c r="R108" s="73"/>
      <c r="S108" s="77"/>
      <c r="T108" s="70"/>
      <c r="U108" s="78"/>
      <c r="V108" s="70" t="str">
        <f t="shared" si="4"/>
        <v>FY 25-26</v>
      </c>
      <c r="W108" s="23"/>
      <c r="X108" s="23"/>
    </row>
    <row r="109">
      <c r="A109" s="70" t="s">
        <v>564</v>
      </c>
      <c r="B109" s="70" t="str">
        <f>IF($A$3=" "," ", IFERROR( VLOOKUP($A109,'SUPPLIER DATA BASE'!$A$2:$M$936,3,0),""))</f>
        <v>-</v>
      </c>
      <c r="C109" s="70" t="str">
        <f>IF($A$3=" "," ", IFERROR( VLOOKUP($A109,'SUPPLIER DATA BASE'!$A$2:$F$936,6,0),""))</f>
        <v>RTC</v>
      </c>
      <c r="D109" s="70" t="str">
        <f>IF($A$3=" "," ", IFERROR( VLOOKUP($A109,'SUPPLIER DATA BASE'!$A$2:$G$936,4,0),""))</f>
        <v>-</v>
      </c>
      <c r="E109" s="71" t="str">
        <f>IF($A$3=" "," ", IFERROR( VLOOKUP($A109,'SUPPLIER DATA BASE'!$A$2:$H$936,5,0),""))</f>
        <v>-</v>
      </c>
      <c r="F109" s="72" t="s">
        <v>1068</v>
      </c>
      <c r="G109" s="73">
        <v>46057.0</v>
      </c>
      <c r="H109" s="74">
        <v>62.0</v>
      </c>
      <c r="I109" s="75">
        <v>54473.0</v>
      </c>
      <c r="J109" s="76" t="s">
        <v>1069</v>
      </c>
      <c r="K109" s="70" t="s">
        <v>349</v>
      </c>
      <c r="L109" s="70" t="s">
        <v>349</v>
      </c>
      <c r="M109" s="70" t="str">
        <f t="shared" si="3"/>
        <v>131 Days</v>
      </c>
      <c r="N109" s="70" t="str">
        <f>IF($A$3=" "," ", IFERROR( VLOOKUP($A109,'SUPPLIER DATA BASE'!$A$2:$O$936,11,0),""))</f>
        <v>RTC Garmentex India Pvgt LTd</v>
      </c>
      <c r="O109" s="70" t="str">
        <f>IF($A$3=" "," ", IFERROR( VLOOKUP($A109,'SUPPLIER DATA BASE'!$A$2:$O$936,12,0),""))</f>
        <v>112605502571</v>
      </c>
      <c r="P109" s="70" t="str">
        <f>IF($A$3=" "," ", IFERROR( VLOOKUP($A109,'SUPPLIER DATA BASE'!$A$2:$O$936,13,0),""))</f>
        <v>ICIC0001126</v>
      </c>
      <c r="Q109" s="77"/>
      <c r="R109" s="73"/>
      <c r="S109" s="77"/>
      <c r="T109" s="70"/>
      <c r="U109" s="78"/>
      <c r="V109" s="70" t="str">
        <f t="shared" si="4"/>
        <v>FY 25-26</v>
      </c>
      <c r="W109" s="23"/>
      <c r="X109" s="23"/>
    </row>
    <row r="110">
      <c r="A110" s="70" t="s">
        <v>354</v>
      </c>
      <c r="B110" s="70" t="str">
        <f>IF($A$3=" "," ", IFERROR( VLOOKUP($A110,'SUPPLIER DATA BASE'!$A$2:$M$936,3,0),""))</f>
        <v>-</v>
      </c>
      <c r="C110" s="70" t="str">
        <f>IF($A$3=" "," ", IFERROR( VLOOKUP($A110,'SUPPLIER DATA BASE'!$A$2:$F$936,6,0),""))</f>
        <v>-</v>
      </c>
      <c r="D110" s="70" t="str">
        <f>IF($A$3=" "," ", IFERROR( VLOOKUP($A110,'SUPPLIER DATA BASE'!$A$2:$G$936,4,0),""))</f>
        <v>-</v>
      </c>
      <c r="E110" s="71" t="str">
        <f>IF($A$3=" "," ", IFERROR( VLOOKUP($A110,'SUPPLIER DATA BASE'!$A$2:$H$936,5,0),""))</f>
        <v>-</v>
      </c>
      <c r="F110" s="72" t="s">
        <v>1070</v>
      </c>
      <c r="G110" s="73">
        <v>46057.0</v>
      </c>
      <c r="H110" s="74">
        <v>6.0</v>
      </c>
      <c r="I110" s="75">
        <v>10848.3</v>
      </c>
      <c r="J110" s="76" t="s">
        <v>1071</v>
      </c>
      <c r="K110" s="70" t="s">
        <v>349</v>
      </c>
      <c r="L110" s="70" t="s">
        <v>349</v>
      </c>
      <c r="M110" s="70" t="str">
        <f t="shared" si="3"/>
        <v>131 Days</v>
      </c>
      <c r="N110" s="70" t="str">
        <f>IF($A$3=" "," ", IFERROR( VLOOKUP($A110,'SUPPLIER DATA BASE'!$A$2:$O$936,11,0),""))</f>
        <v>-</v>
      </c>
      <c r="O110" s="70" t="str">
        <f>IF($A$3=" "," ", IFERROR( VLOOKUP($A110,'SUPPLIER DATA BASE'!$A$2:$O$936,12,0),""))</f>
        <v>-</v>
      </c>
      <c r="P110" s="70" t="str">
        <f>IF($A$3=" "," ", IFERROR( VLOOKUP($A110,'SUPPLIER DATA BASE'!$A$2:$O$936,13,0),""))</f>
        <v>-</v>
      </c>
      <c r="Q110" s="77"/>
      <c r="R110" s="73"/>
      <c r="S110" s="77"/>
      <c r="T110" s="70"/>
      <c r="U110" s="78"/>
      <c r="V110" s="70" t="str">
        <f t="shared" si="4"/>
        <v>FY 25-26</v>
      </c>
      <c r="W110" s="23"/>
      <c r="X110" s="23"/>
    </row>
    <row r="111">
      <c r="A111" s="70" t="s">
        <v>677</v>
      </c>
      <c r="B111" s="70" t="str">
        <f>IF($A$3=" "," ", IFERROR( VLOOKUP($A111,'SUPPLIER DATA BASE'!$A$2:$M$936,3,0),""))</f>
        <v>-</v>
      </c>
      <c r="C111" s="70" t="str">
        <f>IF($A$3=" "," ", IFERROR( VLOOKUP($A111,'SUPPLIER DATA BASE'!$A$2:$F$936,6,0),""))</f>
        <v>-</v>
      </c>
      <c r="D111" s="70" t="str">
        <f>IF($A$3=" "," ", IFERROR( VLOOKUP($A111,'SUPPLIER DATA BASE'!$A$2:$G$936,4,0),""))</f>
        <v>-</v>
      </c>
      <c r="E111" s="71" t="str">
        <f>IF($A$3=" "," ", IFERROR( VLOOKUP($A111,'SUPPLIER DATA BASE'!$A$2:$H$936,5,0),""))</f>
        <v>-</v>
      </c>
      <c r="F111" s="72" t="s">
        <v>1072</v>
      </c>
      <c r="G111" s="73">
        <v>46058.0</v>
      </c>
      <c r="H111" s="74">
        <v>27.0</v>
      </c>
      <c r="I111" s="75">
        <v>34931.0</v>
      </c>
      <c r="J111" s="76" t="s">
        <v>1073</v>
      </c>
      <c r="K111" s="70" t="s">
        <v>349</v>
      </c>
      <c r="L111" s="70" t="s">
        <v>349</v>
      </c>
      <c r="M111" s="70" t="str">
        <f t="shared" si="3"/>
        <v>130 Days</v>
      </c>
      <c r="N111" s="70" t="str">
        <f>IF($A$3=" "," ", IFERROR( VLOOKUP($A111,'SUPPLIER DATA BASE'!$A$2:$O$936,11,0),""))</f>
        <v>SARAOGI SUPER SALES PVT LTD</v>
      </c>
      <c r="O111" s="70" t="str">
        <f>IF($A$3=" "," ", IFERROR( VLOOKUP($A111,'SUPPLIER DATA BASE'!$A$2:$O$936,12,0),""))</f>
        <v>SASUSP011006</v>
      </c>
      <c r="P111" s="70" t="str">
        <f>IF($A$3=" "," ", IFERROR( VLOOKUP($A111,'SUPPLIER DATA BASE'!$A$2:$O$936,13,0),""))</f>
        <v>ICIC0000106</v>
      </c>
      <c r="Q111" s="77"/>
      <c r="R111" s="73"/>
      <c r="S111" s="77"/>
      <c r="T111" s="70"/>
      <c r="U111" s="78"/>
      <c r="V111" s="70" t="str">
        <f t="shared" si="4"/>
        <v>FY 25-26</v>
      </c>
      <c r="W111" s="23"/>
      <c r="X111" s="23"/>
    </row>
    <row r="112">
      <c r="A112" s="70" t="s">
        <v>601</v>
      </c>
      <c r="B112" s="70" t="str">
        <f>IF($A$3=" "," ", IFERROR( VLOOKUP($A112,'SUPPLIER DATA BASE'!$A$2:$M$936,3,0),""))</f>
        <v>-</v>
      </c>
      <c r="C112" s="70" t="str">
        <f>IF($A$3=" "," ", IFERROR( VLOOKUP($A112,'SUPPLIER DATA BASE'!$A$2:$F$936,6,0),""))</f>
        <v>RTC</v>
      </c>
      <c r="D112" s="70" t="str">
        <f>IF($A$3=" "," ", IFERROR( VLOOKUP($A112,'SUPPLIER DATA BASE'!$A$2:$G$936,4,0),""))</f>
        <v>-</v>
      </c>
      <c r="E112" s="71" t="str">
        <f>IF($A$3=" "," ", IFERROR( VLOOKUP($A112,'SUPPLIER DATA BASE'!$A$2:$H$936,5,0),""))</f>
        <v>-</v>
      </c>
      <c r="F112" s="72" t="s">
        <v>1074</v>
      </c>
      <c r="G112" s="73">
        <v>46059.0</v>
      </c>
      <c r="H112" s="74">
        <v>72.0</v>
      </c>
      <c r="I112" s="75">
        <v>69869.0</v>
      </c>
      <c r="J112" s="76" t="s">
        <v>1075</v>
      </c>
      <c r="K112" s="70" t="s">
        <v>349</v>
      </c>
      <c r="L112" s="70" t="s">
        <v>349</v>
      </c>
      <c r="M112" s="70" t="str">
        <f t="shared" si="3"/>
        <v>129 Days</v>
      </c>
      <c r="N112" s="70" t="str">
        <f>IF($A$3=" "," ", IFERROR( VLOOKUP($A112,'SUPPLIER DATA BASE'!$A$2:$O$936,11,0),""))</f>
        <v>RTC Garmentex India Pvgt LTd</v>
      </c>
      <c r="O112" s="70" t="str">
        <f>IF($A$3=" "," ", IFERROR( VLOOKUP($A112,'SUPPLIER DATA BASE'!$A$2:$O$936,12,0),""))</f>
        <v>112605502571</v>
      </c>
      <c r="P112" s="70" t="str">
        <f>IF($A$3=" "," ", IFERROR( VLOOKUP($A112,'SUPPLIER DATA BASE'!$A$2:$O$936,13,0),""))</f>
        <v>ICIC0001126</v>
      </c>
      <c r="Q112" s="77"/>
      <c r="R112" s="73"/>
      <c r="S112" s="77"/>
      <c r="T112" s="70"/>
      <c r="U112" s="78"/>
      <c r="V112" s="70" t="str">
        <f t="shared" si="4"/>
        <v>FY 25-26</v>
      </c>
      <c r="W112" s="23"/>
      <c r="X112" s="23"/>
    </row>
    <row r="113">
      <c r="A113" s="70" t="s">
        <v>677</v>
      </c>
      <c r="B113" s="70" t="str">
        <f>IF($A$3=" "," ", IFERROR( VLOOKUP($A113,'SUPPLIER DATA BASE'!$A$2:$M$936,3,0),""))</f>
        <v>-</v>
      </c>
      <c r="C113" s="70" t="str">
        <f>IF($A$3=" "," ", IFERROR( VLOOKUP($A113,'SUPPLIER DATA BASE'!$A$2:$F$936,6,0),""))</f>
        <v>-</v>
      </c>
      <c r="D113" s="70" t="str">
        <f>IF($A$3=" "," ", IFERROR( VLOOKUP($A113,'SUPPLIER DATA BASE'!$A$2:$G$936,4,0),""))</f>
        <v>-</v>
      </c>
      <c r="E113" s="71" t="str">
        <f>IF($A$3=" "," ", IFERROR( VLOOKUP($A113,'SUPPLIER DATA BASE'!$A$2:$H$936,5,0),""))</f>
        <v>-</v>
      </c>
      <c r="F113" s="72" t="s">
        <v>1076</v>
      </c>
      <c r="G113" s="73">
        <v>46059.0</v>
      </c>
      <c r="H113" s="74">
        <v>28.0</v>
      </c>
      <c r="I113" s="75">
        <v>25971.0</v>
      </c>
      <c r="J113" s="76" t="s">
        <v>1077</v>
      </c>
      <c r="K113" s="70" t="s">
        <v>349</v>
      </c>
      <c r="L113" s="70" t="s">
        <v>349</v>
      </c>
      <c r="M113" s="70" t="str">
        <f t="shared" si="3"/>
        <v>129 Days</v>
      </c>
      <c r="N113" s="70" t="str">
        <f>IF($A$3=" "," ", IFERROR( VLOOKUP($A113,'SUPPLIER DATA BASE'!$A$2:$O$936,11,0),""))</f>
        <v>SARAOGI SUPER SALES PVT LTD</v>
      </c>
      <c r="O113" s="70" t="str">
        <f>IF($A$3=" "," ", IFERROR( VLOOKUP($A113,'SUPPLIER DATA BASE'!$A$2:$O$936,12,0),""))</f>
        <v>SASUSP011006</v>
      </c>
      <c r="P113" s="70" t="str">
        <f>IF($A$3=" "," ", IFERROR( VLOOKUP($A113,'SUPPLIER DATA BASE'!$A$2:$O$936,13,0),""))</f>
        <v>ICIC0000106</v>
      </c>
      <c r="Q113" s="77"/>
      <c r="R113" s="73"/>
      <c r="S113" s="77"/>
      <c r="T113" s="70"/>
      <c r="U113" s="78"/>
      <c r="V113" s="70" t="str">
        <f t="shared" si="4"/>
        <v>FY 25-26</v>
      </c>
      <c r="W113" s="23"/>
      <c r="X113" s="23"/>
    </row>
    <row r="114">
      <c r="A114" s="70" t="s">
        <v>354</v>
      </c>
      <c r="B114" s="70" t="str">
        <f>IF($A$3=" "," ", IFERROR( VLOOKUP($A114,'SUPPLIER DATA BASE'!$A$2:$M$936,3,0),""))</f>
        <v>-</v>
      </c>
      <c r="C114" s="70" t="str">
        <f>IF($A$3=" "," ", IFERROR( VLOOKUP($A114,'SUPPLIER DATA BASE'!$A$2:$F$936,6,0),""))</f>
        <v>-</v>
      </c>
      <c r="D114" s="70" t="str">
        <f>IF($A$3=" "," ", IFERROR( VLOOKUP($A114,'SUPPLIER DATA BASE'!$A$2:$G$936,4,0),""))</f>
        <v>-</v>
      </c>
      <c r="E114" s="71" t="str">
        <f>IF($A$3=" "," ", IFERROR( VLOOKUP($A114,'SUPPLIER DATA BASE'!$A$2:$H$936,5,0),""))</f>
        <v>-</v>
      </c>
      <c r="F114" s="72" t="s">
        <v>1078</v>
      </c>
      <c r="G114" s="73">
        <v>46059.0</v>
      </c>
      <c r="H114" s="74">
        <v>8.0</v>
      </c>
      <c r="I114" s="75">
        <v>13770.05</v>
      </c>
      <c r="J114" s="76" t="s">
        <v>1079</v>
      </c>
      <c r="K114" s="70" t="s">
        <v>349</v>
      </c>
      <c r="L114" s="70" t="s">
        <v>349</v>
      </c>
      <c r="M114" s="70" t="str">
        <f t="shared" si="3"/>
        <v>129 Days</v>
      </c>
      <c r="N114" s="70" t="str">
        <f>IF($A$3=" "," ", IFERROR( VLOOKUP($A114,'SUPPLIER DATA BASE'!$A$2:$O$936,11,0),""))</f>
        <v>-</v>
      </c>
      <c r="O114" s="70" t="str">
        <f>IF($A$3=" "," ", IFERROR( VLOOKUP($A114,'SUPPLIER DATA BASE'!$A$2:$O$936,12,0),""))</f>
        <v>-</v>
      </c>
      <c r="P114" s="70" t="str">
        <f>IF($A$3=" "," ", IFERROR( VLOOKUP($A114,'SUPPLIER DATA BASE'!$A$2:$O$936,13,0),""))</f>
        <v>-</v>
      </c>
      <c r="Q114" s="77"/>
      <c r="R114" s="73"/>
      <c r="S114" s="77"/>
      <c r="T114" s="70"/>
      <c r="U114" s="78"/>
      <c r="V114" s="70" t="str">
        <f t="shared" si="4"/>
        <v>FY 25-26</v>
      </c>
      <c r="W114" s="23"/>
      <c r="X114" s="23"/>
    </row>
    <row r="115">
      <c r="A115" s="70" t="s">
        <v>354</v>
      </c>
      <c r="B115" s="70" t="str">
        <f>IF($A$3=" "," ", IFERROR( VLOOKUP($A115,'SUPPLIER DATA BASE'!$A$2:$M$936,3,0),""))</f>
        <v>-</v>
      </c>
      <c r="C115" s="70" t="str">
        <f>IF($A$3=" "," ", IFERROR( VLOOKUP($A115,'SUPPLIER DATA BASE'!$A$2:$F$936,6,0),""))</f>
        <v>-</v>
      </c>
      <c r="D115" s="70" t="str">
        <f>IF($A$3=" "," ", IFERROR( VLOOKUP($A115,'SUPPLIER DATA BASE'!$A$2:$G$936,4,0),""))</f>
        <v>-</v>
      </c>
      <c r="E115" s="71" t="str">
        <f>IF($A$3=" "," ", IFERROR( VLOOKUP($A115,'SUPPLIER DATA BASE'!$A$2:$H$936,5,0),""))</f>
        <v>-</v>
      </c>
      <c r="F115" s="72" t="s">
        <v>1080</v>
      </c>
      <c r="G115" s="73">
        <v>46059.0</v>
      </c>
      <c r="H115" s="74">
        <v>4.0</v>
      </c>
      <c r="I115" s="75">
        <v>6694.72</v>
      </c>
      <c r="J115" s="76" t="s">
        <v>1081</v>
      </c>
      <c r="K115" s="70" t="s">
        <v>349</v>
      </c>
      <c r="L115" s="70" t="s">
        <v>349</v>
      </c>
      <c r="M115" s="70" t="str">
        <f t="shared" si="3"/>
        <v>129 Days</v>
      </c>
      <c r="N115" s="70" t="str">
        <f>IF($A$3=" "," ", IFERROR( VLOOKUP($A115,'SUPPLIER DATA BASE'!$A$2:$O$936,11,0),""))</f>
        <v>-</v>
      </c>
      <c r="O115" s="70" t="str">
        <f>IF($A$3=" "," ", IFERROR( VLOOKUP($A115,'SUPPLIER DATA BASE'!$A$2:$O$936,12,0),""))</f>
        <v>-</v>
      </c>
      <c r="P115" s="70" t="str">
        <f>IF($A$3=" "," ", IFERROR( VLOOKUP($A115,'SUPPLIER DATA BASE'!$A$2:$O$936,13,0),""))</f>
        <v>-</v>
      </c>
      <c r="Q115" s="77"/>
      <c r="R115" s="73"/>
      <c r="S115" s="77"/>
      <c r="T115" s="70"/>
      <c r="U115" s="78"/>
      <c r="V115" s="70" t="str">
        <f t="shared" si="4"/>
        <v>FY 25-26</v>
      </c>
      <c r="W115" s="23"/>
      <c r="X115" s="23"/>
    </row>
    <row r="116">
      <c r="A116" s="70" t="s">
        <v>354</v>
      </c>
      <c r="B116" s="70" t="str">
        <f>IF($A$3=" "," ", IFERROR( VLOOKUP($A116,'SUPPLIER DATA BASE'!$A$2:$M$936,3,0),""))</f>
        <v>-</v>
      </c>
      <c r="C116" s="70" t="str">
        <f>IF($A$3=" "," ", IFERROR( VLOOKUP($A116,'SUPPLIER DATA BASE'!$A$2:$F$936,6,0),""))</f>
        <v>-</v>
      </c>
      <c r="D116" s="70" t="str">
        <f>IF($A$3=" "," ", IFERROR( VLOOKUP($A116,'SUPPLIER DATA BASE'!$A$2:$G$936,4,0),""))</f>
        <v>-</v>
      </c>
      <c r="E116" s="71" t="str">
        <f>IF($A$3=" "," ", IFERROR( VLOOKUP($A116,'SUPPLIER DATA BASE'!$A$2:$H$936,5,0),""))</f>
        <v>-</v>
      </c>
      <c r="F116" s="72" t="s">
        <v>1082</v>
      </c>
      <c r="G116" s="73">
        <v>46059.0</v>
      </c>
      <c r="H116" s="74">
        <v>2.0</v>
      </c>
      <c r="I116" s="75">
        <v>3616.1</v>
      </c>
      <c r="J116" s="76" t="s">
        <v>1083</v>
      </c>
      <c r="K116" s="70" t="s">
        <v>349</v>
      </c>
      <c r="L116" s="70" t="s">
        <v>349</v>
      </c>
      <c r="M116" s="70" t="str">
        <f t="shared" si="3"/>
        <v>129 Days</v>
      </c>
      <c r="N116" s="70" t="str">
        <f>IF($A$3=" "," ", IFERROR( VLOOKUP($A116,'SUPPLIER DATA BASE'!$A$2:$O$936,11,0),""))</f>
        <v>-</v>
      </c>
      <c r="O116" s="70" t="str">
        <f>IF($A$3=" "," ", IFERROR( VLOOKUP($A116,'SUPPLIER DATA BASE'!$A$2:$O$936,12,0),""))</f>
        <v>-</v>
      </c>
      <c r="P116" s="70" t="str">
        <f>IF($A$3=" "," ", IFERROR( VLOOKUP($A116,'SUPPLIER DATA BASE'!$A$2:$O$936,13,0),""))</f>
        <v>-</v>
      </c>
      <c r="Q116" s="77"/>
      <c r="R116" s="73"/>
      <c r="S116" s="77"/>
      <c r="T116" s="70"/>
      <c r="U116" s="78"/>
      <c r="V116" s="70" t="str">
        <f t="shared" si="4"/>
        <v>FY 25-26</v>
      </c>
      <c r="W116" s="23"/>
      <c r="X116" s="23"/>
    </row>
    <row r="117">
      <c r="A117" s="70" t="s">
        <v>354</v>
      </c>
      <c r="B117" s="70" t="str">
        <f>IF($A$3=" "," ", IFERROR( VLOOKUP($A117,'SUPPLIER DATA BASE'!$A$2:$M$936,3,0),""))</f>
        <v>-</v>
      </c>
      <c r="C117" s="70" t="str">
        <f>IF($A$3=" "," ", IFERROR( VLOOKUP($A117,'SUPPLIER DATA BASE'!$A$2:$F$936,6,0),""))</f>
        <v>-</v>
      </c>
      <c r="D117" s="70" t="str">
        <f>IF($A$3=" "," ", IFERROR( VLOOKUP($A117,'SUPPLIER DATA BASE'!$A$2:$G$936,4,0),""))</f>
        <v>-</v>
      </c>
      <c r="E117" s="71" t="str">
        <f>IF($A$3=" "," ", IFERROR( VLOOKUP($A117,'SUPPLIER DATA BASE'!$A$2:$H$936,5,0),""))</f>
        <v>-</v>
      </c>
      <c r="F117" s="72" t="s">
        <v>1084</v>
      </c>
      <c r="G117" s="73">
        <v>46059.0</v>
      </c>
      <c r="H117" s="74">
        <v>27.0</v>
      </c>
      <c r="I117" s="75">
        <v>54489.52</v>
      </c>
      <c r="J117" s="76" t="s">
        <v>1085</v>
      </c>
      <c r="K117" s="70" t="s">
        <v>349</v>
      </c>
      <c r="L117" s="70" t="s">
        <v>349</v>
      </c>
      <c r="M117" s="70" t="str">
        <f t="shared" si="3"/>
        <v>129 Days</v>
      </c>
      <c r="N117" s="70" t="str">
        <f>IF($A$3=" "," ", IFERROR( VLOOKUP($A117,'SUPPLIER DATA BASE'!$A$2:$O$936,11,0),""))</f>
        <v>-</v>
      </c>
      <c r="O117" s="70" t="str">
        <f>IF($A$3=" "," ", IFERROR( VLOOKUP($A117,'SUPPLIER DATA BASE'!$A$2:$O$936,12,0),""))</f>
        <v>-</v>
      </c>
      <c r="P117" s="70" t="str">
        <f>IF($A$3=" "," ", IFERROR( VLOOKUP($A117,'SUPPLIER DATA BASE'!$A$2:$O$936,13,0),""))</f>
        <v>-</v>
      </c>
      <c r="Q117" s="77"/>
      <c r="R117" s="73"/>
      <c r="S117" s="77"/>
      <c r="T117" s="70"/>
      <c r="U117" s="78"/>
      <c r="V117" s="70" t="str">
        <f t="shared" si="4"/>
        <v>FY 25-26</v>
      </c>
      <c r="W117" s="23"/>
      <c r="X117" s="23"/>
    </row>
    <row r="118">
      <c r="A118" s="70" t="s">
        <v>757</v>
      </c>
      <c r="B118" s="70" t="str">
        <f>IF($A$3=" "," ", IFERROR( VLOOKUP($A118,'SUPPLIER DATA BASE'!$A$2:$M$936,3,0),""))</f>
        <v>-</v>
      </c>
      <c r="C118" s="70" t="str">
        <f>IF($A$3=" "," ", IFERROR( VLOOKUP($A118,'SUPPLIER DATA BASE'!$A$2:$F$936,6,0),""))</f>
        <v>SURYAM TEXTILE AGENCY</v>
      </c>
      <c r="D118" s="70">
        <f>IF($A$3=" "," ", IFERROR( VLOOKUP($A118,'SUPPLIER DATA BASE'!$A$2:$G$936,4,0),""))</f>
        <v>50</v>
      </c>
      <c r="E118" s="71" t="str">
        <f>IF($A$3=" "," ", IFERROR( VLOOKUP($A118,'SUPPLIER DATA BASE'!$A$2:$H$936,5,0),""))</f>
        <v>10% IN BILL</v>
      </c>
      <c r="F118" s="72">
        <v>9309.0</v>
      </c>
      <c r="G118" s="73">
        <v>46059.0</v>
      </c>
      <c r="H118" s="74">
        <v>8.0</v>
      </c>
      <c r="I118" s="75">
        <v>32012.0</v>
      </c>
      <c r="J118" s="76" t="s">
        <v>1086</v>
      </c>
      <c r="K118" s="70" t="s">
        <v>349</v>
      </c>
      <c r="L118" s="70" t="s">
        <v>349</v>
      </c>
      <c r="M118" s="70" t="str">
        <f t="shared" si="3"/>
        <v>129 Days</v>
      </c>
      <c r="N118" s="70" t="str">
        <f>IF($A$3=" "," ", IFERROR( VLOOKUP($A118,'SUPPLIER DATA BASE'!$A$2:$O$936,11,0),""))</f>
        <v>TATHASTU ENTERPRISE</v>
      </c>
      <c r="O118" s="70" t="str">
        <f>IF($A$3=" "," ", IFERROR( VLOOKUP($A118,'SUPPLIER DATA BASE'!$A$2:$O$936,12,0),""))</f>
        <v>50200043443581</v>
      </c>
      <c r="P118" s="70" t="str">
        <f>IF($A$3=" "," ", IFERROR( VLOOKUP($A118,'SUPPLIER DATA BASE'!$A$2:$O$936,13,0),""))</f>
        <v>HDFC0001704</v>
      </c>
      <c r="Q118" s="77"/>
      <c r="R118" s="73"/>
      <c r="S118" s="77"/>
      <c r="T118" s="70"/>
      <c r="U118" s="78"/>
      <c r="V118" s="70" t="str">
        <f t="shared" si="4"/>
        <v>FY 25-26</v>
      </c>
      <c r="W118" s="23"/>
      <c r="X118" s="23"/>
    </row>
    <row r="119">
      <c r="A119" s="70" t="s">
        <v>709</v>
      </c>
      <c r="B119" s="70" t="str">
        <f>IF($A$3=" "," ", IFERROR( VLOOKUP($A119,'SUPPLIER DATA BASE'!$A$2:$M$936,3,0),""))</f>
        <v>MUFTI</v>
      </c>
      <c r="C119" s="70" t="str">
        <f>IF($A$3=" "," ", IFERROR( VLOOKUP($A119,'SUPPLIER DATA BASE'!$A$2:$F$936,6,0),""))</f>
        <v>-</v>
      </c>
      <c r="D119" s="70" t="str">
        <f>IF($A$3=" "," ", IFERROR( VLOOKUP($A119,'SUPPLIER DATA BASE'!$A$2:$G$936,4,0),""))</f>
        <v>-</v>
      </c>
      <c r="E119" s="71" t="str">
        <f>IF($A$3=" "," ", IFERROR( VLOOKUP($A119,'SUPPLIER DATA BASE'!$A$2:$H$936,5,0),""))</f>
        <v>-</v>
      </c>
      <c r="F119" s="72" t="s">
        <v>1087</v>
      </c>
      <c r="G119" s="73">
        <v>46059.0</v>
      </c>
      <c r="H119" s="74">
        <v>96.0</v>
      </c>
      <c r="I119" s="75">
        <v>170510.0</v>
      </c>
      <c r="J119" s="76" t="s">
        <v>1088</v>
      </c>
      <c r="K119" s="70" t="s">
        <v>349</v>
      </c>
      <c r="L119" s="70" t="s">
        <v>349</v>
      </c>
      <c r="M119" s="70" t="str">
        <f t="shared" si="3"/>
        <v>129 Days</v>
      </c>
      <c r="N119" s="70" t="str">
        <f>IF($A$3=" "," ", IFERROR( VLOOKUP($A119,'SUPPLIER DATA BASE'!$A$2:$O$936,11,0),""))</f>
        <v>SHRING APPARELS</v>
      </c>
      <c r="O119" s="70" t="str">
        <f>IF($A$3=" "," ", IFERROR( VLOOKUP($A119,'SUPPLIER DATA BASE'!$A$2:$O$936,12,0),""))</f>
        <v>50200030713091</v>
      </c>
      <c r="P119" s="70" t="str">
        <f>IF($A$3=" "," ", IFERROR( VLOOKUP($A119,'SUPPLIER DATA BASE'!$A$2:$O$936,13,0),""))</f>
        <v>HDFC0000186</v>
      </c>
      <c r="Q119" s="77"/>
      <c r="R119" s="73"/>
      <c r="S119" s="77"/>
      <c r="T119" s="70"/>
      <c r="U119" s="78"/>
      <c r="V119" s="70" t="str">
        <f t="shared" si="4"/>
        <v>FY 25-26</v>
      </c>
      <c r="W119" s="23"/>
      <c r="X119" s="23"/>
    </row>
    <row r="120">
      <c r="A120" s="70" t="s">
        <v>709</v>
      </c>
      <c r="B120" s="70" t="str">
        <f>IF($A$3=" "," ", IFERROR( VLOOKUP($A120,'SUPPLIER DATA BASE'!$A$2:$M$936,3,0),""))</f>
        <v>MUFTI</v>
      </c>
      <c r="C120" s="70" t="str">
        <f>IF($A$3=" "," ", IFERROR( VLOOKUP($A120,'SUPPLIER DATA BASE'!$A$2:$F$936,6,0),""))</f>
        <v>-</v>
      </c>
      <c r="D120" s="70" t="str">
        <f>IF($A$3=" "," ", IFERROR( VLOOKUP($A120,'SUPPLIER DATA BASE'!$A$2:$G$936,4,0),""))</f>
        <v>-</v>
      </c>
      <c r="E120" s="71" t="str">
        <f>IF($A$3=" "," ", IFERROR( VLOOKUP($A120,'SUPPLIER DATA BASE'!$A$2:$H$936,5,0),""))</f>
        <v>-</v>
      </c>
      <c r="F120" s="72" t="s">
        <v>1089</v>
      </c>
      <c r="G120" s="73">
        <v>46059.0</v>
      </c>
      <c r="H120" s="74">
        <v>143.0</v>
      </c>
      <c r="I120" s="75">
        <v>261419.0</v>
      </c>
      <c r="J120" s="76" t="s">
        <v>1090</v>
      </c>
      <c r="K120" s="70" t="s">
        <v>349</v>
      </c>
      <c r="L120" s="70" t="s">
        <v>349</v>
      </c>
      <c r="M120" s="70" t="str">
        <f t="shared" si="3"/>
        <v>129 Days</v>
      </c>
      <c r="N120" s="70" t="str">
        <f>IF($A$3=" "," ", IFERROR( VLOOKUP($A120,'SUPPLIER DATA BASE'!$A$2:$O$936,11,0),""))</f>
        <v>SHRING APPARELS</v>
      </c>
      <c r="O120" s="70" t="str">
        <f>IF($A$3=" "," ", IFERROR( VLOOKUP($A120,'SUPPLIER DATA BASE'!$A$2:$O$936,12,0),""))</f>
        <v>50200030713091</v>
      </c>
      <c r="P120" s="70" t="str">
        <f>IF($A$3=" "," ", IFERROR( VLOOKUP($A120,'SUPPLIER DATA BASE'!$A$2:$O$936,13,0),""))</f>
        <v>HDFC0000186</v>
      </c>
      <c r="Q120" s="77"/>
      <c r="R120" s="73"/>
      <c r="S120" s="77"/>
      <c r="T120" s="70"/>
      <c r="U120" s="78"/>
      <c r="V120" s="70" t="str">
        <f t="shared" si="4"/>
        <v>FY 25-26</v>
      </c>
      <c r="W120" s="23"/>
      <c r="X120" s="23"/>
    </row>
    <row r="121">
      <c r="A121" s="70" t="s">
        <v>354</v>
      </c>
      <c r="B121" s="70" t="str">
        <f>IF($A$3=" "," ", IFERROR( VLOOKUP($A121,'SUPPLIER DATA BASE'!$A$2:$M$936,3,0),""))</f>
        <v>-</v>
      </c>
      <c r="C121" s="70" t="str">
        <f>IF($A$3=" "," ", IFERROR( VLOOKUP($A121,'SUPPLIER DATA BASE'!$A$2:$F$936,6,0),""))</f>
        <v>-</v>
      </c>
      <c r="D121" s="70" t="str">
        <f>IF($A$3=" "," ", IFERROR( VLOOKUP($A121,'SUPPLIER DATA BASE'!$A$2:$G$936,4,0),""))</f>
        <v>-</v>
      </c>
      <c r="E121" s="71" t="str">
        <f>IF($A$3=" "," ", IFERROR( VLOOKUP($A121,'SUPPLIER DATA BASE'!$A$2:$H$936,5,0),""))</f>
        <v>-</v>
      </c>
      <c r="F121" s="72" t="s">
        <v>1091</v>
      </c>
      <c r="G121" s="73">
        <v>46059.0</v>
      </c>
      <c r="H121" s="74">
        <v>56.0</v>
      </c>
      <c r="I121" s="75">
        <v>97562.57</v>
      </c>
      <c r="J121" s="76" t="s">
        <v>1092</v>
      </c>
      <c r="K121" s="70" t="s">
        <v>349</v>
      </c>
      <c r="L121" s="70" t="s">
        <v>349</v>
      </c>
      <c r="M121" s="70" t="str">
        <f t="shared" si="3"/>
        <v>129 Days</v>
      </c>
      <c r="N121" s="70" t="str">
        <f>IF($A$3=" "," ", IFERROR( VLOOKUP($A121,'SUPPLIER DATA BASE'!$A$2:$O$936,11,0),""))</f>
        <v>-</v>
      </c>
      <c r="O121" s="70" t="str">
        <f>IF($A$3=" "," ", IFERROR( VLOOKUP($A121,'SUPPLIER DATA BASE'!$A$2:$O$936,12,0),""))</f>
        <v>-</v>
      </c>
      <c r="P121" s="70" t="str">
        <f>IF($A$3=" "," ", IFERROR( VLOOKUP($A121,'SUPPLIER DATA BASE'!$A$2:$O$936,13,0),""))</f>
        <v>-</v>
      </c>
      <c r="Q121" s="77"/>
      <c r="R121" s="73"/>
      <c r="S121" s="77"/>
      <c r="T121" s="70"/>
      <c r="U121" s="78"/>
      <c r="V121" s="70" t="str">
        <f t="shared" si="4"/>
        <v>FY 25-26</v>
      </c>
      <c r="W121" s="23"/>
      <c r="X121" s="23"/>
    </row>
    <row r="122">
      <c r="A122" s="70" t="s">
        <v>354</v>
      </c>
      <c r="B122" s="70" t="str">
        <f>IF($A$3=" "," ", IFERROR( VLOOKUP($A122,'SUPPLIER DATA BASE'!$A$2:$M$936,3,0),""))</f>
        <v>-</v>
      </c>
      <c r="C122" s="70" t="str">
        <f>IF($A$3=" "," ", IFERROR( VLOOKUP($A122,'SUPPLIER DATA BASE'!$A$2:$F$936,6,0),""))</f>
        <v>-</v>
      </c>
      <c r="D122" s="70" t="str">
        <f>IF($A$3=" "," ", IFERROR( VLOOKUP($A122,'SUPPLIER DATA BASE'!$A$2:$G$936,4,0),""))</f>
        <v>-</v>
      </c>
      <c r="E122" s="71" t="str">
        <f>IF($A$3=" "," ", IFERROR( VLOOKUP($A122,'SUPPLIER DATA BASE'!$A$2:$H$936,5,0),""))</f>
        <v>-</v>
      </c>
      <c r="F122" s="72" t="s">
        <v>1093</v>
      </c>
      <c r="G122" s="73">
        <v>46059.0</v>
      </c>
      <c r="H122" s="74">
        <v>10.0</v>
      </c>
      <c r="I122" s="75">
        <v>17488.96</v>
      </c>
      <c r="J122" s="76" t="s">
        <v>1094</v>
      </c>
      <c r="K122" s="70" t="s">
        <v>349</v>
      </c>
      <c r="L122" s="70" t="s">
        <v>349</v>
      </c>
      <c r="M122" s="70" t="str">
        <f t="shared" si="3"/>
        <v>129 Days</v>
      </c>
      <c r="N122" s="70" t="str">
        <f>IF($A$3=" "," ", IFERROR( VLOOKUP($A122,'SUPPLIER DATA BASE'!$A$2:$O$936,11,0),""))</f>
        <v>-</v>
      </c>
      <c r="O122" s="70" t="str">
        <f>IF($A$3=" "," ", IFERROR( VLOOKUP($A122,'SUPPLIER DATA BASE'!$A$2:$O$936,12,0),""))</f>
        <v>-</v>
      </c>
      <c r="P122" s="70" t="str">
        <f>IF($A$3=" "," ", IFERROR( VLOOKUP($A122,'SUPPLIER DATA BASE'!$A$2:$O$936,13,0),""))</f>
        <v>-</v>
      </c>
      <c r="Q122" s="77"/>
      <c r="R122" s="73"/>
      <c r="S122" s="77"/>
      <c r="T122" s="70"/>
      <c r="U122" s="78"/>
      <c r="V122" s="70" t="str">
        <f t="shared" si="4"/>
        <v>FY 25-26</v>
      </c>
      <c r="W122" s="23"/>
      <c r="X122" s="23"/>
    </row>
    <row r="123">
      <c r="A123" s="70" t="s">
        <v>354</v>
      </c>
      <c r="B123" s="70" t="str">
        <f>IF($A$3=" "," ", IFERROR( VLOOKUP($A123,'SUPPLIER DATA BASE'!$A$2:$M$936,3,0),""))</f>
        <v>-</v>
      </c>
      <c r="C123" s="70" t="str">
        <f>IF($A$3=" "," ", IFERROR( VLOOKUP($A123,'SUPPLIER DATA BASE'!$A$2:$F$936,6,0),""))</f>
        <v>-</v>
      </c>
      <c r="D123" s="70" t="str">
        <f>IF($A$3=" "," ", IFERROR( VLOOKUP($A123,'SUPPLIER DATA BASE'!$A$2:$G$936,4,0),""))</f>
        <v>-</v>
      </c>
      <c r="E123" s="71" t="str">
        <f>IF($A$3=" "," ", IFERROR( VLOOKUP($A123,'SUPPLIER DATA BASE'!$A$2:$H$936,5,0),""))</f>
        <v>-</v>
      </c>
      <c r="F123" s="72" t="s">
        <v>1095</v>
      </c>
      <c r="G123" s="73">
        <v>46059.0</v>
      </c>
      <c r="H123" s="74">
        <v>12.0</v>
      </c>
      <c r="I123" s="75">
        <v>16785.59</v>
      </c>
      <c r="J123" s="76" t="s">
        <v>1096</v>
      </c>
      <c r="K123" s="70" t="s">
        <v>349</v>
      </c>
      <c r="L123" s="70" t="s">
        <v>349</v>
      </c>
      <c r="M123" s="70" t="str">
        <f t="shared" si="3"/>
        <v>129 Days</v>
      </c>
      <c r="N123" s="70" t="str">
        <f>IF($A$3=" "," ", IFERROR( VLOOKUP($A123,'SUPPLIER DATA BASE'!$A$2:$O$936,11,0),""))</f>
        <v>-</v>
      </c>
      <c r="O123" s="70" t="str">
        <f>IF($A$3=" "," ", IFERROR( VLOOKUP($A123,'SUPPLIER DATA BASE'!$A$2:$O$936,12,0),""))</f>
        <v>-</v>
      </c>
      <c r="P123" s="70" t="str">
        <f>IF($A$3=" "," ", IFERROR( VLOOKUP($A123,'SUPPLIER DATA BASE'!$A$2:$O$936,13,0),""))</f>
        <v>-</v>
      </c>
      <c r="Q123" s="77"/>
      <c r="R123" s="73"/>
      <c r="S123" s="77"/>
      <c r="T123" s="70"/>
      <c r="U123" s="78"/>
      <c r="V123" s="70" t="str">
        <f t="shared" si="4"/>
        <v>FY 25-26</v>
      </c>
      <c r="W123" s="23"/>
      <c r="X123" s="23"/>
    </row>
    <row r="124">
      <c r="A124" s="70" t="s">
        <v>354</v>
      </c>
      <c r="B124" s="70" t="str">
        <f>IF($A$3=" "," ", IFERROR( VLOOKUP($A124,'SUPPLIER DATA BASE'!$A$2:$M$936,3,0),""))</f>
        <v>-</v>
      </c>
      <c r="C124" s="70" t="str">
        <f>IF($A$3=" "," ", IFERROR( VLOOKUP($A124,'SUPPLIER DATA BASE'!$A$2:$F$936,6,0),""))</f>
        <v>-</v>
      </c>
      <c r="D124" s="70" t="str">
        <f>IF($A$3=" "," ", IFERROR( VLOOKUP($A124,'SUPPLIER DATA BASE'!$A$2:$G$936,4,0),""))</f>
        <v>-</v>
      </c>
      <c r="E124" s="71" t="str">
        <f>IF($A$3=" "," ", IFERROR( VLOOKUP($A124,'SUPPLIER DATA BASE'!$A$2:$H$936,5,0),""))</f>
        <v>-</v>
      </c>
      <c r="F124" s="72" t="s">
        <v>1097</v>
      </c>
      <c r="G124" s="73">
        <v>46059.0</v>
      </c>
      <c r="H124" s="74">
        <v>25.0</v>
      </c>
      <c r="I124" s="75">
        <v>33110.84</v>
      </c>
      <c r="J124" s="76" t="s">
        <v>1098</v>
      </c>
      <c r="K124" s="70" t="s">
        <v>349</v>
      </c>
      <c r="L124" s="70" t="s">
        <v>349</v>
      </c>
      <c r="M124" s="70" t="str">
        <f t="shared" si="3"/>
        <v>129 Days</v>
      </c>
      <c r="N124" s="70" t="str">
        <f>IF($A$3=" "," ", IFERROR( VLOOKUP($A124,'SUPPLIER DATA BASE'!$A$2:$O$936,11,0),""))</f>
        <v>-</v>
      </c>
      <c r="O124" s="70" t="str">
        <f>IF($A$3=" "," ", IFERROR( VLOOKUP($A124,'SUPPLIER DATA BASE'!$A$2:$O$936,12,0),""))</f>
        <v>-</v>
      </c>
      <c r="P124" s="70" t="str">
        <f>IF($A$3=" "," ", IFERROR( VLOOKUP($A124,'SUPPLIER DATA BASE'!$A$2:$O$936,13,0),""))</f>
        <v>-</v>
      </c>
      <c r="Q124" s="77"/>
      <c r="R124" s="73"/>
      <c r="S124" s="77"/>
      <c r="T124" s="70"/>
      <c r="U124" s="78"/>
      <c r="V124" s="70" t="str">
        <f t="shared" si="4"/>
        <v>FY 25-26</v>
      </c>
      <c r="W124" s="23"/>
      <c r="X124" s="23"/>
    </row>
    <row r="125">
      <c r="A125" s="70" t="s">
        <v>699</v>
      </c>
      <c r="B125" s="70" t="str">
        <f>IF($A$3=" "," ", IFERROR( VLOOKUP($A125,'SUPPLIER DATA BASE'!$A$2:$M$936,3,0),""))</f>
        <v>-</v>
      </c>
      <c r="C125" s="70" t="str">
        <f>IF($A$3=" "," ", IFERROR( VLOOKUP($A125,'SUPPLIER DATA BASE'!$A$2:$F$936,6,0),""))</f>
        <v>RTC</v>
      </c>
      <c r="D125" s="70" t="str">
        <f>IF($A$3=" "," ", IFERROR( VLOOKUP($A125,'SUPPLIER DATA BASE'!$A$2:$G$936,4,0),""))</f>
        <v>-</v>
      </c>
      <c r="E125" s="71" t="str">
        <f>IF($A$3=" "," ", IFERROR( VLOOKUP($A125,'SUPPLIER DATA BASE'!$A$2:$H$936,5,0),""))</f>
        <v>-</v>
      </c>
      <c r="F125" s="72" t="s">
        <v>1099</v>
      </c>
      <c r="G125" s="73">
        <v>46059.0</v>
      </c>
      <c r="H125" s="74">
        <v>51.0</v>
      </c>
      <c r="I125" s="75">
        <v>29747.0</v>
      </c>
      <c r="J125" s="76" t="s">
        <v>1100</v>
      </c>
      <c r="K125" s="70" t="s">
        <v>349</v>
      </c>
      <c r="L125" s="70" t="s">
        <v>349</v>
      </c>
      <c r="M125" s="70" t="str">
        <f t="shared" si="3"/>
        <v>129 Days</v>
      </c>
      <c r="N125" s="70" t="str">
        <f>IF($A$3=" "," ", IFERROR( VLOOKUP($A125,'SUPPLIER DATA BASE'!$A$2:$O$936,11,0),""))</f>
        <v>RTC Garmentex India Pvgt LTd</v>
      </c>
      <c r="O125" s="70" t="str">
        <f>IF($A$3=" "," ", IFERROR( VLOOKUP($A125,'SUPPLIER DATA BASE'!$A$2:$O$936,12,0),""))</f>
        <v>112605502571</v>
      </c>
      <c r="P125" s="70" t="str">
        <f>IF($A$3=" "," ", IFERROR( VLOOKUP($A125,'SUPPLIER DATA BASE'!$A$2:$O$936,13,0),""))</f>
        <v>ICIC0001126</v>
      </c>
      <c r="Q125" s="77"/>
      <c r="R125" s="73"/>
      <c r="S125" s="77"/>
      <c r="T125" s="70"/>
      <c r="U125" s="78"/>
      <c r="V125" s="70" t="str">
        <f t="shared" si="4"/>
        <v>FY 25-26</v>
      </c>
      <c r="W125" s="23"/>
      <c r="X125" s="23"/>
    </row>
    <row r="126">
      <c r="A126" s="70" t="s">
        <v>354</v>
      </c>
      <c r="B126" s="70" t="str">
        <f>IF($A$3=" "," ", IFERROR( VLOOKUP($A126,'SUPPLIER DATA BASE'!$A$2:$M$936,3,0),""))</f>
        <v>-</v>
      </c>
      <c r="C126" s="70" t="str">
        <f>IF($A$3=" "," ", IFERROR( VLOOKUP($A126,'SUPPLIER DATA BASE'!$A$2:$F$936,6,0),""))</f>
        <v>-</v>
      </c>
      <c r="D126" s="70" t="str">
        <f>IF($A$3=" "," ", IFERROR( VLOOKUP($A126,'SUPPLIER DATA BASE'!$A$2:$G$936,4,0),""))</f>
        <v>-</v>
      </c>
      <c r="E126" s="71" t="str">
        <f>IF($A$3=" "," ", IFERROR( VLOOKUP($A126,'SUPPLIER DATA BASE'!$A$2:$H$936,5,0),""))</f>
        <v>-</v>
      </c>
      <c r="F126" s="72" t="s">
        <v>1101</v>
      </c>
      <c r="G126" s="73">
        <v>46060.0</v>
      </c>
      <c r="H126" s="74">
        <v>26.0</v>
      </c>
      <c r="I126" s="75">
        <v>55834.09</v>
      </c>
      <c r="J126" s="76" t="s">
        <v>1102</v>
      </c>
      <c r="K126" s="70" t="s">
        <v>349</v>
      </c>
      <c r="L126" s="70" t="s">
        <v>349</v>
      </c>
      <c r="M126" s="70" t="str">
        <f t="shared" si="3"/>
        <v>128 Days</v>
      </c>
      <c r="N126" s="70" t="str">
        <f>IF($A$3=" "," ", IFERROR( VLOOKUP($A126,'SUPPLIER DATA BASE'!$A$2:$O$936,11,0),""))</f>
        <v>-</v>
      </c>
      <c r="O126" s="70" t="str">
        <f>IF($A$3=" "," ", IFERROR( VLOOKUP($A126,'SUPPLIER DATA BASE'!$A$2:$O$936,12,0),""))</f>
        <v>-</v>
      </c>
      <c r="P126" s="70" t="str">
        <f>IF($A$3=" "," ", IFERROR( VLOOKUP($A126,'SUPPLIER DATA BASE'!$A$2:$O$936,13,0),""))</f>
        <v>-</v>
      </c>
      <c r="Q126" s="77"/>
      <c r="R126" s="73"/>
      <c r="S126" s="77"/>
      <c r="T126" s="70"/>
      <c r="U126" s="78"/>
      <c r="V126" s="70" t="str">
        <f t="shared" si="4"/>
        <v>FY 25-26</v>
      </c>
      <c r="W126" s="23"/>
      <c r="X126" s="23"/>
    </row>
    <row r="127">
      <c r="A127" s="70" t="s">
        <v>812</v>
      </c>
      <c r="B127" s="70" t="str">
        <f>IF($A$3=" "," ", IFERROR( VLOOKUP($A127,'SUPPLIER DATA BASE'!$A$2:$M$936,3,0),""))</f>
        <v>-</v>
      </c>
      <c r="C127" s="70" t="str">
        <f>IF($A$3=" "," ", IFERROR( VLOOKUP($A127,'SUPPLIER DATA BASE'!$A$2:$F$936,6,0),""))</f>
        <v/>
      </c>
      <c r="D127" s="70" t="str">
        <f>IF($A$3=" "," ", IFERROR( VLOOKUP($A127,'SUPPLIER DATA BASE'!$A$2:$G$936,4,0),""))</f>
        <v>-</v>
      </c>
      <c r="E127" s="71" t="str">
        <f>IF($A$3=" "," ", IFERROR( VLOOKUP($A127,'SUPPLIER DATA BASE'!$A$2:$H$936,5,0),""))</f>
        <v>-</v>
      </c>
      <c r="F127" s="72" t="s">
        <v>1103</v>
      </c>
      <c r="G127" s="73">
        <v>46060.0</v>
      </c>
      <c r="H127" s="74">
        <v>63.0</v>
      </c>
      <c r="I127" s="75">
        <v>105855.76</v>
      </c>
      <c r="J127" s="76" t="s">
        <v>1104</v>
      </c>
      <c r="K127" s="70" t="s">
        <v>349</v>
      </c>
      <c r="L127" s="70" t="s">
        <v>349</v>
      </c>
      <c r="M127" s="70" t="str">
        <f t="shared" si="3"/>
        <v>128 Days</v>
      </c>
      <c r="N127" s="70" t="str">
        <f>IF($A$3=" "," ", IFERROR( VLOOKUP($A127,'SUPPLIER DATA BASE'!$A$2:$O$936,11,0),""))</f>
        <v/>
      </c>
      <c r="O127" s="70" t="str">
        <f>IF($A$3=" "," ", IFERROR( VLOOKUP($A127,'SUPPLIER DATA BASE'!$A$2:$O$936,12,0),""))</f>
        <v/>
      </c>
      <c r="P127" s="70" t="str">
        <f>IF($A$3=" "," ", IFERROR( VLOOKUP($A127,'SUPPLIER DATA BASE'!$A$2:$O$936,13,0),""))</f>
        <v/>
      </c>
      <c r="Q127" s="77"/>
      <c r="R127" s="73"/>
      <c r="S127" s="77"/>
      <c r="T127" s="70"/>
      <c r="U127" s="78"/>
      <c r="V127" s="70" t="str">
        <f t="shared" si="4"/>
        <v>FY 25-26</v>
      </c>
      <c r="W127" s="23"/>
      <c r="X127" s="23"/>
    </row>
    <row r="128">
      <c r="A128" s="70" t="s">
        <v>370</v>
      </c>
      <c r="B128" s="70" t="str">
        <f>IF($A$3=" "," ", IFERROR( VLOOKUP($A128,'SUPPLIER DATA BASE'!$A$2:$M$936,3,0),""))</f>
        <v>-</v>
      </c>
      <c r="C128" s="70" t="str">
        <f>IF($A$3=" "," ", IFERROR( VLOOKUP($A128,'SUPPLIER DATA BASE'!$A$2:$F$936,6,0),""))</f>
        <v>SURYAM TEXTILE AGENCY</v>
      </c>
      <c r="D128" s="70">
        <f>IF($A$3=" "," ", IFERROR( VLOOKUP($A128,'SUPPLIER DATA BASE'!$A$2:$G$936,4,0),""))</f>
        <v>30</v>
      </c>
      <c r="E128" s="71">
        <f>IF($A$3=" "," ", IFERROR( VLOOKUP($A128,'SUPPLIER DATA BASE'!$A$2:$H$936,5,0),""))</f>
        <v>0.09</v>
      </c>
      <c r="F128" s="72">
        <v>294.0</v>
      </c>
      <c r="G128" s="73">
        <v>46060.0</v>
      </c>
      <c r="H128" s="74">
        <v>16.0</v>
      </c>
      <c r="I128" s="75">
        <v>12566.0</v>
      </c>
      <c r="J128" s="76" t="s">
        <v>1105</v>
      </c>
      <c r="K128" s="70" t="s">
        <v>349</v>
      </c>
      <c r="L128" s="70" t="s">
        <v>349</v>
      </c>
      <c r="M128" s="70" t="str">
        <f t="shared" si="3"/>
        <v>128 Days</v>
      </c>
      <c r="N128" s="70" t="str">
        <f>IF($A$3=" "," ", IFERROR( VLOOKUP($A128,'SUPPLIER DATA BASE'!$A$2:$O$936,11,0),""))</f>
        <v>AS TEXTILE</v>
      </c>
      <c r="O128" s="70" t="str">
        <f>IF($A$3=" "," ", IFERROR( VLOOKUP($A128,'SUPPLIER DATA BASE'!$A$2:$O$936,12,0),""))</f>
        <v>50200012846193</v>
      </c>
      <c r="P128" s="70" t="str">
        <f>IF($A$3=" "," ", IFERROR( VLOOKUP($A128,'SUPPLIER DATA BASE'!$A$2:$O$936,13,0),""))</f>
        <v>HDFC0001249</v>
      </c>
      <c r="Q128" s="77"/>
      <c r="R128" s="73"/>
      <c r="S128" s="77"/>
      <c r="T128" s="70"/>
      <c r="U128" s="78"/>
      <c r="V128" s="70" t="str">
        <f t="shared" si="4"/>
        <v>FY 25-26</v>
      </c>
      <c r="W128" s="23"/>
      <c r="X128" s="23"/>
    </row>
    <row r="129">
      <c r="A129" s="70" t="s">
        <v>354</v>
      </c>
      <c r="B129" s="70" t="str">
        <f>IF($A$3=" "," ", IFERROR( VLOOKUP($A129,'SUPPLIER DATA BASE'!$A$2:$M$936,3,0),""))</f>
        <v>-</v>
      </c>
      <c r="C129" s="70" t="str">
        <f>IF($A$3=" "," ", IFERROR( VLOOKUP($A129,'SUPPLIER DATA BASE'!$A$2:$F$936,6,0),""))</f>
        <v>-</v>
      </c>
      <c r="D129" s="70" t="str">
        <f>IF($A$3=" "," ", IFERROR( VLOOKUP($A129,'SUPPLIER DATA BASE'!$A$2:$G$936,4,0),""))</f>
        <v>-</v>
      </c>
      <c r="E129" s="71" t="str">
        <f>IF($A$3=" "," ", IFERROR( VLOOKUP($A129,'SUPPLIER DATA BASE'!$A$2:$H$936,5,0),""))</f>
        <v>-</v>
      </c>
      <c r="F129" s="72" t="s">
        <v>1106</v>
      </c>
      <c r="G129" s="73">
        <v>46060.0</v>
      </c>
      <c r="H129" s="74">
        <v>14.0</v>
      </c>
      <c r="I129" s="75">
        <v>25312.7</v>
      </c>
      <c r="J129" s="76" t="s">
        <v>1107</v>
      </c>
      <c r="K129" s="70" t="s">
        <v>349</v>
      </c>
      <c r="L129" s="70" t="s">
        <v>349</v>
      </c>
      <c r="M129" s="70" t="str">
        <f t="shared" si="3"/>
        <v>128 Days</v>
      </c>
      <c r="N129" s="70" t="str">
        <f>IF($A$3=" "," ", IFERROR( VLOOKUP($A129,'SUPPLIER DATA BASE'!$A$2:$O$936,11,0),""))</f>
        <v>-</v>
      </c>
      <c r="O129" s="70" t="str">
        <f>IF($A$3=" "," ", IFERROR( VLOOKUP($A129,'SUPPLIER DATA BASE'!$A$2:$O$936,12,0),""))</f>
        <v>-</v>
      </c>
      <c r="P129" s="70" t="str">
        <f>IF($A$3=" "," ", IFERROR( VLOOKUP($A129,'SUPPLIER DATA BASE'!$A$2:$O$936,13,0),""))</f>
        <v>-</v>
      </c>
      <c r="Q129" s="77"/>
      <c r="R129" s="73"/>
      <c r="S129" s="77"/>
      <c r="T129" s="70"/>
      <c r="U129" s="78"/>
      <c r="V129" s="70" t="str">
        <f t="shared" si="4"/>
        <v>FY 25-26</v>
      </c>
      <c r="W129" s="23"/>
      <c r="X129" s="23"/>
    </row>
    <row r="130">
      <c r="A130" s="70" t="s">
        <v>499</v>
      </c>
      <c r="B130" s="70" t="str">
        <f>IF($A$3=" "," ", IFERROR( VLOOKUP($A130,'SUPPLIER DATA BASE'!$A$2:$M$936,3,0),""))</f>
        <v>-</v>
      </c>
      <c r="C130" s="70" t="str">
        <f>IF($A$3=" "," ", IFERROR( VLOOKUP($A130,'SUPPLIER DATA BASE'!$A$2:$F$936,6,0),""))</f>
        <v>SURYAM TEXTILE AGENCY</v>
      </c>
      <c r="D130" s="70" t="str">
        <f>IF($A$3=" "," ", IFERROR( VLOOKUP($A130,'SUPPLIER DATA BASE'!$A$2:$G$936,4,0),""))</f>
        <v>NO</v>
      </c>
      <c r="E130" s="71" t="str">
        <f>IF($A$3=" "," ", IFERROR( VLOOKUP($A130,'SUPPLIER DATA BASE'!$A$2:$H$936,5,0),""))</f>
        <v>-</v>
      </c>
      <c r="F130" s="72">
        <v>7592.0</v>
      </c>
      <c r="G130" s="73">
        <v>46062.0</v>
      </c>
      <c r="H130" s="74">
        <v>8.0</v>
      </c>
      <c r="I130" s="75">
        <v>37005.0</v>
      </c>
      <c r="J130" s="76" t="s">
        <v>1108</v>
      </c>
      <c r="K130" s="70" t="s">
        <v>349</v>
      </c>
      <c r="L130" s="70" t="s">
        <v>349</v>
      </c>
      <c r="M130" s="70" t="str">
        <f t="shared" si="3"/>
        <v>126 Days</v>
      </c>
      <c r="N130" s="70" t="str">
        <f>IF($A$3=" "," ", IFERROR( VLOOKUP($A130,'SUPPLIER DATA BASE'!$A$2:$O$936,11,0),""))</f>
        <v>JAY AMBEY SAREES</v>
      </c>
      <c r="O130" s="70" t="str">
        <f>IF($A$3=" "," ", IFERROR( VLOOKUP($A130,'SUPPLIER DATA BASE'!$A$2:$O$936,12,0),""))</f>
        <v>50200027562802</v>
      </c>
      <c r="P130" s="70" t="str">
        <f>IF($A$3=" "," ", IFERROR( VLOOKUP($A130,'SUPPLIER DATA BASE'!$A$2:$O$936,13,0),""))</f>
        <v>HDFC0009027</v>
      </c>
      <c r="Q130" s="77"/>
      <c r="R130" s="73"/>
      <c r="S130" s="77"/>
      <c r="T130" s="70"/>
      <c r="U130" s="78"/>
      <c r="V130" s="70" t="str">
        <f t="shared" si="4"/>
        <v>FY 25-26</v>
      </c>
      <c r="W130" s="23"/>
      <c r="X130" s="23"/>
    </row>
    <row r="131">
      <c r="A131" s="70" t="s">
        <v>637</v>
      </c>
      <c r="B131" s="70" t="str">
        <f>IF($A$3=" "," ", IFERROR( VLOOKUP($A131,'SUPPLIER DATA BASE'!$A$2:$M$936,3,0),""))</f>
        <v>CHARCHIT</v>
      </c>
      <c r="C131" s="70" t="str">
        <f>IF($A$3=" "," ", IFERROR( VLOOKUP($A131,'SUPPLIER DATA BASE'!$A$2:$F$936,6,0),""))</f>
        <v>RTC</v>
      </c>
      <c r="D131" s="70" t="str">
        <f>IF($A$3=" "," ", IFERROR( VLOOKUP($A131,'SUPPLIER DATA BASE'!$A$2:$G$936,4,0),""))</f>
        <v>NO</v>
      </c>
      <c r="E131" s="71" t="str">
        <f>IF($A$3=" "," ", IFERROR( VLOOKUP($A131,'SUPPLIER DATA BASE'!$A$2:$H$936,5,0),""))</f>
        <v>-</v>
      </c>
      <c r="F131" s="72">
        <v>1.2514935E7</v>
      </c>
      <c r="G131" s="73">
        <v>46062.0</v>
      </c>
      <c r="H131" s="74">
        <v>96.0</v>
      </c>
      <c r="I131" s="75">
        <v>46218.75</v>
      </c>
      <c r="J131" s="76" t="s">
        <v>1109</v>
      </c>
      <c r="K131" s="70" t="s">
        <v>349</v>
      </c>
      <c r="L131" s="70" t="s">
        <v>349</v>
      </c>
      <c r="M131" s="70" t="str">
        <f t="shared" si="3"/>
        <v>126 Days</v>
      </c>
      <c r="N131" s="70" t="str">
        <f>IF($A$3=" "," ", IFERROR( VLOOKUP($A131,'SUPPLIER DATA BASE'!$A$2:$O$936,11,0),""))</f>
        <v>RTC Garmentex India Pvgt LTd</v>
      </c>
      <c r="O131" s="70" t="str">
        <f>IF($A$3=" "," ", IFERROR( VLOOKUP($A131,'SUPPLIER DATA BASE'!$A$2:$O$936,12,0),""))</f>
        <v>112605502571</v>
      </c>
      <c r="P131" s="70" t="str">
        <f>IF($A$3=" "," ", IFERROR( VLOOKUP($A131,'SUPPLIER DATA BASE'!$A$2:$O$936,13,0),""))</f>
        <v>ICIC0001126</v>
      </c>
      <c r="Q131" s="77"/>
      <c r="R131" s="73"/>
      <c r="S131" s="77"/>
      <c r="T131" s="70"/>
      <c r="U131" s="78"/>
      <c r="V131" s="70" t="str">
        <f t="shared" si="4"/>
        <v>FY 25-26</v>
      </c>
      <c r="W131" s="23"/>
      <c r="X131" s="23"/>
    </row>
    <row r="132">
      <c r="A132" s="70" t="s">
        <v>354</v>
      </c>
      <c r="B132" s="70" t="str">
        <f>IF($A$3=" "," ", IFERROR( VLOOKUP($A132,'SUPPLIER DATA BASE'!$A$2:$M$936,3,0),""))</f>
        <v>-</v>
      </c>
      <c r="C132" s="70" t="str">
        <f>IF($A$3=" "," ", IFERROR( VLOOKUP($A132,'SUPPLIER DATA BASE'!$A$2:$F$936,6,0),""))</f>
        <v>-</v>
      </c>
      <c r="D132" s="70" t="str">
        <f>IF($A$3=" "," ", IFERROR( VLOOKUP($A132,'SUPPLIER DATA BASE'!$A$2:$G$936,4,0),""))</f>
        <v>-</v>
      </c>
      <c r="E132" s="71" t="str">
        <f>IF($A$3=" "," ", IFERROR( VLOOKUP($A132,'SUPPLIER DATA BASE'!$A$2:$H$936,5,0),""))</f>
        <v>-</v>
      </c>
      <c r="F132" s="72" t="s">
        <v>1110</v>
      </c>
      <c r="G132" s="73">
        <v>46062.0</v>
      </c>
      <c r="H132" s="74">
        <v>33.0</v>
      </c>
      <c r="I132" s="75">
        <v>30627.94</v>
      </c>
      <c r="J132" s="76" t="s">
        <v>1111</v>
      </c>
      <c r="K132" s="70" t="s">
        <v>349</v>
      </c>
      <c r="L132" s="70" t="s">
        <v>349</v>
      </c>
      <c r="M132" s="70" t="str">
        <f t="shared" si="3"/>
        <v>126 Days</v>
      </c>
      <c r="N132" s="70" t="str">
        <f>IF($A$3=" "," ", IFERROR( VLOOKUP($A132,'SUPPLIER DATA BASE'!$A$2:$O$936,11,0),""))</f>
        <v>-</v>
      </c>
      <c r="O132" s="70" t="str">
        <f>IF($A$3=" "," ", IFERROR( VLOOKUP($A132,'SUPPLIER DATA BASE'!$A$2:$O$936,12,0),""))</f>
        <v>-</v>
      </c>
      <c r="P132" s="70" t="str">
        <f>IF($A$3=" "," ", IFERROR( VLOOKUP($A132,'SUPPLIER DATA BASE'!$A$2:$O$936,13,0),""))</f>
        <v>-</v>
      </c>
      <c r="Q132" s="77"/>
      <c r="R132" s="73"/>
      <c r="S132" s="77"/>
      <c r="T132" s="70"/>
      <c r="U132" s="78"/>
      <c r="V132" s="70" t="str">
        <f t="shared" si="4"/>
        <v>FY 25-26</v>
      </c>
      <c r="W132" s="23"/>
      <c r="X132" s="23"/>
    </row>
    <row r="133">
      <c r="A133" s="70" t="s">
        <v>812</v>
      </c>
      <c r="B133" s="70" t="str">
        <f>IF($A$3=" "," ", IFERROR( VLOOKUP($A133,'SUPPLIER DATA BASE'!$A$2:$M$936,3,0),""))</f>
        <v>-</v>
      </c>
      <c r="C133" s="70" t="str">
        <f>IF($A$3=" "," ", IFERROR( VLOOKUP($A133,'SUPPLIER DATA BASE'!$A$2:$F$936,6,0),""))</f>
        <v/>
      </c>
      <c r="D133" s="70" t="str">
        <f>IF($A$3=" "," ", IFERROR( VLOOKUP($A133,'SUPPLIER DATA BASE'!$A$2:$G$936,4,0),""))</f>
        <v>-</v>
      </c>
      <c r="E133" s="71" t="str">
        <f>IF($A$3=" "," ", IFERROR( VLOOKUP($A133,'SUPPLIER DATA BASE'!$A$2:$H$936,5,0),""))</f>
        <v>-</v>
      </c>
      <c r="F133" s="72" t="s">
        <v>1112</v>
      </c>
      <c r="G133" s="73">
        <v>46062.0</v>
      </c>
      <c r="H133" s="74">
        <v>64.0</v>
      </c>
      <c r="I133" s="75">
        <v>115505.24</v>
      </c>
      <c r="J133" s="76" t="s">
        <v>1113</v>
      </c>
      <c r="K133" s="70" t="s">
        <v>349</v>
      </c>
      <c r="L133" s="70" t="s">
        <v>349</v>
      </c>
      <c r="M133" s="70" t="str">
        <f t="shared" si="3"/>
        <v>126 Days</v>
      </c>
      <c r="N133" s="70" t="str">
        <f>IF($A$3=" "," ", IFERROR( VLOOKUP($A133,'SUPPLIER DATA BASE'!$A$2:$O$936,11,0),""))</f>
        <v/>
      </c>
      <c r="O133" s="70" t="str">
        <f>IF($A$3=" "," ", IFERROR( VLOOKUP($A133,'SUPPLIER DATA BASE'!$A$2:$O$936,12,0),""))</f>
        <v/>
      </c>
      <c r="P133" s="70" t="str">
        <f>IF($A$3=" "," ", IFERROR( VLOOKUP($A133,'SUPPLIER DATA BASE'!$A$2:$O$936,13,0),""))</f>
        <v/>
      </c>
      <c r="Q133" s="77"/>
      <c r="R133" s="73"/>
      <c r="S133" s="77"/>
      <c r="T133" s="70"/>
      <c r="U133" s="78"/>
      <c r="V133" s="70" t="str">
        <f t="shared" si="4"/>
        <v>FY 25-26</v>
      </c>
      <c r="W133" s="23"/>
      <c r="X133" s="23"/>
    </row>
    <row r="134">
      <c r="A134" s="70" t="s">
        <v>637</v>
      </c>
      <c r="B134" s="70" t="str">
        <f>IF($A$3=" "," ", IFERROR( VLOOKUP($A134,'SUPPLIER DATA BASE'!$A$2:$M$936,3,0),""))</f>
        <v>CHARCHIT</v>
      </c>
      <c r="C134" s="70" t="str">
        <f>IF($A$3=" "," ", IFERROR( VLOOKUP($A134,'SUPPLIER DATA BASE'!$A$2:$F$936,6,0),""))</f>
        <v>RTC</v>
      </c>
      <c r="D134" s="70" t="str">
        <f>IF($A$3=" "," ", IFERROR( VLOOKUP($A134,'SUPPLIER DATA BASE'!$A$2:$G$936,4,0),""))</f>
        <v>NO</v>
      </c>
      <c r="E134" s="71" t="str">
        <f>IF($A$3=" "," ", IFERROR( VLOOKUP($A134,'SUPPLIER DATA BASE'!$A$2:$H$936,5,0),""))</f>
        <v>-</v>
      </c>
      <c r="F134" s="72">
        <v>1.2514978E7</v>
      </c>
      <c r="G134" s="73">
        <v>46063.0</v>
      </c>
      <c r="H134" s="74">
        <v>26.0</v>
      </c>
      <c r="I134" s="75">
        <v>28747.0</v>
      </c>
      <c r="J134" s="76" t="s">
        <v>1114</v>
      </c>
      <c r="K134" s="70" t="s">
        <v>349</v>
      </c>
      <c r="L134" s="70" t="s">
        <v>349</v>
      </c>
      <c r="M134" s="70" t="str">
        <f t="shared" si="3"/>
        <v>125 Days</v>
      </c>
      <c r="N134" s="70" t="str">
        <f>IF($A$3=" "," ", IFERROR( VLOOKUP($A134,'SUPPLIER DATA BASE'!$A$2:$O$936,11,0),""))</f>
        <v>RTC Garmentex India Pvgt LTd</v>
      </c>
      <c r="O134" s="70" t="str">
        <f>IF($A$3=" "," ", IFERROR( VLOOKUP($A134,'SUPPLIER DATA BASE'!$A$2:$O$936,12,0),""))</f>
        <v>112605502571</v>
      </c>
      <c r="P134" s="70" t="str">
        <f>IF($A$3=" "," ", IFERROR( VLOOKUP($A134,'SUPPLIER DATA BASE'!$A$2:$O$936,13,0),""))</f>
        <v>ICIC0001126</v>
      </c>
      <c r="Q134" s="77"/>
      <c r="R134" s="73"/>
      <c r="S134" s="77"/>
      <c r="T134" s="70"/>
      <c r="U134" s="78"/>
      <c r="V134" s="70" t="str">
        <f t="shared" si="4"/>
        <v>FY 25-26</v>
      </c>
      <c r="W134" s="23"/>
      <c r="X134" s="23"/>
    </row>
    <row r="135">
      <c r="A135" s="70" t="s">
        <v>637</v>
      </c>
      <c r="B135" s="70" t="str">
        <f>IF($A$3=" "," ", IFERROR( VLOOKUP($A135,'SUPPLIER DATA BASE'!$A$2:$M$936,3,0),""))</f>
        <v>CHARCHIT</v>
      </c>
      <c r="C135" s="70" t="str">
        <f>IF($A$3=" "," ", IFERROR( VLOOKUP($A135,'SUPPLIER DATA BASE'!$A$2:$F$936,6,0),""))</f>
        <v>RTC</v>
      </c>
      <c r="D135" s="70" t="str">
        <f>IF($A$3=" "," ", IFERROR( VLOOKUP($A135,'SUPPLIER DATA BASE'!$A$2:$G$936,4,0),""))</f>
        <v>NO</v>
      </c>
      <c r="E135" s="71" t="str">
        <f>IF($A$3=" "," ", IFERROR( VLOOKUP($A135,'SUPPLIER DATA BASE'!$A$2:$H$936,5,0),""))</f>
        <v>-</v>
      </c>
      <c r="F135" s="72">
        <v>1.251495E7</v>
      </c>
      <c r="G135" s="73">
        <v>46063.0</v>
      </c>
      <c r="H135" s="74">
        <v>102.0</v>
      </c>
      <c r="I135" s="75">
        <v>49761.0</v>
      </c>
      <c r="J135" s="76" t="s">
        <v>1115</v>
      </c>
      <c r="K135" s="70" t="s">
        <v>349</v>
      </c>
      <c r="L135" s="70" t="s">
        <v>349</v>
      </c>
      <c r="M135" s="70" t="str">
        <f t="shared" si="3"/>
        <v>125 Days</v>
      </c>
      <c r="N135" s="70" t="str">
        <f>IF($A$3=" "," ", IFERROR( VLOOKUP($A135,'SUPPLIER DATA BASE'!$A$2:$O$936,11,0),""))</f>
        <v>RTC Garmentex India Pvgt LTd</v>
      </c>
      <c r="O135" s="70" t="str">
        <f>IF($A$3=" "," ", IFERROR( VLOOKUP($A135,'SUPPLIER DATA BASE'!$A$2:$O$936,12,0),""))</f>
        <v>112605502571</v>
      </c>
      <c r="P135" s="70" t="str">
        <f>IF($A$3=" "," ", IFERROR( VLOOKUP($A135,'SUPPLIER DATA BASE'!$A$2:$O$936,13,0),""))</f>
        <v>ICIC0001126</v>
      </c>
      <c r="Q135" s="77"/>
      <c r="R135" s="73"/>
      <c r="S135" s="77"/>
      <c r="T135" s="70"/>
      <c r="U135" s="78"/>
      <c r="V135" s="70" t="str">
        <f t="shared" si="4"/>
        <v>FY 25-26</v>
      </c>
      <c r="W135" s="23"/>
      <c r="X135" s="23"/>
    </row>
    <row r="136">
      <c r="A136" s="70" t="s">
        <v>637</v>
      </c>
      <c r="B136" s="70" t="str">
        <f>IF($A$3=" "," ", IFERROR( VLOOKUP($A136,'SUPPLIER DATA BASE'!$A$2:$M$936,3,0),""))</f>
        <v>CHARCHIT</v>
      </c>
      <c r="C136" s="70" t="str">
        <f>IF($A$3=" "," ", IFERROR( VLOOKUP($A136,'SUPPLIER DATA BASE'!$A$2:$F$936,6,0),""))</f>
        <v>RTC</v>
      </c>
      <c r="D136" s="70" t="str">
        <f>IF($A$3=" "," ", IFERROR( VLOOKUP($A136,'SUPPLIER DATA BASE'!$A$2:$G$936,4,0),""))</f>
        <v>NO</v>
      </c>
      <c r="E136" s="71" t="str">
        <f>IF($A$3=" "," ", IFERROR( VLOOKUP($A136,'SUPPLIER DATA BASE'!$A$2:$H$936,5,0),""))</f>
        <v>-</v>
      </c>
      <c r="F136" s="72">
        <v>1.2514955E7</v>
      </c>
      <c r="G136" s="73">
        <v>46063.0</v>
      </c>
      <c r="H136" s="74">
        <v>36.0</v>
      </c>
      <c r="I136" s="75">
        <v>33147.0</v>
      </c>
      <c r="J136" s="76" t="s">
        <v>1116</v>
      </c>
      <c r="K136" s="70" t="s">
        <v>349</v>
      </c>
      <c r="L136" s="70" t="s">
        <v>349</v>
      </c>
      <c r="M136" s="70" t="str">
        <f t="shared" si="3"/>
        <v>125 Days</v>
      </c>
      <c r="N136" s="70" t="str">
        <f>IF($A$3=" "," ", IFERROR( VLOOKUP($A136,'SUPPLIER DATA BASE'!$A$2:$O$936,11,0),""))</f>
        <v>RTC Garmentex India Pvgt LTd</v>
      </c>
      <c r="O136" s="70" t="str">
        <f>IF($A$3=" "," ", IFERROR( VLOOKUP($A136,'SUPPLIER DATA BASE'!$A$2:$O$936,12,0),""))</f>
        <v>112605502571</v>
      </c>
      <c r="P136" s="70" t="str">
        <f>IF($A$3=" "," ", IFERROR( VLOOKUP($A136,'SUPPLIER DATA BASE'!$A$2:$O$936,13,0),""))</f>
        <v>ICIC0001126</v>
      </c>
      <c r="Q136" s="77"/>
      <c r="R136" s="73"/>
      <c r="S136" s="77"/>
      <c r="T136" s="70"/>
      <c r="U136" s="78"/>
      <c r="V136" s="70" t="str">
        <f t="shared" si="4"/>
        <v>FY 25-26</v>
      </c>
      <c r="W136" s="23"/>
      <c r="X136" s="23"/>
    </row>
    <row r="137">
      <c r="A137" s="70" t="s">
        <v>637</v>
      </c>
      <c r="B137" s="70" t="str">
        <f>IF($A$3=" "," ", IFERROR( VLOOKUP($A137,'SUPPLIER DATA BASE'!$A$2:$M$936,3,0),""))</f>
        <v>CHARCHIT</v>
      </c>
      <c r="C137" s="70" t="str">
        <f>IF($A$3=" "," ", IFERROR( VLOOKUP($A137,'SUPPLIER DATA BASE'!$A$2:$F$936,6,0),""))</f>
        <v>RTC</v>
      </c>
      <c r="D137" s="70" t="str">
        <f>IF($A$3=" "," ", IFERROR( VLOOKUP($A137,'SUPPLIER DATA BASE'!$A$2:$G$936,4,0),""))</f>
        <v>NO</v>
      </c>
      <c r="E137" s="71" t="str">
        <f>IF($A$3=" "," ", IFERROR( VLOOKUP($A137,'SUPPLIER DATA BASE'!$A$2:$H$936,5,0),""))</f>
        <v>-</v>
      </c>
      <c r="F137" s="72">
        <v>1.2514954E7</v>
      </c>
      <c r="G137" s="73">
        <v>46063.0</v>
      </c>
      <c r="H137" s="74">
        <v>35.0</v>
      </c>
      <c r="I137" s="75">
        <v>34671.0</v>
      </c>
      <c r="J137" s="76" t="s">
        <v>1117</v>
      </c>
      <c r="K137" s="70" t="s">
        <v>349</v>
      </c>
      <c r="L137" s="70" t="s">
        <v>349</v>
      </c>
      <c r="M137" s="70" t="str">
        <f t="shared" si="3"/>
        <v>125 Days</v>
      </c>
      <c r="N137" s="70" t="str">
        <f>IF($A$3=" "," ", IFERROR( VLOOKUP($A137,'SUPPLIER DATA BASE'!$A$2:$O$936,11,0),""))</f>
        <v>RTC Garmentex India Pvgt LTd</v>
      </c>
      <c r="O137" s="70" t="str">
        <f>IF($A$3=" "," ", IFERROR( VLOOKUP($A137,'SUPPLIER DATA BASE'!$A$2:$O$936,12,0),""))</f>
        <v>112605502571</v>
      </c>
      <c r="P137" s="70" t="str">
        <f>IF($A$3=" "," ", IFERROR( VLOOKUP($A137,'SUPPLIER DATA BASE'!$A$2:$O$936,13,0),""))</f>
        <v>ICIC0001126</v>
      </c>
      <c r="Q137" s="77"/>
      <c r="R137" s="73"/>
      <c r="S137" s="77"/>
      <c r="T137" s="70"/>
      <c r="U137" s="78"/>
      <c r="V137" s="70" t="str">
        <f t="shared" si="4"/>
        <v>FY 25-26</v>
      </c>
      <c r="W137" s="23"/>
      <c r="X137" s="23"/>
    </row>
    <row r="138">
      <c r="A138" s="70" t="s">
        <v>637</v>
      </c>
      <c r="B138" s="70" t="str">
        <f>IF($A$3=" "," ", IFERROR( VLOOKUP($A138,'SUPPLIER DATA BASE'!$A$2:$M$936,3,0),""))</f>
        <v>CHARCHIT</v>
      </c>
      <c r="C138" s="70" t="str">
        <f>IF($A$3=" "," ", IFERROR( VLOOKUP($A138,'SUPPLIER DATA BASE'!$A$2:$F$936,6,0),""))</f>
        <v>RTC</v>
      </c>
      <c r="D138" s="70" t="str">
        <f>IF($A$3=" "," ", IFERROR( VLOOKUP($A138,'SUPPLIER DATA BASE'!$A$2:$G$936,4,0),""))</f>
        <v>NO</v>
      </c>
      <c r="E138" s="71" t="str">
        <f>IF($A$3=" "," ", IFERROR( VLOOKUP($A138,'SUPPLIER DATA BASE'!$A$2:$H$936,5,0),""))</f>
        <v>-</v>
      </c>
      <c r="F138" s="72">
        <v>1.2514975E7</v>
      </c>
      <c r="G138" s="73">
        <v>46063.0</v>
      </c>
      <c r="H138" s="74">
        <v>19.0</v>
      </c>
      <c r="I138" s="75">
        <v>21625.0</v>
      </c>
      <c r="J138" s="76" t="s">
        <v>1118</v>
      </c>
      <c r="K138" s="70" t="s">
        <v>349</v>
      </c>
      <c r="L138" s="70" t="s">
        <v>349</v>
      </c>
      <c r="M138" s="70" t="str">
        <f t="shared" si="3"/>
        <v>125 Days</v>
      </c>
      <c r="N138" s="70" t="str">
        <f>IF($A$3=" "," ", IFERROR( VLOOKUP($A138,'SUPPLIER DATA BASE'!$A$2:$O$936,11,0),""))</f>
        <v>RTC Garmentex India Pvgt LTd</v>
      </c>
      <c r="O138" s="70" t="str">
        <f>IF($A$3=" "," ", IFERROR( VLOOKUP($A138,'SUPPLIER DATA BASE'!$A$2:$O$936,12,0),""))</f>
        <v>112605502571</v>
      </c>
      <c r="P138" s="70" t="str">
        <f>IF($A$3=" "," ", IFERROR( VLOOKUP($A138,'SUPPLIER DATA BASE'!$A$2:$O$936,13,0),""))</f>
        <v>ICIC0001126</v>
      </c>
      <c r="Q138" s="77"/>
      <c r="R138" s="73"/>
      <c r="S138" s="77"/>
      <c r="T138" s="70"/>
      <c r="U138" s="78"/>
      <c r="V138" s="70" t="str">
        <f t="shared" si="4"/>
        <v>FY 25-26</v>
      </c>
      <c r="W138" s="23"/>
      <c r="X138" s="23"/>
    </row>
    <row r="139">
      <c r="A139" s="70" t="s">
        <v>354</v>
      </c>
      <c r="B139" s="70" t="str">
        <f>IF($A$3=" "," ", IFERROR( VLOOKUP($A139,'SUPPLIER DATA BASE'!$A$2:$M$936,3,0),""))</f>
        <v>-</v>
      </c>
      <c r="C139" s="70" t="str">
        <f>IF($A$3=" "," ", IFERROR( VLOOKUP($A139,'SUPPLIER DATA BASE'!$A$2:$F$936,6,0),""))</f>
        <v>-</v>
      </c>
      <c r="D139" s="70" t="str">
        <f>IF($A$3=" "," ", IFERROR( VLOOKUP($A139,'SUPPLIER DATA BASE'!$A$2:$G$936,4,0),""))</f>
        <v>-</v>
      </c>
      <c r="E139" s="71" t="str">
        <f>IF($A$3=" "," ", IFERROR( VLOOKUP($A139,'SUPPLIER DATA BASE'!$A$2:$H$936,5,0),""))</f>
        <v>-</v>
      </c>
      <c r="F139" s="72" t="s">
        <v>1119</v>
      </c>
      <c r="G139" s="73">
        <v>46063.0</v>
      </c>
      <c r="H139" s="74">
        <v>2.0</v>
      </c>
      <c r="I139" s="75">
        <v>3616.1</v>
      </c>
      <c r="J139" s="76" t="s">
        <v>1120</v>
      </c>
      <c r="K139" s="70" t="s">
        <v>349</v>
      </c>
      <c r="L139" s="70" t="s">
        <v>349</v>
      </c>
      <c r="M139" s="70" t="str">
        <f t="shared" si="3"/>
        <v>125 Days</v>
      </c>
      <c r="N139" s="70" t="str">
        <f>IF($A$3=" "," ", IFERROR( VLOOKUP($A139,'SUPPLIER DATA BASE'!$A$2:$O$936,11,0),""))</f>
        <v>-</v>
      </c>
      <c r="O139" s="70" t="str">
        <f>IF($A$3=" "," ", IFERROR( VLOOKUP($A139,'SUPPLIER DATA BASE'!$A$2:$O$936,12,0),""))</f>
        <v>-</v>
      </c>
      <c r="P139" s="70" t="str">
        <f>IF($A$3=" "," ", IFERROR( VLOOKUP($A139,'SUPPLIER DATA BASE'!$A$2:$O$936,13,0),""))</f>
        <v>-</v>
      </c>
      <c r="Q139" s="77"/>
      <c r="R139" s="73"/>
      <c r="S139" s="77"/>
      <c r="T139" s="70"/>
      <c r="U139" s="78"/>
      <c r="V139" s="70" t="str">
        <f t="shared" si="4"/>
        <v>FY 25-26</v>
      </c>
      <c r="W139" s="23"/>
      <c r="X139" s="23"/>
    </row>
    <row r="140">
      <c r="A140" s="70" t="s">
        <v>354</v>
      </c>
      <c r="B140" s="70" t="str">
        <f>IF($A$3=" "," ", IFERROR( VLOOKUP($A140,'SUPPLIER DATA BASE'!$A$2:$M$936,3,0),""))</f>
        <v>-</v>
      </c>
      <c r="C140" s="70" t="str">
        <f>IF($A$3=" "," ", IFERROR( VLOOKUP($A140,'SUPPLIER DATA BASE'!$A$2:$F$936,6,0),""))</f>
        <v>-</v>
      </c>
      <c r="D140" s="70" t="str">
        <f>IF($A$3=" "," ", IFERROR( VLOOKUP($A140,'SUPPLIER DATA BASE'!$A$2:$G$936,4,0),""))</f>
        <v>-</v>
      </c>
      <c r="E140" s="71" t="str">
        <f>IF($A$3=" "," ", IFERROR( VLOOKUP($A140,'SUPPLIER DATA BASE'!$A$2:$H$936,5,0),""))</f>
        <v>-</v>
      </c>
      <c r="F140" s="72" t="s">
        <v>1121</v>
      </c>
      <c r="G140" s="73">
        <v>46063.0</v>
      </c>
      <c r="H140" s="74">
        <v>7.0</v>
      </c>
      <c r="I140" s="75">
        <v>13609.43</v>
      </c>
      <c r="J140" s="76" t="s">
        <v>1122</v>
      </c>
      <c r="K140" s="70" t="s">
        <v>349</v>
      </c>
      <c r="L140" s="70" t="s">
        <v>349</v>
      </c>
      <c r="M140" s="70" t="str">
        <f t="shared" si="3"/>
        <v>125 Days</v>
      </c>
      <c r="N140" s="70" t="str">
        <f>IF($A$3=" "," ", IFERROR( VLOOKUP($A140,'SUPPLIER DATA BASE'!$A$2:$O$936,11,0),""))</f>
        <v>-</v>
      </c>
      <c r="O140" s="70" t="str">
        <f>IF($A$3=" "," ", IFERROR( VLOOKUP($A140,'SUPPLIER DATA BASE'!$A$2:$O$936,12,0),""))</f>
        <v>-</v>
      </c>
      <c r="P140" s="70" t="str">
        <f>IF($A$3=" "," ", IFERROR( VLOOKUP($A140,'SUPPLIER DATA BASE'!$A$2:$O$936,13,0),""))</f>
        <v>-</v>
      </c>
      <c r="Q140" s="77"/>
      <c r="R140" s="73"/>
      <c r="S140" s="77"/>
      <c r="T140" s="70"/>
      <c r="U140" s="78"/>
      <c r="V140" s="70" t="str">
        <f t="shared" si="4"/>
        <v>FY 25-26</v>
      </c>
      <c r="W140" s="23"/>
      <c r="X140" s="23"/>
    </row>
    <row r="141">
      <c r="A141" s="70" t="s">
        <v>354</v>
      </c>
      <c r="B141" s="70" t="str">
        <f>IF($A$3=" "," ", IFERROR( VLOOKUP($A141,'SUPPLIER DATA BASE'!$A$2:$M$936,3,0),""))</f>
        <v>-</v>
      </c>
      <c r="C141" s="70" t="str">
        <f>IF($A$3=" "," ", IFERROR( VLOOKUP($A141,'SUPPLIER DATA BASE'!$A$2:$F$936,6,0),""))</f>
        <v>-</v>
      </c>
      <c r="D141" s="70" t="str">
        <f>IF($A$3=" "," ", IFERROR( VLOOKUP($A141,'SUPPLIER DATA BASE'!$A$2:$G$936,4,0),""))</f>
        <v>-</v>
      </c>
      <c r="E141" s="71" t="str">
        <f>IF($A$3=" "," ", IFERROR( VLOOKUP($A141,'SUPPLIER DATA BASE'!$A$2:$H$936,5,0),""))</f>
        <v>-</v>
      </c>
      <c r="F141" s="72" t="s">
        <v>1123</v>
      </c>
      <c r="G141" s="73">
        <v>46063.0</v>
      </c>
      <c r="H141" s="74">
        <v>2.0</v>
      </c>
      <c r="I141" s="75">
        <v>3616.1</v>
      </c>
      <c r="J141" s="76" t="s">
        <v>1124</v>
      </c>
      <c r="K141" s="70" t="s">
        <v>349</v>
      </c>
      <c r="L141" s="70" t="s">
        <v>349</v>
      </c>
      <c r="M141" s="70" t="str">
        <f t="shared" si="3"/>
        <v>125 Days</v>
      </c>
      <c r="N141" s="70" t="str">
        <f>IF($A$3=" "," ", IFERROR( VLOOKUP($A141,'SUPPLIER DATA BASE'!$A$2:$O$936,11,0),""))</f>
        <v>-</v>
      </c>
      <c r="O141" s="70" t="str">
        <f>IF($A$3=" "," ", IFERROR( VLOOKUP($A141,'SUPPLIER DATA BASE'!$A$2:$O$936,12,0),""))</f>
        <v>-</v>
      </c>
      <c r="P141" s="70" t="str">
        <f>IF($A$3=" "," ", IFERROR( VLOOKUP($A141,'SUPPLIER DATA BASE'!$A$2:$O$936,13,0),""))</f>
        <v>-</v>
      </c>
      <c r="Q141" s="77"/>
      <c r="R141" s="73"/>
      <c r="S141" s="77"/>
      <c r="T141" s="70"/>
      <c r="U141" s="78"/>
      <c r="V141" s="70" t="str">
        <f t="shared" si="4"/>
        <v>FY 25-26</v>
      </c>
      <c r="W141" s="23"/>
      <c r="X141" s="23"/>
    </row>
    <row r="142">
      <c r="A142" s="70" t="s">
        <v>541</v>
      </c>
      <c r="B142" s="70" t="str">
        <f>IF($A$3=" "," ", IFERROR( VLOOKUP($A142,'SUPPLIER DATA BASE'!$A$2:$M$936,3,0),""))</f>
        <v>TWILLS</v>
      </c>
      <c r="C142" s="70" t="str">
        <f>IF($A$3=" "," ", IFERROR( VLOOKUP($A142,'SUPPLIER DATA BASE'!$A$2:$F$936,6,0),""))</f>
        <v>-</v>
      </c>
      <c r="D142" s="70" t="str">
        <f>IF($A$3=" "," ", IFERROR( VLOOKUP($A142,'SUPPLIER DATA BASE'!$A$2:$G$936,4,0),""))</f>
        <v>-</v>
      </c>
      <c r="E142" s="71" t="str">
        <f>IF($A$3=" "," ", IFERROR( VLOOKUP($A142,'SUPPLIER DATA BASE'!$A$2:$H$936,5,0),""))</f>
        <v>-</v>
      </c>
      <c r="F142" s="72" t="s">
        <v>1125</v>
      </c>
      <c r="G142" s="73">
        <v>46063.0</v>
      </c>
      <c r="H142" s="74">
        <v>46.0</v>
      </c>
      <c r="I142" s="75">
        <v>38858.0</v>
      </c>
      <c r="J142" s="76" t="s">
        <v>1126</v>
      </c>
      <c r="K142" s="70" t="s">
        <v>349</v>
      </c>
      <c r="L142" s="70" t="s">
        <v>349</v>
      </c>
      <c r="M142" s="70" t="str">
        <f t="shared" si="3"/>
        <v>125 Days</v>
      </c>
      <c r="N142" s="70" t="str">
        <f>IF($A$3=" "," ", IFERROR( VLOOKUP($A142,'SUPPLIER DATA BASE'!$A$2:$O$936,11,0),""))</f>
        <v>M. N. GARMENTS</v>
      </c>
      <c r="O142" s="70" t="str">
        <f>IF($A$3=" "," ", IFERROR( VLOOKUP($A142,'SUPPLIER DATA BASE'!$A$2:$O$936,12,0),""))</f>
        <v>50200058436598</v>
      </c>
      <c r="P142" s="70" t="str">
        <f>IF($A$3=" "," ", IFERROR( VLOOKUP($A142,'SUPPLIER DATA BASE'!$A$2:$O$936,13,0),""))</f>
        <v>HDFC0001470</v>
      </c>
      <c r="Q142" s="77"/>
      <c r="R142" s="73"/>
      <c r="S142" s="77"/>
      <c r="T142" s="70"/>
      <c r="U142" s="78"/>
      <c r="V142" s="70" t="str">
        <f t="shared" si="4"/>
        <v>FY 25-26</v>
      </c>
      <c r="W142" s="23"/>
      <c r="X142" s="23"/>
    </row>
    <row r="143">
      <c r="A143" s="70" t="s">
        <v>813</v>
      </c>
      <c r="B143" s="70" t="str">
        <f>IF($A$3=" "," ", IFERROR( VLOOKUP($A143,'SUPPLIER DATA BASE'!$A$2:$M$936,3,0),""))</f>
        <v>-</v>
      </c>
      <c r="C143" s="70" t="str">
        <f>IF($A$3=" "," ", IFERROR( VLOOKUP($A143,'SUPPLIER DATA BASE'!$A$2:$F$936,6,0),""))</f>
        <v>SUNRISE AGENCY</v>
      </c>
      <c r="D143" s="70">
        <f>IF($A$3=" "," ", IFERROR( VLOOKUP($A143,'SUPPLIER DATA BASE'!$A$2:$G$936,4,0),""))</f>
        <v>60</v>
      </c>
      <c r="E143" s="71" t="str">
        <f>IF($A$3=" "," ", IFERROR( VLOOKUP($A143,'SUPPLIER DATA BASE'!$A$2:$H$936,5,0),""))</f>
        <v>NET</v>
      </c>
      <c r="F143" s="72">
        <v>3147.0</v>
      </c>
      <c r="G143" s="73">
        <v>46063.0</v>
      </c>
      <c r="H143" s="74">
        <v>12.0</v>
      </c>
      <c r="I143" s="75">
        <v>19115.0</v>
      </c>
      <c r="J143" s="76" t="s">
        <v>1127</v>
      </c>
      <c r="K143" s="70" t="s">
        <v>349</v>
      </c>
      <c r="L143" s="70" t="s">
        <v>349</v>
      </c>
      <c r="M143" s="70" t="str">
        <f t="shared" si="3"/>
        <v>125 Days</v>
      </c>
      <c r="N143" s="70" t="str">
        <f>IF($A$3=" "," ", IFERROR( VLOOKUP($A143,'SUPPLIER DATA BASE'!$A$2:$O$936,11,0),""))</f>
        <v>KEVIN ENTERPRISE</v>
      </c>
      <c r="O143" s="70" t="str">
        <f>IF($A$3=" "," ", IFERROR( VLOOKUP($A143,'SUPPLIER DATA BASE'!$A$2:$O$936,12,0),""))</f>
        <v>89700200003263</v>
      </c>
      <c r="P143" s="70" t="str">
        <f>IF($A$3=" "," ", IFERROR( VLOOKUP($A143,'SUPPLIER DATA BASE'!$A$2:$O$936,13,0),""))</f>
        <v>BARB0VJBAND</v>
      </c>
      <c r="Q143" s="77"/>
      <c r="R143" s="73"/>
      <c r="S143" s="77"/>
      <c r="T143" s="70"/>
      <c r="U143" s="78"/>
      <c r="V143" s="70" t="str">
        <f t="shared" si="4"/>
        <v>FY 25-26</v>
      </c>
      <c r="W143" s="23"/>
      <c r="X143" s="23"/>
    </row>
    <row r="144">
      <c r="A144" s="70" t="s">
        <v>370</v>
      </c>
      <c r="B144" s="70" t="str">
        <f>IF($A$3=" "," ", IFERROR( VLOOKUP($A144,'SUPPLIER DATA BASE'!$A$2:$M$936,3,0),""))</f>
        <v>-</v>
      </c>
      <c r="C144" s="70" t="str">
        <f>IF($A$3=" "," ", IFERROR( VLOOKUP($A144,'SUPPLIER DATA BASE'!$A$2:$F$936,6,0),""))</f>
        <v>SURYAM TEXTILE AGENCY</v>
      </c>
      <c r="D144" s="70">
        <f>IF($A$3=" "," ", IFERROR( VLOOKUP($A144,'SUPPLIER DATA BASE'!$A$2:$G$936,4,0),""))</f>
        <v>30</v>
      </c>
      <c r="E144" s="71">
        <f>IF($A$3=" "," ", IFERROR( VLOOKUP($A144,'SUPPLIER DATA BASE'!$A$2:$H$936,5,0),""))</f>
        <v>0.09</v>
      </c>
      <c r="F144" s="72">
        <v>306.0</v>
      </c>
      <c r="G144" s="73">
        <v>46063.0</v>
      </c>
      <c r="H144" s="74">
        <v>5.0</v>
      </c>
      <c r="I144" s="75">
        <v>22281.0</v>
      </c>
      <c r="J144" s="76" t="s">
        <v>1128</v>
      </c>
      <c r="K144" s="70" t="s">
        <v>349</v>
      </c>
      <c r="L144" s="70" t="s">
        <v>349</v>
      </c>
      <c r="M144" s="70" t="str">
        <f t="shared" si="3"/>
        <v>125 Days</v>
      </c>
      <c r="N144" s="70" t="str">
        <f>IF($A$3=" "," ", IFERROR( VLOOKUP($A144,'SUPPLIER DATA BASE'!$A$2:$O$936,11,0),""))</f>
        <v>AS TEXTILE</v>
      </c>
      <c r="O144" s="70" t="str">
        <f>IF($A$3=" "," ", IFERROR( VLOOKUP($A144,'SUPPLIER DATA BASE'!$A$2:$O$936,12,0),""))</f>
        <v>50200012846193</v>
      </c>
      <c r="P144" s="70" t="str">
        <f>IF($A$3=" "," ", IFERROR( VLOOKUP($A144,'SUPPLIER DATA BASE'!$A$2:$O$936,13,0),""))</f>
        <v>HDFC0001249</v>
      </c>
      <c r="Q144" s="77"/>
      <c r="R144" s="73"/>
      <c r="S144" s="77"/>
      <c r="T144" s="70"/>
      <c r="U144" s="78"/>
      <c r="V144" s="70" t="str">
        <f t="shared" si="4"/>
        <v>FY 25-26</v>
      </c>
      <c r="W144" s="23"/>
      <c r="X144" s="23"/>
    </row>
    <row r="145">
      <c r="A145" s="70" t="s">
        <v>700</v>
      </c>
      <c r="B145" s="70" t="str">
        <f>IF($A$3=" "," ", IFERROR( VLOOKUP($A145,'SUPPLIER DATA BASE'!$A$2:$M$936,3,0),""))</f>
        <v>-</v>
      </c>
      <c r="C145" s="70" t="str">
        <f>IF($A$3=" "," ", IFERROR( VLOOKUP($A145,'SUPPLIER DATA BASE'!$A$2:$F$936,6,0),""))</f>
        <v>RTC</v>
      </c>
      <c r="D145" s="70" t="str">
        <f>IF($A$3=" "," ", IFERROR( VLOOKUP($A145,'SUPPLIER DATA BASE'!$A$2:$G$936,4,0),""))</f>
        <v>-</v>
      </c>
      <c r="E145" s="71" t="str">
        <f>IF($A$3=" "," ", IFERROR( VLOOKUP($A145,'SUPPLIER DATA BASE'!$A$2:$H$936,5,0),""))</f>
        <v>-</v>
      </c>
      <c r="F145" s="72" t="s">
        <v>1129</v>
      </c>
      <c r="G145" s="73">
        <v>46063.0</v>
      </c>
      <c r="H145" s="74">
        <v>56.0</v>
      </c>
      <c r="I145" s="75">
        <v>47652.0</v>
      </c>
      <c r="J145" s="76" t="s">
        <v>1130</v>
      </c>
      <c r="K145" s="70" t="s">
        <v>349</v>
      </c>
      <c r="L145" s="70" t="s">
        <v>349</v>
      </c>
      <c r="M145" s="70" t="str">
        <f t="shared" si="3"/>
        <v>125 Days</v>
      </c>
      <c r="N145" s="70" t="str">
        <f>IF($A$3=" "," ", IFERROR( VLOOKUP($A145,'SUPPLIER DATA BASE'!$A$2:$O$936,11,0),""))</f>
        <v>RTC Garmentex India Pvgt LTd</v>
      </c>
      <c r="O145" s="70" t="str">
        <f>IF($A$3=" "," ", IFERROR( VLOOKUP($A145,'SUPPLIER DATA BASE'!$A$2:$O$936,12,0),""))</f>
        <v>112605502571</v>
      </c>
      <c r="P145" s="70" t="str">
        <f>IF($A$3=" "," ", IFERROR( VLOOKUP($A145,'SUPPLIER DATA BASE'!$A$2:$O$936,13,0),""))</f>
        <v>ICIC0001126</v>
      </c>
      <c r="Q145" s="77"/>
      <c r="R145" s="73"/>
      <c r="S145" s="77"/>
      <c r="T145" s="70"/>
      <c r="U145" s="78"/>
      <c r="V145" s="70" t="str">
        <f t="shared" si="4"/>
        <v>FY 25-26</v>
      </c>
      <c r="W145" s="23"/>
      <c r="X145" s="23"/>
    </row>
    <row r="146">
      <c r="A146" s="70" t="s">
        <v>354</v>
      </c>
      <c r="B146" s="70" t="str">
        <f>IF($A$3=" "," ", IFERROR( VLOOKUP($A146,'SUPPLIER DATA BASE'!$A$2:$M$936,3,0),""))</f>
        <v>-</v>
      </c>
      <c r="C146" s="70" t="str">
        <f>IF($A$3=" "," ", IFERROR( VLOOKUP($A146,'SUPPLIER DATA BASE'!$A$2:$F$936,6,0),""))</f>
        <v>-</v>
      </c>
      <c r="D146" s="70" t="str">
        <f>IF($A$3=" "," ", IFERROR( VLOOKUP($A146,'SUPPLIER DATA BASE'!$A$2:$G$936,4,0),""))</f>
        <v>-</v>
      </c>
      <c r="E146" s="71" t="str">
        <f>IF($A$3=" "," ", IFERROR( VLOOKUP($A146,'SUPPLIER DATA BASE'!$A$2:$H$936,5,0),""))</f>
        <v>-</v>
      </c>
      <c r="F146" s="72" t="s">
        <v>1131</v>
      </c>
      <c r="G146" s="73">
        <v>46063.0</v>
      </c>
      <c r="H146" s="74">
        <v>2.0</v>
      </c>
      <c r="I146" s="75">
        <v>3616.1</v>
      </c>
      <c r="J146" s="76" t="s">
        <v>1132</v>
      </c>
      <c r="K146" s="70" t="s">
        <v>349</v>
      </c>
      <c r="L146" s="70" t="s">
        <v>349</v>
      </c>
      <c r="M146" s="70" t="str">
        <f t="shared" si="3"/>
        <v>125 Days</v>
      </c>
      <c r="N146" s="70" t="str">
        <f>IF($A$3=" "," ", IFERROR( VLOOKUP($A146,'SUPPLIER DATA BASE'!$A$2:$O$936,11,0),""))</f>
        <v>-</v>
      </c>
      <c r="O146" s="70" t="str">
        <f>IF($A$3=" "," ", IFERROR( VLOOKUP($A146,'SUPPLIER DATA BASE'!$A$2:$O$936,12,0),""))</f>
        <v>-</v>
      </c>
      <c r="P146" s="70" t="str">
        <f>IF($A$3=" "," ", IFERROR( VLOOKUP($A146,'SUPPLIER DATA BASE'!$A$2:$O$936,13,0),""))</f>
        <v>-</v>
      </c>
      <c r="Q146" s="77"/>
      <c r="R146" s="73"/>
      <c r="S146" s="77"/>
      <c r="T146" s="70"/>
      <c r="U146" s="78"/>
      <c r="V146" s="70" t="str">
        <f t="shared" si="4"/>
        <v>FY 25-26</v>
      </c>
      <c r="W146" s="23"/>
      <c r="X146" s="23"/>
    </row>
    <row r="147">
      <c r="A147" s="70" t="s">
        <v>354</v>
      </c>
      <c r="B147" s="70" t="str">
        <f>IF($A$3=" "," ", IFERROR( VLOOKUP($A147,'SUPPLIER DATA BASE'!$A$2:$M$936,3,0),""))</f>
        <v>-</v>
      </c>
      <c r="C147" s="70" t="str">
        <f>IF($A$3=" "," ", IFERROR( VLOOKUP($A147,'SUPPLIER DATA BASE'!$A$2:$F$936,6,0),""))</f>
        <v>-</v>
      </c>
      <c r="D147" s="70" t="str">
        <f>IF($A$3=" "," ", IFERROR( VLOOKUP($A147,'SUPPLIER DATA BASE'!$A$2:$G$936,4,0),""))</f>
        <v>-</v>
      </c>
      <c r="E147" s="71" t="str">
        <f>IF($A$3=" "," ", IFERROR( VLOOKUP($A147,'SUPPLIER DATA BASE'!$A$2:$H$936,5,0),""))</f>
        <v>-</v>
      </c>
      <c r="F147" s="72" t="s">
        <v>1133</v>
      </c>
      <c r="G147" s="73">
        <v>46064.0</v>
      </c>
      <c r="H147" s="74">
        <v>18.0</v>
      </c>
      <c r="I147" s="75">
        <v>17081.89</v>
      </c>
      <c r="J147" s="76" t="s">
        <v>1134</v>
      </c>
      <c r="K147" s="70" t="s">
        <v>349</v>
      </c>
      <c r="L147" s="70" t="s">
        <v>349</v>
      </c>
      <c r="M147" s="70" t="str">
        <f t="shared" si="3"/>
        <v>124 Days</v>
      </c>
      <c r="N147" s="70" t="str">
        <f>IF($A$3=" "," ", IFERROR( VLOOKUP($A147,'SUPPLIER DATA BASE'!$A$2:$O$936,11,0),""))</f>
        <v>-</v>
      </c>
      <c r="O147" s="70" t="str">
        <f>IF($A$3=" "," ", IFERROR( VLOOKUP($A147,'SUPPLIER DATA BASE'!$A$2:$O$936,12,0),""))</f>
        <v>-</v>
      </c>
      <c r="P147" s="70" t="str">
        <f>IF($A$3=" "," ", IFERROR( VLOOKUP($A147,'SUPPLIER DATA BASE'!$A$2:$O$936,13,0),""))</f>
        <v>-</v>
      </c>
      <c r="Q147" s="77"/>
      <c r="R147" s="73"/>
      <c r="S147" s="77"/>
      <c r="T147" s="70"/>
      <c r="U147" s="78"/>
      <c r="V147" s="70" t="str">
        <f t="shared" si="4"/>
        <v>FY 25-26</v>
      </c>
      <c r="W147" s="23"/>
      <c r="X147" s="23"/>
    </row>
    <row r="148">
      <c r="A148" s="70" t="s">
        <v>354</v>
      </c>
      <c r="B148" s="70" t="str">
        <f>IF($A$3=" "," ", IFERROR( VLOOKUP($A148,'SUPPLIER DATA BASE'!$A$2:$M$936,3,0),""))</f>
        <v>-</v>
      </c>
      <c r="C148" s="70" t="str">
        <f>IF($A$3=" "," ", IFERROR( VLOOKUP($A148,'SUPPLIER DATA BASE'!$A$2:$F$936,6,0),""))</f>
        <v>-</v>
      </c>
      <c r="D148" s="70" t="str">
        <f>IF($A$3=" "," ", IFERROR( VLOOKUP($A148,'SUPPLIER DATA BASE'!$A$2:$G$936,4,0),""))</f>
        <v>-</v>
      </c>
      <c r="E148" s="71" t="str">
        <f>IF($A$3=" "," ", IFERROR( VLOOKUP($A148,'SUPPLIER DATA BASE'!$A$2:$H$936,5,0),""))</f>
        <v>-</v>
      </c>
      <c r="F148" s="72" t="s">
        <v>1135</v>
      </c>
      <c r="G148" s="73">
        <v>46064.0</v>
      </c>
      <c r="H148" s="74">
        <v>7.0</v>
      </c>
      <c r="I148" s="75">
        <v>8949.29</v>
      </c>
      <c r="J148" s="76" t="s">
        <v>1136</v>
      </c>
      <c r="K148" s="70" t="s">
        <v>349</v>
      </c>
      <c r="L148" s="70" t="s">
        <v>349</v>
      </c>
      <c r="M148" s="70" t="str">
        <f t="shared" si="3"/>
        <v>124 Days</v>
      </c>
      <c r="N148" s="70" t="str">
        <f>IF($A$3=" "," ", IFERROR( VLOOKUP($A148,'SUPPLIER DATA BASE'!$A$2:$O$936,11,0),""))</f>
        <v>-</v>
      </c>
      <c r="O148" s="70" t="str">
        <f>IF($A$3=" "," ", IFERROR( VLOOKUP($A148,'SUPPLIER DATA BASE'!$A$2:$O$936,12,0),""))</f>
        <v>-</v>
      </c>
      <c r="P148" s="70" t="str">
        <f>IF($A$3=" "," ", IFERROR( VLOOKUP($A148,'SUPPLIER DATA BASE'!$A$2:$O$936,13,0),""))</f>
        <v>-</v>
      </c>
      <c r="Q148" s="77"/>
      <c r="R148" s="73"/>
      <c r="S148" s="77"/>
      <c r="T148" s="70"/>
      <c r="U148" s="78"/>
      <c r="V148" s="70" t="str">
        <f t="shared" si="4"/>
        <v>FY 25-26</v>
      </c>
      <c r="W148" s="23"/>
      <c r="X148" s="23"/>
    </row>
    <row r="149">
      <c r="A149" s="70" t="s">
        <v>354</v>
      </c>
      <c r="B149" s="70" t="str">
        <f>IF($A$3=" "," ", IFERROR( VLOOKUP($A149,'SUPPLIER DATA BASE'!$A$2:$M$936,3,0),""))</f>
        <v>-</v>
      </c>
      <c r="C149" s="70" t="str">
        <f>IF($A$3=" "," ", IFERROR( VLOOKUP($A149,'SUPPLIER DATA BASE'!$A$2:$F$936,6,0),""))</f>
        <v>-</v>
      </c>
      <c r="D149" s="70" t="str">
        <f>IF($A$3=" "," ", IFERROR( VLOOKUP($A149,'SUPPLIER DATA BASE'!$A$2:$G$936,4,0),""))</f>
        <v>-</v>
      </c>
      <c r="E149" s="71" t="str">
        <f>IF($A$3=" "," ", IFERROR( VLOOKUP($A149,'SUPPLIER DATA BASE'!$A$2:$H$936,5,0),""))</f>
        <v>-</v>
      </c>
      <c r="F149" s="72" t="s">
        <v>1137</v>
      </c>
      <c r="G149" s="73">
        <v>46064.0</v>
      </c>
      <c r="H149" s="74">
        <v>15.0</v>
      </c>
      <c r="I149" s="75">
        <v>31257.85</v>
      </c>
      <c r="J149" s="76" t="s">
        <v>1138</v>
      </c>
      <c r="K149" s="70" t="s">
        <v>349</v>
      </c>
      <c r="L149" s="70" t="s">
        <v>349</v>
      </c>
      <c r="M149" s="70" t="str">
        <f t="shared" si="3"/>
        <v>124 Days</v>
      </c>
      <c r="N149" s="70" t="str">
        <f>IF($A$3=" "," ", IFERROR( VLOOKUP($A149,'SUPPLIER DATA BASE'!$A$2:$O$936,11,0),""))</f>
        <v>-</v>
      </c>
      <c r="O149" s="70" t="str">
        <f>IF($A$3=" "," ", IFERROR( VLOOKUP($A149,'SUPPLIER DATA BASE'!$A$2:$O$936,12,0),""))</f>
        <v>-</v>
      </c>
      <c r="P149" s="70" t="str">
        <f>IF($A$3=" "," ", IFERROR( VLOOKUP($A149,'SUPPLIER DATA BASE'!$A$2:$O$936,13,0),""))</f>
        <v>-</v>
      </c>
      <c r="Q149" s="77"/>
      <c r="R149" s="73"/>
      <c r="S149" s="77"/>
      <c r="T149" s="70"/>
      <c r="U149" s="78"/>
      <c r="V149" s="70" t="str">
        <f t="shared" si="4"/>
        <v>FY 25-26</v>
      </c>
      <c r="W149" s="23"/>
      <c r="X149" s="23"/>
    </row>
    <row r="150">
      <c r="A150" s="70" t="s">
        <v>354</v>
      </c>
      <c r="B150" s="70" t="str">
        <f>IF($A$3=" "," ", IFERROR( VLOOKUP($A150,'SUPPLIER DATA BASE'!$A$2:$M$936,3,0),""))</f>
        <v>-</v>
      </c>
      <c r="C150" s="70" t="str">
        <f>IF($A$3=" "," ", IFERROR( VLOOKUP($A150,'SUPPLIER DATA BASE'!$A$2:$F$936,6,0),""))</f>
        <v>-</v>
      </c>
      <c r="D150" s="70" t="str">
        <f>IF($A$3=" "," ", IFERROR( VLOOKUP($A150,'SUPPLIER DATA BASE'!$A$2:$G$936,4,0),""))</f>
        <v>-</v>
      </c>
      <c r="E150" s="71" t="str">
        <f>IF($A$3=" "," ", IFERROR( VLOOKUP($A150,'SUPPLIER DATA BASE'!$A$2:$H$936,5,0),""))</f>
        <v>-</v>
      </c>
      <c r="F150" s="72" t="s">
        <v>1139</v>
      </c>
      <c r="G150" s="73">
        <v>46064.0</v>
      </c>
      <c r="H150" s="74">
        <v>6.0</v>
      </c>
      <c r="I150" s="75">
        <v>10740.82</v>
      </c>
      <c r="J150" s="76" t="s">
        <v>1140</v>
      </c>
      <c r="K150" s="70" t="s">
        <v>349</v>
      </c>
      <c r="L150" s="70" t="s">
        <v>349</v>
      </c>
      <c r="M150" s="70" t="str">
        <f t="shared" si="3"/>
        <v>124 Days</v>
      </c>
      <c r="N150" s="70" t="str">
        <f>IF($A$3=" "," ", IFERROR( VLOOKUP($A150,'SUPPLIER DATA BASE'!$A$2:$O$936,11,0),""))</f>
        <v>-</v>
      </c>
      <c r="O150" s="70" t="str">
        <f>IF($A$3=" "," ", IFERROR( VLOOKUP($A150,'SUPPLIER DATA BASE'!$A$2:$O$936,12,0),""))</f>
        <v>-</v>
      </c>
      <c r="P150" s="70" t="str">
        <f>IF($A$3=" "," ", IFERROR( VLOOKUP($A150,'SUPPLIER DATA BASE'!$A$2:$O$936,13,0),""))</f>
        <v>-</v>
      </c>
      <c r="Q150" s="77"/>
      <c r="R150" s="73"/>
      <c r="S150" s="77"/>
      <c r="T150" s="70"/>
      <c r="U150" s="78"/>
      <c r="V150" s="70" t="str">
        <f t="shared" si="4"/>
        <v>FY 25-26</v>
      </c>
      <c r="W150" s="23"/>
      <c r="X150" s="23"/>
    </row>
    <row r="151">
      <c r="A151" s="70" t="s">
        <v>354</v>
      </c>
      <c r="B151" s="70" t="str">
        <f>IF($A$3=" "," ", IFERROR( VLOOKUP($A151,'SUPPLIER DATA BASE'!$A$2:$M$936,3,0),""))</f>
        <v>-</v>
      </c>
      <c r="C151" s="70" t="str">
        <f>IF($A$3=" "," ", IFERROR( VLOOKUP($A151,'SUPPLIER DATA BASE'!$A$2:$F$936,6,0),""))</f>
        <v>-</v>
      </c>
      <c r="D151" s="70" t="str">
        <f>IF($A$3=" "," ", IFERROR( VLOOKUP($A151,'SUPPLIER DATA BASE'!$A$2:$G$936,4,0),""))</f>
        <v>-</v>
      </c>
      <c r="E151" s="71" t="str">
        <f>IF($A$3=" "," ", IFERROR( VLOOKUP($A151,'SUPPLIER DATA BASE'!$A$2:$H$936,5,0),""))</f>
        <v>-</v>
      </c>
      <c r="F151" s="72" t="s">
        <v>1141</v>
      </c>
      <c r="G151" s="73">
        <v>46064.0</v>
      </c>
      <c r="H151" s="74">
        <v>5.0</v>
      </c>
      <c r="I151" s="75">
        <v>42262.89</v>
      </c>
      <c r="J151" s="76" t="s">
        <v>1142</v>
      </c>
      <c r="K151" s="70" t="s">
        <v>349</v>
      </c>
      <c r="L151" s="70" t="s">
        <v>349</v>
      </c>
      <c r="M151" s="70" t="str">
        <f t="shared" si="3"/>
        <v>124 Days</v>
      </c>
      <c r="N151" s="70" t="str">
        <f>IF($A$3=" "," ", IFERROR( VLOOKUP($A151,'SUPPLIER DATA BASE'!$A$2:$O$936,11,0),""))</f>
        <v>-</v>
      </c>
      <c r="O151" s="70" t="str">
        <f>IF($A$3=" "," ", IFERROR( VLOOKUP($A151,'SUPPLIER DATA BASE'!$A$2:$O$936,12,0),""))</f>
        <v>-</v>
      </c>
      <c r="P151" s="70" t="str">
        <f>IF($A$3=" "," ", IFERROR( VLOOKUP($A151,'SUPPLIER DATA BASE'!$A$2:$O$936,13,0),""))</f>
        <v>-</v>
      </c>
      <c r="Q151" s="77"/>
      <c r="R151" s="73"/>
      <c r="S151" s="77"/>
      <c r="T151" s="70"/>
      <c r="U151" s="78"/>
      <c r="V151" s="70" t="str">
        <f t="shared" si="4"/>
        <v>FY 25-26</v>
      </c>
      <c r="W151" s="23"/>
      <c r="X151" s="23"/>
    </row>
    <row r="152">
      <c r="A152" s="70" t="s">
        <v>575</v>
      </c>
      <c r="B152" s="70" t="str">
        <f>IF($A$3=" "," ", IFERROR( VLOOKUP($A152,'SUPPLIER DATA BASE'!$A$2:$M$936,3,0),""))</f>
        <v>BLACKBERRY</v>
      </c>
      <c r="C152" s="70" t="str">
        <f>IF($A$3=" "," ", IFERROR( VLOOKUP($A152,'SUPPLIER DATA BASE'!$A$2:$F$936,6,0),""))</f>
        <v>-</v>
      </c>
      <c r="D152" s="70" t="str">
        <f>IF($A$3=" "," ", IFERROR( VLOOKUP($A152,'SUPPLIER DATA BASE'!$A$2:$G$936,4,0),""))</f>
        <v>-</v>
      </c>
      <c r="E152" s="71" t="str">
        <f>IF($A$3=" "," ", IFERROR( VLOOKUP($A152,'SUPPLIER DATA BASE'!$A$2:$H$936,5,0),""))</f>
        <v>-</v>
      </c>
      <c r="F152" s="72">
        <v>8.500266551E9</v>
      </c>
      <c r="G152" s="73">
        <v>46064.0</v>
      </c>
      <c r="H152" s="74">
        <v>55.0</v>
      </c>
      <c r="I152" s="75">
        <v>263505.29</v>
      </c>
      <c r="J152" s="76" t="s">
        <v>1143</v>
      </c>
      <c r="K152" s="70" t="s">
        <v>349</v>
      </c>
      <c r="L152" s="70" t="s">
        <v>349</v>
      </c>
      <c r="M152" s="70" t="str">
        <f t="shared" si="3"/>
        <v>124 Days</v>
      </c>
      <c r="N152" s="70" t="str">
        <f>IF($A$3=" "," ", IFERROR( VLOOKUP($A152,'SUPPLIER DATA BASE'!$A$2:$O$936,11,0),""))</f>
        <v>MOHAN CLOTHING COMPANY PVT LTD</v>
      </c>
      <c r="O152" s="70" t="str">
        <f>IF($A$3=" "," ", IFERROR( VLOOKUP($A152,'SUPPLIER DATA BASE'!$A$2:$O$936,12,0),""))</f>
        <v>0710096023</v>
      </c>
      <c r="P152" s="70" t="str">
        <f>IF($A$3=" "," ", IFERROR( VLOOKUP($A152,'SUPPLIER DATA BASE'!$A$2:$O$936,13,0),""))</f>
        <v>CITI0000002</v>
      </c>
      <c r="Q152" s="77"/>
      <c r="R152" s="73"/>
      <c r="S152" s="77"/>
      <c r="T152" s="70"/>
      <c r="U152" s="78"/>
      <c r="V152" s="70" t="str">
        <f t="shared" si="4"/>
        <v>FY 25-26</v>
      </c>
      <c r="W152" s="23"/>
      <c r="X152" s="23"/>
    </row>
    <row r="153">
      <c r="A153" s="70" t="s">
        <v>499</v>
      </c>
      <c r="B153" s="70" t="str">
        <f>IF($A$3=" "," ", IFERROR( VLOOKUP($A153,'SUPPLIER DATA BASE'!$A$2:$M$936,3,0),""))</f>
        <v>-</v>
      </c>
      <c r="C153" s="70" t="str">
        <f>IF($A$3=" "," ", IFERROR( VLOOKUP($A153,'SUPPLIER DATA BASE'!$A$2:$F$936,6,0),""))</f>
        <v>SURYAM TEXTILE AGENCY</v>
      </c>
      <c r="D153" s="70" t="str">
        <f>IF($A$3=" "," ", IFERROR( VLOOKUP($A153,'SUPPLIER DATA BASE'!$A$2:$G$936,4,0),""))</f>
        <v>NO</v>
      </c>
      <c r="E153" s="71" t="str">
        <f>IF($A$3=" "," ", IFERROR( VLOOKUP($A153,'SUPPLIER DATA BASE'!$A$2:$H$936,5,0),""))</f>
        <v>-</v>
      </c>
      <c r="F153" s="72">
        <v>7722.0</v>
      </c>
      <c r="G153" s="73">
        <v>46064.0</v>
      </c>
      <c r="H153" s="74">
        <v>6.0</v>
      </c>
      <c r="I153" s="75">
        <v>21441.0</v>
      </c>
      <c r="J153" s="76" t="s">
        <v>1144</v>
      </c>
      <c r="K153" s="70" t="s">
        <v>349</v>
      </c>
      <c r="L153" s="70" t="s">
        <v>349</v>
      </c>
      <c r="M153" s="70" t="str">
        <f t="shared" si="3"/>
        <v>124 Days</v>
      </c>
      <c r="N153" s="70" t="str">
        <f>IF($A$3=" "," ", IFERROR( VLOOKUP($A153,'SUPPLIER DATA BASE'!$A$2:$O$936,11,0),""))</f>
        <v>JAY AMBEY SAREES</v>
      </c>
      <c r="O153" s="70" t="str">
        <f>IF($A$3=" "," ", IFERROR( VLOOKUP($A153,'SUPPLIER DATA BASE'!$A$2:$O$936,12,0),""))</f>
        <v>50200027562802</v>
      </c>
      <c r="P153" s="70" t="str">
        <f>IF($A$3=" "," ", IFERROR( VLOOKUP($A153,'SUPPLIER DATA BASE'!$A$2:$O$936,13,0),""))</f>
        <v>HDFC0009027</v>
      </c>
      <c r="Q153" s="77"/>
      <c r="R153" s="73"/>
      <c r="S153" s="77"/>
      <c r="T153" s="70"/>
      <c r="U153" s="78"/>
      <c r="V153" s="70" t="str">
        <f t="shared" si="4"/>
        <v>FY 25-26</v>
      </c>
      <c r="W153" s="23"/>
      <c r="X153" s="23"/>
    </row>
    <row r="154">
      <c r="A154" s="70" t="s">
        <v>354</v>
      </c>
      <c r="B154" s="70" t="str">
        <f>IF($A$3=" "," ", IFERROR( VLOOKUP($A154,'SUPPLIER DATA BASE'!$A$2:$M$936,3,0),""))</f>
        <v>-</v>
      </c>
      <c r="C154" s="70" t="str">
        <f>IF($A$3=" "," ", IFERROR( VLOOKUP($A154,'SUPPLIER DATA BASE'!$A$2:$F$936,6,0),""))</f>
        <v>-</v>
      </c>
      <c r="D154" s="70" t="str">
        <f>IF($A$3=" "," ", IFERROR( VLOOKUP($A154,'SUPPLIER DATA BASE'!$A$2:$G$936,4,0),""))</f>
        <v>-</v>
      </c>
      <c r="E154" s="71" t="str">
        <f>IF($A$3=" "," ", IFERROR( VLOOKUP($A154,'SUPPLIER DATA BASE'!$A$2:$H$936,5,0),""))</f>
        <v>-</v>
      </c>
      <c r="F154" s="72" t="s">
        <v>1145</v>
      </c>
      <c r="G154" s="73">
        <v>46064.0</v>
      </c>
      <c r="H154" s="74">
        <v>4.0</v>
      </c>
      <c r="I154" s="75">
        <v>7160.56</v>
      </c>
      <c r="J154" s="76" t="s">
        <v>1146</v>
      </c>
      <c r="K154" s="70" t="s">
        <v>349</v>
      </c>
      <c r="L154" s="73"/>
      <c r="M154" s="70" t="str">
        <f t="shared" si="3"/>
        <v>124 Days</v>
      </c>
      <c r="N154" s="70" t="str">
        <f>IF($A$3=" "," ", IFERROR( VLOOKUP($A154,'SUPPLIER DATA BASE'!$A$2:$O$936,11,0),""))</f>
        <v>-</v>
      </c>
      <c r="O154" s="70" t="str">
        <f>IF($A$3=" "," ", IFERROR( VLOOKUP($A154,'SUPPLIER DATA BASE'!$A$2:$O$936,12,0),""))</f>
        <v>-</v>
      </c>
      <c r="P154" s="70" t="str">
        <f>IF($A$3=" "," ", IFERROR( VLOOKUP($A154,'SUPPLIER DATA BASE'!$A$2:$O$936,13,0),""))</f>
        <v>-</v>
      </c>
      <c r="Q154" s="77"/>
      <c r="R154" s="73"/>
      <c r="S154" s="77"/>
      <c r="T154" s="70"/>
      <c r="U154" s="78"/>
      <c r="V154" s="70" t="str">
        <f t="shared" si="4"/>
        <v>FY 25-26</v>
      </c>
      <c r="W154" s="23"/>
      <c r="X154" s="23"/>
    </row>
    <row r="155">
      <c r="A155" s="70" t="s">
        <v>354</v>
      </c>
      <c r="B155" s="70" t="str">
        <f>IF($A$3=" "," ", IFERROR( VLOOKUP($A155,'SUPPLIER DATA BASE'!$A$2:$M$936,3,0),""))</f>
        <v>-</v>
      </c>
      <c r="C155" s="70" t="str">
        <f>IF($A$3=" "," ", IFERROR( VLOOKUP($A155,'SUPPLIER DATA BASE'!$A$2:$F$936,6,0),""))</f>
        <v>-</v>
      </c>
      <c r="D155" s="70" t="str">
        <f>IF($A$3=" "," ", IFERROR( VLOOKUP($A155,'SUPPLIER DATA BASE'!$A$2:$G$936,4,0),""))</f>
        <v>-</v>
      </c>
      <c r="E155" s="71" t="str">
        <f>IF($A$3=" "," ", IFERROR( VLOOKUP($A155,'SUPPLIER DATA BASE'!$A$2:$H$936,5,0),""))</f>
        <v>-</v>
      </c>
      <c r="F155" s="72" t="s">
        <v>1147</v>
      </c>
      <c r="G155" s="73">
        <v>46064.0</v>
      </c>
      <c r="H155" s="74">
        <v>1.0</v>
      </c>
      <c r="I155" s="75">
        <v>1808.05</v>
      </c>
      <c r="J155" s="76" t="s">
        <v>1148</v>
      </c>
      <c r="K155" s="70" t="s">
        <v>349</v>
      </c>
      <c r="L155" s="73"/>
      <c r="M155" s="70" t="str">
        <f t="shared" si="3"/>
        <v>124 Days</v>
      </c>
      <c r="N155" s="70" t="str">
        <f>IF($A$3=" "," ", IFERROR( VLOOKUP($A155,'SUPPLIER DATA BASE'!$A$2:$O$936,11,0),""))</f>
        <v>-</v>
      </c>
      <c r="O155" s="70" t="str">
        <f>IF($A$3=" "," ", IFERROR( VLOOKUP($A155,'SUPPLIER DATA BASE'!$A$2:$O$936,12,0),""))</f>
        <v>-</v>
      </c>
      <c r="P155" s="70" t="str">
        <f>IF($A$3=" "," ", IFERROR( VLOOKUP($A155,'SUPPLIER DATA BASE'!$A$2:$O$936,13,0),""))</f>
        <v>-</v>
      </c>
      <c r="Q155" s="77"/>
      <c r="R155" s="73"/>
      <c r="S155" s="77"/>
      <c r="T155" s="70"/>
      <c r="U155" s="78"/>
      <c r="V155" s="70" t="str">
        <f t="shared" si="4"/>
        <v>FY 25-26</v>
      </c>
      <c r="W155" s="23"/>
      <c r="X155" s="23"/>
    </row>
    <row r="156">
      <c r="A156" s="70" t="s">
        <v>677</v>
      </c>
      <c r="B156" s="70" t="str">
        <f>IF($A$3=" "," ", IFERROR( VLOOKUP($A156,'SUPPLIER DATA BASE'!$A$2:$M$936,3,0),""))</f>
        <v>-</v>
      </c>
      <c r="C156" s="70" t="str">
        <f>IF($A$3=" "," ", IFERROR( VLOOKUP($A156,'SUPPLIER DATA BASE'!$A$2:$F$936,6,0),""))</f>
        <v>-</v>
      </c>
      <c r="D156" s="70" t="str">
        <f>IF($A$3=" "," ", IFERROR( VLOOKUP($A156,'SUPPLIER DATA BASE'!$A$2:$G$936,4,0),""))</f>
        <v>-</v>
      </c>
      <c r="E156" s="71" t="str">
        <f>IF($A$3=" "," ", IFERROR( VLOOKUP($A156,'SUPPLIER DATA BASE'!$A$2:$H$936,5,0),""))</f>
        <v>-</v>
      </c>
      <c r="F156" s="72" t="s">
        <v>1149</v>
      </c>
      <c r="G156" s="73">
        <v>46065.0</v>
      </c>
      <c r="H156" s="74">
        <v>12.0</v>
      </c>
      <c r="I156" s="75">
        <v>33305.0</v>
      </c>
      <c r="J156" s="76" t="s">
        <v>1150</v>
      </c>
      <c r="K156" s="70" t="s">
        <v>349</v>
      </c>
      <c r="L156" s="70" t="s">
        <v>349</v>
      </c>
      <c r="M156" s="70" t="str">
        <f t="shared" si="3"/>
        <v>123 Days</v>
      </c>
      <c r="N156" s="70" t="str">
        <f>IF($A$3=" "," ", IFERROR( VLOOKUP($A156,'SUPPLIER DATA BASE'!$A$2:$O$936,11,0),""))</f>
        <v>SARAOGI SUPER SALES PVT LTD</v>
      </c>
      <c r="O156" s="70" t="str">
        <f>IF($A$3=" "," ", IFERROR( VLOOKUP($A156,'SUPPLIER DATA BASE'!$A$2:$O$936,12,0),""))</f>
        <v>SASUSP011006</v>
      </c>
      <c r="P156" s="70" t="str">
        <f>IF($A$3=" "," ", IFERROR( VLOOKUP($A156,'SUPPLIER DATA BASE'!$A$2:$O$936,13,0),""))</f>
        <v>ICIC0000106</v>
      </c>
      <c r="Q156" s="77"/>
      <c r="R156" s="73"/>
      <c r="S156" s="77"/>
      <c r="T156" s="70"/>
      <c r="U156" s="78"/>
      <c r="V156" s="70" t="str">
        <f t="shared" si="4"/>
        <v>FY 25-26</v>
      </c>
      <c r="W156" s="23"/>
      <c r="X156" s="23"/>
    </row>
    <row r="157">
      <c r="A157" s="70" t="s">
        <v>413</v>
      </c>
      <c r="B157" s="70" t="str">
        <f>IF($A$3=" "," ", IFERROR( VLOOKUP($A157,'SUPPLIER DATA BASE'!$A$2:$M$936,3,0),""))</f>
        <v>KILLER</v>
      </c>
      <c r="C157" s="70" t="str">
        <f>IF($A$3=" "," ", IFERROR( VLOOKUP($A157,'SUPPLIER DATA BASE'!$A$2:$F$936,6,0),""))</f>
        <v>-</v>
      </c>
      <c r="D157" s="70" t="str">
        <f>IF($A$3=" "," ", IFERROR( VLOOKUP($A157,'SUPPLIER DATA BASE'!$A$2:$G$936,4,0),""))</f>
        <v>NO</v>
      </c>
      <c r="E157" s="71" t="str">
        <f>IF($A$3=" "," ", IFERROR( VLOOKUP($A157,'SUPPLIER DATA BASE'!$A$2:$H$936,5,0),""))</f>
        <v>-</v>
      </c>
      <c r="F157" s="72" t="s">
        <v>1151</v>
      </c>
      <c r="G157" s="73">
        <v>46065.0</v>
      </c>
      <c r="H157" s="74">
        <v>207.0</v>
      </c>
      <c r="I157" s="75">
        <v>382988.0</v>
      </c>
      <c r="J157" s="76" t="s">
        <v>1152</v>
      </c>
      <c r="K157" s="70" t="s">
        <v>349</v>
      </c>
      <c r="L157" s="70" t="s">
        <v>349</v>
      </c>
      <c r="M157" s="70" t="str">
        <f t="shared" si="3"/>
        <v>123 Days</v>
      </c>
      <c r="N157" s="70" t="str">
        <f>IF($A$3=" "," ", IFERROR( VLOOKUP($A157,'SUPPLIER DATA BASE'!$A$2:$O$936,11,0),""))</f>
        <v>D D SALES CO</v>
      </c>
      <c r="O157" s="70" t="str">
        <f>IF($A$3=" "," ", IFERROR( VLOOKUP($A157,'SUPPLIER DATA BASE'!$A$2:$O$936,12,0),""))</f>
        <v>29205007835</v>
      </c>
      <c r="P157" s="70" t="str">
        <f>IF($A$3=" "," ", IFERROR( VLOOKUP($A157,'SUPPLIER DATA BASE'!$A$2:$O$936,13,0),""))</f>
        <v>ICIC0000292</v>
      </c>
      <c r="Q157" s="77"/>
      <c r="R157" s="73"/>
      <c r="S157" s="77"/>
      <c r="T157" s="70"/>
      <c r="U157" s="78"/>
      <c r="V157" s="70" t="str">
        <f t="shared" si="4"/>
        <v>FY 25-26</v>
      </c>
      <c r="W157" s="23"/>
      <c r="X157" s="23"/>
    </row>
    <row r="158">
      <c r="A158" s="70" t="s">
        <v>749</v>
      </c>
      <c r="B158" s="70" t="str">
        <f>IF($A$3=" "," ", IFERROR( VLOOKUP($A158,'SUPPLIER DATA BASE'!$A$2:$M$936,3,0),""))</f>
        <v>VAN HEUSEN</v>
      </c>
      <c r="C158" s="70" t="str">
        <f>IF($A$3=" "," ", IFERROR( VLOOKUP($A158,'SUPPLIER DATA BASE'!$A$2:$F$936,6,0),""))</f>
        <v>-</v>
      </c>
      <c r="D158" s="70" t="str">
        <f>IF($A$3=" "," ", IFERROR( VLOOKUP($A158,'SUPPLIER DATA BASE'!$A$2:$G$936,4,0),""))</f>
        <v>-</v>
      </c>
      <c r="E158" s="71" t="str">
        <f>IF($A$3=" "," ", IFERROR( VLOOKUP($A158,'SUPPLIER DATA BASE'!$A$2:$H$936,5,0),""))</f>
        <v>-</v>
      </c>
      <c r="F158" s="72" t="s">
        <v>1153</v>
      </c>
      <c r="G158" s="73">
        <v>46065.0</v>
      </c>
      <c r="H158" s="74">
        <v>89.0</v>
      </c>
      <c r="I158" s="75">
        <v>39657.0</v>
      </c>
      <c r="J158" s="76" t="s">
        <v>1154</v>
      </c>
      <c r="K158" s="70" t="s">
        <v>349</v>
      </c>
      <c r="L158" s="70" t="s">
        <v>349</v>
      </c>
      <c r="M158" s="70" t="str">
        <f t="shared" si="3"/>
        <v>123 Days</v>
      </c>
      <c r="N158" s="70" t="str">
        <f>IF($A$3=" "," ", IFERROR( VLOOKUP($A158,'SUPPLIER DATA BASE'!$A$2:$O$936,11,0),""))</f>
        <v>SUSHILA ENTERPRISES</v>
      </c>
      <c r="O158" s="70" t="str">
        <f>IF($A$3=" "," ", IFERROR( VLOOKUP($A158,'SUPPLIER DATA BASE'!$A$2:$O$936,12,0),""))</f>
        <v>747805000665</v>
      </c>
      <c r="P158" s="70" t="str">
        <f>IF($A$3=" "," ", IFERROR( VLOOKUP($A158,'SUPPLIER DATA BASE'!$A$2:$O$936,13,0),""))</f>
        <v>ICIC0007478</v>
      </c>
      <c r="Q158" s="77"/>
      <c r="R158" s="73"/>
      <c r="S158" s="77"/>
      <c r="T158" s="70"/>
      <c r="U158" s="78"/>
      <c r="V158" s="70" t="str">
        <f t="shared" si="4"/>
        <v>FY 25-26</v>
      </c>
      <c r="W158" s="23"/>
      <c r="X158" s="23"/>
    </row>
    <row r="159">
      <c r="A159" s="70" t="s">
        <v>749</v>
      </c>
      <c r="B159" s="70" t="str">
        <f>IF($A$3=" "," ", IFERROR( VLOOKUP($A159,'SUPPLIER DATA BASE'!$A$2:$M$936,3,0),""))</f>
        <v>VAN HEUSEN</v>
      </c>
      <c r="C159" s="70" t="str">
        <f>IF($A$3=" "," ", IFERROR( VLOOKUP($A159,'SUPPLIER DATA BASE'!$A$2:$F$936,6,0),""))</f>
        <v>-</v>
      </c>
      <c r="D159" s="70" t="str">
        <f>IF($A$3=" "," ", IFERROR( VLOOKUP($A159,'SUPPLIER DATA BASE'!$A$2:$G$936,4,0),""))</f>
        <v>-</v>
      </c>
      <c r="E159" s="71" t="str">
        <f>IF($A$3=" "," ", IFERROR( VLOOKUP($A159,'SUPPLIER DATA BASE'!$A$2:$H$936,5,0),""))</f>
        <v>-</v>
      </c>
      <c r="F159" s="72" t="s">
        <v>1155</v>
      </c>
      <c r="G159" s="73">
        <v>46065.0</v>
      </c>
      <c r="H159" s="74">
        <v>18.0</v>
      </c>
      <c r="I159" s="75">
        <v>10721.0</v>
      </c>
      <c r="J159" s="76" t="s">
        <v>1156</v>
      </c>
      <c r="K159" s="70" t="s">
        <v>349</v>
      </c>
      <c r="L159" s="70" t="s">
        <v>349</v>
      </c>
      <c r="M159" s="70" t="str">
        <f t="shared" si="3"/>
        <v>123 Days</v>
      </c>
      <c r="N159" s="70" t="str">
        <f>IF($A$3=" "," ", IFERROR( VLOOKUP($A159,'SUPPLIER DATA BASE'!$A$2:$O$936,11,0),""))</f>
        <v>SUSHILA ENTERPRISES</v>
      </c>
      <c r="O159" s="70" t="str">
        <f>IF($A$3=" "," ", IFERROR( VLOOKUP($A159,'SUPPLIER DATA BASE'!$A$2:$O$936,12,0),""))</f>
        <v>747805000665</v>
      </c>
      <c r="P159" s="70" t="str">
        <f>IF($A$3=" "," ", IFERROR( VLOOKUP($A159,'SUPPLIER DATA BASE'!$A$2:$O$936,13,0),""))</f>
        <v>ICIC0007478</v>
      </c>
      <c r="Q159" s="77"/>
      <c r="R159" s="73"/>
      <c r="S159" s="77"/>
      <c r="T159" s="70"/>
      <c r="U159" s="78"/>
      <c r="V159" s="70" t="str">
        <f t="shared" si="4"/>
        <v>FY 25-26</v>
      </c>
      <c r="W159" s="23"/>
      <c r="X159" s="23"/>
    </row>
    <row r="160">
      <c r="A160" s="70" t="s">
        <v>354</v>
      </c>
      <c r="B160" s="70" t="str">
        <f>IF($A$3=" "," ", IFERROR( VLOOKUP($A160,'SUPPLIER DATA BASE'!$A$2:$M$936,3,0),""))</f>
        <v>-</v>
      </c>
      <c r="C160" s="70" t="str">
        <f>IF($A$3=" "," ", IFERROR( VLOOKUP($A160,'SUPPLIER DATA BASE'!$A$2:$F$936,6,0),""))</f>
        <v>-</v>
      </c>
      <c r="D160" s="70" t="str">
        <f>IF($A$3=" "," ", IFERROR( VLOOKUP($A160,'SUPPLIER DATA BASE'!$A$2:$G$936,4,0),""))</f>
        <v>-</v>
      </c>
      <c r="E160" s="71" t="str">
        <f>IF($A$3=" "," ", IFERROR( VLOOKUP($A160,'SUPPLIER DATA BASE'!$A$2:$H$936,5,0),""))</f>
        <v>-</v>
      </c>
      <c r="F160" s="72" t="s">
        <v>1157</v>
      </c>
      <c r="G160" s="73">
        <v>46065.0</v>
      </c>
      <c r="H160" s="74">
        <v>13.0</v>
      </c>
      <c r="I160" s="75">
        <v>22469.85</v>
      </c>
      <c r="J160" s="76" t="s">
        <v>1158</v>
      </c>
      <c r="K160" s="70" t="s">
        <v>349</v>
      </c>
      <c r="L160" s="70" t="s">
        <v>349</v>
      </c>
      <c r="M160" s="70" t="str">
        <f t="shared" si="3"/>
        <v>123 Days</v>
      </c>
      <c r="N160" s="70" t="str">
        <f>IF($A$3=" "," ", IFERROR( VLOOKUP($A160,'SUPPLIER DATA BASE'!$A$2:$O$936,11,0),""))</f>
        <v>-</v>
      </c>
      <c r="O160" s="70" t="str">
        <f>IF($A$3=" "," ", IFERROR( VLOOKUP($A160,'SUPPLIER DATA BASE'!$A$2:$O$936,12,0),""))</f>
        <v>-</v>
      </c>
      <c r="P160" s="70" t="str">
        <f>IF($A$3=" "," ", IFERROR( VLOOKUP($A160,'SUPPLIER DATA BASE'!$A$2:$O$936,13,0),""))</f>
        <v>-</v>
      </c>
      <c r="Q160" s="77"/>
      <c r="R160" s="73"/>
      <c r="S160" s="77"/>
      <c r="T160" s="70"/>
      <c r="U160" s="78"/>
      <c r="V160" s="70" t="str">
        <f t="shared" si="4"/>
        <v>FY 25-26</v>
      </c>
      <c r="W160" s="23"/>
      <c r="X160" s="23"/>
    </row>
    <row r="161">
      <c r="A161" s="70" t="s">
        <v>393</v>
      </c>
      <c r="B161" s="70" t="str">
        <f>IF($A$3=" "," ", IFERROR( VLOOKUP($A161,'SUPPLIER DATA BASE'!$A$2:$M$936,3,0),""))</f>
        <v>WELSPUN, VAN HEUSEN</v>
      </c>
      <c r="C161" s="70" t="str">
        <f>IF($A$3=" "," ", IFERROR( VLOOKUP($A161,'SUPPLIER DATA BASE'!$A$2:$F$936,6,0),""))</f>
        <v>DIRECT</v>
      </c>
      <c r="D161" s="70">
        <f>IF($A$3=" "," ", IFERROR( VLOOKUP($A161,'SUPPLIER DATA BASE'!$A$2:$G$936,4,0),""))</f>
        <v>15</v>
      </c>
      <c r="E161" s="71">
        <f>IF($A$3=" "," ", IFERROR( VLOOKUP($A161,'SUPPLIER DATA BASE'!$A$2:$H$936,5,0),""))</f>
        <v>5</v>
      </c>
      <c r="F161" s="72" t="s">
        <v>1159</v>
      </c>
      <c r="G161" s="73">
        <v>46065.0</v>
      </c>
      <c r="H161" s="74">
        <v>39.0</v>
      </c>
      <c r="I161" s="75">
        <v>19471.0</v>
      </c>
      <c r="J161" s="76" t="s">
        <v>1160</v>
      </c>
      <c r="K161" s="70" t="s">
        <v>349</v>
      </c>
      <c r="L161" s="70" t="s">
        <v>349</v>
      </c>
      <c r="M161" s="70" t="str">
        <f t="shared" si="3"/>
        <v>123 Days</v>
      </c>
      <c r="N161" s="70" t="str">
        <f>IF($A$3=" "," ", IFERROR( VLOOKUP($A161,'SUPPLIER DATA BASE'!$A$2:$O$936,11,0),""))</f>
        <v>C2D VENTURES LLP</v>
      </c>
      <c r="O161" s="70" t="str">
        <f>IF($A$3=" "," ", IFERROR( VLOOKUP($A161,'SUPPLIER DATA BASE'!$A$2:$O$936,12,0),""))</f>
        <v>50484840037</v>
      </c>
      <c r="P161" s="70" t="str">
        <f>IF($A$3=" "," ", IFERROR( VLOOKUP($A161,'SUPPLIER DATA BASE'!$A$2:$O$936,13,0),""))</f>
        <v>IDIB000D600</v>
      </c>
      <c r="Q161" s="77"/>
      <c r="R161" s="73"/>
      <c r="S161" s="77"/>
      <c r="T161" s="70"/>
      <c r="U161" s="78"/>
      <c r="V161" s="70" t="str">
        <f t="shared" si="4"/>
        <v>FY 25-26</v>
      </c>
      <c r="W161" s="23"/>
      <c r="X161" s="23"/>
    </row>
    <row r="162">
      <c r="A162" s="70" t="s">
        <v>413</v>
      </c>
      <c r="B162" s="70" t="str">
        <f>IF($A$3=" "," ", IFERROR( VLOOKUP($A162,'SUPPLIER DATA BASE'!$A$2:$M$936,3,0),""))</f>
        <v>KILLER</v>
      </c>
      <c r="C162" s="70" t="str">
        <f>IF($A$3=" "," ", IFERROR( VLOOKUP($A162,'SUPPLIER DATA BASE'!$A$2:$F$936,6,0),""))</f>
        <v>-</v>
      </c>
      <c r="D162" s="70" t="str">
        <f>IF($A$3=" "," ", IFERROR( VLOOKUP($A162,'SUPPLIER DATA BASE'!$A$2:$G$936,4,0),""))</f>
        <v>NO</v>
      </c>
      <c r="E162" s="71" t="str">
        <f>IF($A$3=" "," ", IFERROR( VLOOKUP($A162,'SUPPLIER DATA BASE'!$A$2:$H$936,5,0),""))</f>
        <v>-</v>
      </c>
      <c r="F162" s="72" t="s">
        <v>1161</v>
      </c>
      <c r="G162" s="73">
        <v>46065.0</v>
      </c>
      <c r="H162" s="74">
        <v>148.0</v>
      </c>
      <c r="I162" s="75">
        <v>248894.0</v>
      </c>
      <c r="J162" s="76" t="s">
        <v>1162</v>
      </c>
      <c r="K162" s="70" t="s">
        <v>349</v>
      </c>
      <c r="L162" s="70" t="s">
        <v>349</v>
      </c>
      <c r="M162" s="70" t="str">
        <f t="shared" si="3"/>
        <v>123 Days</v>
      </c>
      <c r="N162" s="70" t="str">
        <f>IF($A$3=" "," ", IFERROR( VLOOKUP($A162,'SUPPLIER DATA BASE'!$A$2:$O$936,11,0),""))</f>
        <v>D D SALES CO</v>
      </c>
      <c r="O162" s="70" t="str">
        <f>IF($A$3=" "," ", IFERROR( VLOOKUP($A162,'SUPPLIER DATA BASE'!$A$2:$O$936,12,0),""))</f>
        <v>29205007835</v>
      </c>
      <c r="P162" s="70" t="str">
        <f>IF($A$3=" "," ", IFERROR( VLOOKUP($A162,'SUPPLIER DATA BASE'!$A$2:$O$936,13,0),""))</f>
        <v>ICIC0000292</v>
      </c>
      <c r="Q162" s="77"/>
      <c r="R162" s="73"/>
      <c r="S162" s="77"/>
      <c r="T162" s="70"/>
      <c r="U162" s="78"/>
      <c r="V162" s="70" t="str">
        <f t="shared" si="4"/>
        <v>FY 25-26</v>
      </c>
      <c r="W162" s="23"/>
      <c r="X162" s="23"/>
    </row>
    <row r="163">
      <c r="A163" s="70" t="s">
        <v>755</v>
      </c>
      <c r="B163" s="70" t="str">
        <f>IF($A$3=" "," ", IFERROR( VLOOKUP($A163,'SUPPLIER DATA BASE'!$A$2:$M$936,3,0),""))</f>
        <v>-</v>
      </c>
      <c r="C163" s="70" t="str">
        <f>IF($A$3=" "," ", IFERROR( VLOOKUP($A163,'SUPPLIER DATA BASE'!$A$2:$F$936,6,0),""))</f>
        <v>-</v>
      </c>
      <c r="D163" s="70" t="str">
        <f>IF($A$3=" "," ", IFERROR( VLOOKUP($A163,'SUPPLIER DATA BASE'!$A$2:$G$936,4,0),""))</f>
        <v>-</v>
      </c>
      <c r="E163" s="71" t="str">
        <f>IF($A$3=" "," ", IFERROR( VLOOKUP($A163,'SUPPLIER DATA BASE'!$A$2:$H$936,5,0),""))</f>
        <v>-</v>
      </c>
      <c r="F163" s="72" t="s">
        <v>1163</v>
      </c>
      <c r="G163" s="73">
        <v>46065.0</v>
      </c>
      <c r="H163" s="74">
        <v>270.0</v>
      </c>
      <c r="I163" s="75">
        <v>43643.0</v>
      </c>
      <c r="J163" s="76" t="s">
        <v>1164</v>
      </c>
      <c r="K163" s="70" t="s">
        <v>349</v>
      </c>
      <c r="L163" s="70" t="s">
        <v>349</v>
      </c>
      <c r="M163" s="70" t="str">
        <f t="shared" si="3"/>
        <v>123 Days</v>
      </c>
      <c r="N163" s="70" t="str">
        <f>IF($A$3=" "," ", IFERROR( VLOOKUP($A163,'SUPPLIER DATA BASE'!$A$2:$O$936,11,0),""))</f>
        <v>-</v>
      </c>
      <c r="O163" s="70" t="str">
        <f>IF($A$3=" "," ", IFERROR( VLOOKUP($A163,'SUPPLIER DATA BASE'!$A$2:$O$936,12,0),""))</f>
        <v>-</v>
      </c>
      <c r="P163" s="70" t="str">
        <f>IF($A$3=" "," ", IFERROR( VLOOKUP($A163,'SUPPLIER DATA BASE'!$A$2:$O$936,13,0),""))</f>
        <v>-</v>
      </c>
      <c r="Q163" s="77"/>
      <c r="R163" s="73"/>
      <c r="S163" s="77"/>
      <c r="T163" s="70"/>
      <c r="U163" s="78"/>
      <c r="V163" s="70" t="str">
        <f t="shared" si="4"/>
        <v>FY 25-26</v>
      </c>
      <c r="W163" s="23"/>
      <c r="X163" s="23"/>
    </row>
    <row r="164">
      <c r="A164" s="70" t="s">
        <v>575</v>
      </c>
      <c r="B164" s="70" t="str">
        <f>IF($A$3=" "," ", IFERROR( VLOOKUP($A164,'SUPPLIER DATA BASE'!$A$2:$M$936,3,0),""))</f>
        <v>BLACKBERRY</v>
      </c>
      <c r="C164" s="70" t="str">
        <f>IF($A$3=" "," ", IFERROR( VLOOKUP($A164,'SUPPLIER DATA BASE'!$A$2:$F$936,6,0),""))</f>
        <v>-</v>
      </c>
      <c r="D164" s="70" t="str">
        <f>IF($A$3=" "," ", IFERROR( VLOOKUP($A164,'SUPPLIER DATA BASE'!$A$2:$G$936,4,0),""))</f>
        <v>-</v>
      </c>
      <c r="E164" s="71" t="str">
        <f>IF($A$3=" "," ", IFERROR( VLOOKUP($A164,'SUPPLIER DATA BASE'!$A$2:$H$936,5,0),""))</f>
        <v>-</v>
      </c>
      <c r="F164" s="72">
        <v>8.500267105E9</v>
      </c>
      <c r="G164" s="73">
        <v>46065.0</v>
      </c>
      <c r="H164" s="74">
        <v>27.0</v>
      </c>
      <c r="I164" s="75">
        <v>55302.95</v>
      </c>
      <c r="J164" s="76" t="s">
        <v>1165</v>
      </c>
      <c r="K164" s="70" t="s">
        <v>349</v>
      </c>
      <c r="L164" s="70" t="s">
        <v>349</v>
      </c>
      <c r="M164" s="70" t="str">
        <f t="shared" si="3"/>
        <v>123 Days</v>
      </c>
      <c r="N164" s="70" t="str">
        <f>IF($A$3=" "," ", IFERROR( VLOOKUP($A164,'SUPPLIER DATA BASE'!$A$2:$O$936,11,0),""))</f>
        <v>MOHAN CLOTHING COMPANY PVT LTD</v>
      </c>
      <c r="O164" s="70" t="str">
        <f>IF($A$3=" "," ", IFERROR( VLOOKUP($A164,'SUPPLIER DATA BASE'!$A$2:$O$936,12,0),""))</f>
        <v>0710096023</v>
      </c>
      <c r="P164" s="70" t="str">
        <f>IF($A$3=" "," ", IFERROR( VLOOKUP($A164,'SUPPLIER DATA BASE'!$A$2:$O$936,13,0),""))</f>
        <v>CITI0000002</v>
      </c>
      <c r="Q164" s="77"/>
      <c r="R164" s="73"/>
      <c r="S164" s="77"/>
      <c r="T164" s="70"/>
      <c r="U164" s="78"/>
      <c r="V164" s="70" t="str">
        <f t="shared" si="4"/>
        <v>FY 25-26</v>
      </c>
      <c r="W164" s="23"/>
      <c r="X164" s="23"/>
    </row>
    <row r="165">
      <c r="A165" s="70" t="s">
        <v>354</v>
      </c>
      <c r="B165" s="70" t="str">
        <f>IF($A$3=" "," ", IFERROR( VLOOKUP($A165,'SUPPLIER DATA BASE'!$A$2:$M$936,3,0),""))</f>
        <v>-</v>
      </c>
      <c r="C165" s="70" t="str">
        <f>IF($A$3=" "," ", IFERROR( VLOOKUP($A165,'SUPPLIER DATA BASE'!$A$2:$F$936,6,0),""))</f>
        <v>-</v>
      </c>
      <c r="D165" s="70" t="str">
        <f>IF($A$3=" "," ", IFERROR( VLOOKUP($A165,'SUPPLIER DATA BASE'!$A$2:$G$936,4,0),""))</f>
        <v>-</v>
      </c>
      <c r="E165" s="71" t="str">
        <f>IF($A$3=" "," ", IFERROR( VLOOKUP($A165,'SUPPLIER DATA BASE'!$A$2:$H$936,5,0),""))</f>
        <v>-</v>
      </c>
      <c r="F165" s="72" t="s">
        <v>1166</v>
      </c>
      <c r="G165" s="73">
        <v>46065.0</v>
      </c>
      <c r="H165" s="74">
        <v>9.0</v>
      </c>
      <c r="I165" s="75">
        <v>15617.31</v>
      </c>
      <c r="J165" s="76" t="s">
        <v>1167</v>
      </c>
      <c r="K165" s="70" t="s">
        <v>349</v>
      </c>
      <c r="L165" s="70" t="s">
        <v>349</v>
      </c>
      <c r="M165" s="70" t="str">
        <f t="shared" si="3"/>
        <v>123 Days</v>
      </c>
      <c r="N165" s="70" t="str">
        <f>IF($A$3=" "," ", IFERROR( VLOOKUP($A165,'SUPPLIER DATA BASE'!$A$2:$O$936,11,0),""))</f>
        <v>-</v>
      </c>
      <c r="O165" s="70" t="str">
        <f>IF($A$3=" "," ", IFERROR( VLOOKUP($A165,'SUPPLIER DATA BASE'!$A$2:$O$936,12,0),""))</f>
        <v>-</v>
      </c>
      <c r="P165" s="70" t="str">
        <f>IF($A$3=" "," ", IFERROR( VLOOKUP($A165,'SUPPLIER DATA BASE'!$A$2:$O$936,13,0),""))</f>
        <v>-</v>
      </c>
      <c r="Q165" s="77"/>
      <c r="R165" s="73"/>
      <c r="S165" s="77"/>
      <c r="T165" s="70"/>
      <c r="U165" s="78"/>
      <c r="V165" s="70" t="str">
        <f t="shared" si="4"/>
        <v>FY 25-26</v>
      </c>
      <c r="W165" s="23"/>
      <c r="X165" s="23"/>
    </row>
    <row r="166">
      <c r="A166" s="70" t="s">
        <v>354</v>
      </c>
      <c r="B166" s="70" t="str">
        <f>IF($A$3=" "," ", IFERROR( VLOOKUP($A166,'SUPPLIER DATA BASE'!$A$2:$M$936,3,0),""))</f>
        <v>-</v>
      </c>
      <c r="C166" s="70" t="str">
        <f>IF($A$3=" "," ", IFERROR( VLOOKUP($A166,'SUPPLIER DATA BASE'!$A$2:$F$936,6,0),""))</f>
        <v>-</v>
      </c>
      <c r="D166" s="70" t="str">
        <f>IF($A$3=" "," ", IFERROR( VLOOKUP($A166,'SUPPLIER DATA BASE'!$A$2:$G$936,4,0),""))</f>
        <v>-</v>
      </c>
      <c r="E166" s="71" t="str">
        <f>IF($A$3=" "," ", IFERROR( VLOOKUP($A166,'SUPPLIER DATA BASE'!$A$2:$H$936,5,0),""))</f>
        <v>-</v>
      </c>
      <c r="F166" s="72" t="s">
        <v>1168</v>
      </c>
      <c r="G166" s="73">
        <v>46065.0</v>
      </c>
      <c r="H166" s="74">
        <v>9.0</v>
      </c>
      <c r="I166" s="75">
        <v>15617.31</v>
      </c>
      <c r="J166" s="76" t="s">
        <v>1169</v>
      </c>
      <c r="K166" s="70" t="s">
        <v>349</v>
      </c>
      <c r="L166" s="70" t="s">
        <v>349</v>
      </c>
      <c r="M166" s="70" t="str">
        <f t="shared" si="3"/>
        <v>123 Days</v>
      </c>
      <c r="N166" s="70" t="str">
        <f>IF($A$3=" "," ", IFERROR( VLOOKUP($A166,'SUPPLIER DATA BASE'!$A$2:$O$936,11,0),""))</f>
        <v>-</v>
      </c>
      <c r="O166" s="70" t="str">
        <f>IF($A$3=" "," ", IFERROR( VLOOKUP($A166,'SUPPLIER DATA BASE'!$A$2:$O$936,12,0),""))</f>
        <v>-</v>
      </c>
      <c r="P166" s="70" t="str">
        <f>IF($A$3=" "," ", IFERROR( VLOOKUP($A166,'SUPPLIER DATA BASE'!$A$2:$O$936,13,0),""))</f>
        <v>-</v>
      </c>
      <c r="Q166" s="77"/>
      <c r="R166" s="73"/>
      <c r="S166" s="77"/>
      <c r="T166" s="70"/>
      <c r="U166" s="78"/>
      <c r="V166" s="70" t="str">
        <f t="shared" si="4"/>
        <v>FY 25-26</v>
      </c>
      <c r="W166" s="23"/>
      <c r="X166" s="23"/>
    </row>
    <row r="167">
      <c r="A167" s="70" t="s">
        <v>761</v>
      </c>
      <c r="B167" s="70" t="str">
        <f>IF($A$3=" "," ", IFERROR( VLOOKUP($A167,'SUPPLIER DATA BASE'!$A$2:$M$936,3,0),""))</f>
        <v>JOCKEY, LIBAS, ROCKIT, INTIGRITI, AMERICAN TOURISTER</v>
      </c>
      <c r="C167" s="70" t="str">
        <f>IF($A$3=" "," ", IFERROR( VLOOKUP($A167,'SUPPLIER DATA BASE'!$A$2:$F$936,6,0),""))</f>
        <v>DIRECT</v>
      </c>
      <c r="D167" s="70">
        <f>IF($A$3=" "," ", IFERROR( VLOOKUP($A167,'SUPPLIER DATA BASE'!$A$2:$G$936,4,0),""))</f>
        <v>7</v>
      </c>
      <c r="E167" s="71">
        <f>IF($A$3=" "," ", IFERROR( VLOOKUP($A167,'SUPPLIER DATA BASE'!$A$2:$H$936,5,0),""))</f>
        <v>0.02</v>
      </c>
      <c r="F167" s="72" t="s">
        <v>1170</v>
      </c>
      <c r="G167" s="73">
        <v>46065.0</v>
      </c>
      <c r="H167" s="74">
        <v>144.0</v>
      </c>
      <c r="I167" s="75">
        <v>112868.0</v>
      </c>
      <c r="J167" s="83" t="s">
        <v>1171</v>
      </c>
      <c r="K167" s="70" t="s">
        <v>349</v>
      </c>
      <c r="L167" s="70" t="s">
        <v>349</v>
      </c>
      <c r="M167" s="70" t="str">
        <f t="shared" si="3"/>
        <v>123 Days</v>
      </c>
      <c r="N167" s="70" t="str">
        <f>IF($A$3=" "," ", IFERROR( VLOOKUP($A167,'SUPPLIER DATA BASE'!$A$2:$O$936,11,0),""))</f>
        <v>TAYAL GARMENTS PVT. LTD.</v>
      </c>
      <c r="O167" s="70" t="str">
        <f>IF($A$3=" "," ", IFERROR( VLOOKUP($A167,'SUPPLIER DATA BASE'!$A$2:$O$936,12,0),""))</f>
        <v>1199911999</v>
      </c>
      <c r="P167" s="70" t="str">
        <f>IF($A$3=" "," ", IFERROR( VLOOKUP($A167,'SUPPLIER DATA BASE'!$A$2:$O$936,13,0),""))</f>
        <v>KKBK0005632</v>
      </c>
      <c r="Q167" s="77"/>
      <c r="R167" s="73"/>
      <c r="S167" s="77"/>
      <c r="T167" s="70"/>
      <c r="U167" s="78"/>
      <c r="V167" s="70" t="str">
        <f t="shared" si="4"/>
        <v>FY 25-26</v>
      </c>
      <c r="W167" s="23"/>
      <c r="X167" s="23"/>
    </row>
    <row r="168">
      <c r="A168" s="70" t="s">
        <v>749</v>
      </c>
      <c r="B168" s="70" t="str">
        <f>IF($A$3=" "," ", IFERROR( VLOOKUP($A168,'SUPPLIER DATA BASE'!$A$2:$M$936,3,0),""))</f>
        <v>VAN HEUSEN</v>
      </c>
      <c r="C168" s="70" t="str">
        <f>IF($A$3=" "," ", IFERROR( VLOOKUP($A168,'SUPPLIER DATA BASE'!$A$2:$F$936,6,0),""))</f>
        <v>-</v>
      </c>
      <c r="D168" s="70" t="str">
        <f>IF($A$3=" "," ", IFERROR( VLOOKUP($A168,'SUPPLIER DATA BASE'!$A$2:$G$936,4,0),""))</f>
        <v>-</v>
      </c>
      <c r="E168" s="71" t="str">
        <f>IF($A$3=" "," ", IFERROR( VLOOKUP($A168,'SUPPLIER DATA BASE'!$A$2:$H$936,5,0),""))</f>
        <v>-</v>
      </c>
      <c r="F168" s="72" t="s">
        <v>1172</v>
      </c>
      <c r="G168" s="73">
        <v>46065.0</v>
      </c>
      <c r="H168" s="74">
        <v>45.0</v>
      </c>
      <c r="I168" s="75">
        <v>12515.0</v>
      </c>
      <c r="J168" s="76" t="s">
        <v>1173</v>
      </c>
      <c r="K168" s="70" t="s">
        <v>349</v>
      </c>
      <c r="L168" s="70" t="s">
        <v>349</v>
      </c>
      <c r="M168" s="70" t="str">
        <f t="shared" si="3"/>
        <v>123 Days</v>
      </c>
      <c r="N168" s="70" t="str">
        <f>IF($A$3=" "," ", IFERROR( VLOOKUP($A168,'SUPPLIER DATA BASE'!$A$2:$O$936,11,0),""))</f>
        <v>SUSHILA ENTERPRISES</v>
      </c>
      <c r="O168" s="70" t="str">
        <f>IF($A$3=" "," ", IFERROR( VLOOKUP($A168,'SUPPLIER DATA BASE'!$A$2:$O$936,12,0),""))</f>
        <v>747805000665</v>
      </c>
      <c r="P168" s="70" t="str">
        <f>IF($A$3=" "," ", IFERROR( VLOOKUP($A168,'SUPPLIER DATA BASE'!$A$2:$O$936,13,0),""))</f>
        <v>ICIC0007478</v>
      </c>
      <c r="Q168" s="77"/>
      <c r="R168" s="73"/>
      <c r="S168" s="77"/>
      <c r="T168" s="70"/>
      <c r="U168" s="78"/>
      <c r="V168" s="70" t="str">
        <f t="shared" si="4"/>
        <v>FY 25-26</v>
      </c>
      <c r="W168" s="23"/>
      <c r="X168" s="23"/>
    </row>
    <row r="169">
      <c r="A169" s="70" t="s">
        <v>749</v>
      </c>
      <c r="B169" s="70" t="str">
        <f>IF($A$3=" "," ", IFERROR( VLOOKUP($A169,'SUPPLIER DATA BASE'!$A$2:$M$936,3,0),""))</f>
        <v>VAN HEUSEN</v>
      </c>
      <c r="C169" s="70" t="str">
        <f>IF($A$3=" "," ", IFERROR( VLOOKUP($A169,'SUPPLIER DATA BASE'!$A$2:$F$936,6,0),""))</f>
        <v>-</v>
      </c>
      <c r="D169" s="70" t="str">
        <f>IF($A$3=" "," ", IFERROR( VLOOKUP($A169,'SUPPLIER DATA BASE'!$A$2:$G$936,4,0),""))</f>
        <v>-</v>
      </c>
      <c r="E169" s="71" t="str">
        <f>IF($A$3=" "," ", IFERROR( VLOOKUP($A169,'SUPPLIER DATA BASE'!$A$2:$H$936,5,0),""))</f>
        <v>-</v>
      </c>
      <c r="F169" s="72" t="s">
        <v>1174</v>
      </c>
      <c r="G169" s="73">
        <v>46065.0</v>
      </c>
      <c r="H169" s="74">
        <v>10.0</v>
      </c>
      <c r="I169" s="75">
        <v>5030.0</v>
      </c>
      <c r="J169" s="76" t="s">
        <v>1175</v>
      </c>
      <c r="K169" s="70" t="s">
        <v>349</v>
      </c>
      <c r="L169" s="70" t="s">
        <v>349</v>
      </c>
      <c r="M169" s="70" t="str">
        <f t="shared" si="3"/>
        <v>123 Days</v>
      </c>
      <c r="N169" s="70" t="str">
        <f>IF($A$3=" "," ", IFERROR( VLOOKUP($A169,'SUPPLIER DATA BASE'!$A$2:$O$936,11,0),""))</f>
        <v>SUSHILA ENTERPRISES</v>
      </c>
      <c r="O169" s="70" t="str">
        <f>IF($A$3=" "," ", IFERROR( VLOOKUP($A169,'SUPPLIER DATA BASE'!$A$2:$O$936,12,0),""))</f>
        <v>747805000665</v>
      </c>
      <c r="P169" s="70" t="str">
        <f>IF($A$3=" "," ", IFERROR( VLOOKUP($A169,'SUPPLIER DATA BASE'!$A$2:$O$936,13,0),""))</f>
        <v>ICIC0007478</v>
      </c>
      <c r="Q169" s="77"/>
      <c r="R169" s="73"/>
      <c r="S169" s="77"/>
      <c r="T169" s="70"/>
      <c r="U169" s="78"/>
      <c r="V169" s="70" t="str">
        <f t="shared" si="4"/>
        <v>FY 25-26</v>
      </c>
      <c r="W169" s="23"/>
      <c r="X169" s="23"/>
    </row>
    <row r="170">
      <c r="A170" s="70" t="s">
        <v>677</v>
      </c>
      <c r="B170" s="70" t="str">
        <f>IF($A$3=" "," ", IFERROR( VLOOKUP($A170,'SUPPLIER DATA BASE'!$A$2:$M$936,3,0),""))</f>
        <v>-</v>
      </c>
      <c r="C170" s="70" t="str">
        <f>IF($A$3=" "," ", IFERROR( VLOOKUP($A170,'SUPPLIER DATA BASE'!$A$2:$F$936,6,0),""))</f>
        <v>-</v>
      </c>
      <c r="D170" s="70" t="str">
        <f>IF($A$3=" "," ", IFERROR( VLOOKUP($A170,'SUPPLIER DATA BASE'!$A$2:$G$936,4,0),""))</f>
        <v>-</v>
      </c>
      <c r="E170" s="71" t="str">
        <f>IF($A$3=" "," ", IFERROR( VLOOKUP($A170,'SUPPLIER DATA BASE'!$A$2:$H$936,5,0),""))</f>
        <v>-</v>
      </c>
      <c r="F170" s="72" t="s">
        <v>1176</v>
      </c>
      <c r="G170" s="73">
        <v>46065.0</v>
      </c>
      <c r="H170" s="74">
        <v>62.0</v>
      </c>
      <c r="I170" s="75">
        <v>57223.0</v>
      </c>
      <c r="J170" s="76" t="s">
        <v>1177</v>
      </c>
      <c r="K170" s="70" t="s">
        <v>349</v>
      </c>
      <c r="L170" s="70" t="s">
        <v>349</v>
      </c>
      <c r="M170" s="70" t="str">
        <f t="shared" si="3"/>
        <v>123 Days</v>
      </c>
      <c r="N170" s="70" t="str">
        <f>IF($A$3=" "," ", IFERROR( VLOOKUP($A170,'SUPPLIER DATA BASE'!$A$2:$O$936,11,0),""))</f>
        <v>SARAOGI SUPER SALES PVT LTD</v>
      </c>
      <c r="O170" s="70" t="str">
        <f>IF($A$3=" "," ", IFERROR( VLOOKUP($A170,'SUPPLIER DATA BASE'!$A$2:$O$936,12,0),""))</f>
        <v>SASUSP011006</v>
      </c>
      <c r="P170" s="70" t="str">
        <f>IF($A$3=" "," ", IFERROR( VLOOKUP($A170,'SUPPLIER DATA BASE'!$A$2:$O$936,13,0),""))</f>
        <v>ICIC0000106</v>
      </c>
      <c r="Q170" s="77"/>
      <c r="R170" s="73"/>
      <c r="S170" s="77"/>
      <c r="T170" s="70"/>
      <c r="U170" s="78"/>
      <c r="V170" s="70" t="str">
        <f t="shared" si="4"/>
        <v>FY 25-26</v>
      </c>
      <c r="W170" s="23"/>
      <c r="X170" s="23"/>
    </row>
    <row r="171">
      <c r="A171" s="70" t="s">
        <v>354</v>
      </c>
      <c r="B171" s="70" t="str">
        <f>IF($A$3=" "," ", IFERROR( VLOOKUP($A171,'SUPPLIER DATA BASE'!$A$2:$M$936,3,0),""))</f>
        <v>-</v>
      </c>
      <c r="C171" s="70" t="str">
        <f>IF($A$3=" "," ", IFERROR( VLOOKUP($A171,'SUPPLIER DATA BASE'!$A$2:$F$936,6,0),""))</f>
        <v>-</v>
      </c>
      <c r="D171" s="70" t="str">
        <f>IF($A$3=" "," ", IFERROR( VLOOKUP($A171,'SUPPLIER DATA BASE'!$A$2:$G$936,4,0),""))</f>
        <v>-</v>
      </c>
      <c r="E171" s="71" t="str">
        <f>IF($A$3=" "," ", IFERROR( VLOOKUP($A171,'SUPPLIER DATA BASE'!$A$2:$H$936,5,0),""))</f>
        <v>-</v>
      </c>
      <c r="F171" s="72" t="s">
        <v>1178</v>
      </c>
      <c r="G171" s="73">
        <v>46065.0</v>
      </c>
      <c r="H171" s="74">
        <v>8.0</v>
      </c>
      <c r="I171" s="75">
        <v>13882.04</v>
      </c>
      <c r="J171" s="76" t="s">
        <v>1179</v>
      </c>
      <c r="K171" s="70" t="s">
        <v>349</v>
      </c>
      <c r="L171" s="70" t="s">
        <v>349</v>
      </c>
      <c r="M171" s="70" t="str">
        <f t="shared" si="3"/>
        <v>123 Days</v>
      </c>
      <c r="N171" s="70" t="str">
        <f>IF($A$3=" "," ", IFERROR( VLOOKUP($A171,'SUPPLIER DATA BASE'!$A$2:$O$936,11,0),""))</f>
        <v>-</v>
      </c>
      <c r="O171" s="70" t="str">
        <f>IF($A$3=" "," ", IFERROR( VLOOKUP($A171,'SUPPLIER DATA BASE'!$A$2:$O$936,12,0),""))</f>
        <v>-</v>
      </c>
      <c r="P171" s="70" t="str">
        <f>IF($A$3=" "," ", IFERROR( VLOOKUP($A171,'SUPPLIER DATA BASE'!$A$2:$O$936,13,0),""))</f>
        <v>-</v>
      </c>
      <c r="Q171" s="77"/>
      <c r="R171" s="73"/>
      <c r="S171" s="77"/>
      <c r="T171" s="70"/>
      <c r="U171" s="78"/>
      <c r="V171" s="70" t="str">
        <f t="shared" si="4"/>
        <v>FY 25-26</v>
      </c>
      <c r="W171" s="23"/>
      <c r="X171" s="23"/>
    </row>
    <row r="172">
      <c r="A172" s="70" t="s">
        <v>439</v>
      </c>
      <c r="B172" s="70" t="str">
        <f>IF($A$3=" "," ", IFERROR( VLOOKUP($A172,'SUPPLIER DATA BASE'!$A$2:$M$936,3,0),""))</f>
        <v>GOCOLOURS</v>
      </c>
      <c r="C172" s="70" t="str">
        <f>IF($A$3=" "," ", IFERROR( VLOOKUP($A172,'SUPPLIER DATA BASE'!$A$2:$F$936,6,0),""))</f>
        <v>-</v>
      </c>
      <c r="D172" s="70">
        <f>IF($A$3=" "," ", IFERROR( VLOOKUP($A172,'SUPPLIER DATA BASE'!$A$2:$G$936,4,0),""))</f>
        <v>30</v>
      </c>
      <c r="E172" s="71">
        <f>IF($A$3=" "," ", IFERROR( VLOOKUP($A172,'SUPPLIER DATA BASE'!$A$2:$H$936,5,0),""))</f>
        <v>0.02</v>
      </c>
      <c r="F172" s="72" t="s">
        <v>1180</v>
      </c>
      <c r="G172" s="73">
        <v>46066.0</v>
      </c>
      <c r="H172" s="74">
        <v>26.0</v>
      </c>
      <c r="I172" s="75">
        <v>18582.0</v>
      </c>
      <c r="J172" s="76" t="s">
        <v>1181</v>
      </c>
      <c r="K172" s="70" t="s">
        <v>349</v>
      </c>
      <c r="L172" s="70" t="s">
        <v>349</v>
      </c>
      <c r="M172" s="70" t="str">
        <f t="shared" si="3"/>
        <v>122 Days</v>
      </c>
      <c r="N172" s="70" t="str">
        <f>IF($A$3=" "," ", IFERROR( VLOOKUP($A172,'SUPPLIER DATA BASE'!$A$2:$O$936,11,0),""))</f>
        <v>EMPORIO SIDDHARTH SALES PRIVATE LIMITED</v>
      </c>
      <c r="O172" s="70" t="str">
        <f>IF($A$3=" "," ", IFERROR( VLOOKUP($A172,'SUPPLIER DATA BASE'!$A$2:$O$936,12,0),""))</f>
        <v>50200111968638</v>
      </c>
      <c r="P172" s="70" t="str">
        <f>IF($A$3=" "," ", IFERROR( VLOOKUP($A172,'SUPPLIER DATA BASE'!$A$2:$O$936,13,0),""))</f>
        <v>HDFC000186</v>
      </c>
      <c r="Q172" s="77"/>
      <c r="R172" s="73"/>
      <c r="S172" s="77"/>
      <c r="T172" s="70"/>
      <c r="U172" s="78"/>
      <c r="V172" s="70" t="str">
        <f t="shared" si="4"/>
        <v>FY 25-26</v>
      </c>
      <c r="W172" s="23"/>
      <c r="X172" s="23"/>
    </row>
    <row r="173">
      <c r="A173" s="70" t="s">
        <v>789</v>
      </c>
      <c r="B173" s="70" t="str">
        <f>IF($A$3=" "," ", IFERROR( VLOOKUP($A173,'SUPPLIER DATA BASE'!$A$2:$M$936,3,0),""))</f>
        <v>-</v>
      </c>
      <c r="C173" s="70" t="str">
        <f>IF($A$3=" "," ", IFERROR( VLOOKUP($A173,'SUPPLIER DATA BASE'!$A$2:$F$936,6,0),""))</f>
        <v>-</v>
      </c>
      <c r="D173" s="70" t="str">
        <f>IF($A$3=" "," ", IFERROR( VLOOKUP($A173,'SUPPLIER DATA BASE'!$A$2:$G$936,4,0),""))</f>
        <v>-</v>
      </c>
      <c r="E173" s="71" t="str">
        <f>IF($A$3=" "," ", IFERROR( VLOOKUP($A173,'SUPPLIER DATA BASE'!$A$2:$H$936,5,0),""))</f>
        <v>-</v>
      </c>
      <c r="F173" s="72">
        <v>40091.0</v>
      </c>
      <c r="G173" s="73">
        <v>46066.0</v>
      </c>
      <c r="H173" s="74">
        <v>23.0</v>
      </c>
      <c r="I173" s="75">
        <v>11753.0</v>
      </c>
      <c r="J173" s="76" t="s">
        <v>1182</v>
      </c>
      <c r="K173" s="70" t="s">
        <v>349</v>
      </c>
      <c r="L173" s="70" t="s">
        <v>349</v>
      </c>
      <c r="M173" s="70" t="str">
        <f t="shared" si="3"/>
        <v>122 Days</v>
      </c>
      <c r="N173" s="70" t="str">
        <f>IF($A$3=" "," ", IFERROR( VLOOKUP($A173,'SUPPLIER DATA BASE'!$A$2:$O$936,11,0),""))</f>
        <v>-</v>
      </c>
      <c r="O173" s="70" t="str">
        <f>IF($A$3=" "," ", IFERROR( VLOOKUP($A173,'SUPPLIER DATA BASE'!$A$2:$O$936,12,0),""))</f>
        <v>-</v>
      </c>
      <c r="P173" s="70" t="str">
        <f>IF($A$3=" "," ", IFERROR( VLOOKUP($A173,'SUPPLIER DATA BASE'!$A$2:$O$936,13,0),""))</f>
        <v>-</v>
      </c>
      <c r="Q173" s="77"/>
      <c r="R173" s="73"/>
      <c r="S173" s="77"/>
      <c r="T173" s="70"/>
      <c r="U173" s="78"/>
      <c r="V173" s="70" t="str">
        <f t="shared" si="4"/>
        <v>FY 25-26</v>
      </c>
      <c r="W173" s="23"/>
      <c r="X173" s="23"/>
    </row>
    <row r="174">
      <c r="A174" s="70" t="s">
        <v>818</v>
      </c>
      <c r="B174" s="70" t="str">
        <f>IF($A$3=" "," ", IFERROR( VLOOKUP($A174,'SUPPLIER DATA BASE'!$A$2:$M$936,3,0),""))</f>
        <v>DS YUVRAAJ</v>
      </c>
      <c r="C174" s="70" t="str">
        <f>IF($A$3=" "," ", IFERROR( VLOOKUP($A174,'SUPPLIER DATA BASE'!$A$2:$F$936,6,0),""))</f>
        <v/>
      </c>
      <c r="D174" s="70" t="str">
        <f>IF($A$3=" "," ", IFERROR( VLOOKUP($A174,'SUPPLIER DATA BASE'!$A$2:$G$936,4,0),""))</f>
        <v>-</v>
      </c>
      <c r="E174" s="71" t="str">
        <f>IF($A$3=" "," ", IFERROR( VLOOKUP($A174,'SUPPLIER DATA BASE'!$A$2:$H$936,5,0),""))</f>
        <v>-</v>
      </c>
      <c r="F174" s="72" t="s">
        <v>1183</v>
      </c>
      <c r="G174" s="73">
        <v>46066.0</v>
      </c>
      <c r="H174" s="74">
        <v>23.0</v>
      </c>
      <c r="I174" s="75">
        <v>63236.0</v>
      </c>
      <c r="J174" s="76" t="s">
        <v>1184</v>
      </c>
      <c r="K174" s="70" t="s">
        <v>349</v>
      </c>
      <c r="L174" s="70" t="s">
        <v>349</v>
      </c>
      <c r="M174" s="70" t="str">
        <f t="shared" si="3"/>
        <v>122 Days</v>
      </c>
      <c r="N174" s="70" t="str">
        <f>IF($A$3=" "," ", IFERROR( VLOOKUP($A174,'SUPPLIER DATA BASE'!$A$2:$O$936,11,0),""))</f>
        <v>DS YUVRAAJ</v>
      </c>
      <c r="O174" s="70" t="str">
        <f>IF($A$3=" "," ", IFERROR( VLOOKUP($A174,'SUPPLIER DATA BASE'!$A$2:$O$936,12,0),""))</f>
        <v>6912012063</v>
      </c>
      <c r="P174" s="70" t="str">
        <f>IF($A$3=" "," ", IFERROR( VLOOKUP($A174,'SUPPLIER DATA BASE'!$A$2:$O$936,13,0),""))</f>
        <v>KKBK0004586</v>
      </c>
      <c r="Q174" s="77"/>
      <c r="R174" s="73"/>
      <c r="S174" s="77"/>
      <c r="T174" s="70"/>
      <c r="U174" s="78"/>
      <c r="V174" s="70" t="str">
        <f t="shared" si="4"/>
        <v>FY 25-26</v>
      </c>
      <c r="W174" s="23"/>
      <c r="X174" s="23"/>
    </row>
    <row r="175">
      <c r="A175" s="70" t="s">
        <v>821</v>
      </c>
      <c r="B175" s="70" t="str">
        <f>IF($A$3=" "," ", IFERROR( VLOOKUP($A175,'SUPPLIER DATA BASE'!$A$2:$M$936,3,0),""))</f>
        <v>NIRZARI/RAASHI</v>
      </c>
      <c r="C175" s="70" t="str">
        <f>IF($A$3=" "," ", IFERROR( VLOOKUP($A175,'SUPPLIER DATA BASE'!$A$2:$F$936,6,0),""))</f>
        <v>SUNRISE AGENCY</v>
      </c>
      <c r="D175" s="70">
        <f>IF($A$3=" "," ", IFERROR( VLOOKUP($A175,'SUPPLIER DATA BASE'!$A$2:$G$936,4,0),""))</f>
        <v>30</v>
      </c>
      <c r="E175" s="71">
        <f>IF($A$3=" "," ", IFERROR( VLOOKUP($A175,'SUPPLIER DATA BASE'!$A$2:$H$936,5,0),""))</f>
        <v>0.03</v>
      </c>
      <c r="F175" s="72" t="s">
        <v>1185</v>
      </c>
      <c r="G175" s="73">
        <v>46066.0</v>
      </c>
      <c r="H175" s="74">
        <v>41.0</v>
      </c>
      <c r="I175" s="75">
        <v>79322.25</v>
      </c>
      <c r="J175" s="76" t="s">
        <v>1186</v>
      </c>
      <c r="K175" s="70" t="s">
        <v>349</v>
      </c>
      <c r="L175" s="70" t="s">
        <v>349</v>
      </c>
      <c r="M175" s="70" t="str">
        <f t="shared" si="3"/>
        <v>122 Days</v>
      </c>
      <c r="N175" s="70" t="str">
        <f>IF($A$3=" "," ", IFERROR( VLOOKUP($A175,'SUPPLIER DATA BASE'!$A$2:$O$936,11,0),""))</f>
        <v>RAASHI</v>
      </c>
      <c r="O175" s="70" t="str">
        <f>IF($A$3=" "," ", IFERROR( VLOOKUP($A175,'SUPPLIER DATA BASE'!$A$2:$O$936,12,0),""))</f>
        <v>7511957908</v>
      </c>
      <c r="P175" s="70" t="str">
        <f>IF($A$3=" "," ", IFERROR( VLOOKUP($A175,'SUPPLIER DATA BASE'!$A$2:$O$936,13,0),""))</f>
        <v>KKBK 0001376</v>
      </c>
      <c r="Q175" s="77">
        <v>77056.0</v>
      </c>
      <c r="R175" s="73">
        <v>46101.0</v>
      </c>
      <c r="S175" s="77">
        <v>2266.0</v>
      </c>
      <c r="T175" s="70"/>
      <c r="U175" s="78"/>
      <c r="V175" s="70" t="str">
        <f t="shared" si="4"/>
        <v>FY 25-26</v>
      </c>
      <c r="W175" s="23"/>
      <c r="X175" s="23"/>
    </row>
    <row r="176">
      <c r="A176" s="70" t="s">
        <v>677</v>
      </c>
      <c r="B176" s="70" t="str">
        <f>IF($A$3=" "," ", IFERROR( VLOOKUP($A176,'SUPPLIER DATA BASE'!$A$2:$M$936,3,0),""))</f>
        <v>-</v>
      </c>
      <c r="C176" s="70" t="str">
        <f>IF($A$3=" "," ", IFERROR( VLOOKUP($A176,'SUPPLIER DATA BASE'!$A$2:$F$936,6,0),""))</f>
        <v>-</v>
      </c>
      <c r="D176" s="70" t="str">
        <f>IF($A$3=" "," ", IFERROR( VLOOKUP($A176,'SUPPLIER DATA BASE'!$A$2:$G$936,4,0),""))</f>
        <v>-</v>
      </c>
      <c r="E176" s="71" t="str">
        <f>IF($A$3=" "," ", IFERROR( VLOOKUP($A176,'SUPPLIER DATA BASE'!$A$2:$H$936,5,0),""))</f>
        <v>-</v>
      </c>
      <c r="F176" s="72" t="s">
        <v>1187</v>
      </c>
      <c r="G176" s="73">
        <v>46066.0</v>
      </c>
      <c r="H176" s="74">
        <v>34.0</v>
      </c>
      <c r="I176" s="75">
        <v>25723.0</v>
      </c>
      <c r="J176" s="76" t="s">
        <v>1188</v>
      </c>
      <c r="K176" s="70" t="s">
        <v>349</v>
      </c>
      <c r="L176" s="70" t="s">
        <v>349</v>
      </c>
      <c r="M176" s="70" t="str">
        <f t="shared" si="3"/>
        <v>122 Days</v>
      </c>
      <c r="N176" s="70" t="str">
        <f>IF($A$3=" "," ", IFERROR( VLOOKUP($A176,'SUPPLIER DATA BASE'!$A$2:$O$936,11,0),""))</f>
        <v>SARAOGI SUPER SALES PVT LTD</v>
      </c>
      <c r="O176" s="70" t="str">
        <f>IF($A$3=" "," ", IFERROR( VLOOKUP($A176,'SUPPLIER DATA BASE'!$A$2:$O$936,12,0),""))</f>
        <v>SASUSP011006</v>
      </c>
      <c r="P176" s="70" t="str">
        <f>IF($A$3=" "," ", IFERROR( VLOOKUP($A176,'SUPPLIER DATA BASE'!$A$2:$O$936,13,0),""))</f>
        <v>ICIC0000106</v>
      </c>
      <c r="Q176" s="77"/>
      <c r="R176" s="73"/>
      <c r="S176" s="77"/>
      <c r="T176" s="70"/>
      <c r="U176" s="78"/>
      <c r="V176" s="70" t="str">
        <f t="shared" si="4"/>
        <v>FY 25-26</v>
      </c>
      <c r="W176" s="23"/>
      <c r="X176" s="23"/>
    </row>
    <row r="177">
      <c r="A177" s="70" t="s">
        <v>629</v>
      </c>
      <c r="B177" s="70" t="str">
        <f>IF($A$3=" "," ", IFERROR( VLOOKUP($A177,'SUPPLIER DATA BASE'!$A$2:$M$936,3,0),""))</f>
        <v>-</v>
      </c>
      <c r="C177" s="70" t="str">
        <f>IF($A$3=" "," ", IFERROR( VLOOKUP($A177,'SUPPLIER DATA BASE'!$A$2:$F$936,6,0),""))</f>
        <v>SURYAM TEXTILE AGENCY</v>
      </c>
      <c r="D177" s="70" t="str">
        <f>IF($A$3=" "," ", IFERROR( VLOOKUP($A177,'SUPPLIER DATA BASE'!$A$2:$G$936,4,0),""))</f>
        <v>NO</v>
      </c>
      <c r="E177" s="71" t="str">
        <f>IF($A$3=" "," ", IFERROR( VLOOKUP($A177,'SUPPLIER DATA BASE'!$A$2:$H$936,5,0),""))</f>
        <v>-</v>
      </c>
      <c r="F177" s="72">
        <v>2830.0</v>
      </c>
      <c r="G177" s="73">
        <v>46067.0</v>
      </c>
      <c r="H177" s="74">
        <v>36.0</v>
      </c>
      <c r="I177" s="75">
        <v>107415.0</v>
      </c>
      <c r="J177" s="76" t="s">
        <v>1189</v>
      </c>
      <c r="K177" s="70" t="s">
        <v>349</v>
      </c>
      <c r="L177" s="70" t="s">
        <v>349</v>
      </c>
      <c r="M177" s="70" t="str">
        <f t="shared" si="3"/>
        <v>121 Days</v>
      </c>
      <c r="N177" s="70" t="str">
        <f>IF($A$3=" "," ", IFERROR( VLOOKUP($A177,'SUPPLIER DATA BASE'!$A$2:$O$936,11,0),""))</f>
        <v>POONAM FASHION</v>
      </c>
      <c r="O177" s="70" t="str">
        <f>IF($A$3=" "," ", IFERROR( VLOOKUP($A177,'SUPPLIER DATA BASE'!$A$2:$O$936,12,0),""))</f>
        <v>50200033738992</v>
      </c>
      <c r="P177" s="70" t="str">
        <f>IF($A$3=" "," ", IFERROR( VLOOKUP($A177,'SUPPLIER DATA BASE'!$A$2:$O$936,13,0),""))</f>
        <v>HDFC0001007</v>
      </c>
      <c r="Q177" s="77"/>
      <c r="R177" s="73"/>
      <c r="S177" s="77"/>
      <c r="T177" s="70"/>
      <c r="U177" s="78"/>
      <c r="V177" s="70" t="str">
        <f t="shared" si="4"/>
        <v>FY 25-26</v>
      </c>
      <c r="W177" s="23"/>
      <c r="X177" s="23"/>
    </row>
    <row r="178">
      <c r="A178" s="70" t="s">
        <v>499</v>
      </c>
      <c r="B178" s="70" t="str">
        <f>IF($A$3=" "," ", IFERROR( VLOOKUP($A178,'SUPPLIER DATA BASE'!$A$2:$M$936,3,0),""))</f>
        <v>-</v>
      </c>
      <c r="C178" s="70" t="str">
        <f>IF($A$3=" "," ", IFERROR( VLOOKUP($A178,'SUPPLIER DATA BASE'!$A$2:$F$936,6,0),""))</f>
        <v>SURYAM TEXTILE AGENCY</v>
      </c>
      <c r="D178" s="70" t="str">
        <f>IF($A$3=" "," ", IFERROR( VLOOKUP($A178,'SUPPLIER DATA BASE'!$A$2:$G$936,4,0),""))</f>
        <v>NO</v>
      </c>
      <c r="E178" s="71" t="str">
        <f>IF($A$3=" "," ", IFERROR( VLOOKUP($A178,'SUPPLIER DATA BASE'!$A$2:$H$936,5,0),""))</f>
        <v>-</v>
      </c>
      <c r="F178" s="72">
        <v>7813.0</v>
      </c>
      <c r="G178" s="73">
        <v>46067.0</v>
      </c>
      <c r="H178" s="74">
        <v>7.0</v>
      </c>
      <c r="I178" s="75">
        <v>28043.0</v>
      </c>
      <c r="J178" s="76" t="s">
        <v>1190</v>
      </c>
      <c r="K178" s="70" t="s">
        <v>349</v>
      </c>
      <c r="L178" s="70" t="s">
        <v>349</v>
      </c>
      <c r="M178" s="70" t="str">
        <f t="shared" si="3"/>
        <v>121 Days</v>
      </c>
      <c r="N178" s="70" t="str">
        <f>IF($A$3=" "," ", IFERROR( VLOOKUP($A178,'SUPPLIER DATA BASE'!$A$2:$O$936,11,0),""))</f>
        <v>JAY AMBEY SAREES</v>
      </c>
      <c r="O178" s="70" t="str">
        <f>IF($A$3=" "," ", IFERROR( VLOOKUP($A178,'SUPPLIER DATA BASE'!$A$2:$O$936,12,0),""))</f>
        <v>50200027562802</v>
      </c>
      <c r="P178" s="70" t="str">
        <f>IF($A$3=" "," ", IFERROR( VLOOKUP($A178,'SUPPLIER DATA BASE'!$A$2:$O$936,13,0),""))</f>
        <v>HDFC0009027</v>
      </c>
      <c r="Q178" s="77"/>
      <c r="R178" s="73"/>
      <c r="S178" s="77"/>
      <c r="T178" s="70"/>
      <c r="U178" s="78"/>
      <c r="V178" s="70" t="str">
        <f t="shared" si="4"/>
        <v>FY 25-26</v>
      </c>
      <c r="W178" s="23"/>
      <c r="X178" s="23"/>
    </row>
    <row r="179">
      <c r="A179" s="70" t="s">
        <v>465</v>
      </c>
      <c r="B179" s="70" t="str">
        <f>IF($A$3=" "," ", IFERROR( VLOOKUP($A179,'SUPPLIER DATA BASE'!$A$2:$M$936,3,0),""))</f>
        <v>PRETTY GIRL</v>
      </c>
      <c r="C179" s="70" t="str">
        <f>IF($A$3=" "," ", IFERROR( VLOOKUP($A179,'SUPPLIER DATA BASE'!$A$2:$F$936,6,0),""))</f>
        <v>-</v>
      </c>
      <c r="D179" s="70" t="str">
        <f>IF($A$3=" "," ", IFERROR( VLOOKUP($A179,'SUPPLIER DATA BASE'!$A$2:$G$936,4,0),""))</f>
        <v>-</v>
      </c>
      <c r="E179" s="71" t="str">
        <f>IF($A$3=" "," ", IFERROR( VLOOKUP($A179,'SUPPLIER DATA BASE'!$A$2:$H$936,5,0),""))</f>
        <v>-</v>
      </c>
      <c r="F179" s="72">
        <v>6708.0</v>
      </c>
      <c r="G179" s="73">
        <v>46067.0</v>
      </c>
      <c r="H179" s="74">
        <v>36.0</v>
      </c>
      <c r="I179" s="75">
        <v>57992.0</v>
      </c>
      <c r="J179" s="76" t="s">
        <v>1191</v>
      </c>
      <c r="K179" s="70" t="s">
        <v>349</v>
      </c>
      <c r="L179" s="70" t="s">
        <v>349</v>
      </c>
      <c r="M179" s="70" t="str">
        <f t="shared" si="3"/>
        <v>121 Days</v>
      </c>
      <c r="N179" s="70" t="str">
        <f>IF($A$3=" "," ", IFERROR( VLOOKUP($A179,'SUPPLIER DATA BASE'!$A$2:$O$936,11,0),""))</f>
        <v>FLAIR KIDS CAMP</v>
      </c>
      <c r="O179" s="70" t="str">
        <f>IF($A$3=" "," ", IFERROR( VLOOKUP($A179,'SUPPLIER DATA BASE'!$A$2:$O$936,12,0),""))</f>
        <v>-</v>
      </c>
      <c r="P179" s="70" t="str">
        <f>IF($A$3=" "," ", IFERROR( VLOOKUP($A179,'SUPPLIER DATA BASE'!$A$2:$O$936,13,0),""))</f>
        <v>-</v>
      </c>
      <c r="Q179" s="77"/>
      <c r="R179" s="73"/>
      <c r="S179" s="77"/>
      <c r="T179" s="70"/>
      <c r="U179" s="78"/>
      <c r="V179" s="70" t="str">
        <f t="shared" si="4"/>
        <v>FY 25-26</v>
      </c>
      <c r="W179" s="23"/>
      <c r="X179" s="23"/>
    </row>
    <row r="180">
      <c r="A180" s="70" t="s">
        <v>677</v>
      </c>
      <c r="B180" s="70" t="str">
        <f>IF($A$3=" "," ", IFERROR( VLOOKUP($A180,'SUPPLIER DATA BASE'!$A$2:$M$936,3,0),""))</f>
        <v>-</v>
      </c>
      <c r="C180" s="70" t="str">
        <f>IF($A$3=" "," ", IFERROR( VLOOKUP($A180,'SUPPLIER DATA BASE'!$A$2:$F$936,6,0),""))</f>
        <v>-</v>
      </c>
      <c r="D180" s="70" t="str">
        <f>IF($A$3=" "," ", IFERROR( VLOOKUP($A180,'SUPPLIER DATA BASE'!$A$2:$G$936,4,0),""))</f>
        <v>-</v>
      </c>
      <c r="E180" s="71" t="str">
        <f>IF($A$3=" "," ", IFERROR( VLOOKUP($A180,'SUPPLIER DATA BASE'!$A$2:$H$936,5,0),""))</f>
        <v>-</v>
      </c>
      <c r="F180" s="72" t="s">
        <v>1192</v>
      </c>
      <c r="G180" s="73">
        <v>46067.0</v>
      </c>
      <c r="H180" s="74">
        <v>127.0</v>
      </c>
      <c r="I180" s="75">
        <v>119213.0</v>
      </c>
      <c r="J180" s="76" t="s">
        <v>1193</v>
      </c>
      <c r="K180" s="70" t="s">
        <v>349</v>
      </c>
      <c r="L180" s="70" t="s">
        <v>349</v>
      </c>
      <c r="M180" s="70" t="str">
        <f t="shared" si="3"/>
        <v>121 Days</v>
      </c>
      <c r="N180" s="70" t="str">
        <f>IF($A$3=" "," ", IFERROR( VLOOKUP($A180,'SUPPLIER DATA BASE'!$A$2:$O$936,11,0),""))</f>
        <v>SARAOGI SUPER SALES PVT LTD</v>
      </c>
      <c r="O180" s="70" t="str">
        <f>IF($A$3=" "," ", IFERROR( VLOOKUP($A180,'SUPPLIER DATA BASE'!$A$2:$O$936,12,0),""))</f>
        <v>SASUSP011006</v>
      </c>
      <c r="P180" s="70" t="str">
        <f>IF($A$3=" "," ", IFERROR( VLOOKUP($A180,'SUPPLIER DATA BASE'!$A$2:$O$936,13,0),""))</f>
        <v>ICIC0000106</v>
      </c>
      <c r="Q180" s="77"/>
      <c r="R180" s="73"/>
      <c r="S180" s="77"/>
      <c r="T180" s="70"/>
      <c r="U180" s="78"/>
      <c r="V180" s="70" t="str">
        <f t="shared" si="4"/>
        <v>FY 25-26</v>
      </c>
      <c r="W180" s="23"/>
      <c r="X180" s="23"/>
    </row>
    <row r="181">
      <c r="A181" s="70" t="s">
        <v>677</v>
      </c>
      <c r="B181" s="70" t="str">
        <f>IF($A$3=" "," ", IFERROR( VLOOKUP($A181,'SUPPLIER DATA BASE'!$A$2:$M$936,3,0),""))</f>
        <v>-</v>
      </c>
      <c r="C181" s="70" t="str">
        <f>IF($A$3=" "," ", IFERROR( VLOOKUP($A181,'SUPPLIER DATA BASE'!$A$2:$F$936,6,0),""))</f>
        <v>-</v>
      </c>
      <c r="D181" s="70" t="str">
        <f>IF($A$3=" "," ", IFERROR( VLOOKUP($A181,'SUPPLIER DATA BASE'!$A$2:$G$936,4,0),""))</f>
        <v>-</v>
      </c>
      <c r="E181" s="71" t="str">
        <f>IF($A$3=" "," ", IFERROR( VLOOKUP($A181,'SUPPLIER DATA BASE'!$A$2:$H$936,5,0),""))</f>
        <v>-</v>
      </c>
      <c r="F181" s="72" t="s">
        <v>1194</v>
      </c>
      <c r="G181" s="73">
        <v>46067.0</v>
      </c>
      <c r="H181" s="74">
        <v>118.0</v>
      </c>
      <c r="I181" s="75">
        <v>125506.0</v>
      </c>
      <c r="J181" s="76" t="s">
        <v>1195</v>
      </c>
      <c r="K181" s="70" t="s">
        <v>349</v>
      </c>
      <c r="L181" s="70" t="s">
        <v>349</v>
      </c>
      <c r="M181" s="70" t="str">
        <f t="shared" si="3"/>
        <v>121 Days</v>
      </c>
      <c r="N181" s="70" t="str">
        <f>IF($A$3=" "," ", IFERROR( VLOOKUP($A181,'SUPPLIER DATA BASE'!$A$2:$O$936,11,0),""))</f>
        <v>SARAOGI SUPER SALES PVT LTD</v>
      </c>
      <c r="O181" s="70" t="str">
        <f>IF($A$3=" "," ", IFERROR( VLOOKUP($A181,'SUPPLIER DATA BASE'!$A$2:$O$936,12,0),""))</f>
        <v>SASUSP011006</v>
      </c>
      <c r="P181" s="70" t="str">
        <f>IF($A$3=" "," ", IFERROR( VLOOKUP($A181,'SUPPLIER DATA BASE'!$A$2:$O$936,13,0),""))</f>
        <v>ICIC0000106</v>
      </c>
      <c r="Q181" s="77"/>
      <c r="R181" s="73"/>
      <c r="S181" s="77"/>
      <c r="T181" s="70"/>
      <c r="U181" s="78"/>
      <c r="V181" s="70" t="str">
        <f t="shared" si="4"/>
        <v>FY 25-26</v>
      </c>
      <c r="W181" s="23"/>
      <c r="X181" s="23"/>
    </row>
    <row r="182">
      <c r="A182" s="70" t="s">
        <v>677</v>
      </c>
      <c r="B182" s="70" t="str">
        <f>IF($A$3=" "," ", IFERROR( VLOOKUP($A182,'SUPPLIER DATA BASE'!$A$2:$M$936,3,0),""))</f>
        <v>-</v>
      </c>
      <c r="C182" s="70" t="str">
        <f>IF($A$3=" "," ", IFERROR( VLOOKUP($A182,'SUPPLIER DATA BASE'!$A$2:$F$936,6,0),""))</f>
        <v>-</v>
      </c>
      <c r="D182" s="70" t="str">
        <f>IF($A$3=" "," ", IFERROR( VLOOKUP($A182,'SUPPLIER DATA BASE'!$A$2:$G$936,4,0),""))</f>
        <v>-</v>
      </c>
      <c r="E182" s="71" t="str">
        <f>IF($A$3=" "," ", IFERROR( VLOOKUP($A182,'SUPPLIER DATA BASE'!$A$2:$H$936,5,0),""))</f>
        <v>-</v>
      </c>
      <c r="F182" s="72" t="s">
        <v>1196</v>
      </c>
      <c r="G182" s="73">
        <v>46067.0</v>
      </c>
      <c r="H182" s="74">
        <v>68.0</v>
      </c>
      <c r="I182" s="75">
        <v>55247.0</v>
      </c>
      <c r="J182" s="76" t="s">
        <v>1197</v>
      </c>
      <c r="K182" s="70" t="s">
        <v>349</v>
      </c>
      <c r="L182" s="70" t="s">
        <v>349</v>
      </c>
      <c r="M182" s="70" t="str">
        <f t="shared" si="3"/>
        <v>121 Days</v>
      </c>
      <c r="N182" s="70" t="str">
        <f>IF($A$3=" "," ", IFERROR( VLOOKUP($A182,'SUPPLIER DATA BASE'!$A$2:$O$936,11,0),""))</f>
        <v>SARAOGI SUPER SALES PVT LTD</v>
      </c>
      <c r="O182" s="70" t="str">
        <f>IF($A$3=" "," ", IFERROR( VLOOKUP($A182,'SUPPLIER DATA BASE'!$A$2:$O$936,12,0),""))</f>
        <v>SASUSP011006</v>
      </c>
      <c r="P182" s="70" t="str">
        <f>IF($A$3=" "," ", IFERROR( VLOOKUP($A182,'SUPPLIER DATA BASE'!$A$2:$O$936,13,0),""))</f>
        <v>ICIC0000106</v>
      </c>
      <c r="Q182" s="77"/>
      <c r="R182" s="73"/>
      <c r="S182" s="77"/>
      <c r="T182" s="70"/>
      <c r="U182" s="78"/>
      <c r="V182" s="70" t="str">
        <f t="shared" si="4"/>
        <v>FY 25-26</v>
      </c>
      <c r="W182" s="23"/>
      <c r="X182" s="23"/>
    </row>
    <row r="183">
      <c r="A183" s="70" t="s">
        <v>677</v>
      </c>
      <c r="B183" s="70" t="str">
        <f>IF($A$3=" "," ", IFERROR( VLOOKUP($A183,'SUPPLIER DATA BASE'!$A$2:$M$936,3,0),""))</f>
        <v>-</v>
      </c>
      <c r="C183" s="70" t="str">
        <f>IF($A$3=" "," ", IFERROR( VLOOKUP($A183,'SUPPLIER DATA BASE'!$A$2:$F$936,6,0),""))</f>
        <v>-</v>
      </c>
      <c r="D183" s="70" t="str">
        <f>IF($A$3=" "," ", IFERROR( VLOOKUP($A183,'SUPPLIER DATA BASE'!$A$2:$G$936,4,0),""))</f>
        <v>-</v>
      </c>
      <c r="E183" s="71" t="str">
        <f>IF($A$3=" "," ", IFERROR( VLOOKUP($A183,'SUPPLIER DATA BASE'!$A$2:$H$936,5,0),""))</f>
        <v>-</v>
      </c>
      <c r="F183" s="72" t="s">
        <v>1198</v>
      </c>
      <c r="G183" s="73">
        <v>46067.0</v>
      </c>
      <c r="H183" s="74">
        <v>153.0</v>
      </c>
      <c r="I183" s="75">
        <v>151805.0</v>
      </c>
      <c r="J183" s="76" t="s">
        <v>1199</v>
      </c>
      <c r="K183" s="70" t="s">
        <v>349</v>
      </c>
      <c r="L183" s="70" t="s">
        <v>349</v>
      </c>
      <c r="M183" s="70" t="str">
        <f t="shared" si="3"/>
        <v>121 Days</v>
      </c>
      <c r="N183" s="70" t="str">
        <f>IF($A$3=" "," ", IFERROR( VLOOKUP($A183,'SUPPLIER DATA BASE'!$A$2:$O$936,11,0),""))</f>
        <v>SARAOGI SUPER SALES PVT LTD</v>
      </c>
      <c r="O183" s="70" t="str">
        <f>IF($A$3=" "," ", IFERROR( VLOOKUP($A183,'SUPPLIER DATA BASE'!$A$2:$O$936,12,0),""))</f>
        <v>SASUSP011006</v>
      </c>
      <c r="P183" s="70" t="str">
        <f>IF($A$3=" "," ", IFERROR( VLOOKUP($A183,'SUPPLIER DATA BASE'!$A$2:$O$936,13,0),""))</f>
        <v>ICIC0000106</v>
      </c>
      <c r="Q183" s="77"/>
      <c r="R183" s="73"/>
      <c r="S183" s="77"/>
      <c r="T183" s="70"/>
      <c r="U183" s="78"/>
      <c r="V183" s="70" t="str">
        <f t="shared" si="4"/>
        <v>FY 25-26</v>
      </c>
      <c r="W183" s="23"/>
      <c r="X183" s="23"/>
    </row>
    <row r="184">
      <c r="A184" s="70" t="s">
        <v>657</v>
      </c>
      <c r="B184" s="70" t="str">
        <f>IF($A$3=" "," ", IFERROR( VLOOKUP($A184,'SUPPLIER DATA BASE'!$A$2:$M$936,3,0),""))</f>
        <v>-</v>
      </c>
      <c r="C184" s="70" t="str">
        <f>IF($A$3=" "," ", IFERROR( VLOOKUP($A184,'SUPPLIER DATA BASE'!$A$2:$F$936,6,0),""))</f>
        <v>RTC</v>
      </c>
      <c r="D184" s="70" t="str">
        <f>IF($A$3=" "," ", IFERROR( VLOOKUP($A184,'SUPPLIER DATA BASE'!$A$2:$G$936,4,0),""))</f>
        <v>-</v>
      </c>
      <c r="E184" s="71" t="str">
        <f>IF($A$3=" "," ", IFERROR( VLOOKUP($A184,'SUPPLIER DATA BASE'!$A$2:$H$936,5,0),""))</f>
        <v>-</v>
      </c>
      <c r="F184" s="72" t="s">
        <v>1200</v>
      </c>
      <c r="G184" s="73">
        <v>46067.0</v>
      </c>
      <c r="H184" s="74">
        <v>102.0</v>
      </c>
      <c r="I184" s="75">
        <v>40287.0</v>
      </c>
      <c r="J184" s="76" t="s">
        <v>1201</v>
      </c>
      <c r="K184" s="70" t="s">
        <v>349</v>
      </c>
      <c r="L184" s="70" t="s">
        <v>349</v>
      </c>
      <c r="M184" s="70" t="str">
        <f t="shared" si="3"/>
        <v>121 Days</v>
      </c>
      <c r="N184" s="70" t="str">
        <f>IF($A$3=" "," ", IFERROR( VLOOKUP($A184,'SUPPLIER DATA BASE'!$A$2:$O$936,11,0),""))</f>
        <v>RTC Garmentex India Pvgt LTd</v>
      </c>
      <c r="O184" s="70" t="str">
        <f>IF($A$3=" "," ", IFERROR( VLOOKUP($A184,'SUPPLIER DATA BASE'!$A$2:$O$936,12,0),""))</f>
        <v>112605502571</v>
      </c>
      <c r="P184" s="70" t="str">
        <f>IF($A$3=" "," ", IFERROR( VLOOKUP($A184,'SUPPLIER DATA BASE'!$A$2:$O$936,13,0),""))</f>
        <v>ICIC0001126</v>
      </c>
      <c r="Q184" s="77"/>
      <c r="R184" s="73"/>
      <c r="S184" s="77"/>
      <c r="T184" s="70"/>
      <c r="U184" s="78"/>
      <c r="V184" s="70" t="str">
        <f t="shared" si="4"/>
        <v>FY 25-26</v>
      </c>
      <c r="W184" s="23"/>
      <c r="X184" s="23"/>
    </row>
    <row r="185">
      <c r="A185" s="70" t="s">
        <v>677</v>
      </c>
      <c r="B185" s="70" t="str">
        <f>IF($A$3=" "," ", IFERROR( VLOOKUP($A185,'SUPPLIER DATA BASE'!$A$2:$M$936,3,0),""))</f>
        <v>-</v>
      </c>
      <c r="C185" s="70" t="str">
        <f>IF($A$3=" "," ", IFERROR( VLOOKUP($A185,'SUPPLIER DATA BASE'!$A$2:$F$936,6,0),""))</f>
        <v>-</v>
      </c>
      <c r="D185" s="70" t="str">
        <f>IF($A$3=" "," ", IFERROR( VLOOKUP($A185,'SUPPLIER DATA BASE'!$A$2:$G$936,4,0),""))</f>
        <v>-</v>
      </c>
      <c r="E185" s="71" t="str">
        <f>IF($A$3=" "," ", IFERROR( VLOOKUP($A185,'SUPPLIER DATA BASE'!$A$2:$H$936,5,0),""))</f>
        <v>-</v>
      </c>
      <c r="F185" s="72" t="s">
        <v>1202</v>
      </c>
      <c r="G185" s="73">
        <v>46068.0</v>
      </c>
      <c r="H185" s="74">
        <v>23.0</v>
      </c>
      <c r="I185" s="75">
        <v>38063.0</v>
      </c>
      <c r="J185" s="76" t="s">
        <v>1203</v>
      </c>
      <c r="K185" s="70" t="s">
        <v>349</v>
      </c>
      <c r="L185" s="70" t="s">
        <v>349</v>
      </c>
      <c r="M185" s="70" t="str">
        <f t="shared" si="3"/>
        <v>120 Days</v>
      </c>
      <c r="N185" s="70" t="str">
        <f>IF($A$3=" "," ", IFERROR( VLOOKUP($A185,'SUPPLIER DATA BASE'!$A$2:$O$936,11,0),""))</f>
        <v>SARAOGI SUPER SALES PVT LTD</v>
      </c>
      <c r="O185" s="70" t="str">
        <f>IF($A$3=" "," ", IFERROR( VLOOKUP($A185,'SUPPLIER DATA BASE'!$A$2:$O$936,12,0),""))</f>
        <v>SASUSP011006</v>
      </c>
      <c r="P185" s="70" t="str">
        <f>IF($A$3=" "," ", IFERROR( VLOOKUP($A185,'SUPPLIER DATA BASE'!$A$2:$O$936,13,0),""))</f>
        <v>ICIC0000106</v>
      </c>
      <c r="Q185" s="77"/>
      <c r="R185" s="73"/>
      <c r="S185" s="77"/>
      <c r="T185" s="70"/>
      <c r="U185" s="78"/>
      <c r="V185" s="70" t="str">
        <f t="shared" si="4"/>
        <v>FY 25-26</v>
      </c>
      <c r="W185" s="23"/>
      <c r="X185" s="23"/>
    </row>
    <row r="186">
      <c r="A186" s="70" t="s">
        <v>677</v>
      </c>
      <c r="B186" s="70" t="str">
        <f>IF($A$3=" "," ", IFERROR( VLOOKUP($A186,'SUPPLIER DATA BASE'!$A$2:$M$936,3,0),""))</f>
        <v>-</v>
      </c>
      <c r="C186" s="70" t="str">
        <f>IF($A$3=" "," ", IFERROR( VLOOKUP($A186,'SUPPLIER DATA BASE'!$A$2:$F$936,6,0),""))</f>
        <v>-</v>
      </c>
      <c r="D186" s="70" t="str">
        <f>IF($A$3=" "," ", IFERROR( VLOOKUP($A186,'SUPPLIER DATA BASE'!$A$2:$G$936,4,0),""))</f>
        <v>-</v>
      </c>
      <c r="E186" s="71" t="str">
        <f>IF($A$3=" "," ", IFERROR( VLOOKUP($A186,'SUPPLIER DATA BASE'!$A$2:$H$936,5,0),""))</f>
        <v>-</v>
      </c>
      <c r="F186" s="72" t="s">
        <v>1204</v>
      </c>
      <c r="G186" s="73">
        <v>46068.0</v>
      </c>
      <c r="H186" s="74">
        <v>25.0</v>
      </c>
      <c r="I186" s="75">
        <v>41650.0</v>
      </c>
      <c r="J186" s="76" t="s">
        <v>1205</v>
      </c>
      <c r="K186" s="70" t="s">
        <v>349</v>
      </c>
      <c r="L186" s="70" t="s">
        <v>349</v>
      </c>
      <c r="M186" s="70" t="str">
        <f t="shared" si="3"/>
        <v>120 Days</v>
      </c>
      <c r="N186" s="70" t="str">
        <f>IF($A$3=" "," ", IFERROR( VLOOKUP($A186,'SUPPLIER DATA BASE'!$A$2:$O$936,11,0),""))</f>
        <v>SARAOGI SUPER SALES PVT LTD</v>
      </c>
      <c r="O186" s="70" t="str">
        <f>IF($A$3=" "," ", IFERROR( VLOOKUP($A186,'SUPPLIER DATA BASE'!$A$2:$O$936,12,0),""))</f>
        <v>SASUSP011006</v>
      </c>
      <c r="P186" s="70" t="str">
        <f>IF($A$3=" "," ", IFERROR( VLOOKUP($A186,'SUPPLIER DATA BASE'!$A$2:$O$936,13,0),""))</f>
        <v>ICIC0000106</v>
      </c>
      <c r="Q186" s="77"/>
      <c r="R186" s="73"/>
      <c r="S186" s="77"/>
      <c r="T186" s="70"/>
      <c r="U186" s="78"/>
      <c r="V186" s="70" t="str">
        <f t="shared" si="4"/>
        <v>FY 25-26</v>
      </c>
      <c r="W186" s="23"/>
      <c r="X186" s="23"/>
    </row>
    <row r="187">
      <c r="A187" s="70" t="s">
        <v>677</v>
      </c>
      <c r="B187" s="70" t="str">
        <f>IF($A$3=" "," ", IFERROR( VLOOKUP($A187,'SUPPLIER DATA BASE'!$A$2:$M$936,3,0),""))</f>
        <v>-</v>
      </c>
      <c r="C187" s="70" t="str">
        <f>IF($A$3=" "," ", IFERROR( VLOOKUP($A187,'SUPPLIER DATA BASE'!$A$2:$F$936,6,0),""))</f>
        <v>-</v>
      </c>
      <c r="D187" s="70" t="str">
        <f>IF($A$3=" "," ", IFERROR( VLOOKUP($A187,'SUPPLIER DATA BASE'!$A$2:$G$936,4,0),""))</f>
        <v>-</v>
      </c>
      <c r="E187" s="71" t="str">
        <f>IF($A$3=" "," ", IFERROR( VLOOKUP($A187,'SUPPLIER DATA BASE'!$A$2:$H$936,5,0),""))</f>
        <v>-</v>
      </c>
      <c r="F187" s="72" t="s">
        <v>1206</v>
      </c>
      <c r="G187" s="73">
        <v>46068.0</v>
      </c>
      <c r="H187" s="74">
        <v>16.0</v>
      </c>
      <c r="I187" s="75">
        <v>47670.0</v>
      </c>
      <c r="J187" s="76" t="s">
        <v>1207</v>
      </c>
      <c r="K187" s="70" t="s">
        <v>349</v>
      </c>
      <c r="L187" s="70" t="s">
        <v>349</v>
      </c>
      <c r="M187" s="70" t="str">
        <f t="shared" si="3"/>
        <v>120 Days</v>
      </c>
      <c r="N187" s="70" t="str">
        <f>IF($A$3=" "," ", IFERROR( VLOOKUP($A187,'SUPPLIER DATA BASE'!$A$2:$O$936,11,0),""))</f>
        <v>SARAOGI SUPER SALES PVT LTD</v>
      </c>
      <c r="O187" s="70" t="str">
        <f>IF($A$3=" "," ", IFERROR( VLOOKUP($A187,'SUPPLIER DATA BASE'!$A$2:$O$936,12,0),""))</f>
        <v>SASUSP011006</v>
      </c>
      <c r="P187" s="70" t="str">
        <f>IF($A$3=" "," ", IFERROR( VLOOKUP($A187,'SUPPLIER DATA BASE'!$A$2:$O$936,13,0),""))</f>
        <v>ICIC0000106</v>
      </c>
      <c r="Q187" s="77"/>
      <c r="R187" s="73"/>
      <c r="S187" s="77"/>
      <c r="T187" s="70"/>
      <c r="U187" s="78"/>
      <c r="V187" s="70" t="str">
        <f t="shared" si="4"/>
        <v>FY 25-26</v>
      </c>
      <c r="W187" s="23"/>
      <c r="X187" s="23"/>
    </row>
    <row r="188">
      <c r="A188" s="70" t="s">
        <v>677</v>
      </c>
      <c r="B188" s="70" t="str">
        <f>IF($A$3=" "," ", IFERROR( VLOOKUP($A188,'SUPPLIER DATA BASE'!$A$2:$M$936,3,0),""))</f>
        <v>-</v>
      </c>
      <c r="C188" s="70" t="str">
        <f>IF($A$3=" "," ", IFERROR( VLOOKUP($A188,'SUPPLIER DATA BASE'!$A$2:$F$936,6,0),""))</f>
        <v>-</v>
      </c>
      <c r="D188" s="70" t="str">
        <f>IF($A$3=" "," ", IFERROR( VLOOKUP($A188,'SUPPLIER DATA BASE'!$A$2:$G$936,4,0),""))</f>
        <v>-</v>
      </c>
      <c r="E188" s="71" t="str">
        <f>IF($A$3=" "," ", IFERROR( VLOOKUP($A188,'SUPPLIER DATA BASE'!$A$2:$H$936,5,0),""))</f>
        <v>-</v>
      </c>
      <c r="F188" s="72" t="s">
        <v>1208</v>
      </c>
      <c r="G188" s="73">
        <v>46068.0</v>
      </c>
      <c r="H188" s="74">
        <v>26.0</v>
      </c>
      <c r="I188" s="75">
        <v>54795.0</v>
      </c>
      <c r="J188" s="76" t="s">
        <v>1209</v>
      </c>
      <c r="K188" s="70" t="s">
        <v>349</v>
      </c>
      <c r="L188" s="70" t="s">
        <v>349</v>
      </c>
      <c r="M188" s="70" t="str">
        <f t="shared" si="3"/>
        <v>120 Days</v>
      </c>
      <c r="N188" s="70" t="str">
        <f>IF($A$3=" "," ", IFERROR( VLOOKUP($A188,'SUPPLIER DATA BASE'!$A$2:$O$936,11,0),""))</f>
        <v>SARAOGI SUPER SALES PVT LTD</v>
      </c>
      <c r="O188" s="70" t="str">
        <f>IF($A$3=" "," ", IFERROR( VLOOKUP($A188,'SUPPLIER DATA BASE'!$A$2:$O$936,12,0),""))</f>
        <v>SASUSP011006</v>
      </c>
      <c r="P188" s="70" t="str">
        <f>IF($A$3=" "," ", IFERROR( VLOOKUP($A188,'SUPPLIER DATA BASE'!$A$2:$O$936,13,0),""))</f>
        <v>ICIC0000106</v>
      </c>
      <c r="Q188" s="77"/>
      <c r="R188" s="73"/>
      <c r="S188" s="77"/>
      <c r="T188" s="70"/>
      <c r="U188" s="78"/>
      <c r="V188" s="70" t="str">
        <f t="shared" si="4"/>
        <v>FY 25-26</v>
      </c>
      <c r="W188" s="23"/>
      <c r="X188" s="23"/>
    </row>
    <row r="189">
      <c r="A189" s="70" t="s">
        <v>677</v>
      </c>
      <c r="B189" s="70" t="str">
        <f>IF($A$3=" "," ", IFERROR( VLOOKUP($A189,'SUPPLIER DATA BASE'!$A$2:$M$936,3,0),""))</f>
        <v>-</v>
      </c>
      <c r="C189" s="70" t="str">
        <f>IF($A$3=" "," ", IFERROR( VLOOKUP($A189,'SUPPLIER DATA BASE'!$A$2:$F$936,6,0),""))</f>
        <v>-</v>
      </c>
      <c r="D189" s="70" t="str">
        <f>IF($A$3=" "," ", IFERROR( VLOOKUP($A189,'SUPPLIER DATA BASE'!$A$2:$G$936,4,0),""))</f>
        <v>-</v>
      </c>
      <c r="E189" s="71" t="str">
        <f>IF($A$3=" "," ", IFERROR( VLOOKUP($A189,'SUPPLIER DATA BASE'!$A$2:$H$936,5,0),""))</f>
        <v>-</v>
      </c>
      <c r="F189" s="72" t="s">
        <v>1210</v>
      </c>
      <c r="G189" s="73">
        <v>46068.0</v>
      </c>
      <c r="H189" s="74">
        <v>55.0</v>
      </c>
      <c r="I189" s="75">
        <v>113252.0</v>
      </c>
      <c r="J189" s="76" t="s">
        <v>1211</v>
      </c>
      <c r="K189" s="70" t="s">
        <v>349</v>
      </c>
      <c r="L189" s="70" t="s">
        <v>349</v>
      </c>
      <c r="M189" s="70" t="str">
        <f t="shared" si="3"/>
        <v>120 Days</v>
      </c>
      <c r="N189" s="70" t="str">
        <f>IF($A$3=" "," ", IFERROR( VLOOKUP($A189,'SUPPLIER DATA BASE'!$A$2:$O$936,11,0),""))</f>
        <v>SARAOGI SUPER SALES PVT LTD</v>
      </c>
      <c r="O189" s="70" t="str">
        <f>IF($A$3=" "," ", IFERROR( VLOOKUP($A189,'SUPPLIER DATA BASE'!$A$2:$O$936,12,0),""))</f>
        <v>SASUSP011006</v>
      </c>
      <c r="P189" s="70" t="str">
        <f>IF($A$3=" "," ", IFERROR( VLOOKUP($A189,'SUPPLIER DATA BASE'!$A$2:$O$936,13,0),""))</f>
        <v>ICIC0000106</v>
      </c>
      <c r="Q189" s="77"/>
      <c r="R189" s="73"/>
      <c r="S189" s="77"/>
      <c r="T189" s="70"/>
      <c r="U189" s="78"/>
      <c r="V189" s="70" t="str">
        <f t="shared" si="4"/>
        <v>FY 25-26</v>
      </c>
      <c r="W189" s="23"/>
      <c r="X189" s="23"/>
    </row>
    <row r="190">
      <c r="A190" s="70" t="s">
        <v>416</v>
      </c>
      <c r="B190" s="70" t="str">
        <f>IF($A$3=" "," ", IFERROR( VLOOKUP($A190,'SUPPLIER DATA BASE'!$A$2:$M$936,3,0),""))</f>
        <v>YES MAAM</v>
      </c>
      <c r="C190" s="70" t="str">
        <f>IF($A$3=" "," ", IFERROR( VLOOKUP($A190,'SUPPLIER DATA BASE'!$A$2:$F$936,6,0),""))</f>
        <v>NEPOLIAN</v>
      </c>
      <c r="D190" s="70">
        <f>IF($A$3=" "," ", IFERROR( VLOOKUP($A190,'SUPPLIER DATA BASE'!$A$2:$G$936,4,0),""))</f>
        <v>60</v>
      </c>
      <c r="E190" s="71">
        <f>IF($A$3=" "," ", IFERROR( VLOOKUP($A190,'SUPPLIER DATA BASE'!$A$2:$H$936,5,0),""))</f>
        <v>0.03</v>
      </c>
      <c r="F190" s="72" t="s">
        <v>1212</v>
      </c>
      <c r="G190" s="73">
        <v>46069.0</v>
      </c>
      <c r="H190" s="74">
        <v>39.0</v>
      </c>
      <c r="I190" s="75">
        <v>86239.0</v>
      </c>
      <c r="J190" s="76" t="s">
        <v>1213</v>
      </c>
      <c r="K190" s="70" t="s">
        <v>349</v>
      </c>
      <c r="L190" s="70" t="s">
        <v>349</v>
      </c>
      <c r="M190" s="70" t="str">
        <f t="shared" si="3"/>
        <v>119 Days</v>
      </c>
      <c r="N190" s="70" t="str">
        <f>IF($A$3=" "," ", IFERROR( VLOOKUP($A190,'SUPPLIER DATA BASE'!$A$2:$O$936,11,0),""))</f>
        <v>D S CREATION</v>
      </c>
      <c r="O190" s="70" t="str">
        <f>IF($A$3=" "," ", IFERROR( VLOOKUP($A190,'SUPPLIER DATA BASE'!$A$2:$O$936,12,0),""))</f>
        <v>9830047013</v>
      </c>
      <c r="P190" s="70" t="str">
        <f>IF($A$3=" "," ", IFERROR( VLOOKUP($A190,'SUPPLIER DATA BASE'!$A$2:$O$936,13,0),""))</f>
        <v>KKBK0006562</v>
      </c>
      <c r="Q190" s="77">
        <f t="shared" ref="Q190:Q191" si="5">I190-S190</f>
        <v>83814</v>
      </c>
      <c r="R190" s="73">
        <v>46131.0</v>
      </c>
      <c r="S190" s="77">
        <v>2425.0</v>
      </c>
      <c r="T190" s="70"/>
      <c r="U190" s="78"/>
      <c r="V190" s="70" t="str">
        <f t="shared" si="4"/>
        <v>FY 25-26</v>
      </c>
      <c r="W190" s="23"/>
      <c r="X190" s="23"/>
    </row>
    <row r="191">
      <c r="A191" s="70" t="s">
        <v>416</v>
      </c>
      <c r="B191" s="70" t="str">
        <f>IF($A$3=" "," ", IFERROR( VLOOKUP($A191,'SUPPLIER DATA BASE'!$A$2:$M$936,3,0),""))</f>
        <v>YES MAAM</v>
      </c>
      <c r="C191" s="70" t="str">
        <f>IF($A$3=" "," ", IFERROR( VLOOKUP($A191,'SUPPLIER DATA BASE'!$A$2:$F$936,6,0),""))</f>
        <v>NEPOLIAN</v>
      </c>
      <c r="D191" s="70">
        <f>IF($A$3=" "," ", IFERROR( VLOOKUP($A191,'SUPPLIER DATA BASE'!$A$2:$G$936,4,0),""))</f>
        <v>60</v>
      </c>
      <c r="E191" s="71">
        <f>IF($A$3=" "," ", IFERROR( VLOOKUP($A191,'SUPPLIER DATA BASE'!$A$2:$H$936,5,0),""))</f>
        <v>0.03</v>
      </c>
      <c r="F191" s="72" t="s">
        <v>1214</v>
      </c>
      <c r="G191" s="73">
        <v>46069.0</v>
      </c>
      <c r="H191" s="74">
        <v>48.0</v>
      </c>
      <c r="I191" s="75">
        <v>62465.0</v>
      </c>
      <c r="J191" s="76" t="s">
        <v>1215</v>
      </c>
      <c r="K191" s="70" t="s">
        <v>349</v>
      </c>
      <c r="L191" s="70" t="s">
        <v>349</v>
      </c>
      <c r="M191" s="70" t="str">
        <f t="shared" si="3"/>
        <v>119 Days</v>
      </c>
      <c r="N191" s="70" t="str">
        <f>IF($A$3=" "," ", IFERROR( VLOOKUP($A191,'SUPPLIER DATA BASE'!$A$2:$O$936,11,0),""))</f>
        <v>D S CREATION</v>
      </c>
      <c r="O191" s="70" t="str">
        <f>IF($A$3=" "," ", IFERROR( VLOOKUP($A191,'SUPPLIER DATA BASE'!$A$2:$O$936,12,0),""))</f>
        <v>9830047013</v>
      </c>
      <c r="P191" s="70" t="str">
        <f>IF($A$3=" "," ", IFERROR( VLOOKUP($A191,'SUPPLIER DATA BASE'!$A$2:$O$936,13,0),""))</f>
        <v>KKBK0006562</v>
      </c>
      <c r="Q191" s="77">
        <f t="shared" si="5"/>
        <v>60680</v>
      </c>
      <c r="R191" s="73">
        <v>46131.0</v>
      </c>
      <c r="S191" s="77">
        <v>1785.0</v>
      </c>
      <c r="T191" s="70"/>
      <c r="U191" s="78"/>
      <c r="V191" s="70" t="str">
        <f t="shared" si="4"/>
        <v>FY 25-26</v>
      </c>
      <c r="W191" s="23"/>
      <c r="X191" s="23"/>
    </row>
    <row r="192">
      <c r="A192" s="70" t="s">
        <v>373</v>
      </c>
      <c r="B192" s="70" t="str">
        <f>IF($A$3=" "," ", IFERROR( VLOOKUP($A192,'SUPPLIER DATA BASE'!$A$2:$M$936,3,0),""))</f>
        <v>-</v>
      </c>
      <c r="C192" s="70" t="str">
        <f>IF($A$3=" "," ", IFERROR( VLOOKUP($A192,'SUPPLIER DATA BASE'!$A$2:$F$936,6,0),""))</f>
        <v>NEPOLIAN</v>
      </c>
      <c r="D192" s="70">
        <f>IF($A$3=" "," ", IFERROR( VLOOKUP($A192,'SUPPLIER DATA BASE'!$A$2:$G$936,4,0),""))</f>
        <v>60</v>
      </c>
      <c r="E192" s="71">
        <f>IF($A$3=" "," ", IFERROR( VLOOKUP($A192,'SUPPLIER DATA BASE'!$A$2:$H$936,5,0),""))</f>
        <v>0.03</v>
      </c>
      <c r="F192" s="72" t="s">
        <v>1216</v>
      </c>
      <c r="G192" s="73">
        <v>46069.0</v>
      </c>
      <c r="H192" s="74">
        <v>109.0</v>
      </c>
      <c r="I192" s="75">
        <v>159070.0</v>
      </c>
      <c r="J192" s="76" t="s">
        <v>1217</v>
      </c>
      <c r="K192" s="70" t="s">
        <v>349</v>
      </c>
      <c r="L192" s="70" t="s">
        <v>349</v>
      </c>
      <c r="M192" s="70" t="str">
        <f t="shared" si="3"/>
        <v>119 Days</v>
      </c>
      <c r="N192" s="70" t="str">
        <f>IF($A$3=" "," ", IFERROR( VLOOKUP($A192,'SUPPLIER DATA BASE'!$A$2:$O$936,11,0),""))</f>
        <v>ASHMITA BOUTIQUE PVT. LTD.</v>
      </c>
      <c r="O192" s="70" t="str">
        <f>IF($A$3=" "," ", IFERROR( VLOOKUP($A192,'SUPPLIER DATA BASE'!$A$2:$O$936,12,0),""))</f>
        <v>627951000036</v>
      </c>
      <c r="P192" s="70" t="str">
        <f>IF($A$3=" "," ", IFERROR( VLOOKUP($A192,'SUPPLIER DATA BASE'!$A$2:$O$936,13,0),""))</f>
        <v>ICICI0006279</v>
      </c>
      <c r="Q192" s="77">
        <v>154525.0</v>
      </c>
      <c r="R192" s="73">
        <v>46131.0</v>
      </c>
      <c r="S192" s="77">
        <v>4545.0</v>
      </c>
      <c r="T192" s="70"/>
      <c r="U192" s="78"/>
      <c r="V192" s="70" t="str">
        <f t="shared" si="4"/>
        <v>FY 25-26</v>
      </c>
      <c r="W192" s="23"/>
      <c r="X192" s="23"/>
    </row>
    <row r="193">
      <c r="A193" s="70" t="s">
        <v>699</v>
      </c>
      <c r="B193" s="70" t="str">
        <f>IF($A$3=" "," ", IFERROR( VLOOKUP($A193,'SUPPLIER DATA BASE'!$A$2:$M$936,3,0),""))</f>
        <v>-</v>
      </c>
      <c r="C193" s="70" t="str">
        <f>IF($A$3=" "," ", IFERROR( VLOOKUP($A193,'SUPPLIER DATA BASE'!$A$2:$F$936,6,0),""))</f>
        <v>RTC</v>
      </c>
      <c r="D193" s="70" t="str">
        <f>IF($A$3=" "," ", IFERROR( VLOOKUP($A193,'SUPPLIER DATA BASE'!$A$2:$G$936,4,0),""))</f>
        <v>-</v>
      </c>
      <c r="E193" s="71" t="str">
        <f>IF($A$3=" "," ", IFERROR( VLOOKUP($A193,'SUPPLIER DATA BASE'!$A$2:$H$936,5,0),""))</f>
        <v>-</v>
      </c>
      <c r="F193" s="72" t="s">
        <v>1218</v>
      </c>
      <c r="G193" s="73">
        <v>46069.0</v>
      </c>
      <c r="H193" s="74">
        <v>40.0</v>
      </c>
      <c r="I193" s="75">
        <v>30345.0</v>
      </c>
      <c r="J193" s="76" t="s">
        <v>1219</v>
      </c>
      <c r="K193" s="70" t="s">
        <v>349</v>
      </c>
      <c r="L193" s="70" t="s">
        <v>349</v>
      </c>
      <c r="M193" s="70" t="str">
        <f t="shared" si="3"/>
        <v>119 Days</v>
      </c>
      <c r="N193" s="70" t="str">
        <f>IF($A$3=" "," ", IFERROR( VLOOKUP($A193,'SUPPLIER DATA BASE'!$A$2:$O$936,11,0),""))</f>
        <v>RTC Garmentex India Pvgt LTd</v>
      </c>
      <c r="O193" s="70" t="str">
        <f>IF($A$3=" "," ", IFERROR( VLOOKUP($A193,'SUPPLIER DATA BASE'!$A$2:$O$936,12,0),""))</f>
        <v>112605502571</v>
      </c>
      <c r="P193" s="70" t="str">
        <f>IF($A$3=" "," ", IFERROR( VLOOKUP($A193,'SUPPLIER DATA BASE'!$A$2:$O$936,13,0),""))</f>
        <v>ICIC0001126</v>
      </c>
      <c r="Q193" s="77"/>
      <c r="R193" s="73"/>
      <c r="S193" s="77"/>
      <c r="T193" s="70"/>
      <c r="U193" s="78"/>
      <c r="V193" s="70" t="str">
        <f t="shared" si="4"/>
        <v>FY 25-26</v>
      </c>
      <c r="W193" s="23"/>
      <c r="X193" s="23"/>
    </row>
    <row r="194">
      <c r="A194" s="70" t="s">
        <v>677</v>
      </c>
      <c r="B194" s="70" t="str">
        <f>IF($A$3=" "," ", IFERROR( VLOOKUP($A194,'SUPPLIER DATA BASE'!$A$2:$M$936,3,0),""))</f>
        <v>-</v>
      </c>
      <c r="C194" s="70" t="str">
        <f>IF($A$3=" "," ", IFERROR( VLOOKUP($A194,'SUPPLIER DATA BASE'!$A$2:$F$936,6,0),""))</f>
        <v>-</v>
      </c>
      <c r="D194" s="70" t="str">
        <f>IF($A$3=" "," ", IFERROR( VLOOKUP($A194,'SUPPLIER DATA BASE'!$A$2:$G$936,4,0),""))</f>
        <v>-</v>
      </c>
      <c r="E194" s="71" t="str">
        <f>IF($A$3=" "," ", IFERROR( VLOOKUP($A194,'SUPPLIER DATA BASE'!$A$2:$H$936,5,0),""))</f>
        <v>-</v>
      </c>
      <c r="F194" s="72" t="s">
        <v>1220</v>
      </c>
      <c r="G194" s="73">
        <v>46069.0</v>
      </c>
      <c r="H194" s="74">
        <v>30.0</v>
      </c>
      <c r="I194" s="75">
        <v>43328.0</v>
      </c>
      <c r="J194" s="76" t="s">
        <v>1221</v>
      </c>
      <c r="K194" s="70" t="s">
        <v>349</v>
      </c>
      <c r="L194" s="70" t="s">
        <v>349</v>
      </c>
      <c r="M194" s="70" t="str">
        <f t="shared" si="3"/>
        <v>119 Days</v>
      </c>
      <c r="N194" s="70" t="str">
        <f>IF($A$3=" "," ", IFERROR( VLOOKUP($A194,'SUPPLIER DATA BASE'!$A$2:$O$936,11,0),""))</f>
        <v>SARAOGI SUPER SALES PVT LTD</v>
      </c>
      <c r="O194" s="70" t="str">
        <f>IF($A$3=" "," ", IFERROR( VLOOKUP($A194,'SUPPLIER DATA BASE'!$A$2:$O$936,12,0),""))</f>
        <v>SASUSP011006</v>
      </c>
      <c r="P194" s="70" t="str">
        <f>IF($A$3=" "," ", IFERROR( VLOOKUP($A194,'SUPPLIER DATA BASE'!$A$2:$O$936,13,0),""))</f>
        <v>ICIC0000106</v>
      </c>
      <c r="Q194" s="77"/>
      <c r="R194" s="73"/>
      <c r="S194" s="77"/>
      <c r="T194" s="70"/>
      <c r="U194" s="78"/>
      <c r="V194" s="70" t="str">
        <f t="shared" si="4"/>
        <v>FY 25-26</v>
      </c>
      <c r="W194" s="23"/>
      <c r="X194" s="23"/>
    </row>
    <row r="195">
      <c r="A195" s="70" t="s">
        <v>370</v>
      </c>
      <c r="B195" s="70" t="str">
        <f>IF($A$3=" "," ", IFERROR( VLOOKUP($A195,'SUPPLIER DATA BASE'!$A$2:$M$936,3,0),""))</f>
        <v>-</v>
      </c>
      <c r="C195" s="70" t="str">
        <f>IF($A$3=" "," ", IFERROR( VLOOKUP($A195,'SUPPLIER DATA BASE'!$A$2:$F$936,6,0),""))</f>
        <v>SURYAM TEXTILE AGENCY</v>
      </c>
      <c r="D195" s="70">
        <f>IF($A$3=" "," ", IFERROR( VLOOKUP($A195,'SUPPLIER DATA BASE'!$A$2:$G$936,4,0),""))</f>
        <v>30</v>
      </c>
      <c r="E195" s="71">
        <f>IF($A$3=" "," ", IFERROR( VLOOKUP($A195,'SUPPLIER DATA BASE'!$A$2:$H$936,5,0),""))</f>
        <v>0.09</v>
      </c>
      <c r="F195" s="72">
        <v>311.0</v>
      </c>
      <c r="G195" s="73">
        <v>46069.0</v>
      </c>
      <c r="H195" s="74">
        <v>21.0</v>
      </c>
      <c r="I195" s="75">
        <v>16493.0</v>
      </c>
      <c r="J195" s="76" t="s">
        <v>1222</v>
      </c>
      <c r="K195" s="70" t="s">
        <v>349</v>
      </c>
      <c r="L195" s="70" t="s">
        <v>349</v>
      </c>
      <c r="M195" s="70" t="str">
        <f t="shared" si="3"/>
        <v>119 Days</v>
      </c>
      <c r="N195" s="70" t="str">
        <f>IF($A$3=" "," ", IFERROR( VLOOKUP($A195,'SUPPLIER DATA BASE'!$A$2:$O$936,11,0),""))</f>
        <v>AS TEXTILE</v>
      </c>
      <c r="O195" s="70" t="str">
        <f>IF($A$3=" "," ", IFERROR( VLOOKUP($A195,'SUPPLIER DATA BASE'!$A$2:$O$936,12,0),""))</f>
        <v>50200012846193</v>
      </c>
      <c r="P195" s="70" t="str">
        <f>IF($A$3=" "," ", IFERROR( VLOOKUP($A195,'SUPPLIER DATA BASE'!$A$2:$O$936,13,0),""))</f>
        <v>HDFC0001249</v>
      </c>
      <c r="Q195" s="77"/>
      <c r="R195" s="73"/>
      <c r="S195" s="77"/>
      <c r="T195" s="70"/>
      <c r="U195" s="78"/>
      <c r="V195" s="70" t="str">
        <f t="shared" si="4"/>
        <v>FY 25-26</v>
      </c>
      <c r="W195" s="23"/>
      <c r="X195" s="23"/>
    </row>
    <row r="196">
      <c r="A196" s="70" t="s">
        <v>742</v>
      </c>
      <c r="B196" s="70" t="str">
        <f>IF($A$3=" "," ", IFERROR( VLOOKUP($A196,'SUPPLIER DATA BASE'!$A$2:$M$936,3,0),""))</f>
        <v>-</v>
      </c>
      <c r="C196" s="70" t="str">
        <f>IF($A$3=" "," ", IFERROR( VLOOKUP($A196,'SUPPLIER DATA BASE'!$A$2:$F$936,6,0),""))</f>
        <v>-</v>
      </c>
      <c r="D196" s="70" t="str">
        <f>IF($A$3=" "," ", IFERROR( VLOOKUP($A196,'SUPPLIER DATA BASE'!$A$2:$G$936,4,0),""))</f>
        <v>-</v>
      </c>
      <c r="E196" s="71" t="str">
        <f>IF($A$3=" "," ", IFERROR( VLOOKUP($A196,'SUPPLIER DATA BASE'!$A$2:$H$936,5,0),""))</f>
        <v>-</v>
      </c>
      <c r="F196" s="72" t="s">
        <v>1223</v>
      </c>
      <c r="G196" s="73">
        <v>46070.0</v>
      </c>
      <c r="H196" s="74">
        <v>151.0</v>
      </c>
      <c r="I196" s="75">
        <v>88997.0</v>
      </c>
      <c r="J196" s="76" t="s">
        <v>1224</v>
      </c>
      <c r="K196" s="70" t="s">
        <v>349</v>
      </c>
      <c r="L196" s="70" t="s">
        <v>349</v>
      </c>
      <c r="M196" s="70" t="str">
        <f t="shared" si="3"/>
        <v>118 Days</v>
      </c>
      <c r="N196" s="70" t="str">
        <f>IF($A$3=" "," ", IFERROR( VLOOKUP($A196,'SUPPLIER DATA BASE'!$A$2:$O$936,11,0),""))</f>
        <v>-</v>
      </c>
      <c r="O196" s="70" t="str">
        <f>IF($A$3=" "," ", IFERROR( VLOOKUP($A196,'SUPPLIER DATA BASE'!$A$2:$O$936,12,0),""))</f>
        <v>-</v>
      </c>
      <c r="P196" s="70" t="str">
        <f>IF($A$3=" "," ", IFERROR( VLOOKUP($A196,'SUPPLIER DATA BASE'!$A$2:$O$936,13,0),""))</f>
        <v>-</v>
      </c>
      <c r="Q196" s="77"/>
      <c r="R196" s="73"/>
      <c r="S196" s="77"/>
      <c r="T196" s="70"/>
      <c r="U196" s="78"/>
      <c r="V196" s="70" t="str">
        <f t="shared" si="4"/>
        <v>FY 25-26</v>
      </c>
      <c r="W196" s="23"/>
      <c r="X196" s="23"/>
    </row>
    <row r="197">
      <c r="A197" s="70" t="s">
        <v>825</v>
      </c>
      <c r="B197" s="70" t="str">
        <f>IF($A$3=" "," ", IFERROR( VLOOKUP($A197,'SUPPLIER DATA BASE'!$A$2:$M$936,3,0),""))</f>
        <v>MADAM</v>
      </c>
      <c r="C197" s="70" t="str">
        <f>IF($A$3=" "," ", IFERROR( VLOOKUP($A197,'SUPPLIER DATA BASE'!$A$2:$F$936,6,0),""))</f>
        <v>NEPOLIAN</v>
      </c>
      <c r="D197" s="70">
        <f>IF($A$3=" "," ", IFERROR( VLOOKUP($A197,'SUPPLIER DATA BASE'!$A$2:$G$936,4,0),""))</f>
        <v>60</v>
      </c>
      <c r="E197" s="71">
        <f>IF($A$3=" "," ", IFERROR( VLOOKUP($A197,'SUPPLIER DATA BASE'!$A$2:$H$936,5,0),""))</f>
        <v>0.03</v>
      </c>
      <c r="F197" s="72" t="s">
        <v>1225</v>
      </c>
      <c r="G197" s="73">
        <v>46070.0</v>
      </c>
      <c r="H197" s="74">
        <v>50.0</v>
      </c>
      <c r="I197" s="75">
        <v>75779.0</v>
      </c>
      <c r="J197" s="76" t="s">
        <v>1226</v>
      </c>
      <c r="K197" s="70" t="s">
        <v>349</v>
      </c>
      <c r="L197" s="70" t="s">
        <v>349</v>
      </c>
      <c r="M197" s="70" t="str">
        <f t="shared" si="3"/>
        <v>118 Days</v>
      </c>
      <c r="N197" s="70" t="str">
        <f>IF($A$3=" "," ", IFERROR( VLOOKUP($A197,'SUPPLIER DATA BASE'!$A$2:$O$936,11,0),""))</f>
        <v>MADAM</v>
      </c>
      <c r="O197" s="70" t="str">
        <f>IF($A$3=" "," ", IFERROR( VLOOKUP($A197,'SUPPLIER DATA BASE'!$A$2:$O$936,12,0),""))</f>
        <v>19267630000070</v>
      </c>
      <c r="P197" s="70" t="str">
        <f>IF($A$3=" "," ", IFERROR( VLOOKUP($A197,'SUPPLIER DATA BASE'!$A$2:$O$936,13,0),""))</f>
        <v>HDFC0001926</v>
      </c>
      <c r="Q197" s="77"/>
      <c r="R197" s="73"/>
      <c r="S197" s="77"/>
      <c r="T197" s="70"/>
      <c r="U197" s="78"/>
      <c r="V197" s="70" t="str">
        <f t="shared" si="4"/>
        <v>FY 25-26</v>
      </c>
      <c r="W197" s="23"/>
      <c r="X197" s="23"/>
    </row>
    <row r="198">
      <c r="A198" s="70" t="s">
        <v>828</v>
      </c>
      <c r="B198" s="70" t="str">
        <f>IF($A$3=" "," ", IFERROR( VLOOKUP($A198,'SUPPLIER DATA BASE'!$A$2:$M$936,3,0),""))</f>
        <v/>
      </c>
      <c r="C198" s="70" t="str">
        <f>IF($A$3=" "," ", IFERROR( VLOOKUP($A198,'SUPPLIER DATA BASE'!$A$2:$F$936,6,0),""))</f>
        <v>NEPOLIAN</v>
      </c>
      <c r="D198" s="70" t="str">
        <f>IF($A$3=" "," ", IFERROR( VLOOKUP($A198,'SUPPLIER DATA BASE'!$A$2:$G$936,4,0),""))</f>
        <v/>
      </c>
      <c r="E198" s="71" t="str">
        <f>IF($A$3=" "," ", IFERROR( VLOOKUP($A198,'SUPPLIER DATA BASE'!$A$2:$H$936,5,0),""))</f>
        <v/>
      </c>
      <c r="F198" s="72" t="s">
        <v>1227</v>
      </c>
      <c r="G198" s="73">
        <v>46070.0</v>
      </c>
      <c r="H198" s="74">
        <v>10.0</v>
      </c>
      <c r="I198" s="75">
        <v>24850.0</v>
      </c>
      <c r="J198" s="76" t="s">
        <v>1228</v>
      </c>
      <c r="K198" s="70" t="s">
        <v>349</v>
      </c>
      <c r="L198" s="70" t="s">
        <v>349</v>
      </c>
      <c r="M198" s="70" t="str">
        <f t="shared" si="3"/>
        <v>118 Days</v>
      </c>
      <c r="N198" s="70" t="str">
        <f>IF($A$3=" "," ", IFERROR( VLOOKUP($A198,'SUPPLIER DATA BASE'!$A$2:$O$936,11,0),""))</f>
        <v>GAURAV TEXTILES</v>
      </c>
      <c r="O198" s="70" t="str">
        <f>IF($A$3=" "," ", IFERROR( VLOOKUP($A198,'SUPPLIER DATA BASE'!$A$2:$O$936,12,0),""))</f>
        <v>19268730000279</v>
      </c>
      <c r="P198" s="70" t="str">
        <f>IF($A$3=" "," ", IFERROR( VLOOKUP($A198,'SUPPLIER DATA BASE'!$A$2:$O$936,13,0),""))</f>
        <v>HDFC0001926</v>
      </c>
      <c r="Q198" s="77"/>
      <c r="R198" s="73"/>
      <c r="S198" s="77"/>
      <c r="T198" s="70"/>
      <c r="U198" s="78"/>
      <c r="V198" s="70" t="str">
        <f t="shared" si="4"/>
        <v>FY 25-26</v>
      </c>
      <c r="W198" s="23"/>
      <c r="X198" s="23"/>
    </row>
    <row r="199">
      <c r="A199" s="70" t="s">
        <v>541</v>
      </c>
      <c r="B199" s="70" t="str">
        <f>IF($A$3=" "," ", IFERROR( VLOOKUP($A199,'SUPPLIER DATA BASE'!$A$2:$M$936,3,0),""))</f>
        <v>TWILLS</v>
      </c>
      <c r="C199" s="70" t="str">
        <f>IF($A$3=" "," ", IFERROR( VLOOKUP($A199,'SUPPLIER DATA BASE'!$A$2:$F$936,6,0),""))</f>
        <v>-</v>
      </c>
      <c r="D199" s="70" t="str">
        <f>IF($A$3=" "," ", IFERROR( VLOOKUP($A199,'SUPPLIER DATA BASE'!$A$2:$G$936,4,0),""))</f>
        <v>-</v>
      </c>
      <c r="E199" s="71" t="str">
        <f>IF($A$3=" "," ", IFERROR( VLOOKUP($A199,'SUPPLIER DATA BASE'!$A$2:$H$936,5,0),""))</f>
        <v>-</v>
      </c>
      <c r="F199" s="72" t="s">
        <v>1229</v>
      </c>
      <c r="G199" s="73">
        <v>46070.0</v>
      </c>
      <c r="H199" s="74">
        <v>132.0</v>
      </c>
      <c r="I199" s="75">
        <v>108792.0</v>
      </c>
      <c r="J199" s="76" t="s">
        <v>1230</v>
      </c>
      <c r="K199" s="70" t="s">
        <v>349</v>
      </c>
      <c r="L199" s="70" t="s">
        <v>349</v>
      </c>
      <c r="M199" s="70" t="str">
        <f t="shared" si="3"/>
        <v>118 Days</v>
      </c>
      <c r="N199" s="70" t="str">
        <f>IF($A$3=" "," ", IFERROR( VLOOKUP($A199,'SUPPLIER DATA BASE'!$A$2:$O$936,11,0),""))</f>
        <v>M. N. GARMENTS</v>
      </c>
      <c r="O199" s="70" t="str">
        <f>IF($A$3=" "," ", IFERROR( VLOOKUP($A199,'SUPPLIER DATA BASE'!$A$2:$O$936,12,0),""))</f>
        <v>50200058436598</v>
      </c>
      <c r="P199" s="70" t="str">
        <f>IF($A$3=" "," ", IFERROR( VLOOKUP($A199,'SUPPLIER DATA BASE'!$A$2:$O$936,13,0),""))</f>
        <v>HDFC0001470</v>
      </c>
      <c r="Q199" s="77"/>
      <c r="R199" s="73"/>
      <c r="S199" s="77"/>
      <c r="T199" s="70"/>
      <c r="U199" s="78"/>
      <c r="V199" s="70" t="str">
        <f t="shared" si="4"/>
        <v>FY 25-26</v>
      </c>
      <c r="W199" s="23"/>
      <c r="X199" s="23"/>
    </row>
    <row r="200">
      <c r="A200" s="70" t="s">
        <v>459</v>
      </c>
      <c r="B200" s="70" t="str">
        <f>IF($A$3=" "," ", IFERROR( VLOOKUP($A200,'SUPPLIER DATA BASE'!$A$2:$M$936,3,0),""))</f>
        <v>FW</v>
      </c>
      <c r="C200" s="70" t="str">
        <f>IF($A$3=" "," ", IFERROR( VLOOKUP($A200,'SUPPLIER DATA BASE'!$A$2:$F$936,6,0),""))</f>
        <v>NEPOLIAN</v>
      </c>
      <c r="D200" s="70">
        <f>IF($A$3=" "," ", IFERROR( VLOOKUP($A200,'SUPPLIER DATA BASE'!$A$2:$G$936,4,0),""))</f>
        <v>60</v>
      </c>
      <c r="E200" s="71">
        <f>IF($A$3=" "," ", IFERROR( VLOOKUP($A200,'SUPPLIER DATA BASE'!$A$2:$H$936,5,0),""))</f>
        <v>0.03</v>
      </c>
      <c r="F200" s="72" t="s">
        <v>1231</v>
      </c>
      <c r="G200" s="73">
        <v>46070.0</v>
      </c>
      <c r="H200" s="74">
        <v>66.0</v>
      </c>
      <c r="I200" s="75">
        <v>98774.0</v>
      </c>
      <c r="J200" s="76" t="s">
        <v>1232</v>
      </c>
      <c r="K200" s="70" t="s">
        <v>349</v>
      </c>
      <c r="L200" s="70" t="s">
        <v>349</v>
      </c>
      <c r="M200" s="70" t="str">
        <f t="shared" si="3"/>
        <v>118 Days</v>
      </c>
      <c r="N200" s="70" t="str">
        <f>IF($A$3=" "," ", IFERROR( VLOOKUP($A200,'SUPPLIER DATA BASE'!$A$2:$O$936,11,0),""))</f>
        <v>FASHION WORLD GARMENTS PVT LTD</v>
      </c>
      <c r="O200" s="70" t="str">
        <f>IF($A$3=" "," ", IFERROR( VLOOKUP($A200,'SUPPLIER DATA BASE'!$A$2:$O$936,12,0),""))</f>
        <v>3613991079</v>
      </c>
      <c r="P200" s="70" t="str">
        <f>IF($A$3=" "," ", IFERROR( VLOOKUP($A200,'SUPPLIER DATA BASE'!$A$2:$O$936,13,0),""))</f>
        <v>KKBK0006584</v>
      </c>
      <c r="Q200" s="77"/>
      <c r="R200" s="73"/>
      <c r="S200" s="77"/>
      <c r="T200" s="70"/>
      <c r="U200" s="78"/>
      <c r="V200" s="70" t="str">
        <f t="shared" si="4"/>
        <v>FY 25-26</v>
      </c>
      <c r="W200" s="23"/>
      <c r="X200" s="23"/>
    </row>
    <row r="201">
      <c r="A201" s="70" t="s">
        <v>830</v>
      </c>
      <c r="B201" s="70" t="str">
        <f>IF($A$3=" "," ", IFERROR( VLOOKUP($A201,'SUPPLIER DATA BASE'!$A$2:$M$936,3,0),""))</f>
        <v/>
      </c>
      <c r="C201" s="70" t="str">
        <f>IF($A$3=" "," ", IFERROR( VLOOKUP($A201,'SUPPLIER DATA BASE'!$A$2:$F$936,6,0),""))</f>
        <v>DIRECT</v>
      </c>
      <c r="D201" s="70" t="str">
        <f>IF($A$3=" "," ", IFERROR( VLOOKUP($A201,'SUPPLIER DATA BASE'!$A$2:$G$936,4,0),""))</f>
        <v/>
      </c>
      <c r="E201" s="71" t="str">
        <f>IF($A$3=" "," ", IFERROR( VLOOKUP($A201,'SUPPLIER DATA BASE'!$A$2:$H$936,5,0),""))</f>
        <v/>
      </c>
      <c r="F201" s="72" t="s">
        <v>1233</v>
      </c>
      <c r="G201" s="73">
        <v>46070.0</v>
      </c>
      <c r="H201" s="74">
        <v>31.0</v>
      </c>
      <c r="I201" s="75">
        <v>80871.32</v>
      </c>
      <c r="J201" s="76" t="s">
        <v>1234</v>
      </c>
      <c r="K201" s="70" t="s">
        <v>349</v>
      </c>
      <c r="L201" s="70" t="s">
        <v>349</v>
      </c>
      <c r="M201" s="70" t="str">
        <f t="shared" si="3"/>
        <v>118 Days</v>
      </c>
      <c r="N201" s="70" t="str">
        <f>IF($A$3=" "," ", IFERROR( VLOOKUP($A201,'SUPPLIER DATA BASE'!$A$2:$O$936,11,0),""))</f>
        <v>SURYA ETHNIC FASHION(INDIA) PVT. LTD.</v>
      </c>
      <c r="O201" s="70" t="str">
        <f>IF($A$3=" "," ", IFERROR( VLOOKUP($A201,'SUPPLIER DATA BASE'!$A$2:$O$936,12,0),""))</f>
        <v>99909810046731</v>
      </c>
      <c r="P201" s="70" t="str">
        <f>IF($A$3=" "," ", IFERROR( VLOOKUP($A201,'SUPPLIER DATA BASE'!$A$2:$O$936,13,0),""))</f>
        <v>HDFC0001981</v>
      </c>
      <c r="Q201" s="77"/>
      <c r="R201" s="73"/>
      <c r="S201" s="77"/>
      <c r="T201" s="70"/>
      <c r="U201" s="78"/>
      <c r="V201" s="70" t="str">
        <f t="shared" si="4"/>
        <v>FY 25-26</v>
      </c>
      <c r="W201" s="23"/>
      <c r="X201" s="23"/>
    </row>
    <row r="202">
      <c r="A202" s="70" t="s">
        <v>731</v>
      </c>
      <c r="B202" s="70" t="str">
        <f>IF($A$3=" "," ", IFERROR( VLOOKUP($A202,'SUPPLIER DATA BASE'!$A$2:$M$936,3,0),""))</f>
        <v>-</v>
      </c>
      <c r="C202" s="70" t="str">
        <f>IF($A$3=" "," ", IFERROR( VLOOKUP($A202,'SUPPLIER DATA BASE'!$A$2:$F$936,6,0),""))</f>
        <v>RTC</v>
      </c>
      <c r="D202" s="70" t="str">
        <f>IF($A$3=" "," ", IFERROR( VLOOKUP($A202,'SUPPLIER DATA BASE'!$A$2:$G$936,4,0),""))</f>
        <v>-</v>
      </c>
      <c r="E202" s="71" t="str">
        <f>IF($A$3=" "," ", IFERROR( VLOOKUP($A202,'SUPPLIER DATA BASE'!$A$2:$H$936,5,0),""))</f>
        <v>-</v>
      </c>
      <c r="F202" s="72" t="s">
        <v>1235</v>
      </c>
      <c r="G202" s="73">
        <v>46070.0</v>
      </c>
      <c r="H202" s="74">
        <v>40.0</v>
      </c>
      <c r="I202" s="75">
        <v>32754.0</v>
      </c>
      <c r="J202" s="76" t="s">
        <v>1236</v>
      </c>
      <c r="K202" s="70" t="s">
        <v>349</v>
      </c>
      <c r="L202" s="70" t="s">
        <v>349</v>
      </c>
      <c r="M202" s="70" t="str">
        <f t="shared" si="3"/>
        <v>118 Days</v>
      </c>
      <c r="N202" s="70" t="str">
        <f>IF($A$3=" "," ", IFERROR( VLOOKUP($A202,'SUPPLIER DATA BASE'!$A$2:$O$936,11,0),""))</f>
        <v>RTC Garmentex India Pvgt LTd</v>
      </c>
      <c r="O202" s="70" t="str">
        <f>IF($A$3=" "," ", IFERROR( VLOOKUP($A202,'SUPPLIER DATA BASE'!$A$2:$O$936,12,0),""))</f>
        <v>112605502571</v>
      </c>
      <c r="P202" s="70" t="str">
        <f>IF($A$3=" "," ", IFERROR( VLOOKUP($A202,'SUPPLIER DATA BASE'!$A$2:$O$936,13,0),""))</f>
        <v>ICIC0001126</v>
      </c>
      <c r="Q202" s="77"/>
      <c r="R202" s="73"/>
      <c r="S202" s="77"/>
      <c r="T202" s="70"/>
      <c r="U202" s="78"/>
      <c r="V202" s="70" t="str">
        <f t="shared" si="4"/>
        <v>FY 25-26</v>
      </c>
      <c r="W202" s="23"/>
      <c r="X202" s="23"/>
    </row>
    <row r="203">
      <c r="A203" s="70" t="s">
        <v>677</v>
      </c>
      <c r="B203" s="70" t="str">
        <f>IF($A$3=" "," ", IFERROR( VLOOKUP($A203,'SUPPLIER DATA BASE'!$A$2:$M$936,3,0),""))</f>
        <v>-</v>
      </c>
      <c r="C203" s="70" t="str">
        <f>IF($A$3=" "," ", IFERROR( VLOOKUP($A203,'SUPPLIER DATA BASE'!$A$2:$F$936,6,0),""))</f>
        <v>-</v>
      </c>
      <c r="D203" s="70" t="str">
        <f>IF($A$3=" "," ", IFERROR( VLOOKUP($A203,'SUPPLIER DATA BASE'!$A$2:$G$936,4,0),""))</f>
        <v>-</v>
      </c>
      <c r="E203" s="71" t="str">
        <f>IF($A$3=" "," ", IFERROR( VLOOKUP($A203,'SUPPLIER DATA BASE'!$A$2:$H$936,5,0),""))</f>
        <v>-</v>
      </c>
      <c r="F203" s="72" t="s">
        <v>1237</v>
      </c>
      <c r="G203" s="73">
        <v>46070.0</v>
      </c>
      <c r="H203" s="74">
        <v>95.0</v>
      </c>
      <c r="I203" s="75">
        <v>197781.0</v>
      </c>
      <c r="J203" s="76" t="s">
        <v>1238</v>
      </c>
      <c r="K203" s="70" t="s">
        <v>349</v>
      </c>
      <c r="L203" s="73"/>
      <c r="M203" s="70" t="str">
        <f t="shared" si="3"/>
        <v>118 Days</v>
      </c>
      <c r="N203" s="70" t="str">
        <f>IF($A$3=" "," ", IFERROR( VLOOKUP($A203,'SUPPLIER DATA BASE'!$A$2:$O$936,11,0),""))</f>
        <v>SARAOGI SUPER SALES PVT LTD</v>
      </c>
      <c r="O203" s="70" t="str">
        <f>IF($A$3=" "," ", IFERROR( VLOOKUP($A203,'SUPPLIER DATA BASE'!$A$2:$O$936,12,0),""))</f>
        <v>SASUSP011006</v>
      </c>
      <c r="P203" s="70" t="str">
        <f>IF($A$3=" "," ", IFERROR( VLOOKUP($A203,'SUPPLIER DATA BASE'!$A$2:$O$936,13,0),""))</f>
        <v>ICIC0000106</v>
      </c>
      <c r="Q203" s="77"/>
      <c r="R203" s="73"/>
      <c r="S203" s="77"/>
      <c r="T203" s="70"/>
      <c r="U203" s="78"/>
      <c r="V203" s="70" t="str">
        <f t="shared" si="4"/>
        <v>FY 25-26</v>
      </c>
      <c r="W203" s="23"/>
      <c r="X203" s="23"/>
    </row>
    <row r="204">
      <c r="A204" s="70" t="s">
        <v>596</v>
      </c>
      <c r="B204" s="70" t="str">
        <f>IF($A$3=" "," ", IFERROR( VLOOKUP($A204,'SUPPLIER DATA BASE'!$A$2:$M$936,3,0),""))</f>
        <v>JOCKEY</v>
      </c>
      <c r="C204" s="70" t="str">
        <f>IF($A$3=" "," ", IFERROR( VLOOKUP($A204,'SUPPLIER DATA BASE'!$A$2:$F$936,6,0),""))</f>
        <v>DIRECT</v>
      </c>
      <c r="D204" s="70">
        <f>IF($A$3=" "," ", IFERROR( VLOOKUP($A204,'SUPPLIER DATA BASE'!$A$2:$G$936,4,0),""))</f>
        <v>21</v>
      </c>
      <c r="E204" s="71">
        <f>IF($A$3=" "," ", IFERROR( VLOOKUP($A204,'SUPPLIER DATA BASE'!$A$2:$H$936,5,0),""))</f>
        <v>0.02</v>
      </c>
      <c r="F204" s="72" t="s">
        <v>1239</v>
      </c>
      <c r="G204" s="73">
        <v>46071.0</v>
      </c>
      <c r="H204" s="74">
        <v>30.0</v>
      </c>
      <c r="I204" s="75">
        <v>8430.0</v>
      </c>
      <c r="J204" s="76" t="s">
        <v>1240</v>
      </c>
      <c r="K204" s="70" t="s">
        <v>349</v>
      </c>
      <c r="L204" s="70" t="s">
        <v>349</v>
      </c>
      <c r="M204" s="70" t="str">
        <f t="shared" si="3"/>
        <v>117 Days</v>
      </c>
      <c r="N204" s="70" t="str">
        <f>IF($A$3=" "," ", IFERROR( VLOOKUP($A204,'SUPPLIER DATA BASE'!$A$2:$O$936,11,0),""))</f>
        <v>NARVADA TEXTILES</v>
      </c>
      <c r="O204" s="70" t="str">
        <f>IF($A$3=" "," ", IFERROR( VLOOKUP($A204,'SUPPLIER DATA BASE'!$A$2:$O$936,12,0),""))</f>
        <v>72610200000442</v>
      </c>
      <c r="P204" s="70" t="str">
        <f>IF($A$3=" "," ", IFERROR( VLOOKUP($A204,'SUPPLIER DATA BASE'!$A$2:$O$936,13,0),""))</f>
        <v>BARB0DBRANC</v>
      </c>
      <c r="Q204" s="77"/>
      <c r="R204" s="73"/>
      <c r="S204" s="77"/>
      <c r="T204" s="70"/>
      <c r="U204" s="78"/>
      <c r="V204" s="70" t="str">
        <f t="shared" si="4"/>
        <v>FY 25-26</v>
      </c>
      <c r="W204" s="23"/>
      <c r="X204" s="23"/>
    </row>
    <row r="205">
      <c r="A205" s="70" t="s">
        <v>756</v>
      </c>
      <c r="B205" s="70" t="str">
        <f>IF($A$3=" "," ", IFERROR( VLOOKUP($A205,'SUPPLIER DATA BASE'!$A$2:$M$936,3,0),""))</f>
        <v>JOCKEY</v>
      </c>
      <c r="C205" s="70" t="str">
        <f>IF($A$3=" "," ", IFERROR( VLOOKUP($A205,'SUPPLIER DATA BASE'!$A$2:$F$936,6,0),""))</f>
        <v>DIRECT</v>
      </c>
      <c r="D205" s="70">
        <f>IF($A$3=" "," ", IFERROR( VLOOKUP($A205,'SUPPLIER DATA BASE'!$A$2:$G$936,4,0),""))</f>
        <v>15</v>
      </c>
      <c r="E205" s="71">
        <f>IF($A$3=" "," ", IFERROR( VLOOKUP($A205,'SUPPLIER DATA BASE'!$A$2:$H$936,5,0),""))</f>
        <v>0.02</v>
      </c>
      <c r="F205" s="72" t="s">
        <v>1241</v>
      </c>
      <c r="G205" s="73">
        <v>46071.0</v>
      </c>
      <c r="H205" s="74">
        <v>30.0</v>
      </c>
      <c r="I205" s="75">
        <v>7354.0</v>
      </c>
      <c r="J205" s="76" t="s">
        <v>1242</v>
      </c>
      <c r="K205" s="70" t="s">
        <v>349</v>
      </c>
      <c r="L205" s="70" t="s">
        <v>349</v>
      </c>
      <c r="M205" s="70" t="str">
        <f t="shared" si="3"/>
        <v>117 Days</v>
      </c>
      <c r="N205" s="70" t="str">
        <f>IF($A$3=" "," ", IFERROR( VLOOKUP($A205,'SUPPLIER DATA BASE'!$A$2:$O$936,11,0),""))</f>
        <v>-</v>
      </c>
      <c r="O205" s="70" t="str">
        <f>IF($A$3=" "," ", IFERROR( VLOOKUP($A205,'SUPPLIER DATA BASE'!$A$2:$O$936,12,0),""))</f>
        <v>-</v>
      </c>
      <c r="P205" s="70" t="str">
        <f>IF($A$3=" "," ", IFERROR( VLOOKUP($A205,'SUPPLIER DATA BASE'!$A$2:$O$936,13,0),""))</f>
        <v>-</v>
      </c>
      <c r="Q205" s="77"/>
      <c r="R205" s="73"/>
      <c r="S205" s="77"/>
      <c r="T205" s="70"/>
      <c r="U205" s="78"/>
      <c r="V205" s="70" t="str">
        <f t="shared" si="4"/>
        <v>FY 25-26</v>
      </c>
      <c r="W205" s="23"/>
      <c r="X205" s="23"/>
    </row>
    <row r="206">
      <c r="A206" s="70" t="s">
        <v>609</v>
      </c>
      <c r="B206" s="70" t="str">
        <f>IF($A$3=" "," ", IFERROR( VLOOKUP($A206,'SUPPLIER DATA BASE'!$A$2:$M$936,3,0),""))</f>
        <v>-</v>
      </c>
      <c r="C206" s="70" t="str">
        <f>IF($A$3=" "," ", IFERROR( VLOOKUP($A206,'SUPPLIER DATA BASE'!$A$2:$F$936,6,0),""))</f>
        <v>-</v>
      </c>
      <c r="D206" s="70" t="str">
        <f>IF($A$3=" "," ", IFERROR( VLOOKUP($A206,'SUPPLIER DATA BASE'!$A$2:$G$936,4,0),""))</f>
        <v>-</v>
      </c>
      <c r="E206" s="71" t="str">
        <f>IF($A$3=" "," ", IFERROR( VLOOKUP($A206,'SUPPLIER DATA BASE'!$A$2:$H$936,5,0),""))</f>
        <v>-</v>
      </c>
      <c r="F206" s="72">
        <v>23090.0</v>
      </c>
      <c r="G206" s="73">
        <v>46071.0</v>
      </c>
      <c r="H206" s="74">
        <v>8.0</v>
      </c>
      <c r="I206" s="75">
        <v>11856.0</v>
      </c>
      <c r="J206" s="76" t="s">
        <v>1243</v>
      </c>
      <c r="K206" s="70" t="s">
        <v>349</v>
      </c>
      <c r="L206" s="70" t="s">
        <v>349</v>
      </c>
      <c r="M206" s="70" t="str">
        <f t="shared" si="3"/>
        <v>117 Days</v>
      </c>
      <c r="N206" s="70" t="str">
        <f>IF($A$3=" "," ", IFERROR( VLOOKUP($A206,'SUPPLIER DATA BASE'!$A$2:$O$936,11,0),""))</f>
        <v>P R MODI AND SONS</v>
      </c>
      <c r="O206" s="70" t="str">
        <f>IF($A$3=" "," ", IFERROR( VLOOKUP($A206,'SUPPLIER DATA BASE'!$A$2:$O$936,12,0),""))</f>
        <v>490930150000030</v>
      </c>
      <c r="P206" s="70" t="str">
        <f>IF($A$3=" "," ", IFERROR( VLOOKUP($A206,'SUPPLIER DATA BASE'!$A$2:$O$936,13,0),""))</f>
        <v>BKID0004909</v>
      </c>
      <c r="Q206" s="77"/>
      <c r="R206" s="73"/>
      <c r="S206" s="77"/>
      <c r="T206" s="70"/>
      <c r="U206" s="78"/>
      <c r="V206" s="70" t="str">
        <f t="shared" si="4"/>
        <v>FY 25-26</v>
      </c>
      <c r="W206" s="23"/>
      <c r="X206" s="23"/>
    </row>
    <row r="207">
      <c r="A207" s="70" t="s">
        <v>348</v>
      </c>
      <c r="B207" s="70" t="str">
        <f>IF($A$3=" "," ", IFERROR( VLOOKUP($A207,'SUPPLIER DATA BASE'!$A$2:$M$936,3,0),""))</f>
        <v>-</v>
      </c>
      <c r="C207" s="70" t="str">
        <f>IF($A$3=" "," ", IFERROR( VLOOKUP($A207,'SUPPLIER DATA BASE'!$A$2:$F$936,6,0),""))</f>
        <v>-</v>
      </c>
      <c r="D207" s="70" t="str">
        <f>IF($A$3=" "," ", IFERROR( VLOOKUP($A207,'SUPPLIER DATA BASE'!$A$2:$G$936,4,0),""))</f>
        <v>-</v>
      </c>
      <c r="E207" s="71" t="str">
        <f>IF($A$3=" "," ", IFERROR( VLOOKUP($A207,'SUPPLIER DATA BASE'!$A$2:$H$936,5,0),""))</f>
        <v>-</v>
      </c>
      <c r="F207" s="72" t="s">
        <v>1244</v>
      </c>
      <c r="G207" s="73">
        <v>46071.0</v>
      </c>
      <c r="H207" s="74">
        <v>53.0</v>
      </c>
      <c r="I207" s="75">
        <v>24640.0</v>
      </c>
      <c r="J207" s="76" t="s">
        <v>1245</v>
      </c>
      <c r="K207" s="70" t="s">
        <v>349</v>
      </c>
      <c r="L207" s="70" t="s">
        <v>349</v>
      </c>
      <c r="M207" s="70" t="str">
        <f t="shared" si="3"/>
        <v>117 Days</v>
      </c>
      <c r="N207" s="70" t="str">
        <f>IF($A$3=" "," ", IFERROR( VLOOKUP($A207,'SUPPLIER DATA BASE'!$A$2:$O$936,11,0),""))</f>
        <v>-</v>
      </c>
      <c r="O207" s="70" t="str">
        <f>IF($A$3=" "," ", IFERROR( VLOOKUP($A207,'SUPPLIER DATA BASE'!$A$2:$O$936,12,0),""))</f>
        <v>-</v>
      </c>
      <c r="P207" s="70" t="str">
        <f>IF($A$3=" "," ", IFERROR( VLOOKUP($A207,'SUPPLIER DATA BASE'!$A$2:$O$936,13,0),""))</f>
        <v>-</v>
      </c>
      <c r="Q207" s="77"/>
      <c r="R207" s="73"/>
      <c r="S207" s="77"/>
      <c r="T207" s="70"/>
      <c r="U207" s="78"/>
      <c r="V207" s="70" t="str">
        <f t="shared" si="4"/>
        <v>FY 25-26</v>
      </c>
      <c r="W207" s="23"/>
      <c r="X207" s="23"/>
    </row>
    <row r="208">
      <c r="A208" s="70" t="s">
        <v>406</v>
      </c>
      <c r="B208" s="70" t="str">
        <f>IF($A$3=" "," ", IFERROR( VLOOKUP($A208,'SUPPLIER DATA BASE'!$A$2:$M$936,3,0),""))</f>
        <v>SWEET DREAMS</v>
      </c>
      <c r="C208" s="70" t="str">
        <f>IF($A$3=" "," ", IFERROR( VLOOKUP($A208,'SUPPLIER DATA BASE'!$A$2:$F$936,6,0),""))</f>
        <v>-</v>
      </c>
      <c r="D208" s="70" t="str">
        <f>IF($A$3=" "," ", IFERROR( VLOOKUP($A208,'SUPPLIER DATA BASE'!$A$2:$G$936,4,0),""))</f>
        <v>NO</v>
      </c>
      <c r="E208" s="71" t="str">
        <f>IF($A$3=" "," ", IFERROR( VLOOKUP($A208,'SUPPLIER DATA BASE'!$A$2:$H$936,5,0),""))</f>
        <v>-</v>
      </c>
      <c r="F208" s="72" t="s">
        <v>1246</v>
      </c>
      <c r="G208" s="73">
        <v>46072.0</v>
      </c>
      <c r="H208" s="74">
        <v>110.0</v>
      </c>
      <c r="I208" s="75">
        <v>80235.0</v>
      </c>
      <c r="J208" s="76" t="s">
        <v>1247</v>
      </c>
      <c r="K208" s="70" t="s">
        <v>349</v>
      </c>
      <c r="L208" s="70" t="s">
        <v>349</v>
      </c>
      <c r="M208" s="70" t="str">
        <f t="shared" si="3"/>
        <v>116 Days</v>
      </c>
      <c r="N208" s="70" t="str">
        <f>IF($A$3=" "," ", IFERROR( VLOOKUP($A208,'SUPPLIER DATA BASE'!$A$2:$O$936,11,0),""))</f>
        <v>D D APPARELS</v>
      </c>
      <c r="O208" s="70" t="str">
        <f>IF($A$3=" "," ", IFERROR( VLOOKUP($A208,'SUPPLIER DATA BASE'!$A$2:$O$936,12,0),""))</f>
        <v>029205007835</v>
      </c>
      <c r="P208" s="70" t="str">
        <f>IF($A$3=" "," ", IFERROR( VLOOKUP($A208,'SUPPLIER DATA BASE'!$A$2:$O$936,13,0),""))</f>
        <v>ICIC0000292</v>
      </c>
      <c r="Q208" s="77"/>
      <c r="R208" s="73"/>
      <c r="S208" s="77"/>
      <c r="T208" s="70"/>
      <c r="U208" s="78"/>
      <c r="V208" s="70" t="str">
        <f t="shared" si="4"/>
        <v>FY 25-26</v>
      </c>
      <c r="W208" s="23"/>
      <c r="X208" s="23"/>
    </row>
    <row r="209">
      <c r="A209" s="70" t="s">
        <v>783</v>
      </c>
      <c r="B209" s="70" t="str">
        <f>IF($A$3=" "," ", IFERROR( VLOOKUP($A209,'SUPPLIER DATA BASE'!$A$2:$M$936,3,0),""))</f>
        <v>JOCKEY</v>
      </c>
      <c r="C209" s="70" t="str">
        <f>IF($A$3=" "," ", IFERROR( VLOOKUP($A209,'SUPPLIER DATA BASE'!$A$2:$F$936,6,0),""))</f>
        <v>DIRECT</v>
      </c>
      <c r="D209" s="70">
        <f>IF($A$3=" "," ", IFERROR( VLOOKUP($A209,'SUPPLIER DATA BASE'!$A$2:$G$936,4,0),""))</f>
        <v>21</v>
      </c>
      <c r="E209" s="71">
        <f>IF($A$3=" "," ", IFERROR( VLOOKUP($A209,'SUPPLIER DATA BASE'!$A$2:$H$936,5,0),""))</f>
        <v>0.02</v>
      </c>
      <c r="F209" s="72" t="s">
        <v>1248</v>
      </c>
      <c r="G209" s="73">
        <v>46072.0</v>
      </c>
      <c r="H209" s="74">
        <v>70.0</v>
      </c>
      <c r="I209" s="75">
        <v>28274.0</v>
      </c>
      <c r="J209" s="76" t="s">
        <v>1249</v>
      </c>
      <c r="K209" s="70" t="s">
        <v>349</v>
      </c>
      <c r="L209" s="70" t="s">
        <v>349</v>
      </c>
      <c r="M209" s="70" t="str">
        <f t="shared" si="3"/>
        <v>116 Days</v>
      </c>
      <c r="N209" s="70" t="str">
        <f>IF($A$3=" "," ", IFERROR( VLOOKUP($A209,'SUPPLIER DATA BASE'!$A$2:$O$936,11,0),""))</f>
        <v>V N TEXTILE</v>
      </c>
      <c r="O209" s="70" t="str">
        <f>IF($A$3=" "," ", IFERROR( VLOOKUP($A209,'SUPPLIER DATA BASE'!$A$2:$O$936,12,0),""))</f>
        <v>252005000323</v>
      </c>
      <c r="P209" s="70" t="str">
        <f>IF($A$3=" "," ", IFERROR( VLOOKUP($A209,'SUPPLIER DATA BASE'!$A$2:$O$936,13,0),""))</f>
        <v>ICIC0002520</v>
      </c>
      <c r="Q209" s="77">
        <v>27709.0</v>
      </c>
      <c r="R209" s="73">
        <v>46105.0</v>
      </c>
      <c r="S209" s="77">
        <v>565.0</v>
      </c>
      <c r="T209" s="70"/>
      <c r="U209" s="78"/>
      <c r="V209" s="70" t="str">
        <f t="shared" si="4"/>
        <v>FY 25-26</v>
      </c>
      <c r="W209" s="23"/>
      <c r="X209" s="23"/>
    </row>
    <row r="210">
      <c r="A210" s="70" t="s">
        <v>692</v>
      </c>
      <c r="B210" s="70" t="str">
        <f>IF($A$3=" "," ", IFERROR( VLOOKUP($A210,'SUPPLIER DATA BASE'!$A$2:$M$936,3,0),""))</f>
        <v>JOCKEY</v>
      </c>
      <c r="C210" s="70" t="str">
        <f>IF($A$3=" "," ", IFERROR( VLOOKUP($A210,'SUPPLIER DATA BASE'!$A$2:$F$936,6,0),""))</f>
        <v>DIRECT</v>
      </c>
      <c r="D210" s="70">
        <f>IF($A$3=" "," ", IFERROR( VLOOKUP($A210,'SUPPLIER DATA BASE'!$A$2:$G$936,4,0),""))</f>
        <v>30</v>
      </c>
      <c r="E210" s="71">
        <f>IF($A$3=" "," ", IFERROR( VLOOKUP($A210,'SUPPLIER DATA BASE'!$A$2:$H$936,5,0),""))</f>
        <v>2</v>
      </c>
      <c r="F210" s="72" t="s">
        <v>1250</v>
      </c>
      <c r="G210" s="73">
        <v>46072.0</v>
      </c>
      <c r="H210" s="74">
        <v>83.0</v>
      </c>
      <c r="I210" s="75">
        <v>36319.0</v>
      </c>
      <c r="J210" s="76" t="s">
        <v>1251</v>
      </c>
      <c r="K210" s="70" t="s">
        <v>349</v>
      </c>
      <c r="L210" s="70" t="s">
        <v>349</v>
      </c>
      <c r="M210" s="70" t="str">
        <f t="shared" si="3"/>
        <v>116 Days</v>
      </c>
      <c r="N210" s="70" t="str">
        <f>IF($A$3=" "," ", IFERROR( VLOOKUP($A210,'SUPPLIER DATA BASE'!$A$2:$O$936,11,0),""))</f>
        <v>SHREE NARAYANI ENTERPRISE</v>
      </c>
      <c r="O210" s="70" t="str">
        <f>IF($A$3=" "," ", IFERROR( VLOOKUP($A210,'SUPPLIER DATA BASE'!$A$2:$O$936,12,0),""))</f>
        <v>29205005382</v>
      </c>
      <c r="P210" s="70" t="str">
        <f>IF($A$3=" "," ", IFERROR( VLOOKUP($A210,'SUPPLIER DATA BASE'!$A$2:$O$936,13,0),""))</f>
        <v>ICIC0000292</v>
      </c>
      <c r="Q210" s="77">
        <v>33273.0</v>
      </c>
      <c r="R210" s="73"/>
      <c r="S210" s="77">
        <v>902.0</v>
      </c>
      <c r="T210" s="70">
        <v>2145.0</v>
      </c>
      <c r="U210" s="84"/>
      <c r="V210" s="70" t="str">
        <f t="shared" si="4"/>
        <v>FY 25-26</v>
      </c>
      <c r="W210" s="23"/>
      <c r="X210" s="23"/>
    </row>
    <row r="211">
      <c r="A211" s="70" t="s">
        <v>406</v>
      </c>
      <c r="B211" s="70" t="str">
        <f>IF($A$3=" "," ", IFERROR( VLOOKUP($A211,'SUPPLIER DATA BASE'!$A$2:$M$936,3,0),""))</f>
        <v>SWEET DREAMS</v>
      </c>
      <c r="C211" s="70" t="str">
        <f>IF($A$3=" "," ", IFERROR( VLOOKUP($A211,'SUPPLIER DATA BASE'!$A$2:$F$936,6,0),""))</f>
        <v>-</v>
      </c>
      <c r="D211" s="70" t="str">
        <f>IF($A$3=" "," ", IFERROR( VLOOKUP($A211,'SUPPLIER DATA BASE'!$A$2:$G$936,4,0),""))</f>
        <v>NO</v>
      </c>
      <c r="E211" s="71" t="str">
        <f>IF($A$3=" "," ", IFERROR( VLOOKUP($A211,'SUPPLIER DATA BASE'!$A$2:$H$936,5,0),""))</f>
        <v>-</v>
      </c>
      <c r="F211" s="72" t="s">
        <v>1252</v>
      </c>
      <c r="G211" s="73">
        <v>46072.0</v>
      </c>
      <c r="H211" s="74">
        <v>104.0</v>
      </c>
      <c r="I211" s="75">
        <v>91165.0</v>
      </c>
      <c r="J211" s="76" t="s">
        <v>1253</v>
      </c>
      <c r="K211" s="70" t="s">
        <v>349</v>
      </c>
      <c r="L211" s="70" t="s">
        <v>349</v>
      </c>
      <c r="M211" s="70" t="str">
        <f t="shared" si="3"/>
        <v>116 Days</v>
      </c>
      <c r="N211" s="70" t="str">
        <f>IF($A$3=" "," ", IFERROR( VLOOKUP($A211,'SUPPLIER DATA BASE'!$A$2:$O$936,11,0),""))</f>
        <v>D D APPARELS</v>
      </c>
      <c r="O211" s="70" t="str">
        <f>IF($A$3=" "," ", IFERROR( VLOOKUP($A211,'SUPPLIER DATA BASE'!$A$2:$O$936,12,0),""))</f>
        <v>029205007835</v>
      </c>
      <c r="P211" s="70" t="str">
        <f>IF($A$3=" "," ", IFERROR( VLOOKUP($A211,'SUPPLIER DATA BASE'!$A$2:$O$936,13,0),""))</f>
        <v>ICIC0000292</v>
      </c>
      <c r="Q211" s="77"/>
      <c r="R211" s="73"/>
      <c r="S211" s="77"/>
      <c r="T211" s="70"/>
      <c r="U211" s="78"/>
      <c r="V211" s="70" t="str">
        <f t="shared" si="4"/>
        <v>FY 25-26</v>
      </c>
      <c r="W211" s="23"/>
      <c r="X211" s="23"/>
    </row>
    <row r="212">
      <c r="A212" s="70" t="s">
        <v>475</v>
      </c>
      <c r="B212" s="70" t="str">
        <f>IF($A$3=" "," ", IFERROR( VLOOKUP($A212,'SUPPLIER DATA BASE'!$A$2:$M$936,3,0),""))</f>
        <v>-</v>
      </c>
      <c r="C212" s="70" t="str">
        <f>IF($A$3=" "," ", IFERROR( VLOOKUP($A212,'SUPPLIER DATA BASE'!$A$2:$F$936,6,0),""))</f>
        <v>-</v>
      </c>
      <c r="D212" s="70" t="str">
        <f>IF($A$3=" "," ", IFERROR( VLOOKUP($A212,'SUPPLIER DATA BASE'!$A$2:$G$936,4,0),""))</f>
        <v>-</v>
      </c>
      <c r="E212" s="71" t="str">
        <f>IF($A$3=" "," ", IFERROR( VLOOKUP($A212,'SUPPLIER DATA BASE'!$A$2:$H$936,5,0),""))</f>
        <v>-</v>
      </c>
      <c r="F212" s="72" t="s">
        <v>1254</v>
      </c>
      <c r="G212" s="73">
        <v>46072.0</v>
      </c>
      <c r="H212" s="74">
        <v>43.0</v>
      </c>
      <c r="I212" s="75">
        <v>34000.0</v>
      </c>
      <c r="J212" s="76" t="s">
        <v>1255</v>
      </c>
      <c r="K212" s="70" t="s">
        <v>349</v>
      </c>
      <c r="L212" s="70" t="s">
        <v>349</v>
      </c>
      <c r="M212" s="70" t="str">
        <f t="shared" si="3"/>
        <v>116 Days</v>
      </c>
      <c r="N212" s="70" t="str">
        <f>IF($A$3=" "," ", IFERROR( VLOOKUP($A212,'SUPPLIER DATA BASE'!$A$2:$O$936,11,0),""))</f>
        <v>-</v>
      </c>
      <c r="O212" s="70" t="str">
        <f>IF($A$3=" "," ", IFERROR( VLOOKUP($A212,'SUPPLIER DATA BASE'!$A$2:$O$936,12,0),""))</f>
        <v>-</v>
      </c>
      <c r="P212" s="70" t="str">
        <f>IF($A$3=" "," ", IFERROR( VLOOKUP($A212,'SUPPLIER DATA BASE'!$A$2:$O$936,13,0),""))</f>
        <v>-</v>
      </c>
      <c r="Q212" s="77"/>
      <c r="R212" s="73"/>
      <c r="S212" s="77"/>
      <c r="T212" s="70"/>
      <c r="U212" s="78"/>
      <c r="V212" s="70" t="str">
        <f t="shared" si="4"/>
        <v>FY 25-26</v>
      </c>
      <c r="W212" s="23"/>
      <c r="X212" s="23"/>
    </row>
    <row r="213">
      <c r="A213" s="70" t="s">
        <v>402</v>
      </c>
      <c r="B213" s="70" t="str">
        <f>IF($A$3=" "," ", IFERROR( VLOOKUP($A213,'SUPPLIER DATA BASE'!$A$2:$M$936,3,0),""))</f>
        <v>KHUSHAL/STATUS QUO</v>
      </c>
      <c r="C213" s="70" t="str">
        <f>IF($A$3=" "," ", IFERROR( VLOOKUP($A213,'SUPPLIER DATA BASE'!$A$2:$F$936,6,0),""))</f>
        <v>-</v>
      </c>
      <c r="D213" s="70" t="str">
        <f>IF($A$3=" "," ", IFERROR( VLOOKUP($A213,'SUPPLIER DATA BASE'!$A$2:$G$936,4,0),""))</f>
        <v>-</v>
      </c>
      <c r="E213" s="71" t="str">
        <f>IF($A$3=" "," ", IFERROR( VLOOKUP($A213,'SUPPLIER DATA BASE'!$A$2:$H$936,5,0),""))</f>
        <v>-</v>
      </c>
      <c r="F213" s="72" t="s">
        <v>1256</v>
      </c>
      <c r="G213" s="73">
        <v>46072.0</v>
      </c>
      <c r="H213" s="74">
        <v>52.0</v>
      </c>
      <c r="I213" s="75">
        <v>53286.0</v>
      </c>
      <c r="J213" s="76" t="s">
        <v>1257</v>
      </c>
      <c r="K213" s="70" t="s">
        <v>349</v>
      </c>
      <c r="L213" s="70" t="s">
        <v>349</v>
      </c>
      <c r="M213" s="70" t="str">
        <f t="shared" si="3"/>
        <v>116 Days</v>
      </c>
      <c r="N213" s="70" t="str">
        <f>IF($A$3=" "," ", IFERROR( VLOOKUP($A213,'SUPPLIER DATA BASE'!$A$2:$O$936,11,0),""))</f>
        <v>D APPAREL</v>
      </c>
      <c r="O213" s="70" t="str">
        <f>IF($A$3=" "," ", IFERROR( VLOOKUP($A213,'SUPPLIER DATA BASE'!$A$2:$O$936,12,0),""))</f>
        <v>722501010050397</v>
      </c>
      <c r="P213" s="70" t="str">
        <f>IF($A$3=" "," ", IFERROR( VLOOKUP($A213,'SUPPLIER DATA BASE'!$A$2:$O$936,13,0),""))</f>
        <v>UBIN0572250</v>
      </c>
      <c r="Q213" s="77"/>
      <c r="R213" s="73"/>
      <c r="S213" s="77"/>
      <c r="T213" s="70"/>
      <c r="U213" s="78"/>
      <c r="V213" s="70" t="str">
        <f t="shared" si="4"/>
        <v>FY 25-26</v>
      </c>
      <c r="W213" s="23"/>
      <c r="X213" s="23"/>
    </row>
    <row r="214">
      <c r="A214" s="70" t="s">
        <v>354</v>
      </c>
      <c r="B214" s="70" t="str">
        <f>IF($A$3=" "," ", IFERROR( VLOOKUP($A214,'SUPPLIER DATA BASE'!$A$2:$M$936,3,0),""))</f>
        <v>-</v>
      </c>
      <c r="C214" s="70" t="str">
        <f>IF($A$3=" "," ", IFERROR( VLOOKUP($A214,'SUPPLIER DATA BASE'!$A$2:$F$936,6,0),""))</f>
        <v>-</v>
      </c>
      <c r="D214" s="70" t="str">
        <f>IF($A$3=" "," ", IFERROR( VLOOKUP($A214,'SUPPLIER DATA BASE'!$A$2:$G$936,4,0),""))</f>
        <v>-</v>
      </c>
      <c r="E214" s="71" t="str">
        <f>IF($A$3=" "," ", IFERROR( VLOOKUP($A214,'SUPPLIER DATA BASE'!$A$2:$H$936,5,0),""))</f>
        <v>-</v>
      </c>
      <c r="F214" s="72" t="s">
        <v>1258</v>
      </c>
      <c r="G214" s="73">
        <v>46072.0</v>
      </c>
      <c r="H214" s="74">
        <v>198.0</v>
      </c>
      <c r="I214" s="75">
        <v>287387.75</v>
      </c>
      <c r="J214" s="76" t="s">
        <v>1259</v>
      </c>
      <c r="K214" s="70" t="s">
        <v>349</v>
      </c>
      <c r="L214" s="70" t="s">
        <v>349</v>
      </c>
      <c r="M214" s="70" t="str">
        <f t="shared" si="3"/>
        <v>116 Days</v>
      </c>
      <c r="N214" s="70" t="str">
        <f>IF($A$3=" "," ", IFERROR( VLOOKUP($A214,'SUPPLIER DATA BASE'!$A$2:$O$936,11,0),""))</f>
        <v>-</v>
      </c>
      <c r="O214" s="70" t="str">
        <f>IF($A$3=" "," ", IFERROR( VLOOKUP($A214,'SUPPLIER DATA BASE'!$A$2:$O$936,12,0),""))</f>
        <v>-</v>
      </c>
      <c r="P214" s="70" t="str">
        <f>IF($A$3=" "," ", IFERROR( VLOOKUP($A214,'SUPPLIER DATA BASE'!$A$2:$O$936,13,0),""))</f>
        <v>-</v>
      </c>
      <c r="Q214" s="77"/>
      <c r="R214" s="73"/>
      <c r="S214" s="77"/>
      <c r="T214" s="70"/>
      <c r="U214" s="78"/>
      <c r="V214" s="70" t="str">
        <f t="shared" si="4"/>
        <v>FY 25-26</v>
      </c>
      <c r="W214" s="23"/>
      <c r="X214" s="23"/>
    </row>
    <row r="215">
      <c r="A215" s="70" t="s">
        <v>833</v>
      </c>
      <c r="B215" s="70" t="str">
        <f>IF($A$3=" "," ", IFERROR( VLOOKUP($A215,'SUPPLIER DATA BASE'!$A$2:$M$936,3,0),""))</f>
        <v/>
      </c>
      <c r="C215" s="70" t="str">
        <f>IF($A$3=" "," ", IFERROR( VLOOKUP($A215,'SUPPLIER DATA BASE'!$A$2:$F$936,6,0),""))</f>
        <v>SUNRISE AGENCY</v>
      </c>
      <c r="D215" s="70">
        <f>IF($A$3=" "," ", IFERROR( VLOOKUP($A215,'SUPPLIER DATA BASE'!$A$2:$G$936,4,0),""))</f>
        <v>30</v>
      </c>
      <c r="E215" s="71">
        <f>IF($A$3=" "," ", IFERROR( VLOOKUP($A215,'SUPPLIER DATA BASE'!$A$2:$H$936,5,0),""))</f>
        <v>0.05</v>
      </c>
      <c r="F215" s="72" t="s">
        <v>1260</v>
      </c>
      <c r="G215" s="73">
        <v>46072.0</v>
      </c>
      <c r="H215" s="74">
        <v>20.0</v>
      </c>
      <c r="I215" s="75">
        <v>31517.0</v>
      </c>
      <c r="J215" s="76" t="s">
        <v>1261</v>
      </c>
      <c r="K215" s="70" t="s">
        <v>349</v>
      </c>
      <c r="L215" s="70" t="s">
        <v>349</v>
      </c>
      <c r="M215" s="70" t="str">
        <f t="shared" si="3"/>
        <v>116 Days</v>
      </c>
      <c r="N215" s="70" t="str">
        <f>IF($A$3=" "," ", IFERROR( VLOOKUP($A215,'SUPPLIER DATA BASE'!$A$2:$O$936,11,0),""))</f>
        <v>SIDDHI CLOTHING CO.</v>
      </c>
      <c r="O215" s="70" t="str">
        <f>IF($A$3=" "," ", IFERROR( VLOOKUP($A215,'SUPPLIER DATA BASE'!$A$2:$O$936,12,0),""))</f>
        <v>50200008024296</v>
      </c>
      <c r="P215" s="70" t="str">
        <f>IF($A$3=" "," ", IFERROR( VLOOKUP($A215,'SUPPLIER DATA BASE'!$A$2:$O$936,13,0),""))</f>
        <v>HDFC0001119</v>
      </c>
      <c r="Q215" s="77">
        <v>30016.0</v>
      </c>
      <c r="R215" s="73">
        <v>46101.0</v>
      </c>
      <c r="S215" s="77">
        <v>1801.0</v>
      </c>
      <c r="T215" s="70"/>
      <c r="U215" s="78"/>
      <c r="V215" s="70" t="str">
        <f t="shared" si="4"/>
        <v>FY 25-26</v>
      </c>
      <c r="W215" s="23"/>
      <c r="X215" s="23"/>
    </row>
    <row r="216">
      <c r="A216" s="70" t="s">
        <v>677</v>
      </c>
      <c r="B216" s="70" t="str">
        <f>IF($A$3=" "," ", IFERROR( VLOOKUP($A216,'SUPPLIER DATA BASE'!$A$2:$M$936,3,0),""))</f>
        <v>-</v>
      </c>
      <c r="C216" s="70" t="str">
        <f>IF($A$3=" "," ", IFERROR( VLOOKUP($A216,'SUPPLIER DATA BASE'!$A$2:$F$936,6,0),""))</f>
        <v>-</v>
      </c>
      <c r="D216" s="70" t="str">
        <f>IF($A$3=" "," ", IFERROR( VLOOKUP($A216,'SUPPLIER DATA BASE'!$A$2:$G$936,4,0),""))</f>
        <v>-</v>
      </c>
      <c r="E216" s="71" t="str">
        <f>IF($A$3=" "," ", IFERROR( VLOOKUP($A216,'SUPPLIER DATA BASE'!$A$2:$H$936,5,0),""))</f>
        <v>-</v>
      </c>
      <c r="F216" s="72" t="s">
        <v>1262</v>
      </c>
      <c r="G216" s="73">
        <v>46072.0</v>
      </c>
      <c r="H216" s="74">
        <v>29.0</v>
      </c>
      <c r="I216" s="75">
        <v>29705.0</v>
      </c>
      <c r="J216" s="76" t="s">
        <v>1263</v>
      </c>
      <c r="K216" s="70" t="s">
        <v>349</v>
      </c>
      <c r="L216" s="70" t="s">
        <v>349</v>
      </c>
      <c r="M216" s="70" t="str">
        <f t="shared" si="3"/>
        <v>116 Days</v>
      </c>
      <c r="N216" s="70" t="str">
        <f>IF($A$3=" "," ", IFERROR( VLOOKUP($A216,'SUPPLIER DATA BASE'!$A$2:$O$936,11,0),""))</f>
        <v>SARAOGI SUPER SALES PVT LTD</v>
      </c>
      <c r="O216" s="70" t="str">
        <f>IF($A$3=" "," ", IFERROR( VLOOKUP($A216,'SUPPLIER DATA BASE'!$A$2:$O$936,12,0),""))</f>
        <v>SASUSP011006</v>
      </c>
      <c r="P216" s="70" t="str">
        <f>IF($A$3=" "," ", IFERROR( VLOOKUP($A216,'SUPPLIER DATA BASE'!$A$2:$O$936,13,0),""))</f>
        <v>ICIC0000106</v>
      </c>
      <c r="Q216" s="77"/>
      <c r="R216" s="73"/>
      <c r="S216" s="77"/>
      <c r="T216" s="70"/>
      <c r="U216" s="78"/>
      <c r="V216" s="70" t="str">
        <f t="shared" si="4"/>
        <v>FY 25-26</v>
      </c>
      <c r="W216" s="23"/>
      <c r="X216" s="23"/>
    </row>
    <row r="217">
      <c r="A217" s="70" t="s">
        <v>370</v>
      </c>
      <c r="B217" s="70" t="str">
        <f>IF($A$3=" "," ", IFERROR( VLOOKUP($A217,'SUPPLIER DATA BASE'!$A$2:$M$936,3,0),""))</f>
        <v>-</v>
      </c>
      <c r="C217" s="70" t="str">
        <f>IF($A$3=" "," ", IFERROR( VLOOKUP($A217,'SUPPLIER DATA BASE'!$A$2:$F$936,6,0),""))</f>
        <v>SURYAM TEXTILE AGENCY</v>
      </c>
      <c r="D217" s="70">
        <f>IF($A$3=" "," ", IFERROR( VLOOKUP($A217,'SUPPLIER DATA BASE'!$A$2:$G$936,4,0),""))</f>
        <v>30</v>
      </c>
      <c r="E217" s="71">
        <f>IF($A$3=" "," ", IFERROR( VLOOKUP($A217,'SUPPLIER DATA BASE'!$A$2:$H$936,5,0),""))</f>
        <v>0.09</v>
      </c>
      <c r="F217" s="72">
        <v>318.0</v>
      </c>
      <c r="G217" s="73">
        <v>46072.0</v>
      </c>
      <c r="H217" s="74">
        <v>20.0</v>
      </c>
      <c r="I217" s="75">
        <v>16674.0</v>
      </c>
      <c r="J217" s="76" t="s">
        <v>1264</v>
      </c>
      <c r="K217" s="70" t="s">
        <v>349</v>
      </c>
      <c r="L217" s="70" t="s">
        <v>349</v>
      </c>
      <c r="M217" s="70" t="str">
        <f t="shared" si="3"/>
        <v>116 Days</v>
      </c>
      <c r="N217" s="70" t="str">
        <f>IF($A$3=" "," ", IFERROR( VLOOKUP($A217,'SUPPLIER DATA BASE'!$A$2:$O$936,11,0),""))</f>
        <v>AS TEXTILE</v>
      </c>
      <c r="O217" s="70" t="str">
        <f>IF($A$3=" "," ", IFERROR( VLOOKUP($A217,'SUPPLIER DATA BASE'!$A$2:$O$936,12,0),""))</f>
        <v>50200012846193</v>
      </c>
      <c r="P217" s="70" t="str">
        <f>IF($A$3=" "," ", IFERROR( VLOOKUP($A217,'SUPPLIER DATA BASE'!$A$2:$O$936,13,0),""))</f>
        <v>HDFC0001249</v>
      </c>
      <c r="Q217" s="77"/>
      <c r="R217" s="73"/>
      <c r="S217" s="77"/>
      <c r="T217" s="70"/>
      <c r="U217" s="78"/>
      <c r="V217" s="70" t="str">
        <f t="shared" si="4"/>
        <v>FY 25-26</v>
      </c>
      <c r="W217" s="23"/>
      <c r="X217" s="23"/>
    </row>
    <row r="218">
      <c r="A218" s="70" t="s">
        <v>354</v>
      </c>
      <c r="B218" s="70" t="str">
        <f>IF($A$3=" "," ", IFERROR( VLOOKUP($A218,'SUPPLIER DATA BASE'!$A$2:$M$936,3,0),""))</f>
        <v>-</v>
      </c>
      <c r="C218" s="70" t="str">
        <f>IF($A$3=" "," ", IFERROR( VLOOKUP($A218,'SUPPLIER DATA BASE'!$A$2:$F$936,6,0),""))</f>
        <v>-</v>
      </c>
      <c r="D218" s="70" t="str">
        <f>IF($A$3=" "," ", IFERROR( VLOOKUP($A218,'SUPPLIER DATA BASE'!$A$2:$G$936,4,0),""))</f>
        <v>-</v>
      </c>
      <c r="E218" s="71" t="str">
        <f>IF($A$3=" "," ", IFERROR( VLOOKUP($A218,'SUPPLIER DATA BASE'!$A$2:$H$936,5,0),""))</f>
        <v>-</v>
      </c>
      <c r="F218" s="72" t="s">
        <v>1265</v>
      </c>
      <c r="G218" s="73">
        <v>46072.0</v>
      </c>
      <c r="H218" s="74">
        <v>32.0</v>
      </c>
      <c r="I218" s="75">
        <v>45312.78</v>
      </c>
      <c r="J218" s="76" t="s">
        <v>1266</v>
      </c>
      <c r="K218" s="70" t="s">
        <v>349</v>
      </c>
      <c r="L218" s="70" t="s">
        <v>349</v>
      </c>
      <c r="M218" s="70" t="str">
        <f t="shared" si="3"/>
        <v>116 Days</v>
      </c>
      <c r="N218" s="70" t="str">
        <f>IF($A$3=" "," ", IFERROR( VLOOKUP($A218,'SUPPLIER DATA BASE'!$A$2:$O$936,11,0),""))</f>
        <v>-</v>
      </c>
      <c r="O218" s="70" t="str">
        <f>IF($A$3=" "," ", IFERROR( VLOOKUP($A218,'SUPPLIER DATA BASE'!$A$2:$O$936,12,0),""))</f>
        <v>-</v>
      </c>
      <c r="P218" s="70" t="str">
        <f>IF($A$3=" "," ", IFERROR( VLOOKUP($A218,'SUPPLIER DATA BASE'!$A$2:$O$936,13,0),""))</f>
        <v>-</v>
      </c>
      <c r="Q218" s="77"/>
      <c r="R218" s="73"/>
      <c r="S218" s="77"/>
      <c r="T218" s="70"/>
      <c r="U218" s="78"/>
      <c r="V218" s="70" t="str">
        <f t="shared" si="4"/>
        <v>FY 25-26</v>
      </c>
      <c r="W218" s="23"/>
      <c r="X218" s="23"/>
    </row>
    <row r="219">
      <c r="A219" s="70" t="s">
        <v>726</v>
      </c>
      <c r="B219" s="70" t="str">
        <f>IF($A$3=" "," ", IFERROR( VLOOKUP($A219,'SUPPLIER DATA BASE'!$A$2:$M$936,3,0),""))</f>
        <v>-</v>
      </c>
      <c r="C219" s="70" t="str">
        <f>IF($A$3=" "," ", IFERROR( VLOOKUP($A219,'SUPPLIER DATA BASE'!$A$2:$F$936,6,0),""))</f>
        <v>-</v>
      </c>
      <c r="D219" s="70" t="str">
        <f>IF($A$3=" "," ", IFERROR( VLOOKUP($A219,'SUPPLIER DATA BASE'!$A$2:$G$936,4,0),""))</f>
        <v>-</v>
      </c>
      <c r="E219" s="71" t="str">
        <f>IF($A$3=" "," ", IFERROR( VLOOKUP($A219,'SUPPLIER DATA BASE'!$A$2:$H$936,5,0),""))</f>
        <v>-</v>
      </c>
      <c r="F219" s="72">
        <v>1606.0</v>
      </c>
      <c r="G219" s="73">
        <v>46072.0</v>
      </c>
      <c r="H219" s="74">
        <v>104.0</v>
      </c>
      <c r="I219" s="75">
        <v>187194.0</v>
      </c>
      <c r="J219" s="76" t="s">
        <v>1267</v>
      </c>
      <c r="K219" s="70" t="s">
        <v>349</v>
      </c>
      <c r="L219" s="70" t="s">
        <v>349</v>
      </c>
      <c r="M219" s="70" t="str">
        <f t="shared" si="3"/>
        <v>116 Days</v>
      </c>
      <c r="N219" s="70" t="str">
        <f>IF($A$3=" "," ", IFERROR( VLOOKUP($A219,'SUPPLIER DATA BASE'!$A$2:$O$936,11,0),""))</f>
        <v>SIYA FASHION</v>
      </c>
      <c r="O219" s="70" t="str">
        <f>IF($A$3=" "," ", IFERROR( VLOOKUP($A219,'SUPPLIER DATA BASE'!$A$2:$O$936,12,0),""))</f>
        <v>0579102000010584</v>
      </c>
      <c r="P219" s="70" t="str">
        <f>IF($A$3=" "," ", IFERROR( VLOOKUP($A219,'SUPPLIER DATA BASE'!$A$2:$O$936,13,0),""))</f>
        <v>IBKL0000579</v>
      </c>
      <c r="Q219" s="77"/>
      <c r="R219" s="73"/>
      <c r="S219" s="77"/>
      <c r="T219" s="70"/>
      <c r="U219" s="78"/>
      <c r="V219" s="70" t="str">
        <f t="shared" si="4"/>
        <v>FY 25-26</v>
      </c>
      <c r="W219" s="23"/>
      <c r="X219" s="23"/>
    </row>
    <row r="220">
      <c r="A220" s="70" t="s">
        <v>370</v>
      </c>
      <c r="B220" s="70" t="str">
        <f>IF($A$3=" "," ", IFERROR( VLOOKUP($A220,'SUPPLIER DATA BASE'!$A$2:$M$936,3,0),""))</f>
        <v>-</v>
      </c>
      <c r="C220" s="70" t="str">
        <f>IF($A$3=" "," ", IFERROR( VLOOKUP($A220,'SUPPLIER DATA BASE'!$A$2:$F$936,6,0),""))</f>
        <v>SURYAM TEXTILE AGENCY</v>
      </c>
      <c r="D220" s="70">
        <f>IF($A$3=" "," ", IFERROR( VLOOKUP($A220,'SUPPLIER DATA BASE'!$A$2:$G$936,4,0),""))</f>
        <v>30</v>
      </c>
      <c r="E220" s="71">
        <f>IF($A$3=" "," ", IFERROR( VLOOKUP($A220,'SUPPLIER DATA BASE'!$A$2:$H$936,5,0),""))</f>
        <v>0.09</v>
      </c>
      <c r="F220" s="72">
        <v>319.0</v>
      </c>
      <c r="G220" s="73">
        <v>46072.0</v>
      </c>
      <c r="H220" s="74">
        <v>20.0</v>
      </c>
      <c r="I220" s="75">
        <v>16674.0</v>
      </c>
      <c r="J220" s="76" t="s">
        <v>1268</v>
      </c>
      <c r="K220" s="70" t="s">
        <v>349</v>
      </c>
      <c r="L220" s="70" t="s">
        <v>349</v>
      </c>
      <c r="M220" s="70" t="str">
        <f t="shared" si="3"/>
        <v>116 Days</v>
      </c>
      <c r="N220" s="70" t="str">
        <f>IF($A$3=" "," ", IFERROR( VLOOKUP($A220,'SUPPLIER DATA BASE'!$A$2:$O$936,11,0),""))</f>
        <v>AS TEXTILE</v>
      </c>
      <c r="O220" s="70" t="str">
        <f>IF($A$3=" "," ", IFERROR( VLOOKUP($A220,'SUPPLIER DATA BASE'!$A$2:$O$936,12,0),""))</f>
        <v>50200012846193</v>
      </c>
      <c r="P220" s="70" t="str">
        <f>IF($A$3=" "," ", IFERROR( VLOOKUP($A220,'SUPPLIER DATA BASE'!$A$2:$O$936,13,0),""))</f>
        <v>HDFC0001249</v>
      </c>
      <c r="Q220" s="77"/>
      <c r="R220" s="73"/>
      <c r="S220" s="77"/>
      <c r="T220" s="70"/>
      <c r="U220" s="78"/>
      <c r="V220" s="70" t="str">
        <f t="shared" si="4"/>
        <v>FY 25-26</v>
      </c>
      <c r="W220" s="23"/>
      <c r="X220" s="23"/>
    </row>
    <row r="221">
      <c r="A221" s="70" t="s">
        <v>717</v>
      </c>
      <c r="B221" s="70" t="str">
        <f>IF($A$3=" "," ", IFERROR( VLOOKUP($A221,'SUPPLIER DATA BASE'!$A$2:$M$936,3,0),""))</f>
        <v>MINELLI</v>
      </c>
      <c r="C221" s="70" t="str">
        <f>IF($A$3=" "," ", IFERROR( VLOOKUP($A221,'SUPPLIER DATA BASE'!$A$2:$F$936,6,0),""))</f>
        <v>-</v>
      </c>
      <c r="D221" s="70">
        <f>IF($A$3=" "," ", IFERROR( VLOOKUP($A221,'SUPPLIER DATA BASE'!$A$2:$G$936,4,0),""))</f>
        <v>45</v>
      </c>
      <c r="E221" s="71">
        <f>IF($A$3=" "," ", IFERROR( VLOOKUP($A221,'SUPPLIER DATA BASE'!$A$2:$H$936,5,0),""))</f>
        <v>0.1</v>
      </c>
      <c r="F221" s="72" t="s">
        <v>1269</v>
      </c>
      <c r="G221" s="73">
        <v>46072.0</v>
      </c>
      <c r="H221" s="74"/>
      <c r="I221" s="75">
        <v>117876.0</v>
      </c>
      <c r="J221" s="85"/>
      <c r="K221" s="70"/>
      <c r="L221" s="73"/>
      <c r="M221" s="70" t="str">
        <f t="shared" si="3"/>
        <v>116 Days</v>
      </c>
      <c r="N221" s="70" t="str">
        <f>IF($A$3=" "," ", IFERROR( VLOOKUP($A221,'SUPPLIER DATA BASE'!$A$2:$O$936,11,0),""))</f>
        <v>SHUBH SHRI CLOTHING PVT LTD</v>
      </c>
      <c r="O221" s="70" t="str">
        <f>IF($A$3=" "," ", IFERROR( VLOOKUP($A221,'SUPPLIER DATA BASE'!$A$2:$O$936,12,0),""))</f>
        <v>002225010000006</v>
      </c>
      <c r="P221" s="70" t="str">
        <f>IF($A$3=" "," ", IFERROR( VLOOKUP($A221,'SUPPLIER DATA BASE'!$A$2:$O$936,13,0),""))</f>
        <v>UBIN0900222</v>
      </c>
      <c r="Q221" s="77">
        <v>117876.0</v>
      </c>
      <c r="R221" s="73">
        <v>46134.0</v>
      </c>
      <c r="S221" s="77"/>
      <c r="T221" s="70"/>
      <c r="U221" s="84" t="s">
        <v>1051</v>
      </c>
      <c r="V221" s="70" t="str">
        <f t="shared" si="4"/>
        <v>FY 25-26</v>
      </c>
      <c r="W221" s="23"/>
      <c r="X221" s="23"/>
    </row>
    <row r="222">
      <c r="A222" s="70" t="s">
        <v>835</v>
      </c>
      <c r="B222" s="70" t="str">
        <f>IF($A$3=" "," ", IFERROR( VLOOKUP($A222,'SUPPLIER DATA BASE'!$A$2:$M$936,3,0),""))</f>
        <v/>
      </c>
      <c r="C222" s="70" t="str">
        <f>IF($A$3=" "," ", IFERROR( VLOOKUP($A222,'SUPPLIER DATA BASE'!$A$2:$F$936,6,0),""))</f>
        <v>DIRECT</v>
      </c>
      <c r="D222" s="70" t="str">
        <f>IF($A$3=" "," ", IFERROR( VLOOKUP($A222,'SUPPLIER DATA BASE'!$A$2:$G$936,4,0),""))</f>
        <v/>
      </c>
      <c r="E222" s="71" t="str">
        <f>IF($A$3=" "," ", IFERROR( VLOOKUP($A222,'SUPPLIER DATA BASE'!$A$2:$H$936,5,0),""))</f>
        <v/>
      </c>
      <c r="F222" s="72" t="s">
        <v>1270</v>
      </c>
      <c r="G222" s="73">
        <v>46073.0</v>
      </c>
      <c r="H222" s="74">
        <v>16.0</v>
      </c>
      <c r="I222" s="75">
        <v>37873.0</v>
      </c>
      <c r="J222" s="76" t="s">
        <v>1271</v>
      </c>
      <c r="K222" s="70" t="s">
        <v>349</v>
      </c>
      <c r="L222" s="70" t="s">
        <v>349</v>
      </c>
      <c r="M222" s="70" t="str">
        <f t="shared" si="3"/>
        <v>115 Days</v>
      </c>
      <c r="N222" s="70" t="str">
        <f>IF($A$3=" "," ", IFERROR( VLOOKUP($A222,'SUPPLIER DATA BASE'!$A$2:$O$936,11,0),""))</f>
        <v>SHRI SAI ENTERPRISES</v>
      </c>
      <c r="O222" s="70" t="str">
        <f>IF($A$3=" "," ", IFERROR( VLOOKUP($A222,'SUPPLIER DATA BASE'!$A$2:$O$936,12,0),""))</f>
        <v>114905500994</v>
      </c>
      <c r="P222" s="70" t="str">
        <f>IF($A$3=" "," ", IFERROR( VLOOKUP($A222,'SUPPLIER DATA BASE'!$A$2:$O$936,13,0),""))</f>
        <v>ICIC0001149</v>
      </c>
      <c r="Q222" s="77"/>
      <c r="R222" s="73"/>
      <c r="S222" s="77"/>
      <c r="T222" s="70"/>
      <c r="U222" s="78"/>
      <c r="V222" s="70" t="str">
        <f t="shared" si="4"/>
        <v>FY 25-26</v>
      </c>
      <c r="W222" s="23"/>
      <c r="X222" s="23"/>
    </row>
    <row r="223">
      <c r="A223" s="70" t="s">
        <v>835</v>
      </c>
      <c r="B223" s="70" t="str">
        <f>IF($A$3=" "," ", IFERROR( VLOOKUP($A223,'SUPPLIER DATA BASE'!$A$2:$M$936,3,0),""))</f>
        <v/>
      </c>
      <c r="C223" s="70" t="str">
        <f>IF($A$3=" "," ", IFERROR( VLOOKUP($A223,'SUPPLIER DATA BASE'!$A$2:$F$936,6,0),""))</f>
        <v>DIRECT</v>
      </c>
      <c r="D223" s="70" t="str">
        <f>IF($A$3=" "," ", IFERROR( VLOOKUP($A223,'SUPPLIER DATA BASE'!$A$2:$G$936,4,0),""))</f>
        <v/>
      </c>
      <c r="E223" s="71" t="str">
        <f>IF($A$3=" "," ", IFERROR( VLOOKUP($A223,'SUPPLIER DATA BASE'!$A$2:$H$936,5,0),""))</f>
        <v/>
      </c>
      <c r="F223" s="72" t="s">
        <v>1272</v>
      </c>
      <c r="G223" s="73">
        <v>46073.0</v>
      </c>
      <c r="H223" s="74">
        <v>48.0</v>
      </c>
      <c r="I223" s="75">
        <v>119141.0</v>
      </c>
      <c r="J223" s="76" t="s">
        <v>1273</v>
      </c>
      <c r="K223" s="70" t="s">
        <v>349</v>
      </c>
      <c r="L223" s="70" t="s">
        <v>349</v>
      </c>
      <c r="M223" s="70" t="str">
        <f t="shared" si="3"/>
        <v>115 Days</v>
      </c>
      <c r="N223" s="70" t="str">
        <f>IF($A$3=" "," ", IFERROR( VLOOKUP($A223,'SUPPLIER DATA BASE'!$A$2:$O$936,11,0),""))</f>
        <v>SHRI SAI ENTERPRISES</v>
      </c>
      <c r="O223" s="70" t="str">
        <f>IF($A$3=" "," ", IFERROR( VLOOKUP($A223,'SUPPLIER DATA BASE'!$A$2:$O$936,12,0),""))</f>
        <v>114905500994</v>
      </c>
      <c r="P223" s="70" t="str">
        <f>IF($A$3=" "," ", IFERROR( VLOOKUP($A223,'SUPPLIER DATA BASE'!$A$2:$O$936,13,0),""))</f>
        <v>ICIC0001149</v>
      </c>
      <c r="Q223" s="77"/>
      <c r="R223" s="73"/>
      <c r="S223" s="77"/>
      <c r="T223" s="70"/>
      <c r="U223" s="78"/>
      <c r="V223" s="70" t="str">
        <f t="shared" si="4"/>
        <v>FY 25-26</v>
      </c>
      <c r="W223" s="23"/>
      <c r="X223" s="23"/>
    </row>
    <row r="224">
      <c r="A224" s="70" t="s">
        <v>402</v>
      </c>
      <c r="B224" s="70" t="str">
        <f>IF($A$3=" "," ", IFERROR( VLOOKUP($A224,'SUPPLIER DATA BASE'!$A$2:$M$936,3,0),""))</f>
        <v>KHUSHAL/STATUS QUO</v>
      </c>
      <c r="C224" s="70" t="str">
        <f>IF($A$3=" "," ", IFERROR( VLOOKUP($A224,'SUPPLIER DATA BASE'!$A$2:$F$936,6,0),""))</f>
        <v>-</v>
      </c>
      <c r="D224" s="70" t="str">
        <f>IF($A$3=" "," ", IFERROR( VLOOKUP($A224,'SUPPLIER DATA BASE'!$A$2:$G$936,4,0),""))</f>
        <v>-</v>
      </c>
      <c r="E224" s="71" t="str">
        <f>IF($A$3=" "," ", IFERROR( VLOOKUP($A224,'SUPPLIER DATA BASE'!$A$2:$H$936,5,0),""))</f>
        <v>-</v>
      </c>
      <c r="F224" s="72" t="s">
        <v>1274</v>
      </c>
      <c r="G224" s="73">
        <v>46073.0</v>
      </c>
      <c r="H224" s="74">
        <v>88.0</v>
      </c>
      <c r="I224" s="75">
        <v>76044.0</v>
      </c>
      <c r="J224" s="76" t="s">
        <v>1275</v>
      </c>
      <c r="K224" s="70" t="s">
        <v>349</v>
      </c>
      <c r="L224" s="70" t="s">
        <v>349</v>
      </c>
      <c r="M224" s="70" t="str">
        <f t="shared" si="3"/>
        <v>115 Days</v>
      </c>
      <c r="N224" s="70" t="str">
        <f>IF($A$3=" "," ", IFERROR( VLOOKUP($A224,'SUPPLIER DATA BASE'!$A$2:$O$936,11,0),""))</f>
        <v>D APPAREL</v>
      </c>
      <c r="O224" s="70" t="str">
        <f>IF($A$3=" "," ", IFERROR( VLOOKUP($A224,'SUPPLIER DATA BASE'!$A$2:$O$936,12,0),""))</f>
        <v>722501010050397</v>
      </c>
      <c r="P224" s="70" t="str">
        <f>IF($A$3=" "," ", IFERROR( VLOOKUP($A224,'SUPPLIER DATA BASE'!$A$2:$O$936,13,0),""))</f>
        <v>UBIN0572250</v>
      </c>
      <c r="Q224" s="77"/>
      <c r="R224" s="73"/>
      <c r="S224" s="77"/>
      <c r="T224" s="70"/>
      <c r="U224" s="78"/>
      <c r="V224" s="70" t="str">
        <f t="shared" si="4"/>
        <v>FY 25-26</v>
      </c>
      <c r="W224" s="23"/>
      <c r="X224" s="23"/>
    </row>
    <row r="225">
      <c r="A225" s="70" t="s">
        <v>685</v>
      </c>
      <c r="B225" s="70" t="str">
        <f>IF($A$3=" "," ", IFERROR( VLOOKUP($A225,'SUPPLIER DATA BASE'!$A$2:$M$936,3,0),""))</f>
        <v>RUH</v>
      </c>
      <c r="C225" s="70" t="str">
        <f>IF($A$3=" "," ", IFERROR( VLOOKUP($A225,'SUPPLIER DATA BASE'!$A$2:$F$936,6,0),""))</f>
        <v>NEPOLIAN</v>
      </c>
      <c r="D225" s="70">
        <f>IF($A$3=" "," ", IFERROR( VLOOKUP($A225,'SUPPLIER DATA BASE'!$A$2:$G$936,4,0),""))</f>
        <v>60</v>
      </c>
      <c r="E225" s="71">
        <f>IF($A$3=" "," ", IFERROR( VLOOKUP($A225,'SUPPLIER DATA BASE'!$A$2:$H$936,5,0),""))</f>
        <v>0.05</v>
      </c>
      <c r="F225" s="72" t="s">
        <v>1276</v>
      </c>
      <c r="G225" s="73">
        <v>46073.0</v>
      </c>
      <c r="H225" s="74">
        <v>75.0</v>
      </c>
      <c r="I225" s="75">
        <v>161726.0</v>
      </c>
      <c r="J225" s="76" t="s">
        <v>1277</v>
      </c>
      <c r="K225" s="70" t="s">
        <v>349</v>
      </c>
      <c r="L225" s="70" t="s">
        <v>349</v>
      </c>
      <c r="M225" s="70" t="str">
        <f t="shared" si="3"/>
        <v>115 Days</v>
      </c>
      <c r="N225" s="70" t="str">
        <f>IF($A$3=" "," ", IFERROR( VLOOKUP($A225,'SUPPLIER DATA BASE'!$A$2:$O$936,11,0),""))</f>
        <v>SHREE BALAJI</v>
      </c>
      <c r="O225" s="70" t="str">
        <f>IF($A$3=" "," ", IFERROR( VLOOKUP($A225,'SUPPLIER DATA BASE'!$A$2:$O$936,12,0),""))</f>
        <v>3845084693</v>
      </c>
      <c r="P225" s="70" t="str">
        <f>IF($A$3=" "," ", IFERROR( VLOOKUP($A225,'SUPPLIER DATA BASE'!$A$2:$O$936,13,0),""))</f>
        <v>KKBK0006605</v>
      </c>
      <c r="Q225" s="77"/>
      <c r="R225" s="73"/>
      <c r="S225" s="77"/>
      <c r="T225" s="70"/>
      <c r="U225" s="78"/>
      <c r="V225" s="70" t="str">
        <f t="shared" si="4"/>
        <v>FY 25-26</v>
      </c>
      <c r="W225" s="23"/>
      <c r="X225" s="23"/>
    </row>
    <row r="226">
      <c r="A226" s="70" t="s">
        <v>749</v>
      </c>
      <c r="B226" s="70" t="str">
        <f>IF($A$3=" "," ", IFERROR( VLOOKUP($A226,'SUPPLIER DATA BASE'!$A$2:$M$936,3,0),""))</f>
        <v>VAN HEUSEN</v>
      </c>
      <c r="C226" s="70" t="str">
        <f>IF($A$3=" "," ", IFERROR( VLOOKUP($A226,'SUPPLIER DATA BASE'!$A$2:$F$936,6,0),""))</f>
        <v>-</v>
      </c>
      <c r="D226" s="70" t="str">
        <f>IF($A$3=" "," ", IFERROR( VLOOKUP($A226,'SUPPLIER DATA BASE'!$A$2:$G$936,4,0),""))</f>
        <v>-</v>
      </c>
      <c r="E226" s="71" t="str">
        <f>IF($A$3=" "," ", IFERROR( VLOOKUP($A226,'SUPPLIER DATA BASE'!$A$2:$H$936,5,0),""))</f>
        <v>-</v>
      </c>
      <c r="F226" s="72" t="s">
        <v>1278</v>
      </c>
      <c r="G226" s="73">
        <v>46073.0</v>
      </c>
      <c r="H226" s="74">
        <v>36.0</v>
      </c>
      <c r="I226" s="75">
        <v>20646.0</v>
      </c>
      <c r="J226" s="76" t="s">
        <v>1279</v>
      </c>
      <c r="K226" s="70" t="s">
        <v>349</v>
      </c>
      <c r="L226" s="70" t="s">
        <v>349</v>
      </c>
      <c r="M226" s="70" t="str">
        <f t="shared" si="3"/>
        <v>115 Days</v>
      </c>
      <c r="N226" s="70" t="str">
        <f>IF($A$3=" "," ", IFERROR( VLOOKUP($A226,'SUPPLIER DATA BASE'!$A$2:$O$936,11,0),""))</f>
        <v>SUSHILA ENTERPRISES</v>
      </c>
      <c r="O226" s="70" t="str">
        <f>IF($A$3=" "," ", IFERROR( VLOOKUP($A226,'SUPPLIER DATA BASE'!$A$2:$O$936,12,0),""))</f>
        <v>747805000665</v>
      </c>
      <c r="P226" s="70" t="str">
        <f>IF($A$3=" "," ", IFERROR( VLOOKUP($A226,'SUPPLIER DATA BASE'!$A$2:$O$936,13,0),""))</f>
        <v>ICIC0007478</v>
      </c>
      <c r="Q226" s="77"/>
      <c r="R226" s="73"/>
      <c r="S226" s="77"/>
      <c r="T226" s="70"/>
      <c r="U226" s="78"/>
      <c r="V226" s="70" t="str">
        <f t="shared" si="4"/>
        <v>FY 25-26</v>
      </c>
      <c r="W226" s="23"/>
      <c r="X226" s="23"/>
    </row>
    <row r="227">
      <c r="A227" s="70" t="s">
        <v>749</v>
      </c>
      <c r="B227" s="70" t="str">
        <f>IF($A$3=" "," ", IFERROR( VLOOKUP($A227,'SUPPLIER DATA BASE'!$A$2:$M$936,3,0),""))</f>
        <v>VAN HEUSEN</v>
      </c>
      <c r="C227" s="70" t="str">
        <f>IF($A$3=" "," ", IFERROR( VLOOKUP($A227,'SUPPLIER DATA BASE'!$A$2:$F$936,6,0),""))</f>
        <v>-</v>
      </c>
      <c r="D227" s="70" t="str">
        <f>IF($A$3=" "," ", IFERROR( VLOOKUP($A227,'SUPPLIER DATA BASE'!$A$2:$G$936,4,0),""))</f>
        <v>-</v>
      </c>
      <c r="E227" s="71" t="str">
        <f>IF($A$3=" "," ", IFERROR( VLOOKUP($A227,'SUPPLIER DATA BASE'!$A$2:$H$936,5,0),""))</f>
        <v>-</v>
      </c>
      <c r="F227" s="72" t="s">
        <v>1280</v>
      </c>
      <c r="G227" s="73">
        <v>46073.0</v>
      </c>
      <c r="H227" s="74">
        <v>7.0</v>
      </c>
      <c r="I227" s="75">
        <v>3113.0</v>
      </c>
      <c r="J227" s="76" t="s">
        <v>1281</v>
      </c>
      <c r="K227" s="70" t="s">
        <v>349</v>
      </c>
      <c r="L227" s="70" t="s">
        <v>349</v>
      </c>
      <c r="M227" s="70" t="str">
        <f t="shared" si="3"/>
        <v>115 Days</v>
      </c>
      <c r="N227" s="70" t="str">
        <f>IF($A$3=" "," ", IFERROR( VLOOKUP($A227,'SUPPLIER DATA BASE'!$A$2:$O$936,11,0),""))</f>
        <v>SUSHILA ENTERPRISES</v>
      </c>
      <c r="O227" s="70" t="str">
        <f>IF($A$3=" "," ", IFERROR( VLOOKUP($A227,'SUPPLIER DATA BASE'!$A$2:$O$936,12,0),""))</f>
        <v>747805000665</v>
      </c>
      <c r="P227" s="70" t="str">
        <f>IF($A$3=" "," ", IFERROR( VLOOKUP($A227,'SUPPLIER DATA BASE'!$A$2:$O$936,13,0),""))</f>
        <v>ICIC0007478</v>
      </c>
      <c r="Q227" s="77"/>
      <c r="R227" s="73"/>
      <c r="S227" s="77"/>
      <c r="T227" s="70"/>
      <c r="U227" s="78"/>
      <c r="V227" s="70" t="str">
        <f t="shared" si="4"/>
        <v>FY 25-26</v>
      </c>
      <c r="W227" s="23"/>
      <c r="X227" s="23"/>
    </row>
    <row r="228">
      <c r="A228" s="70" t="s">
        <v>659</v>
      </c>
      <c r="B228" s="70" t="str">
        <f>IF($A$3=" "," ", IFERROR( VLOOKUP($A228,'SUPPLIER DATA BASE'!$A$2:$M$936,3,0),""))</f>
        <v>-</v>
      </c>
      <c r="C228" s="70" t="str">
        <f>IF($A$3=" "," ", IFERROR( VLOOKUP($A228,'SUPPLIER DATA BASE'!$A$2:$F$936,6,0),""))</f>
        <v>-</v>
      </c>
      <c r="D228" s="70" t="str">
        <f>IF($A$3=" "," ", IFERROR( VLOOKUP($A228,'SUPPLIER DATA BASE'!$A$2:$G$936,4,0),""))</f>
        <v>-</v>
      </c>
      <c r="E228" s="71" t="str">
        <f>IF($A$3=" "," ", IFERROR( VLOOKUP($A228,'SUPPLIER DATA BASE'!$A$2:$H$936,5,0),""))</f>
        <v>-</v>
      </c>
      <c r="F228" s="72" t="s">
        <v>1282</v>
      </c>
      <c r="G228" s="73">
        <v>46073.0</v>
      </c>
      <c r="H228" s="74">
        <v>18.0</v>
      </c>
      <c r="I228" s="75">
        <v>67572.0</v>
      </c>
      <c r="J228" s="76" t="s">
        <v>1283</v>
      </c>
      <c r="K228" s="70" t="s">
        <v>349</v>
      </c>
      <c r="L228" s="70" t="s">
        <v>349</v>
      </c>
      <c r="M228" s="70" t="str">
        <f t="shared" si="3"/>
        <v>115 Days</v>
      </c>
      <c r="N228" s="70" t="str">
        <f>IF($A$3=" "," ", IFERROR( VLOOKUP($A228,'SUPPLIER DATA BASE'!$A$2:$O$936,11,0),""))</f>
        <v>SAAGEDO INTERNATIONAL</v>
      </c>
      <c r="O228" s="70" t="str">
        <f>IF($A$3=" "," ", IFERROR( VLOOKUP($A228,'SUPPLIER DATA BASE'!$A$2:$O$936,12,0),""))</f>
        <v>06261300053929</v>
      </c>
      <c r="P228" s="70" t="str">
        <f>IF($A$3=" "," ", IFERROR( VLOOKUP($A228,'SUPPLIER DATA BASE'!$A$2:$O$936,13,0),""))</f>
        <v>PSIB0000626</v>
      </c>
      <c r="Q228" s="77"/>
      <c r="R228" s="73"/>
      <c r="S228" s="77"/>
      <c r="T228" s="70"/>
      <c r="U228" s="78"/>
      <c r="V228" s="70" t="str">
        <f t="shared" si="4"/>
        <v>FY 25-26</v>
      </c>
      <c r="W228" s="23"/>
      <c r="X228" s="23"/>
    </row>
    <row r="229">
      <c r="A229" s="70" t="s">
        <v>370</v>
      </c>
      <c r="B229" s="70" t="str">
        <f>IF($A$3=" "," ", IFERROR( VLOOKUP($A229,'SUPPLIER DATA BASE'!$A$2:$M$936,3,0),""))</f>
        <v>-</v>
      </c>
      <c r="C229" s="70" t="str">
        <f>IF($A$3=" "," ", IFERROR( VLOOKUP($A229,'SUPPLIER DATA BASE'!$A$2:$F$936,6,0),""))</f>
        <v>SURYAM TEXTILE AGENCY</v>
      </c>
      <c r="D229" s="70">
        <f>IF($A$3=" "," ", IFERROR( VLOOKUP($A229,'SUPPLIER DATA BASE'!$A$2:$G$936,4,0),""))</f>
        <v>30</v>
      </c>
      <c r="E229" s="71">
        <f>IF($A$3=" "," ", IFERROR( VLOOKUP($A229,'SUPPLIER DATA BASE'!$A$2:$H$936,5,0),""))</f>
        <v>0.09</v>
      </c>
      <c r="F229" s="72">
        <v>317.0</v>
      </c>
      <c r="G229" s="73">
        <v>46073.0</v>
      </c>
      <c r="H229" s="74">
        <v>32.0</v>
      </c>
      <c r="I229" s="75">
        <v>13339.0</v>
      </c>
      <c r="J229" s="76" t="s">
        <v>1284</v>
      </c>
      <c r="K229" s="70" t="s">
        <v>349</v>
      </c>
      <c r="L229" s="70" t="s">
        <v>349</v>
      </c>
      <c r="M229" s="70" t="str">
        <f t="shared" si="3"/>
        <v>115 Days</v>
      </c>
      <c r="N229" s="70" t="str">
        <f>IF($A$3=" "," ", IFERROR( VLOOKUP($A229,'SUPPLIER DATA BASE'!$A$2:$O$936,11,0),""))</f>
        <v>AS TEXTILE</v>
      </c>
      <c r="O229" s="70" t="str">
        <f>IF($A$3=" "," ", IFERROR( VLOOKUP($A229,'SUPPLIER DATA BASE'!$A$2:$O$936,12,0),""))</f>
        <v>50200012846193</v>
      </c>
      <c r="P229" s="70" t="str">
        <f>IF($A$3=" "," ", IFERROR( VLOOKUP($A229,'SUPPLIER DATA BASE'!$A$2:$O$936,13,0),""))</f>
        <v>HDFC0001249</v>
      </c>
      <c r="Q229" s="77"/>
      <c r="R229" s="73"/>
      <c r="S229" s="77"/>
      <c r="T229" s="70"/>
      <c r="U229" s="78"/>
      <c r="V229" s="70" t="str">
        <f t="shared" si="4"/>
        <v>FY 25-26</v>
      </c>
      <c r="W229" s="23"/>
      <c r="X229" s="23"/>
    </row>
    <row r="230">
      <c r="A230" s="70" t="s">
        <v>354</v>
      </c>
      <c r="B230" s="70" t="str">
        <f>IF($A$3=" "," ", IFERROR( VLOOKUP($A230,'SUPPLIER DATA BASE'!$A$2:$M$936,3,0),""))</f>
        <v>-</v>
      </c>
      <c r="C230" s="70" t="str">
        <f>IF($A$3=" "," ", IFERROR( VLOOKUP($A230,'SUPPLIER DATA BASE'!$A$2:$F$936,6,0),""))</f>
        <v>-</v>
      </c>
      <c r="D230" s="70" t="str">
        <f>IF($A$3=" "," ", IFERROR( VLOOKUP($A230,'SUPPLIER DATA BASE'!$A$2:$G$936,4,0),""))</f>
        <v>-</v>
      </c>
      <c r="E230" s="71" t="str">
        <f>IF($A$3=" "," ", IFERROR( VLOOKUP($A230,'SUPPLIER DATA BASE'!$A$2:$H$936,5,0),""))</f>
        <v>-</v>
      </c>
      <c r="F230" s="72" t="s">
        <v>1285</v>
      </c>
      <c r="G230" s="73">
        <v>46073.0</v>
      </c>
      <c r="H230" s="74">
        <v>107.0</v>
      </c>
      <c r="I230" s="75">
        <v>124596.74</v>
      </c>
      <c r="J230" s="76" t="s">
        <v>1286</v>
      </c>
      <c r="K230" s="70" t="s">
        <v>349</v>
      </c>
      <c r="L230" s="70" t="s">
        <v>349</v>
      </c>
      <c r="M230" s="70" t="str">
        <f t="shared" si="3"/>
        <v>115 Days</v>
      </c>
      <c r="N230" s="70" t="str">
        <f>IF($A$3=" "," ", IFERROR( VLOOKUP($A230,'SUPPLIER DATA BASE'!$A$2:$O$936,11,0),""))</f>
        <v>-</v>
      </c>
      <c r="O230" s="70" t="str">
        <f>IF($A$3=" "," ", IFERROR( VLOOKUP($A230,'SUPPLIER DATA BASE'!$A$2:$O$936,12,0),""))</f>
        <v>-</v>
      </c>
      <c r="P230" s="70" t="str">
        <f>IF($A$3=" "," ", IFERROR( VLOOKUP($A230,'SUPPLIER DATA BASE'!$A$2:$O$936,13,0),""))</f>
        <v>-</v>
      </c>
      <c r="Q230" s="77"/>
      <c r="R230" s="73"/>
      <c r="S230" s="77"/>
      <c r="T230" s="70"/>
      <c r="U230" s="78"/>
      <c r="V230" s="70" t="str">
        <f t="shared" si="4"/>
        <v>FY 25-26</v>
      </c>
      <c r="W230" s="23"/>
      <c r="X230" s="23"/>
    </row>
    <row r="231">
      <c r="A231" s="70" t="s">
        <v>354</v>
      </c>
      <c r="B231" s="70" t="str">
        <f>IF($A$3=" "," ", IFERROR( VLOOKUP($A231,'SUPPLIER DATA BASE'!$A$2:$M$936,3,0),""))</f>
        <v>-</v>
      </c>
      <c r="C231" s="70" t="str">
        <f>IF($A$3=" "," ", IFERROR( VLOOKUP($A231,'SUPPLIER DATA BASE'!$A$2:$F$936,6,0),""))</f>
        <v>-</v>
      </c>
      <c r="D231" s="70" t="str">
        <f>IF($A$3=" "," ", IFERROR( VLOOKUP($A231,'SUPPLIER DATA BASE'!$A$2:$G$936,4,0),""))</f>
        <v>-</v>
      </c>
      <c r="E231" s="71" t="str">
        <f>IF($A$3=" "," ", IFERROR( VLOOKUP($A231,'SUPPLIER DATA BASE'!$A$2:$H$936,5,0),""))</f>
        <v>-</v>
      </c>
      <c r="F231" s="72" t="s">
        <v>1287</v>
      </c>
      <c r="G231" s="73">
        <v>46073.0</v>
      </c>
      <c r="H231" s="74">
        <v>45.0</v>
      </c>
      <c r="I231" s="75">
        <v>46549.2</v>
      </c>
      <c r="J231" s="76" t="s">
        <v>1288</v>
      </c>
      <c r="K231" s="70" t="s">
        <v>349</v>
      </c>
      <c r="L231" s="70" t="s">
        <v>349</v>
      </c>
      <c r="M231" s="70" t="str">
        <f t="shared" si="3"/>
        <v>115 Days</v>
      </c>
      <c r="N231" s="70" t="str">
        <f>IF($A$3=" "," ", IFERROR( VLOOKUP($A231,'SUPPLIER DATA BASE'!$A$2:$O$936,11,0),""))</f>
        <v>-</v>
      </c>
      <c r="O231" s="70" t="str">
        <f>IF($A$3=" "," ", IFERROR( VLOOKUP($A231,'SUPPLIER DATA BASE'!$A$2:$O$936,12,0),""))</f>
        <v>-</v>
      </c>
      <c r="P231" s="70" t="str">
        <f>IF($A$3=" "," ", IFERROR( VLOOKUP($A231,'SUPPLIER DATA BASE'!$A$2:$O$936,13,0),""))</f>
        <v>-</v>
      </c>
      <c r="Q231" s="77"/>
      <c r="R231" s="73"/>
      <c r="S231" s="77"/>
      <c r="T231" s="70"/>
      <c r="U231" s="78"/>
      <c r="V231" s="70" t="str">
        <f t="shared" si="4"/>
        <v>FY 25-26</v>
      </c>
      <c r="W231" s="23"/>
      <c r="X231" s="23"/>
    </row>
    <row r="232">
      <c r="A232" s="70" t="s">
        <v>354</v>
      </c>
      <c r="B232" s="70" t="str">
        <f>IF($A$3=" "," ", IFERROR( VLOOKUP($A232,'SUPPLIER DATA BASE'!$A$2:$M$936,3,0),""))</f>
        <v>-</v>
      </c>
      <c r="C232" s="70" t="str">
        <f>IF($A$3=" "," ", IFERROR( VLOOKUP($A232,'SUPPLIER DATA BASE'!$A$2:$F$936,6,0),""))</f>
        <v>-</v>
      </c>
      <c r="D232" s="70" t="str">
        <f>IF($A$3=" "," ", IFERROR( VLOOKUP($A232,'SUPPLIER DATA BASE'!$A$2:$G$936,4,0),""))</f>
        <v>-</v>
      </c>
      <c r="E232" s="71" t="str">
        <f>IF($A$3=" "," ", IFERROR( VLOOKUP($A232,'SUPPLIER DATA BASE'!$A$2:$H$936,5,0),""))</f>
        <v>-</v>
      </c>
      <c r="F232" s="72" t="s">
        <v>1289</v>
      </c>
      <c r="G232" s="73">
        <v>46073.0</v>
      </c>
      <c r="H232" s="74">
        <v>87.0</v>
      </c>
      <c r="I232" s="75">
        <v>88031.48</v>
      </c>
      <c r="J232" s="76" t="s">
        <v>1290</v>
      </c>
      <c r="K232" s="70" t="s">
        <v>349</v>
      </c>
      <c r="L232" s="70" t="s">
        <v>349</v>
      </c>
      <c r="M232" s="70" t="str">
        <f t="shared" si="3"/>
        <v>115 Days</v>
      </c>
      <c r="N232" s="70" t="str">
        <f>IF($A$3=" "," ", IFERROR( VLOOKUP($A232,'SUPPLIER DATA BASE'!$A$2:$O$936,11,0),""))</f>
        <v>-</v>
      </c>
      <c r="O232" s="70" t="str">
        <f>IF($A$3=" "," ", IFERROR( VLOOKUP($A232,'SUPPLIER DATA BASE'!$A$2:$O$936,12,0),""))</f>
        <v>-</v>
      </c>
      <c r="P232" s="70" t="str">
        <f>IF($A$3=" "," ", IFERROR( VLOOKUP($A232,'SUPPLIER DATA BASE'!$A$2:$O$936,13,0),""))</f>
        <v>-</v>
      </c>
      <c r="Q232" s="77"/>
      <c r="R232" s="73"/>
      <c r="S232" s="77"/>
      <c r="T232" s="70"/>
      <c r="U232" s="78"/>
      <c r="V232" s="70" t="str">
        <f t="shared" si="4"/>
        <v>FY 25-26</v>
      </c>
      <c r="W232" s="23"/>
      <c r="X232" s="23"/>
    </row>
    <row r="233">
      <c r="A233" s="70" t="s">
        <v>838</v>
      </c>
      <c r="B233" s="70" t="str">
        <f>IF($A$3=" "," ", IFERROR( VLOOKUP($A233,'SUPPLIER DATA BASE'!$A$2:$M$936,3,0),""))</f>
        <v/>
      </c>
      <c r="C233" s="70" t="str">
        <f>IF($A$3=" "," ", IFERROR( VLOOKUP($A233,'SUPPLIER DATA BASE'!$A$2:$F$936,6,0),""))</f>
        <v>NEPOLIAN</v>
      </c>
      <c r="D233" s="70" t="str">
        <f>IF($A$3=" "," ", IFERROR( VLOOKUP($A233,'SUPPLIER DATA BASE'!$A$2:$G$936,4,0),""))</f>
        <v/>
      </c>
      <c r="E233" s="71" t="str">
        <f>IF($A$3=" "," ", IFERROR( VLOOKUP($A233,'SUPPLIER DATA BASE'!$A$2:$H$936,5,0),""))</f>
        <v/>
      </c>
      <c r="F233" s="72" t="s">
        <v>1291</v>
      </c>
      <c r="G233" s="73">
        <v>46074.0</v>
      </c>
      <c r="H233" s="74">
        <v>71.0</v>
      </c>
      <c r="I233" s="75">
        <v>130982.0</v>
      </c>
      <c r="J233" s="76" t="s">
        <v>1292</v>
      </c>
      <c r="K233" s="70" t="s">
        <v>349</v>
      </c>
      <c r="L233" s="70" t="s">
        <v>349</v>
      </c>
      <c r="M233" s="70" t="str">
        <f t="shared" si="3"/>
        <v>114 Days</v>
      </c>
      <c r="N233" s="70" t="str">
        <f>IF($A$3=" "," ", IFERROR( VLOOKUP($A233,'SUPPLIER DATA BASE'!$A$2:$O$936,11,0),""))</f>
        <v>ARP FASHION PVT LTD</v>
      </c>
      <c r="O233" s="70" t="str">
        <f>IF($A$3=" "," ", IFERROR( VLOOKUP($A233,'SUPPLIER DATA BASE'!$A$2:$O$936,12,0),""))</f>
        <v>925020022342072</v>
      </c>
      <c r="P233" s="70" t="str">
        <f>IF($A$3=" "," ", IFERROR( VLOOKUP($A233,'SUPPLIER DATA BASE'!$A$2:$O$936,13,0),""))</f>
        <v>UTIB0005749</v>
      </c>
      <c r="Q233" s="77"/>
      <c r="R233" s="73"/>
      <c r="S233" s="77"/>
      <c r="T233" s="70"/>
      <c r="U233" s="78"/>
      <c r="V233" s="70" t="str">
        <f t="shared" si="4"/>
        <v>FY 25-26</v>
      </c>
      <c r="W233" s="23"/>
      <c r="X233" s="23"/>
    </row>
    <row r="234">
      <c r="A234" s="70" t="s">
        <v>709</v>
      </c>
      <c r="B234" s="70" t="str">
        <f>IF($A$3=" "," ", IFERROR( VLOOKUP($A234,'SUPPLIER DATA BASE'!$A$2:$M$936,3,0),""))</f>
        <v>MUFTI</v>
      </c>
      <c r="C234" s="70" t="str">
        <f>IF($A$3=" "," ", IFERROR( VLOOKUP($A234,'SUPPLIER DATA BASE'!$A$2:$F$936,6,0),""))</f>
        <v>-</v>
      </c>
      <c r="D234" s="70" t="str">
        <f>IF($A$3=" "," ", IFERROR( VLOOKUP($A234,'SUPPLIER DATA BASE'!$A$2:$G$936,4,0),""))</f>
        <v>-</v>
      </c>
      <c r="E234" s="71" t="str">
        <f>IF($A$3=" "," ", IFERROR( VLOOKUP($A234,'SUPPLIER DATA BASE'!$A$2:$H$936,5,0),""))</f>
        <v>-</v>
      </c>
      <c r="F234" s="72" t="s">
        <v>1293</v>
      </c>
      <c r="G234" s="73">
        <v>46074.0</v>
      </c>
      <c r="H234" s="74">
        <v>136.0</v>
      </c>
      <c r="I234" s="75">
        <v>231548.0</v>
      </c>
      <c r="J234" s="76" t="s">
        <v>1294</v>
      </c>
      <c r="K234" s="70" t="s">
        <v>349</v>
      </c>
      <c r="L234" s="70" t="s">
        <v>349</v>
      </c>
      <c r="M234" s="70" t="str">
        <f t="shared" si="3"/>
        <v>114 Days</v>
      </c>
      <c r="N234" s="70" t="str">
        <f>IF($A$3=" "," ", IFERROR( VLOOKUP($A234,'SUPPLIER DATA BASE'!$A$2:$O$936,11,0),""))</f>
        <v>SHRING APPARELS</v>
      </c>
      <c r="O234" s="70" t="str">
        <f>IF($A$3=" "," ", IFERROR( VLOOKUP($A234,'SUPPLIER DATA BASE'!$A$2:$O$936,12,0),""))</f>
        <v>50200030713091</v>
      </c>
      <c r="P234" s="70" t="str">
        <f>IF($A$3=" "," ", IFERROR( VLOOKUP($A234,'SUPPLIER DATA BASE'!$A$2:$O$936,13,0),""))</f>
        <v>HDFC0000186</v>
      </c>
      <c r="Q234" s="77"/>
      <c r="R234" s="73"/>
      <c r="S234" s="77"/>
      <c r="T234" s="70"/>
      <c r="U234" s="78"/>
      <c r="V234" s="70" t="str">
        <f t="shared" si="4"/>
        <v>FY 25-26</v>
      </c>
      <c r="W234" s="23"/>
      <c r="X234" s="23"/>
    </row>
    <row r="235">
      <c r="A235" s="70" t="s">
        <v>849</v>
      </c>
      <c r="B235" s="70" t="str">
        <f>IF($A$3=" "," ", IFERROR( VLOOKUP($A235,'SUPPLIER DATA BASE'!$A$2:$M$936,3,0),""))</f>
        <v/>
      </c>
      <c r="C235" s="70" t="str">
        <f>IF($A$3=" "," ", IFERROR( VLOOKUP($A235,'SUPPLIER DATA BASE'!$A$2:$F$936,6,0),""))</f>
        <v/>
      </c>
      <c r="D235" s="70" t="str">
        <f>IF($A$3=" "," ", IFERROR( VLOOKUP($A235,'SUPPLIER DATA BASE'!$A$2:$G$936,4,0),""))</f>
        <v/>
      </c>
      <c r="E235" s="71" t="str">
        <f>IF($A$3=" "," ", IFERROR( VLOOKUP($A235,'SUPPLIER DATA BASE'!$A$2:$H$936,5,0),""))</f>
        <v/>
      </c>
      <c r="F235" s="72" t="s">
        <v>1295</v>
      </c>
      <c r="G235" s="73">
        <v>46074.0</v>
      </c>
      <c r="H235" s="74">
        <v>169.0</v>
      </c>
      <c r="I235" s="75">
        <v>12781.0</v>
      </c>
      <c r="J235" s="76" t="s">
        <v>1296</v>
      </c>
      <c r="K235" s="70" t="s">
        <v>349</v>
      </c>
      <c r="L235" s="70" t="s">
        <v>349</v>
      </c>
      <c r="M235" s="70" t="str">
        <f t="shared" si="3"/>
        <v>114 Days</v>
      </c>
      <c r="N235" s="70" t="str">
        <f>IF($A$3=" "," ", IFERROR( VLOOKUP($A235,'SUPPLIER DATA BASE'!$A$2:$O$936,11,0),""))</f>
        <v/>
      </c>
      <c r="O235" s="70" t="str">
        <f>IF($A$3=" "," ", IFERROR( VLOOKUP($A235,'SUPPLIER DATA BASE'!$A$2:$O$936,12,0),""))</f>
        <v/>
      </c>
      <c r="P235" s="70" t="str">
        <f>IF($A$3=" "," ", IFERROR( VLOOKUP($A235,'SUPPLIER DATA BASE'!$A$2:$O$936,13,0),""))</f>
        <v/>
      </c>
      <c r="Q235" s="77"/>
      <c r="R235" s="73"/>
      <c r="S235" s="77"/>
      <c r="T235" s="70"/>
      <c r="U235" s="78"/>
      <c r="V235" s="70" t="str">
        <f t="shared" si="4"/>
        <v>FY 25-26</v>
      </c>
      <c r="W235" s="23"/>
      <c r="X235" s="23"/>
    </row>
    <row r="236">
      <c r="A236" s="70" t="s">
        <v>402</v>
      </c>
      <c r="B236" s="70" t="str">
        <f>IF($A$3=" "," ", IFERROR( VLOOKUP($A236,'SUPPLIER DATA BASE'!$A$2:$M$936,3,0),""))</f>
        <v>KHUSHAL/STATUS QUO</v>
      </c>
      <c r="C236" s="70" t="str">
        <f>IF($A$3=" "," ", IFERROR( VLOOKUP($A236,'SUPPLIER DATA BASE'!$A$2:$F$936,6,0),""))</f>
        <v>-</v>
      </c>
      <c r="D236" s="70" t="str">
        <f>IF($A$3=" "," ", IFERROR( VLOOKUP($A236,'SUPPLIER DATA BASE'!$A$2:$G$936,4,0),""))</f>
        <v>-</v>
      </c>
      <c r="E236" s="71" t="str">
        <f>IF($A$3=" "," ", IFERROR( VLOOKUP($A236,'SUPPLIER DATA BASE'!$A$2:$H$936,5,0),""))</f>
        <v>-</v>
      </c>
      <c r="F236" s="72" t="s">
        <v>1297</v>
      </c>
      <c r="G236" s="73">
        <v>46076.0</v>
      </c>
      <c r="H236" s="74">
        <v>111.0</v>
      </c>
      <c r="I236" s="75">
        <v>39561.0</v>
      </c>
      <c r="J236" s="76" t="s">
        <v>1298</v>
      </c>
      <c r="K236" s="70" t="s">
        <v>349</v>
      </c>
      <c r="L236" s="70" t="s">
        <v>349</v>
      </c>
      <c r="M236" s="70" t="str">
        <f t="shared" si="3"/>
        <v>112 Days</v>
      </c>
      <c r="N236" s="70" t="str">
        <f>IF($A$3=" "," ", IFERROR( VLOOKUP($A236,'SUPPLIER DATA BASE'!$A$2:$O$936,11,0),""))</f>
        <v>D APPAREL</v>
      </c>
      <c r="O236" s="70" t="str">
        <f>IF($A$3=" "," ", IFERROR( VLOOKUP($A236,'SUPPLIER DATA BASE'!$A$2:$O$936,12,0),""))</f>
        <v>722501010050397</v>
      </c>
      <c r="P236" s="70" t="str">
        <f>IF($A$3=" "," ", IFERROR( VLOOKUP($A236,'SUPPLIER DATA BASE'!$A$2:$O$936,13,0),""))</f>
        <v>UBIN0572250</v>
      </c>
      <c r="Q236" s="77"/>
      <c r="R236" s="73"/>
      <c r="S236" s="77"/>
      <c r="T236" s="70"/>
      <c r="U236" s="78"/>
      <c r="V236" s="70" t="str">
        <f t="shared" si="4"/>
        <v>FY 25-26</v>
      </c>
      <c r="W236" s="23"/>
      <c r="X236" s="23"/>
    </row>
    <row r="237">
      <c r="A237" s="70" t="s">
        <v>402</v>
      </c>
      <c r="B237" s="70" t="str">
        <f>IF($A$3=" "," ", IFERROR( VLOOKUP($A237,'SUPPLIER DATA BASE'!$A$2:$M$936,3,0),""))</f>
        <v>KHUSHAL/STATUS QUO</v>
      </c>
      <c r="C237" s="70" t="str">
        <f>IF($A$3=" "," ", IFERROR( VLOOKUP($A237,'SUPPLIER DATA BASE'!$A$2:$F$936,6,0),""))</f>
        <v>-</v>
      </c>
      <c r="D237" s="70" t="str">
        <f>IF($A$3=" "," ", IFERROR( VLOOKUP($A237,'SUPPLIER DATA BASE'!$A$2:$G$936,4,0),""))</f>
        <v>-</v>
      </c>
      <c r="E237" s="71" t="str">
        <f>IF($A$3=" "," ", IFERROR( VLOOKUP($A237,'SUPPLIER DATA BASE'!$A$2:$H$936,5,0),""))</f>
        <v>-</v>
      </c>
      <c r="F237" s="72" t="s">
        <v>1299</v>
      </c>
      <c r="G237" s="73">
        <v>46076.0</v>
      </c>
      <c r="H237" s="74">
        <v>2.0</v>
      </c>
      <c r="I237" s="75">
        <v>8468.0</v>
      </c>
      <c r="J237" s="76" t="s">
        <v>1300</v>
      </c>
      <c r="K237" s="70" t="s">
        <v>349</v>
      </c>
      <c r="L237" s="70" t="s">
        <v>349</v>
      </c>
      <c r="M237" s="70" t="str">
        <f t="shared" si="3"/>
        <v>112 Days</v>
      </c>
      <c r="N237" s="70" t="str">
        <f>IF($A$3=" "," ", IFERROR( VLOOKUP($A237,'SUPPLIER DATA BASE'!$A$2:$O$936,11,0),""))</f>
        <v>D APPAREL</v>
      </c>
      <c r="O237" s="70" t="str">
        <f>IF($A$3=" "," ", IFERROR( VLOOKUP($A237,'SUPPLIER DATA BASE'!$A$2:$O$936,12,0),""))</f>
        <v>722501010050397</v>
      </c>
      <c r="P237" s="70" t="str">
        <f>IF($A$3=" "," ", IFERROR( VLOOKUP($A237,'SUPPLIER DATA BASE'!$A$2:$O$936,13,0),""))</f>
        <v>UBIN0572250</v>
      </c>
      <c r="Q237" s="77"/>
      <c r="R237" s="73"/>
      <c r="S237" s="77"/>
      <c r="T237" s="70"/>
      <c r="U237" s="78"/>
      <c r="V237" s="70" t="str">
        <f t="shared" si="4"/>
        <v>FY 25-26</v>
      </c>
      <c r="W237" s="23"/>
      <c r="X237" s="23"/>
    </row>
    <row r="238">
      <c r="A238" s="70" t="s">
        <v>354</v>
      </c>
      <c r="B238" s="70" t="str">
        <f>IF($A$3=" "," ", IFERROR( VLOOKUP($A238,'SUPPLIER DATA BASE'!$A$2:$M$936,3,0),""))</f>
        <v>-</v>
      </c>
      <c r="C238" s="70" t="str">
        <f>IF($A$3=" "," ", IFERROR( VLOOKUP($A238,'SUPPLIER DATA BASE'!$A$2:$F$936,6,0),""))</f>
        <v>-</v>
      </c>
      <c r="D238" s="70" t="str">
        <f>IF($A$3=" "," ", IFERROR( VLOOKUP($A238,'SUPPLIER DATA BASE'!$A$2:$G$936,4,0),""))</f>
        <v>-</v>
      </c>
      <c r="E238" s="71" t="str">
        <f>IF($A$3=" "," ", IFERROR( VLOOKUP($A238,'SUPPLIER DATA BASE'!$A$2:$H$936,5,0),""))</f>
        <v>-</v>
      </c>
      <c r="F238" s="72" t="s">
        <v>1301</v>
      </c>
      <c r="G238" s="73">
        <v>46076.0</v>
      </c>
      <c r="H238" s="74">
        <v>9.0</v>
      </c>
      <c r="I238" s="75">
        <v>8624.82</v>
      </c>
      <c r="J238" s="76" t="s">
        <v>1302</v>
      </c>
      <c r="K238" s="70" t="s">
        <v>349</v>
      </c>
      <c r="L238" s="70" t="s">
        <v>349</v>
      </c>
      <c r="M238" s="70" t="str">
        <f t="shared" si="3"/>
        <v>112 Days</v>
      </c>
      <c r="N238" s="70" t="str">
        <f>IF($A$3=" "," ", IFERROR( VLOOKUP($A238,'SUPPLIER DATA BASE'!$A$2:$O$936,11,0),""))</f>
        <v>-</v>
      </c>
      <c r="O238" s="70" t="str">
        <f>IF($A$3=" "," ", IFERROR( VLOOKUP($A238,'SUPPLIER DATA BASE'!$A$2:$O$936,12,0),""))</f>
        <v>-</v>
      </c>
      <c r="P238" s="70" t="str">
        <f>IF($A$3=" "," ", IFERROR( VLOOKUP($A238,'SUPPLIER DATA BASE'!$A$2:$O$936,13,0),""))</f>
        <v>-</v>
      </c>
      <c r="Q238" s="77"/>
      <c r="R238" s="73"/>
      <c r="S238" s="77"/>
      <c r="T238" s="70"/>
      <c r="U238" s="78"/>
      <c r="V238" s="70" t="str">
        <f t="shared" si="4"/>
        <v>FY 25-26</v>
      </c>
      <c r="W238" s="23"/>
      <c r="X238" s="23"/>
    </row>
    <row r="239">
      <c r="A239" s="70" t="s">
        <v>354</v>
      </c>
      <c r="B239" s="70" t="str">
        <f>IF($A$3=" "," ", IFERROR( VLOOKUP($A239,'SUPPLIER DATA BASE'!$A$2:$M$936,3,0),""))</f>
        <v>-</v>
      </c>
      <c r="C239" s="70" t="str">
        <f>IF($A$3=" "," ", IFERROR( VLOOKUP($A239,'SUPPLIER DATA BASE'!$A$2:$F$936,6,0),""))</f>
        <v>-</v>
      </c>
      <c r="D239" s="70" t="str">
        <f>IF($A$3=" "," ", IFERROR( VLOOKUP($A239,'SUPPLIER DATA BASE'!$A$2:$G$936,4,0),""))</f>
        <v>-</v>
      </c>
      <c r="E239" s="71" t="str">
        <f>IF($A$3=" "," ", IFERROR( VLOOKUP($A239,'SUPPLIER DATA BASE'!$A$2:$H$936,5,0),""))</f>
        <v>-</v>
      </c>
      <c r="F239" s="72" t="s">
        <v>1303</v>
      </c>
      <c r="G239" s="73">
        <v>46076.0</v>
      </c>
      <c r="H239" s="74">
        <v>122.0</v>
      </c>
      <c r="I239" s="75">
        <v>172011.75</v>
      </c>
      <c r="J239" s="76" t="s">
        <v>1304</v>
      </c>
      <c r="K239" s="70" t="s">
        <v>349</v>
      </c>
      <c r="L239" s="70" t="s">
        <v>349</v>
      </c>
      <c r="M239" s="70" t="str">
        <f t="shared" si="3"/>
        <v>112 Days</v>
      </c>
      <c r="N239" s="70" t="str">
        <f>IF($A$3=" "," ", IFERROR( VLOOKUP($A239,'SUPPLIER DATA BASE'!$A$2:$O$936,11,0),""))</f>
        <v>-</v>
      </c>
      <c r="O239" s="70" t="str">
        <f>IF($A$3=" "," ", IFERROR( VLOOKUP($A239,'SUPPLIER DATA BASE'!$A$2:$O$936,12,0),""))</f>
        <v>-</v>
      </c>
      <c r="P239" s="70" t="str">
        <f>IF($A$3=" "," ", IFERROR( VLOOKUP($A239,'SUPPLIER DATA BASE'!$A$2:$O$936,13,0),""))</f>
        <v>-</v>
      </c>
      <c r="Q239" s="77"/>
      <c r="R239" s="73"/>
      <c r="S239" s="77"/>
      <c r="T239" s="70"/>
      <c r="U239" s="78"/>
      <c r="V239" s="70" t="str">
        <f t="shared" si="4"/>
        <v>FY 25-26</v>
      </c>
      <c r="W239" s="23"/>
      <c r="X239" s="23"/>
    </row>
    <row r="240">
      <c r="A240" s="70" t="s">
        <v>677</v>
      </c>
      <c r="B240" s="70" t="str">
        <f>IF($A$3=" "," ", IFERROR( VLOOKUP($A240,'SUPPLIER DATA BASE'!$A$2:$M$936,3,0),""))</f>
        <v>-</v>
      </c>
      <c r="C240" s="70" t="str">
        <f>IF($A$3=" "," ", IFERROR( VLOOKUP($A240,'SUPPLIER DATA BASE'!$A$2:$F$936,6,0),""))</f>
        <v>-</v>
      </c>
      <c r="D240" s="70" t="str">
        <f>IF($A$3=" "," ", IFERROR( VLOOKUP($A240,'SUPPLIER DATA BASE'!$A$2:$G$936,4,0),""))</f>
        <v>-</v>
      </c>
      <c r="E240" s="71" t="str">
        <f>IF($A$3=" "," ", IFERROR( VLOOKUP($A240,'SUPPLIER DATA BASE'!$A$2:$H$936,5,0),""))</f>
        <v>-</v>
      </c>
      <c r="F240" s="72" t="s">
        <v>1305</v>
      </c>
      <c r="G240" s="73">
        <v>46076.0</v>
      </c>
      <c r="H240" s="74">
        <v>45.0</v>
      </c>
      <c r="I240" s="75">
        <v>63004.0</v>
      </c>
      <c r="J240" s="76" t="s">
        <v>1306</v>
      </c>
      <c r="K240" s="70" t="s">
        <v>349</v>
      </c>
      <c r="L240" s="70" t="s">
        <v>349</v>
      </c>
      <c r="M240" s="70" t="str">
        <f t="shared" si="3"/>
        <v>112 Days</v>
      </c>
      <c r="N240" s="70" t="str">
        <f>IF($A$3=" "," ", IFERROR( VLOOKUP($A240,'SUPPLIER DATA BASE'!$A$2:$O$936,11,0),""))</f>
        <v>SARAOGI SUPER SALES PVT LTD</v>
      </c>
      <c r="O240" s="70" t="str">
        <f>IF($A$3=" "," ", IFERROR( VLOOKUP($A240,'SUPPLIER DATA BASE'!$A$2:$O$936,12,0),""))</f>
        <v>SASUSP011006</v>
      </c>
      <c r="P240" s="70" t="str">
        <f>IF($A$3=" "," ", IFERROR( VLOOKUP($A240,'SUPPLIER DATA BASE'!$A$2:$O$936,13,0),""))</f>
        <v>ICIC0000106</v>
      </c>
      <c r="Q240" s="77"/>
      <c r="R240" s="73"/>
      <c r="S240" s="77"/>
      <c r="T240" s="70"/>
      <c r="U240" s="78"/>
      <c r="V240" s="70" t="str">
        <f t="shared" si="4"/>
        <v>FY 25-26</v>
      </c>
      <c r="W240" s="23"/>
      <c r="X240" s="23"/>
    </row>
    <row r="241">
      <c r="A241" s="70" t="s">
        <v>850</v>
      </c>
      <c r="B241" s="70" t="str">
        <f>IF($A$3=" "," ", IFERROR( VLOOKUP($A241,'SUPPLIER DATA BASE'!$A$2:$M$936,3,0),""))</f>
        <v/>
      </c>
      <c r="C241" s="70" t="str">
        <f>IF($A$3=" "," ", IFERROR( VLOOKUP($A241,'SUPPLIER DATA BASE'!$A$2:$F$936,6,0),""))</f>
        <v/>
      </c>
      <c r="D241" s="70" t="str">
        <f>IF($A$3=" "," ", IFERROR( VLOOKUP($A241,'SUPPLIER DATA BASE'!$A$2:$G$936,4,0),""))</f>
        <v/>
      </c>
      <c r="E241" s="71" t="str">
        <f>IF($A$3=" "," ", IFERROR( VLOOKUP($A241,'SUPPLIER DATA BASE'!$A$2:$H$936,5,0),""))</f>
        <v/>
      </c>
      <c r="F241" s="72" t="s">
        <v>1307</v>
      </c>
      <c r="G241" s="73">
        <v>46076.0</v>
      </c>
      <c r="H241" s="74">
        <v>57.0</v>
      </c>
      <c r="I241" s="75">
        <v>43360.0</v>
      </c>
      <c r="J241" s="76" t="s">
        <v>1308</v>
      </c>
      <c r="K241" s="70" t="s">
        <v>349</v>
      </c>
      <c r="L241" s="70" t="s">
        <v>349</v>
      </c>
      <c r="M241" s="70" t="str">
        <f t="shared" si="3"/>
        <v>112 Days</v>
      </c>
      <c r="N241" s="70" t="str">
        <f>IF($A$3=" "," ", IFERROR( VLOOKUP($A241,'SUPPLIER DATA BASE'!$A$2:$O$936,11,0),""))</f>
        <v/>
      </c>
      <c r="O241" s="70" t="str">
        <f>IF($A$3=" "," ", IFERROR( VLOOKUP($A241,'SUPPLIER DATA BASE'!$A$2:$O$936,12,0),""))</f>
        <v/>
      </c>
      <c r="P241" s="70" t="str">
        <f>IF($A$3=" "," ", IFERROR( VLOOKUP($A241,'SUPPLIER DATA BASE'!$A$2:$O$936,13,0),""))</f>
        <v/>
      </c>
      <c r="Q241" s="77"/>
      <c r="R241" s="73"/>
      <c r="S241" s="77"/>
      <c r="T241" s="70"/>
      <c r="U241" s="78"/>
      <c r="V241" s="70" t="str">
        <f t="shared" si="4"/>
        <v>FY 25-26</v>
      </c>
      <c r="W241" s="23"/>
      <c r="X241" s="23"/>
    </row>
    <row r="242">
      <c r="A242" s="70" t="s">
        <v>859</v>
      </c>
      <c r="B242" s="70" t="str">
        <f>IF($A$3=" "," ", IFERROR( VLOOKUP($A242,'SUPPLIER DATA BASE'!$A$2:$M$936,3,0),""))</f>
        <v/>
      </c>
      <c r="C242" s="70" t="str">
        <f>IF($A$3=" "," ", IFERROR( VLOOKUP($A242,'SUPPLIER DATA BASE'!$A$2:$F$936,6,0),""))</f>
        <v/>
      </c>
      <c r="D242" s="70" t="str">
        <f>IF($A$3=" "," ", IFERROR( VLOOKUP($A242,'SUPPLIER DATA BASE'!$A$2:$G$936,4,0),""))</f>
        <v/>
      </c>
      <c r="E242" s="71" t="str">
        <f>IF($A$3=" "," ", IFERROR( VLOOKUP($A242,'SUPPLIER DATA BASE'!$A$2:$H$936,5,0),""))</f>
        <v/>
      </c>
      <c r="F242" s="72" t="s">
        <v>1309</v>
      </c>
      <c r="G242" s="73">
        <v>46076.0</v>
      </c>
      <c r="H242" s="74">
        <v>31.0</v>
      </c>
      <c r="I242" s="75">
        <v>19399.0</v>
      </c>
      <c r="J242" s="76" t="s">
        <v>1310</v>
      </c>
      <c r="K242" s="70" t="s">
        <v>349</v>
      </c>
      <c r="L242" s="73"/>
      <c r="M242" s="70" t="str">
        <f t="shared" si="3"/>
        <v>112 Days</v>
      </c>
      <c r="N242" s="70" t="str">
        <f>IF($A$3=" "," ", IFERROR( VLOOKUP($A242,'SUPPLIER DATA BASE'!$A$2:$O$936,11,0),""))</f>
        <v/>
      </c>
      <c r="O242" s="70" t="str">
        <f>IF($A$3=" "," ", IFERROR( VLOOKUP($A242,'SUPPLIER DATA BASE'!$A$2:$O$936,12,0),""))</f>
        <v/>
      </c>
      <c r="P242" s="70" t="str">
        <f>IF($A$3=" "," ", IFERROR( VLOOKUP($A242,'SUPPLIER DATA BASE'!$A$2:$O$936,13,0),""))</f>
        <v/>
      </c>
      <c r="Q242" s="77"/>
      <c r="R242" s="73"/>
      <c r="S242" s="77"/>
      <c r="T242" s="70"/>
      <c r="U242" s="78"/>
      <c r="V242" s="70" t="str">
        <f t="shared" si="4"/>
        <v>FY 25-26</v>
      </c>
      <c r="W242" s="23"/>
      <c r="X242" s="23"/>
    </row>
    <row r="243">
      <c r="A243" s="70" t="s">
        <v>677</v>
      </c>
      <c r="B243" s="70" t="str">
        <f>IF($A$3=" "," ", IFERROR( VLOOKUP($A243,'SUPPLIER DATA BASE'!$A$2:$M$936,3,0),""))</f>
        <v>-</v>
      </c>
      <c r="C243" s="70" t="str">
        <f>IF($A$3=" "," ", IFERROR( VLOOKUP($A243,'SUPPLIER DATA BASE'!$A$2:$F$936,6,0),""))</f>
        <v>-</v>
      </c>
      <c r="D243" s="70" t="str">
        <f>IF($A$3=" "," ", IFERROR( VLOOKUP($A243,'SUPPLIER DATA BASE'!$A$2:$G$936,4,0),""))</f>
        <v>-</v>
      </c>
      <c r="E243" s="71" t="str">
        <f>IF($A$3=" "," ", IFERROR( VLOOKUP($A243,'SUPPLIER DATA BASE'!$A$2:$H$936,5,0),""))</f>
        <v>-</v>
      </c>
      <c r="F243" s="72" t="s">
        <v>1311</v>
      </c>
      <c r="G243" s="73">
        <v>46077.0</v>
      </c>
      <c r="H243" s="74">
        <v>12.0</v>
      </c>
      <c r="I243" s="75">
        <v>36419.0</v>
      </c>
      <c r="J243" s="76" t="s">
        <v>1312</v>
      </c>
      <c r="K243" s="70" t="s">
        <v>349</v>
      </c>
      <c r="L243" s="70" t="s">
        <v>349</v>
      </c>
      <c r="M243" s="70" t="str">
        <f t="shared" si="3"/>
        <v>111 Days</v>
      </c>
      <c r="N243" s="70" t="str">
        <f>IF($A$3=" "," ", IFERROR( VLOOKUP($A243,'SUPPLIER DATA BASE'!$A$2:$O$936,11,0),""))</f>
        <v>SARAOGI SUPER SALES PVT LTD</v>
      </c>
      <c r="O243" s="70" t="str">
        <f>IF($A$3=" "," ", IFERROR( VLOOKUP($A243,'SUPPLIER DATA BASE'!$A$2:$O$936,12,0),""))</f>
        <v>SASUSP011006</v>
      </c>
      <c r="P243" s="70" t="str">
        <f>IF($A$3=" "," ", IFERROR( VLOOKUP($A243,'SUPPLIER DATA BASE'!$A$2:$O$936,13,0),""))</f>
        <v>ICIC0000106</v>
      </c>
      <c r="Q243" s="77"/>
      <c r="R243" s="73"/>
      <c r="S243" s="77"/>
      <c r="T243" s="70"/>
      <c r="U243" s="78"/>
      <c r="V243" s="70" t="str">
        <f t="shared" si="4"/>
        <v>FY 25-26</v>
      </c>
      <c r="W243" s="23"/>
      <c r="X243" s="23"/>
    </row>
    <row r="244">
      <c r="A244" s="70" t="s">
        <v>677</v>
      </c>
      <c r="B244" s="70" t="str">
        <f>IF($A$3=" "," ", IFERROR( VLOOKUP($A244,'SUPPLIER DATA BASE'!$A$2:$M$936,3,0),""))</f>
        <v>-</v>
      </c>
      <c r="C244" s="70" t="str">
        <f>IF($A$3=" "," ", IFERROR( VLOOKUP($A244,'SUPPLIER DATA BASE'!$A$2:$F$936,6,0),""))</f>
        <v>-</v>
      </c>
      <c r="D244" s="70" t="str">
        <f>IF($A$3=" "," ", IFERROR( VLOOKUP($A244,'SUPPLIER DATA BASE'!$A$2:$G$936,4,0),""))</f>
        <v>-</v>
      </c>
      <c r="E244" s="71" t="str">
        <f>IF($A$3=" "," ", IFERROR( VLOOKUP($A244,'SUPPLIER DATA BASE'!$A$2:$H$936,5,0),""))</f>
        <v>-</v>
      </c>
      <c r="F244" s="72" t="s">
        <v>1313</v>
      </c>
      <c r="G244" s="73">
        <v>46077.0</v>
      </c>
      <c r="H244" s="74">
        <v>13.0</v>
      </c>
      <c r="I244" s="75">
        <v>39048.0</v>
      </c>
      <c r="J244" s="76" t="s">
        <v>1314</v>
      </c>
      <c r="K244" s="70" t="s">
        <v>349</v>
      </c>
      <c r="L244" s="70" t="s">
        <v>349</v>
      </c>
      <c r="M244" s="70" t="str">
        <f t="shared" si="3"/>
        <v>111 Days</v>
      </c>
      <c r="N244" s="70" t="str">
        <f>IF($A$3=" "," ", IFERROR( VLOOKUP($A244,'SUPPLIER DATA BASE'!$A$2:$O$936,11,0),""))</f>
        <v>SARAOGI SUPER SALES PVT LTD</v>
      </c>
      <c r="O244" s="70" t="str">
        <f>IF($A$3=" "," ", IFERROR( VLOOKUP($A244,'SUPPLIER DATA BASE'!$A$2:$O$936,12,0),""))</f>
        <v>SASUSP011006</v>
      </c>
      <c r="P244" s="70" t="str">
        <f>IF($A$3=" "," ", IFERROR( VLOOKUP($A244,'SUPPLIER DATA BASE'!$A$2:$O$936,13,0),""))</f>
        <v>ICIC0000106</v>
      </c>
      <c r="Q244" s="77"/>
      <c r="R244" s="73"/>
      <c r="S244" s="77"/>
      <c r="T244" s="70"/>
      <c r="U244" s="78"/>
      <c r="V244" s="70" t="str">
        <f t="shared" si="4"/>
        <v>FY 25-26</v>
      </c>
      <c r="W244" s="23"/>
      <c r="X244" s="23"/>
    </row>
    <row r="245">
      <c r="A245" s="70" t="s">
        <v>575</v>
      </c>
      <c r="B245" s="70" t="str">
        <f>IF($A$3=" "," ", IFERROR( VLOOKUP($A245,'SUPPLIER DATA BASE'!$A$2:$M$936,3,0),""))</f>
        <v>BLACKBERRY</v>
      </c>
      <c r="C245" s="70" t="str">
        <f>IF($A$3=" "," ", IFERROR( VLOOKUP($A245,'SUPPLIER DATA BASE'!$A$2:$F$936,6,0),""))</f>
        <v>-</v>
      </c>
      <c r="D245" s="70" t="str">
        <f>IF($A$3=" "," ", IFERROR( VLOOKUP($A245,'SUPPLIER DATA BASE'!$A$2:$G$936,4,0),""))</f>
        <v>-</v>
      </c>
      <c r="E245" s="71" t="str">
        <f>IF($A$3=" "," ", IFERROR( VLOOKUP($A245,'SUPPLIER DATA BASE'!$A$2:$H$936,5,0),""))</f>
        <v>-</v>
      </c>
      <c r="F245" s="72">
        <v>8.500270722E9</v>
      </c>
      <c r="G245" s="73">
        <v>46077.0</v>
      </c>
      <c r="H245" s="74">
        <v>37.0</v>
      </c>
      <c r="I245" s="75">
        <v>70629.68</v>
      </c>
      <c r="J245" s="76" t="s">
        <v>1315</v>
      </c>
      <c r="K245" s="70" t="s">
        <v>349</v>
      </c>
      <c r="L245" s="70" t="s">
        <v>349</v>
      </c>
      <c r="M245" s="70" t="str">
        <f t="shared" si="3"/>
        <v>111 Days</v>
      </c>
      <c r="N245" s="70" t="str">
        <f>IF($A$3=" "," ", IFERROR( VLOOKUP($A245,'SUPPLIER DATA BASE'!$A$2:$O$936,11,0),""))</f>
        <v>MOHAN CLOTHING COMPANY PVT LTD</v>
      </c>
      <c r="O245" s="70" t="str">
        <f>IF($A$3=" "," ", IFERROR( VLOOKUP($A245,'SUPPLIER DATA BASE'!$A$2:$O$936,12,0),""))</f>
        <v>0710096023</v>
      </c>
      <c r="P245" s="70" t="str">
        <f>IF($A$3=" "," ", IFERROR( VLOOKUP($A245,'SUPPLIER DATA BASE'!$A$2:$O$936,13,0),""))</f>
        <v>CITI0000002</v>
      </c>
      <c r="Q245" s="77"/>
      <c r="R245" s="73"/>
      <c r="S245" s="77"/>
      <c r="T245" s="70"/>
      <c r="U245" s="78"/>
      <c r="V245" s="70" t="str">
        <f t="shared" si="4"/>
        <v>FY 25-26</v>
      </c>
      <c r="W245" s="23"/>
      <c r="X245" s="23"/>
    </row>
    <row r="246">
      <c r="A246" s="70" t="s">
        <v>677</v>
      </c>
      <c r="B246" s="70" t="str">
        <f>IF($A$3=" "," ", IFERROR( VLOOKUP($A246,'SUPPLIER DATA BASE'!$A$2:$M$936,3,0),""))</f>
        <v>-</v>
      </c>
      <c r="C246" s="70" t="str">
        <f>IF($A$3=" "," ", IFERROR( VLOOKUP($A246,'SUPPLIER DATA BASE'!$A$2:$F$936,6,0),""))</f>
        <v>-</v>
      </c>
      <c r="D246" s="70" t="str">
        <f>IF($A$3=" "," ", IFERROR( VLOOKUP($A246,'SUPPLIER DATA BASE'!$A$2:$G$936,4,0),""))</f>
        <v>-</v>
      </c>
      <c r="E246" s="71" t="str">
        <f>IF($A$3=" "," ", IFERROR( VLOOKUP($A246,'SUPPLIER DATA BASE'!$A$2:$H$936,5,0),""))</f>
        <v>-</v>
      </c>
      <c r="F246" s="72" t="s">
        <v>1316</v>
      </c>
      <c r="G246" s="73">
        <v>46077.0</v>
      </c>
      <c r="H246" s="74">
        <v>387.0</v>
      </c>
      <c r="I246" s="75">
        <v>128968.0</v>
      </c>
      <c r="J246" s="76" t="s">
        <v>1317</v>
      </c>
      <c r="K246" s="70" t="s">
        <v>349</v>
      </c>
      <c r="L246" s="70" t="s">
        <v>349</v>
      </c>
      <c r="M246" s="70" t="str">
        <f t="shared" si="3"/>
        <v>111 Days</v>
      </c>
      <c r="N246" s="70" t="str">
        <f>IF($A$3=" "," ", IFERROR( VLOOKUP($A246,'SUPPLIER DATA BASE'!$A$2:$O$936,11,0),""))</f>
        <v>SARAOGI SUPER SALES PVT LTD</v>
      </c>
      <c r="O246" s="70" t="str">
        <f>IF($A$3=" "," ", IFERROR( VLOOKUP($A246,'SUPPLIER DATA BASE'!$A$2:$O$936,12,0),""))</f>
        <v>SASUSP011006</v>
      </c>
      <c r="P246" s="70" t="str">
        <f>IF($A$3=" "," ", IFERROR( VLOOKUP($A246,'SUPPLIER DATA BASE'!$A$2:$O$936,13,0),""))</f>
        <v>ICIC0000106</v>
      </c>
      <c r="Q246" s="77"/>
      <c r="R246" s="73"/>
      <c r="S246" s="77"/>
      <c r="T246" s="70"/>
      <c r="U246" s="78"/>
      <c r="V246" s="70" t="str">
        <f t="shared" si="4"/>
        <v>FY 25-26</v>
      </c>
      <c r="W246" s="23"/>
      <c r="X246" s="23"/>
    </row>
    <row r="247">
      <c r="A247" s="70" t="s">
        <v>790</v>
      </c>
      <c r="B247" s="70" t="str">
        <f>IF($A$3=" "," ", IFERROR( VLOOKUP($A247,'SUPPLIER DATA BASE'!$A$2:$M$936,3,0),""))</f>
        <v>-</v>
      </c>
      <c r="C247" s="70" t="str">
        <f>IF($A$3=" "," ", IFERROR( VLOOKUP($A247,'SUPPLIER DATA BASE'!$A$2:$F$936,6,0),""))</f>
        <v>-</v>
      </c>
      <c r="D247" s="70" t="str">
        <f>IF($A$3=" "," ", IFERROR( VLOOKUP($A247,'SUPPLIER DATA BASE'!$A$2:$G$936,4,0),""))</f>
        <v>-</v>
      </c>
      <c r="E247" s="71" t="str">
        <f>IF($A$3=" "," ", IFERROR( VLOOKUP($A247,'SUPPLIER DATA BASE'!$A$2:$H$936,5,0),""))</f>
        <v>-</v>
      </c>
      <c r="F247" s="72" t="s">
        <v>1318</v>
      </c>
      <c r="G247" s="73">
        <v>46078.0</v>
      </c>
      <c r="H247" s="74">
        <v>29.0</v>
      </c>
      <c r="I247" s="75">
        <v>47098.0</v>
      </c>
      <c r="J247" s="76" t="s">
        <v>1319</v>
      </c>
      <c r="K247" s="70" t="s">
        <v>349</v>
      </c>
      <c r="L247" s="70" t="s">
        <v>349</v>
      </c>
      <c r="M247" s="70" t="str">
        <f t="shared" si="3"/>
        <v>110 Days</v>
      </c>
      <c r="N247" s="70" t="str">
        <f>IF($A$3=" "," ", IFERROR( VLOOKUP($A247,'SUPPLIER DATA BASE'!$A$2:$O$936,11,0),""))</f>
        <v>VEEDAM FASHIONS</v>
      </c>
      <c r="O247" s="70" t="str">
        <f>IF($A$3=" "," ", IFERROR( VLOOKUP($A247,'SUPPLIER DATA BASE'!$A$2:$O$936,12,0),""))</f>
        <v>176115090000015</v>
      </c>
      <c r="P247" s="70" t="str">
        <f>IF($A$3=" "," ", IFERROR( VLOOKUP($A247,'SUPPLIER DATA BASE'!$A$2:$O$936,13,0),""))</f>
        <v>UBIN0817619</v>
      </c>
      <c r="Q247" s="77">
        <v>45752.0</v>
      </c>
      <c r="R247" s="86">
        <v>46186.0</v>
      </c>
      <c r="S247" s="77">
        <v>1346.0</v>
      </c>
      <c r="T247" s="70"/>
      <c r="U247" s="84" t="s">
        <v>1320</v>
      </c>
      <c r="V247" s="70" t="str">
        <f t="shared" si="4"/>
        <v>FY 25-26</v>
      </c>
      <c r="W247" s="23"/>
      <c r="X247" s="23"/>
    </row>
    <row r="248">
      <c r="A248" s="70" t="s">
        <v>541</v>
      </c>
      <c r="B248" s="70" t="str">
        <f>IF($A$3=" "," ", IFERROR( VLOOKUP($A248,'SUPPLIER DATA BASE'!$A$2:$M$936,3,0),""))</f>
        <v>TWILLS</v>
      </c>
      <c r="C248" s="70" t="str">
        <f>IF($A$3=" "," ", IFERROR( VLOOKUP($A248,'SUPPLIER DATA BASE'!$A$2:$F$936,6,0),""))</f>
        <v>-</v>
      </c>
      <c r="D248" s="70" t="str">
        <f>IF($A$3=" "," ", IFERROR( VLOOKUP($A248,'SUPPLIER DATA BASE'!$A$2:$G$936,4,0),""))</f>
        <v>-</v>
      </c>
      <c r="E248" s="71" t="str">
        <f>IF($A$3=" "," ", IFERROR( VLOOKUP($A248,'SUPPLIER DATA BASE'!$A$2:$H$936,5,0),""))</f>
        <v>-</v>
      </c>
      <c r="F248" s="72" t="s">
        <v>1321</v>
      </c>
      <c r="G248" s="73">
        <v>46078.0</v>
      </c>
      <c r="H248" s="74">
        <v>18.0</v>
      </c>
      <c r="I248" s="75">
        <v>53811.0</v>
      </c>
      <c r="J248" s="76" t="s">
        <v>1322</v>
      </c>
      <c r="K248" s="70" t="s">
        <v>349</v>
      </c>
      <c r="L248" s="70" t="s">
        <v>349</v>
      </c>
      <c r="M248" s="70" t="str">
        <f t="shared" si="3"/>
        <v>110 Days</v>
      </c>
      <c r="N248" s="70" t="str">
        <f>IF($A$3=" "," ", IFERROR( VLOOKUP($A248,'SUPPLIER DATA BASE'!$A$2:$O$936,11,0),""))</f>
        <v>M. N. GARMENTS</v>
      </c>
      <c r="O248" s="70" t="str">
        <f>IF($A$3=" "," ", IFERROR( VLOOKUP($A248,'SUPPLIER DATA BASE'!$A$2:$O$936,12,0),""))</f>
        <v>50200058436598</v>
      </c>
      <c r="P248" s="70" t="str">
        <f>IF($A$3=" "," ", IFERROR( VLOOKUP($A248,'SUPPLIER DATA BASE'!$A$2:$O$936,13,0),""))</f>
        <v>HDFC0001470</v>
      </c>
      <c r="Q248" s="77"/>
      <c r="R248" s="73"/>
      <c r="S248" s="77"/>
      <c r="T248" s="70"/>
      <c r="U248" s="78"/>
      <c r="V248" s="70" t="str">
        <f t="shared" si="4"/>
        <v>FY 25-26</v>
      </c>
      <c r="W248" s="23"/>
      <c r="X248" s="23"/>
    </row>
    <row r="249">
      <c r="A249" s="70" t="s">
        <v>609</v>
      </c>
      <c r="B249" s="70" t="str">
        <f>IF($A$3=" "," ", IFERROR( VLOOKUP($A249,'SUPPLIER DATA BASE'!$A$2:$M$936,3,0),""))</f>
        <v>-</v>
      </c>
      <c r="C249" s="70" t="str">
        <f>IF($A$3=" "," ", IFERROR( VLOOKUP($A249,'SUPPLIER DATA BASE'!$A$2:$F$936,6,0),""))</f>
        <v>-</v>
      </c>
      <c r="D249" s="70" t="str">
        <f>IF($A$3=" "," ", IFERROR( VLOOKUP($A249,'SUPPLIER DATA BASE'!$A$2:$G$936,4,0),""))</f>
        <v>-</v>
      </c>
      <c r="E249" s="71" t="str">
        <f>IF($A$3=" "," ", IFERROR( VLOOKUP($A249,'SUPPLIER DATA BASE'!$A$2:$H$936,5,0),""))</f>
        <v>-</v>
      </c>
      <c r="F249" s="72">
        <v>23711.0</v>
      </c>
      <c r="G249" s="73">
        <v>46078.0</v>
      </c>
      <c r="H249" s="74">
        <v>26.0</v>
      </c>
      <c r="I249" s="75">
        <v>8630.0</v>
      </c>
      <c r="J249" s="76" t="s">
        <v>1323</v>
      </c>
      <c r="K249" s="70" t="s">
        <v>349</v>
      </c>
      <c r="L249" s="70" t="s">
        <v>349</v>
      </c>
      <c r="M249" s="70" t="str">
        <f t="shared" si="3"/>
        <v>110 Days</v>
      </c>
      <c r="N249" s="70" t="str">
        <f>IF($A$3=" "," ", IFERROR( VLOOKUP($A249,'SUPPLIER DATA BASE'!$A$2:$O$936,11,0),""))</f>
        <v>P R MODI AND SONS</v>
      </c>
      <c r="O249" s="70" t="str">
        <f>IF($A$3=" "," ", IFERROR( VLOOKUP($A249,'SUPPLIER DATA BASE'!$A$2:$O$936,12,0),""))</f>
        <v>490930150000030</v>
      </c>
      <c r="P249" s="70" t="str">
        <f>IF($A$3=" "," ", IFERROR( VLOOKUP($A249,'SUPPLIER DATA BASE'!$A$2:$O$936,13,0),""))</f>
        <v>BKID0004909</v>
      </c>
      <c r="Q249" s="77"/>
      <c r="R249" s="73"/>
      <c r="S249" s="77"/>
      <c r="T249" s="70"/>
      <c r="U249" s="78"/>
      <c r="V249" s="70" t="str">
        <f t="shared" si="4"/>
        <v>FY 25-26</v>
      </c>
      <c r="W249" s="23"/>
      <c r="X249" s="23"/>
    </row>
    <row r="250">
      <c r="A250" s="70" t="s">
        <v>743</v>
      </c>
      <c r="B250" s="70" t="str">
        <f>IF($A$3=" "," ", IFERROR( VLOOKUP($A250,'SUPPLIER DATA BASE'!$A$2:$M$936,3,0),""))</f>
        <v>PETTY COAT</v>
      </c>
      <c r="C250" s="70" t="str">
        <f>IF($A$3=" "," ", IFERROR( VLOOKUP($A250,'SUPPLIER DATA BASE'!$A$2:$F$936,6,0),""))</f>
        <v>-</v>
      </c>
      <c r="D250" s="70" t="str">
        <f>IF($A$3=" "," ", IFERROR( VLOOKUP($A250,'SUPPLIER DATA BASE'!$A$2:$G$936,4,0),""))</f>
        <v>-</v>
      </c>
      <c r="E250" s="71" t="str">
        <f>IF($A$3=" "," ", IFERROR( VLOOKUP($A250,'SUPPLIER DATA BASE'!$A$2:$H$936,5,0),""))</f>
        <v>-</v>
      </c>
      <c r="F250" s="72">
        <v>679.0</v>
      </c>
      <c r="G250" s="73">
        <v>46078.0</v>
      </c>
      <c r="H250" s="74">
        <v>40.0</v>
      </c>
      <c r="I250" s="75">
        <v>4998.0</v>
      </c>
      <c r="J250" s="76" t="s">
        <v>1324</v>
      </c>
      <c r="K250" s="70" t="s">
        <v>349</v>
      </c>
      <c r="L250" s="70" t="s">
        <v>349</v>
      </c>
      <c r="M250" s="70" t="str">
        <f t="shared" si="3"/>
        <v>110 Days</v>
      </c>
      <c r="N250" s="70" t="str">
        <f>IF($A$3=" "," ", IFERROR( VLOOKUP($A250,'SUPPLIER DATA BASE'!$A$2:$O$936,11,0),""))</f>
        <v>SRI RADHEY MACHING CENTER</v>
      </c>
      <c r="O250" s="70" t="str">
        <f>IF($A$3=" "," ", IFERROR( VLOOKUP($A250,'SUPPLIER DATA BASE'!$A$2:$O$936,12,0),""))</f>
        <v>3626026563</v>
      </c>
      <c r="P250" s="70" t="str">
        <f>IF($A$3=" "," ", IFERROR( VLOOKUP($A250,'SUPPLIER DATA BASE'!$A$2:$O$936,13,0),""))</f>
        <v>CBIN0281393</v>
      </c>
      <c r="Q250" s="77"/>
      <c r="R250" s="73"/>
      <c r="S250" s="77"/>
      <c r="T250" s="70"/>
      <c r="U250" s="78"/>
      <c r="V250" s="70" t="str">
        <f t="shared" si="4"/>
        <v>FY 25-26</v>
      </c>
      <c r="W250" s="23"/>
      <c r="X250" s="23"/>
    </row>
    <row r="251">
      <c r="A251" s="70" t="s">
        <v>430</v>
      </c>
      <c r="B251" s="70" t="str">
        <f>IF($A$3=" "," ", IFERROR( VLOOKUP($A251,'SUPPLIER DATA BASE'!$A$2:$M$936,3,0),""))</f>
        <v>-</v>
      </c>
      <c r="C251" s="70" t="str">
        <f>IF($A$3=" "," ", IFERROR( VLOOKUP($A251,'SUPPLIER DATA BASE'!$A$2:$F$936,6,0),""))</f>
        <v>-</v>
      </c>
      <c r="D251" s="70">
        <f>IF($A$3=" "," ", IFERROR( VLOOKUP($A251,'SUPPLIER DATA BASE'!$A$2:$G$936,4,0),""))</f>
        <v>30</v>
      </c>
      <c r="E251" s="71">
        <f>IF($A$3=" "," ", IFERROR( VLOOKUP($A251,'SUPPLIER DATA BASE'!$A$2:$H$936,5,0),""))</f>
        <v>0.05</v>
      </c>
      <c r="F251" s="72">
        <v>835.0</v>
      </c>
      <c r="G251" s="73">
        <v>46078.0</v>
      </c>
      <c r="H251" s="74">
        <v>83.0</v>
      </c>
      <c r="I251" s="75">
        <v>94332.0</v>
      </c>
      <c r="J251" s="76" t="s">
        <v>1325</v>
      </c>
      <c r="K251" s="70" t="s">
        <v>349</v>
      </c>
      <c r="L251" s="70" t="s">
        <v>349</v>
      </c>
      <c r="M251" s="70" t="str">
        <f t="shared" si="3"/>
        <v>110 Days</v>
      </c>
      <c r="N251" s="70" t="str">
        <f>IF($A$3=" "," ", IFERROR( VLOOKUP($A251,'SUPPLIER DATA BASE'!$A$2:$O$936,11,0),""))</f>
        <v>DIYA CREATION</v>
      </c>
      <c r="O251" s="70" t="str">
        <f>IF($A$3=" "," ", IFERROR( VLOOKUP($A251,'SUPPLIER DATA BASE'!$A$2:$O$936,12,0),""))</f>
        <v>199502000000874</v>
      </c>
      <c r="P251" s="70" t="str">
        <f>IF($A$3=" "," ", IFERROR( VLOOKUP($A251,'SUPPLIER DATA BASE'!$A$2:$O$936,13,0),""))</f>
        <v>IOBA0001995</v>
      </c>
      <c r="Q251" s="77">
        <v>89840.0</v>
      </c>
      <c r="R251" s="73">
        <v>46101.0</v>
      </c>
      <c r="S251" s="77">
        <v>4492.0</v>
      </c>
      <c r="T251" s="70"/>
      <c r="U251" s="84" t="s">
        <v>1320</v>
      </c>
      <c r="V251" s="70" t="str">
        <f t="shared" si="4"/>
        <v>FY 25-26</v>
      </c>
      <c r="W251" s="23"/>
      <c r="X251" s="23"/>
    </row>
    <row r="252">
      <c r="A252" s="70" t="s">
        <v>465</v>
      </c>
      <c r="B252" s="70" t="str">
        <f>IF($A$3=" "," ", IFERROR( VLOOKUP($A252,'SUPPLIER DATA BASE'!$A$2:$M$936,3,0),""))</f>
        <v>PRETTY GIRL</v>
      </c>
      <c r="C252" s="70" t="str">
        <f>IF($A$3=" "," ", IFERROR( VLOOKUP($A252,'SUPPLIER DATA BASE'!$A$2:$F$936,6,0),""))</f>
        <v>-</v>
      </c>
      <c r="D252" s="70" t="str">
        <f>IF($A$3=" "," ", IFERROR( VLOOKUP($A252,'SUPPLIER DATA BASE'!$A$2:$G$936,4,0),""))</f>
        <v>-</v>
      </c>
      <c r="E252" s="71" t="str">
        <f>IF($A$3=" "," ", IFERROR( VLOOKUP($A252,'SUPPLIER DATA BASE'!$A$2:$H$936,5,0),""))</f>
        <v>-</v>
      </c>
      <c r="F252" s="72">
        <v>7055.0</v>
      </c>
      <c r="G252" s="73">
        <v>46078.0</v>
      </c>
      <c r="H252" s="74">
        <v>18.0</v>
      </c>
      <c r="I252" s="75">
        <v>30398.0</v>
      </c>
      <c r="J252" s="76" t="s">
        <v>1326</v>
      </c>
      <c r="K252" s="70" t="s">
        <v>349</v>
      </c>
      <c r="L252" s="70" t="s">
        <v>349</v>
      </c>
      <c r="M252" s="70" t="str">
        <f t="shared" si="3"/>
        <v>110 Days</v>
      </c>
      <c r="N252" s="70" t="str">
        <f>IF($A$3=" "," ", IFERROR( VLOOKUP($A252,'SUPPLIER DATA BASE'!$A$2:$O$936,11,0),""))</f>
        <v>FLAIR KIDS CAMP</v>
      </c>
      <c r="O252" s="70" t="str">
        <f>IF($A$3=" "," ", IFERROR( VLOOKUP($A252,'SUPPLIER DATA BASE'!$A$2:$O$936,12,0),""))</f>
        <v>-</v>
      </c>
      <c r="P252" s="70" t="str">
        <f>IF($A$3=" "," ", IFERROR( VLOOKUP($A252,'SUPPLIER DATA BASE'!$A$2:$O$936,13,0),""))</f>
        <v>-</v>
      </c>
      <c r="Q252" s="77"/>
      <c r="R252" s="73"/>
      <c r="S252" s="77"/>
      <c r="T252" s="70"/>
      <c r="U252" s="78"/>
      <c r="V252" s="70" t="str">
        <f t="shared" si="4"/>
        <v>FY 25-26</v>
      </c>
      <c r="W252" s="23"/>
      <c r="X252" s="23"/>
    </row>
    <row r="253">
      <c r="A253" s="70" t="s">
        <v>575</v>
      </c>
      <c r="B253" s="70" t="str">
        <f>IF($A$3=" "," ", IFERROR( VLOOKUP($A253,'SUPPLIER DATA BASE'!$A$2:$M$936,3,0),""))</f>
        <v>BLACKBERRY</v>
      </c>
      <c r="C253" s="70" t="str">
        <f>IF($A$3=" "," ", IFERROR( VLOOKUP($A253,'SUPPLIER DATA BASE'!$A$2:$F$936,6,0),""))</f>
        <v>-</v>
      </c>
      <c r="D253" s="70" t="str">
        <f>IF($A$3=" "," ", IFERROR( VLOOKUP($A253,'SUPPLIER DATA BASE'!$A$2:$G$936,4,0),""))</f>
        <v>-</v>
      </c>
      <c r="E253" s="71" t="str">
        <f>IF($A$3=" "," ", IFERROR( VLOOKUP($A253,'SUPPLIER DATA BASE'!$A$2:$H$936,5,0),""))</f>
        <v>-</v>
      </c>
      <c r="F253" s="72">
        <v>8.500271636E9</v>
      </c>
      <c r="G253" s="73">
        <v>46078.0</v>
      </c>
      <c r="H253" s="74">
        <v>6.0</v>
      </c>
      <c r="I253" s="75">
        <v>76135.82</v>
      </c>
      <c r="J253" s="76" t="s">
        <v>1327</v>
      </c>
      <c r="K253" s="70" t="s">
        <v>349</v>
      </c>
      <c r="L253" s="70" t="s">
        <v>349</v>
      </c>
      <c r="M253" s="70" t="str">
        <f t="shared" si="3"/>
        <v>110 Days</v>
      </c>
      <c r="N253" s="70" t="str">
        <f>IF($A$3=" "," ", IFERROR( VLOOKUP($A253,'SUPPLIER DATA BASE'!$A$2:$O$936,11,0),""))</f>
        <v>MOHAN CLOTHING COMPANY PVT LTD</v>
      </c>
      <c r="O253" s="70" t="str">
        <f>IF($A$3=" "," ", IFERROR( VLOOKUP($A253,'SUPPLIER DATA BASE'!$A$2:$O$936,12,0),""))</f>
        <v>0710096023</v>
      </c>
      <c r="P253" s="70" t="str">
        <f>IF($A$3=" "," ", IFERROR( VLOOKUP($A253,'SUPPLIER DATA BASE'!$A$2:$O$936,13,0),""))</f>
        <v>CITI0000002</v>
      </c>
      <c r="Q253" s="77"/>
      <c r="R253" s="73"/>
      <c r="S253" s="77"/>
      <c r="T253" s="70"/>
      <c r="U253" s="78"/>
      <c r="V253" s="70" t="str">
        <f t="shared" si="4"/>
        <v>FY 25-26</v>
      </c>
      <c r="W253" s="23"/>
      <c r="X253" s="23"/>
    </row>
    <row r="254">
      <c r="A254" s="70" t="s">
        <v>402</v>
      </c>
      <c r="B254" s="70" t="str">
        <f>IF($A$3=" "," ", IFERROR( VLOOKUP($A254,'SUPPLIER DATA BASE'!$A$2:$M$936,3,0),""))</f>
        <v>KHUSHAL/STATUS QUO</v>
      </c>
      <c r="C254" s="70" t="str">
        <f>IF($A$3=" "," ", IFERROR( VLOOKUP($A254,'SUPPLIER DATA BASE'!$A$2:$F$936,6,0),""))</f>
        <v>-</v>
      </c>
      <c r="D254" s="70" t="str">
        <f>IF($A$3=" "," ", IFERROR( VLOOKUP($A254,'SUPPLIER DATA BASE'!$A$2:$G$936,4,0),""))</f>
        <v>-</v>
      </c>
      <c r="E254" s="71" t="str">
        <f>IF($A$3=" "," ", IFERROR( VLOOKUP($A254,'SUPPLIER DATA BASE'!$A$2:$H$936,5,0),""))</f>
        <v>-</v>
      </c>
      <c r="F254" s="72" t="s">
        <v>1328</v>
      </c>
      <c r="G254" s="73">
        <v>46078.0</v>
      </c>
      <c r="H254" s="74">
        <v>14.0</v>
      </c>
      <c r="I254" s="75">
        <v>49280.0</v>
      </c>
      <c r="J254" s="76" t="s">
        <v>1329</v>
      </c>
      <c r="K254" s="70" t="s">
        <v>349</v>
      </c>
      <c r="L254" s="70" t="s">
        <v>349</v>
      </c>
      <c r="M254" s="70" t="str">
        <f t="shared" si="3"/>
        <v>110 Days</v>
      </c>
      <c r="N254" s="70" t="str">
        <f>IF($A$3=" "," ", IFERROR( VLOOKUP($A254,'SUPPLIER DATA BASE'!$A$2:$O$936,11,0),""))</f>
        <v>D APPAREL</v>
      </c>
      <c r="O254" s="70" t="str">
        <f>IF($A$3=" "," ", IFERROR( VLOOKUP($A254,'SUPPLIER DATA BASE'!$A$2:$O$936,12,0),""))</f>
        <v>722501010050397</v>
      </c>
      <c r="P254" s="70" t="str">
        <f>IF($A$3=" "," ", IFERROR( VLOOKUP($A254,'SUPPLIER DATA BASE'!$A$2:$O$936,13,0),""))</f>
        <v>UBIN0572250</v>
      </c>
      <c r="Q254" s="77"/>
      <c r="R254" s="73"/>
      <c r="S254" s="77"/>
      <c r="T254" s="70"/>
      <c r="U254" s="78"/>
      <c r="V254" s="70" t="str">
        <f t="shared" si="4"/>
        <v>FY 25-26</v>
      </c>
      <c r="W254" s="23"/>
      <c r="X254" s="23"/>
    </row>
    <row r="255">
      <c r="A255" s="70" t="s">
        <v>717</v>
      </c>
      <c r="B255" s="70" t="str">
        <f>IF($A$3=" "," ", IFERROR( VLOOKUP($A255,'SUPPLIER DATA BASE'!$A$2:$M$936,3,0),""))</f>
        <v>MINELLI</v>
      </c>
      <c r="C255" s="70" t="str">
        <f>IF($A$3=" "," ", IFERROR( VLOOKUP($A255,'SUPPLIER DATA BASE'!$A$2:$F$936,6,0),""))</f>
        <v>-</v>
      </c>
      <c r="D255" s="70">
        <f>IF($A$3=" "," ", IFERROR( VLOOKUP($A255,'SUPPLIER DATA BASE'!$A$2:$G$936,4,0),""))</f>
        <v>45</v>
      </c>
      <c r="E255" s="71">
        <f>IF($A$3=" "," ", IFERROR( VLOOKUP($A255,'SUPPLIER DATA BASE'!$A$2:$H$936,5,0),""))</f>
        <v>0.1</v>
      </c>
      <c r="F255" s="72" t="s">
        <v>1330</v>
      </c>
      <c r="G255" s="73">
        <v>46078.0</v>
      </c>
      <c r="H255" s="74">
        <v>58.0</v>
      </c>
      <c r="I255" s="75">
        <v>47736.0</v>
      </c>
      <c r="J255" s="76" t="s">
        <v>1331</v>
      </c>
      <c r="K255" s="70" t="s">
        <v>349</v>
      </c>
      <c r="L255" s="70" t="s">
        <v>349</v>
      </c>
      <c r="M255" s="70" t="str">
        <f t="shared" si="3"/>
        <v>110 Days</v>
      </c>
      <c r="N255" s="70" t="str">
        <f>IF($A$3=" "," ", IFERROR( VLOOKUP($A255,'SUPPLIER DATA BASE'!$A$2:$O$936,11,0),""))</f>
        <v>SHUBH SHRI CLOTHING PVT LTD</v>
      </c>
      <c r="O255" s="70" t="str">
        <f>IF($A$3=" "," ", IFERROR( VLOOKUP($A255,'SUPPLIER DATA BASE'!$A$2:$O$936,12,0),""))</f>
        <v>002225010000006</v>
      </c>
      <c r="P255" s="70" t="str">
        <f>IF($A$3=" "," ", IFERROR( VLOOKUP($A255,'SUPPLIER DATA BASE'!$A$2:$O$936,13,0),""))</f>
        <v>UBIN0900222</v>
      </c>
      <c r="Q255" s="77">
        <v>23174.0</v>
      </c>
      <c r="R255" s="73">
        <v>46134.0</v>
      </c>
      <c r="S255" s="77">
        <v>24070.0</v>
      </c>
      <c r="T255" s="70"/>
      <c r="U255" s="84" t="s">
        <v>1051</v>
      </c>
      <c r="V255" s="70" t="str">
        <f t="shared" si="4"/>
        <v>FY 25-26</v>
      </c>
      <c r="W255" s="23"/>
      <c r="X255" s="23"/>
    </row>
    <row r="256">
      <c r="A256" s="70" t="s">
        <v>413</v>
      </c>
      <c r="B256" s="70" t="str">
        <f>IF($A$3=" "," ", IFERROR( VLOOKUP($A256,'SUPPLIER DATA BASE'!$A$2:$M$936,3,0),""))</f>
        <v>KILLER</v>
      </c>
      <c r="C256" s="70" t="str">
        <f>IF($A$3=" "," ", IFERROR( VLOOKUP($A256,'SUPPLIER DATA BASE'!$A$2:$F$936,6,0),""))</f>
        <v>-</v>
      </c>
      <c r="D256" s="70" t="str">
        <f>IF($A$3=" "," ", IFERROR( VLOOKUP($A256,'SUPPLIER DATA BASE'!$A$2:$G$936,4,0),""))</f>
        <v>NO</v>
      </c>
      <c r="E256" s="71" t="str">
        <f>IF($A$3=" "," ", IFERROR( VLOOKUP($A256,'SUPPLIER DATA BASE'!$A$2:$H$936,5,0),""))</f>
        <v>-</v>
      </c>
      <c r="F256" s="72" t="s">
        <v>1332</v>
      </c>
      <c r="G256" s="73">
        <v>46079.0</v>
      </c>
      <c r="H256" s="74">
        <v>110.0</v>
      </c>
      <c r="I256" s="75">
        <v>173393.0</v>
      </c>
      <c r="J256" s="76" t="s">
        <v>1333</v>
      </c>
      <c r="K256" s="70" t="s">
        <v>349</v>
      </c>
      <c r="L256" s="70" t="s">
        <v>349</v>
      </c>
      <c r="M256" s="70" t="str">
        <f t="shared" si="3"/>
        <v>109 Days</v>
      </c>
      <c r="N256" s="70" t="str">
        <f>IF($A$3=" "," ", IFERROR( VLOOKUP($A256,'SUPPLIER DATA BASE'!$A$2:$O$936,11,0),""))</f>
        <v>D D SALES CO</v>
      </c>
      <c r="O256" s="70" t="str">
        <f>IF($A$3=" "," ", IFERROR( VLOOKUP($A256,'SUPPLIER DATA BASE'!$A$2:$O$936,12,0),""))</f>
        <v>29205007835</v>
      </c>
      <c r="P256" s="70" t="str">
        <f>IF($A$3=" "," ", IFERROR( VLOOKUP($A256,'SUPPLIER DATA BASE'!$A$2:$O$936,13,0),""))</f>
        <v>ICIC0000292</v>
      </c>
      <c r="Q256" s="77"/>
      <c r="R256" s="73"/>
      <c r="S256" s="77"/>
      <c r="T256" s="70"/>
      <c r="U256" s="78"/>
      <c r="V256" s="70" t="str">
        <f t="shared" si="4"/>
        <v>FY 25-26</v>
      </c>
      <c r="W256" s="23"/>
      <c r="X256" s="23"/>
    </row>
    <row r="257">
      <c r="A257" s="70" t="s">
        <v>537</v>
      </c>
      <c r="B257" s="70" t="str">
        <f>IF($A$3=" "," ", IFERROR( VLOOKUP($A257,'SUPPLIER DATA BASE'!$A$2:$M$936,3,0),""))</f>
        <v>-</v>
      </c>
      <c r="C257" s="70" t="str">
        <f>IF($A$3=" "," ", IFERROR( VLOOKUP($A257,'SUPPLIER DATA BASE'!$A$2:$F$936,6,0),""))</f>
        <v>-</v>
      </c>
      <c r="D257" s="70">
        <f>IF($A$3=" "," ", IFERROR( VLOOKUP($A257,'SUPPLIER DATA BASE'!$A$2:$G$936,4,0),""))</f>
        <v>60</v>
      </c>
      <c r="E257" s="71">
        <f>IF($A$3=" "," ", IFERROR( VLOOKUP($A257,'SUPPLIER DATA BASE'!$A$2:$H$936,5,0),""))</f>
        <v>0.1</v>
      </c>
      <c r="F257" s="72" t="s">
        <v>1334</v>
      </c>
      <c r="G257" s="73">
        <v>46079.0</v>
      </c>
      <c r="H257" s="74">
        <v>130.0</v>
      </c>
      <c r="I257" s="75">
        <v>109821.0</v>
      </c>
      <c r="J257" s="76" t="s">
        <v>1335</v>
      </c>
      <c r="K257" s="70" t="s">
        <v>349</v>
      </c>
      <c r="L257" s="70" t="s">
        <v>349</v>
      </c>
      <c r="M257" s="70" t="str">
        <f t="shared" si="3"/>
        <v>109 Days</v>
      </c>
      <c r="N257" s="70" t="str">
        <f>IF($A$3=" "," ", IFERROR( VLOOKUP($A257,'SUPPLIER DATA BASE'!$A$2:$O$936,11,0),""))</f>
        <v>M B ENTERPRISES</v>
      </c>
      <c r="O257" s="70" t="str">
        <f>IF($A$3=" "," ", IFERROR( VLOOKUP($A257,'SUPPLIER DATA BASE'!$A$2:$O$936,12,0),""))</f>
        <v>50200035172636</v>
      </c>
      <c r="P257" s="70" t="str">
        <f>IF($A$3=" "," ", IFERROR( VLOOKUP($A257,'SUPPLIER DATA BASE'!$A$2:$O$936,13,0),""))</f>
        <v>HDFC0002834</v>
      </c>
      <c r="Q257" s="77"/>
      <c r="R257" s="73"/>
      <c r="S257" s="77"/>
      <c r="T257" s="70"/>
      <c r="U257" s="78"/>
      <c r="V257" s="70" t="str">
        <f t="shared" si="4"/>
        <v>FY 25-26</v>
      </c>
      <c r="W257" s="23"/>
      <c r="X257" s="23"/>
    </row>
    <row r="258">
      <c r="A258" s="70" t="s">
        <v>413</v>
      </c>
      <c r="B258" s="70" t="str">
        <f>IF($A$3=" "," ", IFERROR( VLOOKUP($A258,'SUPPLIER DATA BASE'!$A$2:$M$936,3,0),""))</f>
        <v>KILLER</v>
      </c>
      <c r="C258" s="70" t="str">
        <f>IF($A$3=" "," ", IFERROR( VLOOKUP($A258,'SUPPLIER DATA BASE'!$A$2:$F$936,6,0),""))</f>
        <v>-</v>
      </c>
      <c r="D258" s="70" t="str">
        <f>IF($A$3=" "," ", IFERROR( VLOOKUP($A258,'SUPPLIER DATA BASE'!$A$2:$G$936,4,0),""))</f>
        <v>NO</v>
      </c>
      <c r="E258" s="71" t="str">
        <f>IF($A$3=" "," ", IFERROR( VLOOKUP($A258,'SUPPLIER DATA BASE'!$A$2:$H$936,5,0),""))</f>
        <v>-</v>
      </c>
      <c r="F258" s="72">
        <v>1146.0</v>
      </c>
      <c r="G258" s="73">
        <v>46079.0</v>
      </c>
      <c r="H258" s="74">
        <v>110.0</v>
      </c>
      <c r="I258" s="75">
        <v>173393.0</v>
      </c>
      <c r="J258" s="76" t="s">
        <v>1336</v>
      </c>
      <c r="K258" s="70" t="s">
        <v>349</v>
      </c>
      <c r="L258" s="70" t="s">
        <v>349</v>
      </c>
      <c r="M258" s="70" t="str">
        <f t="shared" si="3"/>
        <v>109 Days</v>
      </c>
      <c r="N258" s="70" t="str">
        <f>IF($A$3=" "," ", IFERROR( VLOOKUP($A258,'SUPPLIER DATA BASE'!$A$2:$O$936,11,0),""))</f>
        <v>D D SALES CO</v>
      </c>
      <c r="O258" s="70" t="str">
        <f>IF($A$3=" "," ", IFERROR( VLOOKUP($A258,'SUPPLIER DATA BASE'!$A$2:$O$936,12,0),""))</f>
        <v>29205007835</v>
      </c>
      <c r="P258" s="70" t="str">
        <f>IF($A$3=" "," ", IFERROR( VLOOKUP($A258,'SUPPLIER DATA BASE'!$A$2:$O$936,13,0),""))</f>
        <v>ICIC0000292</v>
      </c>
      <c r="Q258" s="77"/>
      <c r="R258" s="73"/>
      <c r="S258" s="77"/>
      <c r="T258" s="70"/>
      <c r="U258" s="78"/>
      <c r="V258" s="70" t="str">
        <f t="shared" si="4"/>
        <v>FY 25-26</v>
      </c>
      <c r="W258" s="23"/>
      <c r="X258" s="23"/>
    </row>
    <row r="259">
      <c r="A259" s="70" t="s">
        <v>413</v>
      </c>
      <c r="B259" s="70" t="str">
        <f>IF($A$3=" "," ", IFERROR( VLOOKUP($A259,'SUPPLIER DATA BASE'!$A$2:$M$936,3,0),""))</f>
        <v>KILLER</v>
      </c>
      <c r="C259" s="70" t="str">
        <f>IF($A$3=" "," ", IFERROR( VLOOKUP($A259,'SUPPLIER DATA BASE'!$A$2:$F$936,6,0),""))</f>
        <v>-</v>
      </c>
      <c r="D259" s="70" t="str">
        <f>IF($A$3=" "," ", IFERROR( VLOOKUP($A259,'SUPPLIER DATA BASE'!$A$2:$G$936,4,0),""))</f>
        <v>NO</v>
      </c>
      <c r="E259" s="71" t="str">
        <f>IF($A$3=" "," ", IFERROR( VLOOKUP($A259,'SUPPLIER DATA BASE'!$A$2:$H$936,5,0),""))</f>
        <v>-</v>
      </c>
      <c r="F259" s="72">
        <v>1135.0</v>
      </c>
      <c r="G259" s="73">
        <v>46079.0</v>
      </c>
      <c r="H259" s="74">
        <v>49.0</v>
      </c>
      <c r="I259" s="75">
        <v>79125.0</v>
      </c>
      <c r="J259" s="76" t="s">
        <v>1337</v>
      </c>
      <c r="K259" s="70" t="s">
        <v>349</v>
      </c>
      <c r="L259" s="70" t="s">
        <v>349</v>
      </c>
      <c r="M259" s="70" t="str">
        <f t="shared" si="3"/>
        <v>109 Days</v>
      </c>
      <c r="N259" s="70" t="str">
        <f>IF($A$3=" "," ", IFERROR( VLOOKUP($A259,'SUPPLIER DATA BASE'!$A$2:$O$936,11,0),""))</f>
        <v>D D SALES CO</v>
      </c>
      <c r="O259" s="70" t="str">
        <f>IF($A$3=" "," ", IFERROR( VLOOKUP($A259,'SUPPLIER DATA BASE'!$A$2:$O$936,12,0),""))</f>
        <v>29205007835</v>
      </c>
      <c r="P259" s="70" t="str">
        <f>IF($A$3=" "," ", IFERROR( VLOOKUP($A259,'SUPPLIER DATA BASE'!$A$2:$O$936,13,0),""))</f>
        <v>ICIC0000292</v>
      </c>
      <c r="Q259" s="77"/>
      <c r="R259" s="73"/>
      <c r="S259" s="77"/>
      <c r="T259" s="70"/>
      <c r="U259" s="78"/>
      <c r="V259" s="70" t="str">
        <f t="shared" si="4"/>
        <v>FY 25-26</v>
      </c>
      <c r="W259" s="23"/>
      <c r="X259" s="23"/>
    </row>
    <row r="260">
      <c r="A260" s="70" t="s">
        <v>413</v>
      </c>
      <c r="B260" s="70" t="str">
        <f>IF($A$3=" "," ", IFERROR( VLOOKUP($A260,'SUPPLIER DATA BASE'!$A$2:$M$936,3,0),""))</f>
        <v>KILLER</v>
      </c>
      <c r="C260" s="70" t="str">
        <f>IF($A$3=" "," ", IFERROR( VLOOKUP($A260,'SUPPLIER DATA BASE'!$A$2:$F$936,6,0),""))</f>
        <v>-</v>
      </c>
      <c r="D260" s="70" t="str">
        <f>IF($A$3=" "," ", IFERROR( VLOOKUP($A260,'SUPPLIER DATA BASE'!$A$2:$G$936,4,0),""))</f>
        <v>NO</v>
      </c>
      <c r="E260" s="71" t="str">
        <f>IF($A$3=" "," ", IFERROR( VLOOKUP($A260,'SUPPLIER DATA BASE'!$A$2:$H$936,5,0),""))</f>
        <v>-</v>
      </c>
      <c r="F260" s="72">
        <v>221.0</v>
      </c>
      <c r="G260" s="73">
        <v>46079.0</v>
      </c>
      <c r="H260" s="74">
        <v>91.0</v>
      </c>
      <c r="I260" s="75">
        <v>105801.0</v>
      </c>
      <c r="J260" s="76" t="s">
        <v>1338</v>
      </c>
      <c r="K260" s="70" t="s">
        <v>349</v>
      </c>
      <c r="L260" s="70" t="s">
        <v>349</v>
      </c>
      <c r="M260" s="70" t="str">
        <f t="shared" si="3"/>
        <v>109 Days</v>
      </c>
      <c r="N260" s="70" t="str">
        <f>IF($A$3=" "," ", IFERROR( VLOOKUP($A260,'SUPPLIER DATA BASE'!$A$2:$O$936,11,0),""))</f>
        <v>D D SALES CO</v>
      </c>
      <c r="O260" s="70" t="str">
        <f>IF($A$3=" "," ", IFERROR( VLOOKUP($A260,'SUPPLIER DATA BASE'!$A$2:$O$936,12,0),""))</f>
        <v>29205007835</v>
      </c>
      <c r="P260" s="70" t="str">
        <f>IF($A$3=" "," ", IFERROR( VLOOKUP($A260,'SUPPLIER DATA BASE'!$A$2:$O$936,13,0),""))</f>
        <v>ICIC0000292</v>
      </c>
      <c r="Q260" s="77"/>
      <c r="R260" s="73"/>
      <c r="S260" s="77"/>
      <c r="T260" s="70"/>
      <c r="U260" s="78"/>
      <c r="V260" s="70" t="str">
        <f t="shared" si="4"/>
        <v>FY 25-26</v>
      </c>
      <c r="W260" s="23"/>
      <c r="X260" s="23"/>
    </row>
    <row r="261">
      <c r="A261" s="70" t="s">
        <v>736</v>
      </c>
      <c r="B261" s="70" t="str">
        <f>IF($A$3=" "," ", IFERROR( VLOOKUP($A261,'SUPPLIER DATA BASE'!$A$2:$M$936,3,0),""))</f>
        <v>-</v>
      </c>
      <c r="C261" s="70" t="str">
        <f>IF($A$3=" "," ", IFERROR( VLOOKUP($A261,'SUPPLIER DATA BASE'!$A$2:$F$936,6,0),""))</f>
        <v>-</v>
      </c>
      <c r="D261" s="70">
        <f>IF($A$3=" "," ", IFERROR( VLOOKUP($A261,'SUPPLIER DATA BASE'!$A$2:$G$936,4,0),""))</f>
        <v>60</v>
      </c>
      <c r="E261" s="71">
        <f>IF($A$3=" "," ", IFERROR( VLOOKUP($A261,'SUPPLIER DATA BASE'!$A$2:$H$936,5,0),""))</f>
        <v>0.05</v>
      </c>
      <c r="F261" s="72" t="s">
        <v>1339</v>
      </c>
      <c r="G261" s="73">
        <v>46079.0</v>
      </c>
      <c r="H261" s="74">
        <v>30.0</v>
      </c>
      <c r="I261" s="75">
        <v>97940.0</v>
      </c>
      <c r="J261" s="76" t="s">
        <v>1340</v>
      </c>
      <c r="K261" s="70" t="s">
        <v>349</v>
      </c>
      <c r="L261" s="70" t="s">
        <v>349</v>
      </c>
      <c r="M261" s="70" t="str">
        <f t="shared" si="3"/>
        <v>109 Days</v>
      </c>
      <c r="N261" s="70" t="str">
        <f>IF($A$3=" "," ", IFERROR( VLOOKUP($A261,'SUPPLIER DATA BASE'!$A$2:$O$936,11,0),""))</f>
        <v>SOURABH GARMENTS PRIVATE LIMITED</v>
      </c>
      <c r="O261" s="70" t="str">
        <f>IF($A$3=" "," ", IFERROR( VLOOKUP($A261,'SUPPLIER DATA BASE'!$A$2:$O$936,12,0),""))</f>
        <v>072105501101</v>
      </c>
      <c r="P261" s="70" t="str">
        <f>IF($A$3=" "," ", IFERROR( VLOOKUP($A261,'SUPPLIER DATA BASE'!$A$2:$O$936,13,0),""))</f>
        <v>ICIC0000721</v>
      </c>
      <c r="Q261" s="77"/>
      <c r="R261" s="73"/>
      <c r="S261" s="77"/>
      <c r="T261" s="70"/>
      <c r="U261" s="78"/>
      <c r="V261" s="70" t="str">
        <f t="shared" si="4"/>
        <v>FY 25-26</v>
      </c>
      <c r="W261" s="23"/>
      <c r="X261" s="23"/>
    </row>
    <row r="262">
      <c r="A262" s="70" t="s">
        <v>516</v>
      </c>
      <c r="B262" s="70" t="str">
        <f>IF($A$3=" "," ", IFERROR( VLOOKUP($A262,'SUPPLIER DATA BASE'!$A$2:$M$936,3,0),""))</f>
        <v>-</v>
      </c>
      <c r="C262" s="70" t="str">
        <f>IF($A$3=" "," ", IFERROR( VLOOKUP($A262,'SUPPLIER DATA BASE'!$A$2:$F$936,6,0),""))</f>
        <v>-</v>
      </c>
      <c r="D262" s="70" t="str">
        <f>IF($A$3=" "," ", IFERROR( VLOOKUP($A262,'SUPPLIER DATA BASE'!$A$2:$G$936,4,0),""))</f>
        <v>-</v>
      </c>
      <c r="E262" s="71" t="str">
        <f>IF($A$3=" "," ", IFERROR( VLOOKUP($A262,'SUPPLIER DATA BASE'!$A$2:$H$936,5,0),""))</f>
        <v>-</v>
      </c>
      <c r="F262" s="72" t="s">
        <v>1341</v>
      </c>
      <c r="G262" s="73">
        <v>46079.0</v>
      </c>
      <c r="H262" s="74">
        <v>484.0</v>
      </c>
      <c r="I262" s="75">
        <v>98050.0</v>
      </c>
      <c r="J262" s="76" t="s">
        <v>1342</v>
      </c>
      <c r="K262" s="70" t="s">
        <v>349</v>
      </c>
      <c r="L262" s="70" t="s">
        <v>349</v>
      </c>
      <c r="M262" s="70" t="str">
        <f t="shared" si="3"/>
        <v>109 Days</v>
      </c>
      <c r="N262" s="70" t="str">
        <f>IF($A$3=" "," ", IFERROR( VLOOKUP($A262,'SUPPLIER DATA BASE'!$A$2:$O$936,11,0),""))</f>
        <v>-</v>
      </c>
      <c r="O262" s="70" t="str">
        <f>IF($A$3=" "," ", IFERROR( VLOOKUP($A262,'SUPPLIER DATA BASE'!$A$2:$O$936,12,0),""))</f>
        <v>-</v>
      </c>
      <c r="P262" s="70" t="str">
        <f>IF($A$3=" "," ", IFERROR( VLOOKUP($A262,'SUPPLIER DATA BASE'!$A$2:$O$936,13,0),""))</f>
        <v>-</v>
      </c>
      <c r="Q262" s="77"/>
      <c r="R262" s="73"/>
      <c r="S262" s="77"/>
      <c r="T262" s="70"/>
      <c r="U262" s="78"/>
      <c r="V262" s="70" t="str">
        <f t="shared" si="4"/>
        <v>FY 25-26</v>
      </c>
      <c r="W262" s="23"/>
      <c r="X262" s="23"/>
    </row>
    <row r="263">
      <c r="A263" s="70" t="s">
        <v>516</v>
      </c>
      <c r="B263" s="70" t="str">
        <f>IF($A$3=" "," ", IFERROR( VLOOKUP($A263,'SUPPLIER DATA BASE'!$A$2:$M$936,3,0),""))</f>
        <v>-</v>
      </c>
      <c r="C263" s="70" t="str">
        <f>IF($A$3=" "," ", IFERROR( VLOOKUP($A263,'SUPPLIER DATA BASE'!$A$2:$F$936,6,0),""))</f>
        <v>-</v>
      </c>
      <c r="D263" s="70" t="str">
        <f>IF($A$3=" "," ", IFERROR( VLOOKUP($A263,'SUPPLIER DATA BASE'!$A$2:$G$936,4,0),""))</f>
        <v>-</v>
      </c>
      <c r="E263" s="71" t="str">
        <f>IF($A$3=" "," ", IFERROR( VLOOKUP($A263,'SUPPLIER DATA BASE'!$A$2:$H$936,5,0),""))</f>
        <v>-</v>
      </c>
      <c r="F263" s="72" t="s">
        <v>1343</v>
      </c>
      <c r="G263" s="73">
        <v>46079.0</v>
      </c>
      <c r="H263" s="74">
        <v>348.0</v>
      </c>
      <c r="I263" s="75">
        <v>75839.0</v>
      </c>
      <c r="J263" s="76" t="s">
        <v>1344</v>
      </c>
      <c r="K263" s="70" t="s">
        <v>349</v>
      </c>
      <c r="L263" s="70" t="s">
        <v>349</v>
      </c>
      <c r="M263" s="70" t="str">
        <f t="shared" si="3"/>
        <v>109 Days</v>
      </c>
      <c r="N263" s="70" t="str">
        <f>IF($A$3=" "," ", IFERROR( VLOOKUP($A263,'SUPPLIER DATA BASE'!$A$2:$O$936,11,0),""))</f>
        <v>-</v>
      </c>
      <c r="O263" s="70" t="str">
        <f>IF($A$3=" "," ", IFERROR( VLOOKUP($A263,'SUPPLIER DATA BASE'!$A$2:$O$936,12,0),""))</f>
        <v>-</v>
      </c>
      <c r="P263" s="70" t="str">
        <f>IF($A$3=" "," ", IFERROR( VLOOKUP($A263,'SUPPLIER DATA BASE'!$A$2:$O$936,13,0),""))</f>
        <v>-</v>
      </c>
      <c r="Q263" s="77"/>
      <c r="R263" s="73"/>
      <c r="S263" s="77"/>
      <c r="T263" s="70"/>
      <c r="U263" s="78"/>
      <c r="V263" s="70" t="str">
        <f t="shared" si="4"/>
        <v>FY 25-26</v>
      </c>
      <c r="W263" s="23"/>
      <c r="X263" s="23"/>
    </row>
    <row r="264">
      <c r="A264" s="70" t="s">
        <v>575</v>
      </c>
      <c r="B264" s="70" t="str">
        <f>IF($A$3=" "," ", IFERROR( VLOOKUP($A264,'SUPPLIER DATA BASE'!$A$2:$M$936,3,0),""))</f>
        <v>BLACKBERRY</v>
      </c>
      <c r="C264" s="70" t="str">
        <f>IF($A$3=" "," ", IFERROR( VLOOKUP($A264,'SUPPLIER DATA BASE'!$A$2:$F$936,6,0),""))</f>
        <v>-</v>
      </c>
      <c r="D264" s="70" t="str">
        <f>IF($A$3=" "," ", IFERROR( VLOOKUP($A264,'SUPPLIER DATA BASE'!$A$2:$G$936,4,0),""))</f>
        <v>-</v>
      </c>
      <c r="E264" s="71" t="str">
        <f>IF($A$3=" "," ", IFERROR( VLOOKUP($A264,'SUPPLIER DATA BASE'!$A$2:$H$936,5,0),""))</f>
        <v>-</v>
      </c>
      <c r="F264" s="72">
        <v>8.500272297E9</v>
      </c>
      <c r="G264" s="73">
        <v>46079.0</v>
      </c>
      <c r="H264" s="74">
        <v>20.0</v>
      </c>
      <c r="I264" s="75">
        <v>37283.75</v>
      </c>
      <c r="J264" s="76" t="s">
        <v>1345</v>
      </c>
      <c r="K264" s="70" t="s">
        <v>349</v>
      </c>
      <c r="L264" s="70" t="s">
        <v>349</v>
      </c>
      <c r="M264" s="70" t="str">
        <f t="shared" si="3"/>
        <v>109 Days</v>
      </c>
      <c r="N264" s="70" t="str">
        <f>IF($A$3=" "," ", IFERROR( VLOOKUP($A264,'SUPPLIER DATA BASE'!$A$2:$O$936,11,0),""))</f>
        <v>MOHAN CLOTHING COMPANY PVT LTD</v>
      </c>
      <c r="O264" s="70" t="str">
        <f>IF($A$3=" "," ", IFERROR( VLOOKUP($A264,'SUPPLIER DATA BASE'!$A$2:$O$936,12,0),""))</f>
        <v>0710096023</v>
      </c>
      <c r="P264" s="70" t="str">
        <f>IF($A$3=" "," ", IFERROR( VLOOKUP($A264,'SUPPLIER DATA BASE'!$A$2:$O$936,13,0),""))</f>
        <v>CITI0000002</v>
      </c>
      <c r="Q264" s="77"/>
      <c r="R264" s="73"/>
      <c r="S264" s="77"/>
      <c r="T264" s="70"/>
      <c r="U264" s="78"/>
      <c r="V264" s="70" t="str">
        <f t="shared" si="4"/>
        <v>FY 25-26</v>
      </c>
      <c r="W264" s="23"/>
      <c r="X264" s="23"/>
    </row>
    <row r="265">
      <c r="A265" s="70" t="s">
        <v>354</v>
      </c>
      <c r="B265" s="70" t="str">
        <f>IF($A$3=" "," ", IFERROR( VLOOKUP($A265,'SUPPLIER DATA BASE'!$A$2:$M$936,3,0),""))</f>
        <v>-</v>
      </c>
      <c r="C265" s="70" t="str">
        <f>IF($A$3=" "," ", IFERROR( VLOOKUP($A265,'SUPPLIER DATA BASE'!$A$2:$F$936,6,0),""))</f>
        <v>-</v>
      </c>
      <c r="D265" s="70" t="str">
        <f>IF($A$3=" "," ", IFERROR( VLOOKUP($A265,'SUPPLIER DATA BASE'!$A$2:$G$936,4,0),""))</f>
        <v>-</v>
      </c>
      <c r="E265" s="71" t="str">
        <f>IF($A$3=" "," ", IFERROR( VLOOKUP($A265,'SUPPLIER DATA BASE'!$A$2:$H$936,5,0),""))</f>
        <v>-</v>
      </c>
      <c r="F265" s="87" t="s">
        <v>1346</v>
      </c>
      <c r="G265" s="73">
        <v>46079.0</v>
      </c>
      <c r="H265" s="74">
        <v>57.0</v>
      </c>
      <c r="I265" s="75">
        <v>98502.99</v>
      </c>
      <c r="J265" s="76" t="s">
        <v>1347</v>
      </c>
      <c r="K265" s="70" t="s">
        <v>349</v>
      </c>
      <c r="L265" s="70" t="s">
        <v>349</v>
      </c>
      <c r="M265" s="70" t="str">
        <f t="shared" si="3"/>
        <v>109 Days</v>
      </c>
      <c r="N265" s="70" t="str">
        <f>IF($A$3=" "," ", IFERROR( VLOOKUP($A265,'SUPPLIER DATA BASE'!$A$2:$O$936,11,0),""))</f>
        <v>-</v>
      </c>
      <c r="O265" s="70" t="str">
        <f>IF($A$3=" "," ", IFERROR( VLOOKUP($A265,'SUPPLIER DATA BASE'!$A$2:$O$936,12,0),""))</f>
        <v>-</v>
      </c>
      <c r="P265" s="70" t="str">
        <f>IF($A$3=" "," ", IFERROR( VLOOKUP($A265,'SUPPLIER DATA BASE'!$A$2:$O$936,13,0),""))</f>
        <v>-</v>
      </c>
      <c r="Q265" s="77"/>
      <c r="R265" s="73"/>
      <c r="S265" s="77"/>
      <c r="T265" s="70"/>
      <c r="U265" s="78"/>
      <c r="V265" s="70" t="str">
        <f t="shared" si="4"/>
        <v>FY 25-26</v>
      </c>
      <c r="W265" s="23"/>
      <c r="X265" s="23"/>
    </row>
    <row r="266">
      <c r="A266" s="70" t="s">
        <v>860</v>
      </c>
      <c r="B266" s="70" t="str">
        <f>IF($A$3=" "," ", IFERROR( VLOOKUP($A266,'SUPPLIER DATA BASE'!$A$2:$M$936,3,0),""))</f>
        <v/>
      </c>
      <c r="C266" s="70" t="str">
        <f>IF($A$3=" "," ", IFERROR( VLOOKUP($A266,'SUPPLIER DATA BASE'!$A$2:$F$936,6,0),""))</f>
        <v/>
      </c>
      <c r="D266" s="70" t="str">
        <f>IF($A$3=" "," ", IFERROR( VLOOKUP($A266,'SUPPLIER DATA BASE'!$A$2:$G$936,4,0),""))</f>
        <v/>
      </c>
      <c r="E266" s="71" t="str">
        <f>IF($A$3=" "," ", IFERROR( VLOOKUP($A266,'SUPPLIER DATA BASE'!$A$2:$H$936,5,0),""))</f>
        <v/>
      </c>
      <c r="F266" s="87" t="s">
        <v>1348</v>
      </c>
      <c r="G266" s="73">
        <v>46079.0</v>
      </c>
      <c r="H266" s="74">
        <v>32.0</v>
      </c>
      <c r="I266" s="75">
        <v>23795.0</v>
      </c>
      <c r="J266" s="76" t="s">
        <v>1349</v>
      </c>
      <c r="K266" s="70" t="s">
        <v>349</v>
      </c>
      <c r="L266" s="70" t="s">
        <v>349</v>
      </c>
      <c r="M266" s="70" t="str">
        <f t="shared" si="3"/>
        <v>109 Days</v>
      </c>
      <c r="N266" s="70" t="str">
        <f>IF($A$3=" "," ", IFERROR( VLOOKUP($A266,'SUPPLIER DATA BASE'!$A$2:$O$936,11,0),""))</f>
        <v>MYGLAM</v>
      </c>
      <c r="O266" s="70" t="str">
        <f>IF($A$3=" "," ", IFERROR( VLOOKUP($A266,'SUPPLIER DATA BASE'!$A$2:$O$936,12,0),""))</f>
        <v>9876551919</v>
      </c>
      <c r="P266" s="70" t="str">
        <f>IF($A$3=" "," ", IFERROR( VLOOKUP($A266,'SUPPLIER DATA BASE'!$A$2:$O$936,13,0),""))</f>
        <v>KKBK0003910</v>
      </c>
      <c r="Q266" s="77"/>
      <c r="R266" s="73"/>
      <c r="S266" s="77"/>
      <c r="T266" s="70"/>
      <c r="U266" s="78"/>
      <c r="V266" s="70" t="str">
        <f t="shared" si="4"/>
        <v>FY 25-26</v>
      </c>
      <c r="W266" s="23"/>
      <c r="X266" s="23"/>
    </row>
    <row r="267">
      <c r="A267" s="70" t="s">
        <v>841</v>
      </c>
      <c r="B267" s="70" t="str">
        <f>IF($A$3=" "," ", IFERROR( VLOOKUP($A267,'SUPPLIER DATA BASE'!$A$2:$M$936,3,0),""))</f>
        <v/>
      </c>
      <c r="C267" s="70" t="str">
        <f>IF($A$3=" "," ", IFERROR( VLOOKUP($A267,'SUPPLIER DATA BASE'!$A$2:$F$936,6,0),""))</f>
        <v/>
      </c>
      <c r="D267" s="70">
        <f>IF($A$3=" "," ", IFERROR( VLOOKUP($A267,'SUPPLIER DATA BASE'!$A$2:$G$936,4,0),""))</f>
        <v>30</v>
      </c>
      <c r="E267" s="71">
        <f>IF($A$3=" "," ", IFERROR( VLOOKUP($A267,'SUPPLIER DATA BASE'!$A$2:$H$936,5,0),""))</f>
        <v>0.05</v>
      </c>
      <c r="F267" s="72" t="s">
        <v>1350</v>
      </c>
      <c r="G267" s="73">
        <v>46079.0</v>
      </c>
      <c r="H267" s="74">
        <v>129.0</v>
      </c>
      <c r="I267" s="75">
        <v>35551.0</v>
      </c>
      <c r="J267" s="76" t="s">
        <v>1351</v>
      </c>
      <c r="K267" s="70" t="s">
        <v>349</v>
      </c>
      <c r="L267" s="70" t="s">
        <v>349</v>
      </c>
      <c r="M267" s="70" t="str">
        <f t="shared" si="3"/>
        <v>109 Days</v>
      </c>
      <c r="N267" s="70" t="str">
        <f>IF($A$3=" "," ", IFERROR( VLOOKUP($A267,'SUPPLIER DATA BASE'!$A$2:$O$936,11,0),""))</f>
        <v>NATIONAL COTTAGE INDUSTRIES</v>
      </c>
      <c r="O267" s="70" t="str">
        <f>IF($A$3=" "," ", IFERROR( VLOOKUP($A267,'SUPPLIER DATA BASE'!$A$2:$O$936,12,0),""))</f>
        <v>10002000001111</v>
      </c>
      <c r="P267" s="70" t="str">
        <f>IF($A$3=" "," ", IFERROR( VLOOKUP($A267,'SUPPLIER DATA BASE'!$A$2:$O$936,13,0),""))</f>
        <v>HDFC0001000</v>
      </c>
      <c r="Q267" s="77">
        <v>33858.0</v>
      </c>
      <c r="R267" s="73">
        <v>46139.0</v>
      </c>
      <c r="S267" s="77">
        <v>1693.0</v>
      </c>
      <c r="T267" s="70"/>
      <c r="U267" s="78"/>
      <c r="V267" s="70" t="str">
        <f t="shared" si="4"/>
        <v>FY 25-26</v>
      </c>
      <c r="W267" s="23"/>
      <c r="X267" s="23"/>
    </row>
    <row r="268">
      <c r="A268" s="70" t="s">
        <v>863</v>
      </c>
      <c r="B268" s="70" t="str">
        <f>IF($A$3=" "," ", IFERROR( VLOOKUP($A268,'SUPPLIER DATA BASE'!$A$2:$M$936,3,0),""))</f>
        <v/>
      </c>
      <c r="C268" s="70" t="str">
        <f>IF($A$3=" "," ", IFERROR( VLOOKUP($A268,'SUPPLIER DATA BASE'!$A$2:$F$936,6,0),""))</f>
        <v/>
      </c>
      <c r="D268" s="70" t="str">
        <f>IF($A$3=" "," ", IFERROR( VLOOKUP($A268,'SUPPLIER DATA BASE'!$A$2:$G$936,4,0),""))</f>
        <v/>
      </c>
      <c r="E268" s="71" t="str">
        <f>IF($A$3=" "," ", IFERROR( VLOOKUP($A268,'SUPPLIER DATA BASE'!$A$2:$H$936,5,0),""))</f>
        <v/>
      </c>
      <c r="F268" s="72">
        <v>719.0</v>
      </c>
      <c r="G268" s="73">
        <v>46079.0</v>
      </c>
      <c r="H268" s="74">
        <v>15.0</v>
      </c>
      <c r="I268" s="75">
        <v>67791.0</v>
      </c>
      <c r="J268" s="76" t="s">
        <v>1352</v>
      </c>
      <c r="K268" s="70" t="s">
        <v>349</v>
      </c>
      <c r="L268" s="70" t="s">
        <v>349</v>
      </c>
      <c r="M268" s="70" t="str">
        <f t="shared" si="3"/>
        <v>109 Days</v>
      </c>
      <c r="N268" s="70" t="str">
        <f>IF($A$3=" "," ", IFERROR( VLOOKUP($A268,'SUPPLIER DATA BASE'!$A$2:$O$936,11,0),""))</f>
        <v>SINGLA COLLECTIONS PVT. LTD</v>
      </c>
      <c r="O268" s="70" t="str">
        <f>IF($A$3=" "," ", IFERROR( VLOOKUP($A268,'SUPPLIER DATA BASE'!$A$2:$O$936,12,0),""))</f>
        <v>112605500650</v>
      </c>
      <c r="P268" s="70" t="str">
        <f>IF($A$3=" "," ", IFERROR( VLOOKUP($A268,'SUPPLIER DATA BASE'!$A$2:$O$936,13,0),""))</f>
        <v>ICIC0001126</v>
      </c>
      <c r="Q268" s="77"/>
      <c r="R268" s="73"/>
      <c r="S268" s="77"/>
      <c r="T268" s="70"/>
      <c r="U268" s="78"/>
      <c r="V268" s="70" t="str">
        <f t="shared" si="4"/>
        <v>FY 25-26</v>
      </c>
      <c r="W268" s="23"/>
      <c r="X268" s="23"/>
    </row>
    <row r="269">
      <c r="A269" s="70" t="s">
        <v>677</v>
      </c>
      <c r="B269" s="70" t="str">
        <f>IF($A$3=" "," ", IFERROR( VLOOKUP($A269,'SUPPLIER DATA BASE'!$A$2:$M$936,3,0),""))</f>
        <v>-</v>
      </c>
      <c r="C269" s="70" t="str">
        <f>IF($A$3=" "," ", IFERROR( VLOOKUP($A269,'SUPPLIER DATA BASE'!$A$2:$F$936,6,0),""))</f>
        <v>-</v>
      </c>
      <c r="D269" s="70" t="str">
        <f>IF($A$3=" "," ", IFERROR( VLOOKUP($A269,'SUPPLIER DATA BASE'!$A$2:$G$936,4,0),""))</f>
        <v>-</v>
      </c>
      <c r="E269" s="71" t="str">
        <f>IF($A$3=" "," ", IFERROR( VLOOKUP($A269,'SUPPLIER DATA BASE'!$A$2:$H$936,5,0),""))</f>
        <v>-</v>
      </c>
      <c r="F269" s="72" t="s">
        <v>1353</v>
      </c>
      <c r="G269" s="73">
        <v>46079.0</v>
      </c>
      <c r="H269" s="74">
        <v>30.0</v>
      </c>
      <c r="I269" s="75">
        <v>29476.0</v>
      </c>
      <c r="J269" s="76" t="s">
        <v>1354</v>
      </c>
      <c r="K269" s="70" t="s">
        <v>349</v>
      </c>
      <c r="L269" s="70" t="s">
        <v>349</v>
      </c>
      <c r="M269" s="70" t="str">
        <f t="shared" si="3"/>
        <v>109 Days</v>
      </c>
      <c r="N269" s="70" t="str">
        <f>IF($A$3=" "," ", IFERROR( VLOOKUP($A269,'SUPPLIER DATA BASE'!$A$2:$O$936,11,0),""))</f>
        <v>SARAOGI SUPER SALES PVT LTD</v>
      </c>
      <c r="O269" s="70" t="str">
        <f>IF($A$3=" "," ", IFERROR( VLOOKUP($A269,'SUPPLIER DATA BASE'!$A$2:$O$936,12,0),""))</f>
        <v>SASUSP011006</v>
      </c>
      <c r="P269" s="70" t="str">
        <f>IF($A$3=" "," ", IFERROR( VLOOKUP($A269,'SUPPLIER DATA BASE'!$A$2:$O$936,13,0),""))</f>
        <v>ICIC0000106</v>
      </c>
      <c r="Q269" s="77"/>
      <c r="R269" s="73"/>
      <c r="S269" s="77"/>
      <c r="T269" s="70"/>
      <c r="U269" s="78"/>
      <c r="V269" s="70" t="str">
        <f t="shared" si="4"/>
        <v>FY 25-26</v>
      </c>
      <c r="W269" s="23"/>
      <c r="X269" s="23"/>
    </row>
    <row r="270">
      <c r="A270" s="70" t="s">
        <v>868</v>
      </c>
      <c r="B270" s="70" t="str">
        <f>IF($A$3=" "," ", IFERROR( VLOOKUP($A270,'SUPPLIER DATA BASE'!$A$2:$M$936,3,0),""))</f>
        <v/>
      </c>
      <c r="C270" s="70" t="str">
        <f>IF($A$3=" "," ", IFERROR( VLOOKUP($A270,'SUPPLIER DATA BASE'!$A$2:$F$936,6,0),""))</f>
        <v/>
      </c>
      <c r="D270" s="70" t="str">
        <f>IF($A$3=" "," ", IFERROR( VLOOKUP($A270,'SUPPLIER DATA BASE'!$A$2:$G$936,4,0),""))</f>
        <v/>
      </c>
      <c r="E270" s="71" t="str">
        <f>IF($A$3=" "," ", IFERROR( VLOOKUP($A270,'SUPPLIER DATA BASE'!$A$2:$H$936,5,0),""))</f>
        <v/>
      </c>
      <c r="F270" s="72" t="s">
        <v>1355</v>
      </c>
      <c r="G270" s="73">
        <v>46079.0</v>
      </c>
      <c r="H270" s="74">
        <v>63.0</v>
      </c>
      <c r="I270" s="75">
        <v>36279.0</v>
      </c>
      <c r="J270" s="76" t="s">
        <v>1356</v>
      </c>
      <c r="K270" s="70" t="s">
        <v>349</v>
      </c>
      <c r="L270" s="70" t="s">
        <v>349</v>
      </c>
      <c r="M270" s="70" t="str">
        <f t="shared" si="3"/>
        <v>109 Days</v>
      </c>
      <c r="N270" s="70" t="str">
        <f>IF($A$3=" "," ", IFERROR( VLOOKUP($A270,'SUPPLIER DATA BASE'!$A$2:$O$936,11,0),""))</f>
        <v>RAMESHWAR TRADING CO.</v>
      </c>
      <c r="O270" s="70" t="str">
        <f>IF($A$3=" "," ", IFERROR( VLOOKUP($A270,'SUPPLIER DATA BASE'!$A$2:$O$936,12,0),""))</f>
        <v>00000043011374497</v>
      </c>
      <c r="P270" s="70" t="str">
        <f>IF($A$3=" "," ", IFERROR( VLOOKUP($A270,'SUPPLIER DATA BASE'!$A$2:$O$936,13,0),""))</f>
        <v>SBIN0020377</v>
      </c>
      <c r="Q270" s="77"/>
      <c r="R270" s="73"/>
      <c r="S270" s="77"/>
      <c r="T270" s="70"/>
      <c r="U270" s="78"/>
      <c r="V270" s="70" t="str">
        <f t="shared" si="4"/>
        <v>FY 25-26</v>
      </c>
      <c r="W270" s="23"/>
      <c r="X270" s="23"/>
    </row>
    <row r="271">
      <c r="A271" s="70" t="s">
        <v>606</v>
      </c>
      <c r="B271" s="70" t="str">
        <f>IF($A$3=" "," ", IFERROR( VLOOKUP($A271,'SUPPLIER DATA BASE'!$A$2:$M$936,3,0),""))</f>
        <v>-</v>
      </c>
      <c r="C271" s="70" t="str">
        <f>IF($A$3=" "," ", IFERROR( VLOOKUP($A271,'SUPPLIER DATA BASE'!$A$2:$F$936,6,0),""))</f>
        <v>-</v>
      </c>
      <c r="D271" s="70" t="str">
        <f>IF($A$3=" "," ", IFERROR( VLOOKUP($A271,'SUPPLIER DATA BASE'!$A$2:$G$936,4,0),""))</f>
        <v>-</v>
      </c>
      <c r="E271" s="71" t="str">
        <f>IF($A$3=" "," ", IFERROR( VLOOKUP($A271,'SUPPLIER DATA BASE'!$A$2:$H$936,5,0),""))</f>
        <v>-</v>
      </c>
      <c r="F271" s="72" t="s">
        <v>1357</v>
      </c>
      <c r="G271" s="73">
        <v>46080.0</v>
      </c>
      <c r="H271" s="74">
        <v>159.0</v>
      </c>
      <c r="I271" s="75">
        <v>84308.0</v>
      </c>
      <c r="J271" s="76" t="s">
        <v>1358</v>
      </c>
      <c r="K271" s="70" t="s">
        <v>349</v>
      </c>
      <c r="L271" s="70" t="s">
        <v>349</v>
      </c>
      <c r="M271" s="70" t="str">
        <f t="shared" si="3"/>
        <v>108 Days</v>
      </c>
      <c r="N271" s="70" t="str">
        <f>IF($A$3=" "," ", IFERROR( VLOOKUP($A271,'SUPPLIER DATA BASE'!$A$2:$O$936,11,0),""))</f>
        <v>P M SONS</v>
      </c>
      <c r="O271" s="70" t="str">
        <f>IF($A$3=" "," ", IFERROR( VLOOKUP($A271,'SUPPLIER DATA BASE'!$A$2:$O$936,12,0),""))</f>
        <v>8084600000325</v>
      </c>
      <c r="P271" s="70" t="str">
        <f>IF($A$3=" "," ", IFERROR( VLOOKUP($A271,'SUPPLIER DATA BASE'!$A$2:$O$936,13,0),""))</f>
        <v>YESB0000080</v>
      </c>
      <c r="Q271" s="77"/>
      <c r="R271" s="73"/>
      <c r="S271" s="77"/>
      <c r="T271" s="70"/>
      <c r="U271" s="78"/>
      <c r="V271" s="70" t="str">
        <f t="shared" si="4"/>
        <v>FY 25-26</v>
      </c>
      <c r="W271" s="23"/>
      <c r="X271" s="23"/>
    </row>
    <row r="272">
      <c r="A272" s="70" t="s">
        <v>541</v>
      </c>
      <c r="B272" s="70" t="str">
        <f>IF($A$3=" "," ", IFERROR( VLOOKUP($A272,'SUPPLIER DATA BASE'!$A$2:$M$936,3,0),""))</f>
        <v>TWILLS</v>
      </c>
      <c r="C272" s="70" t="str">
        <f>IF($A$3=" "," ", IFERROR( VLOOKUP($A272,'SUPPLIER DATA BASE'!$A$2:$F$936,6,0),""))</f>
        <v>-</v>
      </c>
      <c r="D272" s="70" t="str">
        <f>IF($A$3=" "," ", IFERROR( VLOOKUP($A272,'SUPPLIER DATA BASE'!$A$2:$G$936,4,0),""))</f>
        <v>-</v>
      </c>
      <c r="E272" s="71" t="str">
        <f>IF($A$3=" "," ", IFERROR( VLOOKUP($A272,'SUPPLIER DATA BASE'!$A$2:$H$936,5,0),""))</f>
        <v>-</v>
      </c>
      <c r="F272" s="72" t="s">
        <v>1359</v>
      </c>
      <c r="G272" s="73">
        <v>46080.0</v>
      </c>
      <c r="H272" s="74">
        <v>12.0</v>
      </c>
      <c r="I272" s="75">
        <v>9870.0</v>
      </c>
      <c r="J272" s="76" t="s">
        <v>1360</v>
      </c>
      <c r="K272" s="70" t="s">
        <v>349</v>
      </c>
      <c r="L272" s="70" t="s">
        <v>349</v>
      </c>
      <c r="M272" s="70" t="str">
        <f t="shared" si="3"/>
        <v>108 Days</v>
      </c>
      <c r="N272" s="70" t="str">
        <f>IF($A$3=" "," ", IFERROR( VLOOKUP($A272,'SUPPLIER DATA BASE'!$A$2:$O$936,11,0),""))</f>
        <v>M. N. GARMENTS</v>
      </c>
      <c r="O272" s="70" t="str">
        <f>IF($A$3=" "," ", IFERROR( VLOOKUP($A272,'SUPPLIER DATA BASE'!$A$2:$O$936,12,0),""))</f>
        <v>50200058436598</v>
      </c>
      <c r="P272" s="70" t="str">
        <f>IF($A$3=" "," ", IFERROR( VLOOKUP($A272,'SUPPLIER DATA BASE'!$A$2:$O$936,13,0),""))</f>
        <v>HDFC0001470</v>
      </c>
      <c r="Q272" s="77"/>
      <c r="R272" s="73"/>
      <c r="S272" s="77"/>
      <c r="T272" s="70"/>
      <c r="U272" s="78"/>
      <c r="V272" s="70" t="str">
        <f t="shared" si="4"/>
        <v>FY 25-26</v>
      </c>
      <c r="W272" s="23"/>
      <c r="X272" s="23"/>
    </row>
    <row r="273">
      <c r="A273" s="70" t="s">
        <v>541</v>
      </c>
      <c r="B273" s="70" t="str">
        <f>IF($A$3=" "," ", IFERROR( VLOOKUP($A273,'SUPPLIER DATA BASE'!$A$2:$M$936,3,0),""))</f>
        <v>TWILLS</v>
      </c>
      <c r="C273" s="70" t="str">
        <f>IF($A$3=" "," ", IFERROR( VLOOKUP($A273,'SUPPLIER DATA BASE'!$A$2:$F$936,6,0),""))</f>
        <v>-</v>
      </c>
      <c r="D273" s="70" t="str">
        <f>IF($A$3=" "," ", IFERROR( VLOOKUP($A273,'SUPPLIER DATA BASE'!$A$2:$G$936,4,0),""))</f>
        <v>-</v>
      </c>
      <c r="E273" s="71" t="str">
        <f>IF($A$3=" "," ", IFERROR( VLOOKUP($A273,'SUPPLIER DATA BASE'!$A$2:$H$936,5,0),""))</f>
        <v>-</v>
      </c>
      <c r="F273" s="72" t="s">
        <v>1361</v>
      </c>
      <c r="G273" s="73">
        <v>46080.0</v>
      </c>
      <c r="H273" s="74">
        <v>20.0</v>
      </c>
      <c r="I273" s="75">
        <v>15750.0</v>
      </c>
      <c r="J273" s="76" t="s">
        <v>1362</v>
      </c>
      <c r="K273" s="70" t="s">
        <v>349</v>
      </c>
      <c r="L273" s="70" t="s">
        <v>349</v>
      </c>
      <c r="M273" s="70" t="str">
        <f t="shared" si="3"/>
        <v>108 Days</v>
      </c>
      <c r="N273" s="70" t="str">
        <f>IF($A$3=" "," ", IFERROR( VLOOKUP($A273,'SUPPLIER DATA BASE'!$A$2:$O$936,11,0),""))</f>
        <v>M. N. GARMENTS</v>
      </c>
      <c r="O273" s="70" t="str">
        <f>IF($A$3=" "," ", IFERROR( VLOOKUP($A273,'SUPPLIER DATA BASE'!$A$2:$O$936,12,0),""))</f>
        <v>50200058436598</v>
      </c>
      <c r="P273" s="70" t="str">
        <f>IF($A$3=" "," ", IFERROR( VLOOKUP($A273,'SUPPLIER DATA BASE'!$A$2:$O$936,13,0),""))</f>
        <v>HDFC0001470</v>
      </c>
      <c r="Q273" s="77"/>
      <c r="R273" s="73"/>
      <c r="S273" s="77"/>
      <c r="T273" s="70"/>
      <c r="U273" s="78"/>
      <c r="V273" s="70" t="str">
        <f t="shared" si="4"/>
        <v>FY 25-26</v>
      </c>
      <c r="W273" s="23"/>
      <c r="X273" s="23"/>
    </row>
    <row r="274">
      <c r="A274" s="70" t="s">
        <v>685</v>
      </c>
      <c r="B274" s="70" t="str">
        <f>IF($A$3=" "," ", IFERROR( VLOOKUP($A274,'SUPPLIER DATA BASE'!$A$2:$M$936,3,0),""))</f>
        <v>RUH</v>
      </c>
      <c r="C274" s="70" t="str">
        <f>IF($A$3=" "," ", IFERROR( VLOOKUP($A274,'SUPPLIER DATA BASE'!$A$2:$F$936,6,0),""))</f>
        <v>NEPOLIAN</v>
      </c>
      <c r="D274" s="70">
        <f>IF($A$3=" "," ", IFERROR( VLOOKUP($A274,'SUPPLIER DATA BASE'!$A$2:$G$936,4,0),""))</f>
        <v>60</v>
      </c>
      <c r="E274" s="71">
        <f>IF($A$3=" "," ", IFERROR( VLOOKUP($A274,'SUPPLIER DATA BASE'!$A$2:$H$936,5,0),""))</f>
        <v>0.05</v>
      </c>
      <c r="F274" s="72" t="s">
        <v>1363</v>
      </c>
      <c r="G274" s="73">
        <v>46080.0</v>
      </c>
      <c r="H274" s="74">
        <v>8.0</v>
      </c>
      <c r="I274" s="75">
        <v>14500.0</v>
      </c>
      <c r="J274" s="76" t="s">
        <v>1364</v>
      </c>
      <c r="K274" s="70" t="s">
        <v>349</v>
      </c>
      <c r="L274" s="70" t="s">
        <v>349</v>
      </c>
      <c r="M274" s="70" t="str">
        <f t="shared" si="3"/>
        <v>108 Days</v>
      </c>
      <c r="N274" s="70" t="str">
        <f>IF($A$3=" "," ", IFERROR( VLOOKUP($A274,'SUPPLIER DATA BASE'!$A$2:$O$936,11,0),""))</f>
        <v>SHREE BALAJI</v>
      </c>
      <c r="O274" s="70" t="str">
        <f>IF($A$3=" "," ", IFERROR( VLOOKUP($A274,'SUPPLIER DATA BASE'!$A$2:$O$936,12,0),""))</f>
        <v>3845084693</v>
      </c>
      <c r="P274" s="70" t="str">
        <f>IF($A$3=" "," ", IFERROR( VLOOKUP($A274,'SUPPLIER DATA BASE'!$A$2:$O$936,13,0),""))</f>
        <v>KKBK0006605</v>
      </c>
      <c r="Q274" s="77"/>
      <c r="R274" s="73"/>
      <c r="S274" s="77"/>
      <c r="T274" s="70"/>
      <c r="U274" s="78"/>
      <c r="V274" s="70" t="str">
        <f t="shared" si="4"/>
        <v>FY 25-26</v>
      </c>
      <c r="W274" s="23"/>
      <c r="X274" s="23"/>
    </row>
    <row r="275">
      <c r="A275" s="70" t="s">
        <v>354</v>
      </c>
      <c r="B275" s="70" t="str">
        <f>IF($A$3=" "," ", IFERROR( VLOOKUP($A275,'SUPPLIER DATA BASE'!$A$2:$M$936,3,0),""))</f>
        <v>-</v>
      </c>
      <c r="C275" s="70" t="str">
        <f>IF($A$3=" "," ", IFERROR( VLOOKUP($A275,'SUPPLIER DATA BASE'!$A$2:$F$936,6,0),""))</f>
        <v>-</v>
      </c>
      <c r="D275" s="70" t="str">
        <f>IF($A$3=" "," ", IFERROR( VLOOKUP($A275,'SUPPLIER DATA BASE'!$A$2:$G$936,4,0),""))</f>
        <v>-</v>
      </c>
      <c r="E275" s="71" t="str">
        <f>IF($A$3=" "," ", IFERROR( VLOOKUP($A275,'SUPPLIER DATA BASE'!$A$2:$H$936,5,0),""))</f>
        <v>-</v>
      </c>
      <c r="F275" s="72" t="s">
        <v>1365</v>
      </c>
      <c r="G275" s="73">
        <v>46080.0</v>
      </c>
      <c r="H275" s="74">
        <v>15.0</v>
      </c>
      <c r="I275" s="75">
        <v>24102.52</v>
      </c>
      <c r="J275" s="76" t="s">
        <v>1366</v>
      </c>
      <c r="K275" s="70" t="s">
        <v>349</v>
      </c>
      <c r="L275" s="70" t="s">
        <v>349</v>
      </c>
      <c r="M275" s="70" t="str">
        <f t="shared" si="3"/>
        <v>108 Days</v>
      </c>
      <c r="N275" s="70" t="str">
        <f>IF($A$3=" "," ", IFERROR( VLOOKUP($A275,'SUPPLIER DATA BASE'!$A$2:$O$936,11,0),""))</f>
        <v>-</v>
      </c>
      <c r="O275" s="70" t="str">
        <f>IF($A$3=" "," ", IFERROR( VLOOKUP($A275,'SUPPLIER DATA BASE'!$A$2:$O$936,12,0),""))</f>
        <v>-</v>
      </c>
      <c r="P275" s="70" t="str">
        <f>IF($A$3=" "," ", IFERROR( VLOOKUP($A275,'SUPPLIER DATA BASE'!$A$2:$O$936,13,0),""))</f>
        <v>-</v>
      </c>
      <c r="Q275" s="77"/>
      <c r="R275" s="73"/>
      <c r="S275" s="77"/>
      <c r="T275" s="70"/>
      <c r="U275" s="78"/>
      <c r="V275" s="70" t="str">
        <f t="shared" si="4"/>
        <v>FY 25-26</v>
      </c>
      <c r="W275" s="23"/>
      <c r="X275" s="23"/>
    </row>
    <row r="276">
      <c r="A276" s="70" t="s">
        <v>354</v>
      </c>
      <c r="B276" s="70" t="str">
        <f>IF($A$3=" "," ", IFERROR( VLOOKUP($A276,'SUPPLIER DATA BASE'!$A$2:$M$936,3,0),""))</f>
        <v>-</v>
      </c>
      <c r="C276" s="70" t="str">
        <f>IF($A$3=" "," ", IFERROR( VLOOKUP($A276,'SUPPLIER DATA BASE'!$A$2:$F$936,6,0),""))</f>
        <v>-</v>
      </c>
      <c r="D276" s="70" t="str">
        <f>IF($A$3=" "," ", IFERROR( VLOOKUP($A276,'SUPPLIER DATA BASE'!$A$2:$G$936,4,0),""))</f>
        <v>-</v>
      </c>
      <c r="E276" s="71" t="str">
        <f>IF($A$3=" "," ", IFERROR( VLOOKUP($A276,'SUPPLIER DATA BASE'!$A$2:$H$936,5,0),""))</f>
        <v>-</v>
      </c>
      <c r="F276" s="72" t="s">
        <v>1367</v>
      </c>
      <c r="G276" s="73">
        <v>46080.0</v>
      </c>
      <c r="H276" s="74">
        <v>21.0</v>
      </c>
      <c r="I276" s="75">
        <v>21544.32</v>
      </c>
      <c r="J276" s="76" t="s">
        <v>1368</v>
      </c>
      <c r="K276" s="70" t="s">
        <v>349</v>
      </c>
      <c r="L276" s="70" t="s">
        <v>349</v>
      </c>
      <c r="M276" s="70" t="str">
        <f t="shared" si="3"/>
        <v>108 Days</v>
      </c>
      <c r="N276" s="70" t="str">
        <f>IF($A$3=" "," ", IFERROR( VLOOKUP($A276,'SUPPLIER DATA BASE'!$A$2:$O$936,11,0),""))</f>
        <v>-</v>
      </c>
      <c r="O276" s="70" t="str">
        <f>IF($A$3=" "," ", IFERROR( VLOOKUP($A276,'SUPPLIER DATA BASE'!$A$2:$O$936,12,0),""))</f>
        <v>-</v>
      </c>
      <c r="P276" s="70" t="str">
        <f>IF($A$3=" "," ", IFERROR( VLOOKUP($A276,'SUPPLIER DATA BASE'!$A$2:$O$936,13,0),""))</f>
        <v>-</v>
      </c>
      <c r="Q276" s="77"/>
      <c r="R276" s="73"/>
      <c r="S276" s="77"/>
      <c r="T276" s="70"/>
      <c r="U276" s="78"/>
      <c r="V276" s="70" t="str">
        <f t="shared" si="4"/>
        <v>FY 25-26</v>
      </c>
      <c r="W276" s="23"/>
      <c r="X276" s="23"/>
    </row>
    <row r="277">
      <c r="A277" s="70" t="s">
        <v>354</v>
      </c>
      <c r="B277" s="70" t="str">
        <f>IF($A$3=" "," ", IFERROR( VLOOKUP($A277,'SUPPLIER DATA BASE'!$A$2:$M$936,3,0),""))</f>
        <v>-</v>
      </c>
      <c r="C277" s="70" t="str">
        <f>IF($A$3=" "," ", IFERROR( VLOOKUP($A277,'SUPPLIER DATA BASE'!$A$2:$F$936,6,0),""))</f>
        <v>-</v>
      </c>
      <c r="D277" s="70" t="str">
        <f>IF($A$3=" "," ", IFERROR( VLOOKUP($A277,'SUPPLIER DATA BASE'!$A$2:$G$936,4,0),""))</f>
        <v>-</v>
      </c>
      <c r="E277" s="71" t="str">
        <f>IF($A$3=" "," ", IFERROR( VLOOKUP($A277,'SUPPLIER DATA BASE'!$A$2:$H$936,5,0),""))</f>
        <v>-</v>
      </c>
      <c r="F277" s="72" t="s">
        <v>1369</v>
      </c>
      <c r="G277" s="73">
        <v>46080.0</v>
      </c>
      <c r="H277" s="74">
        <v>196.0</v>
      </c>
      <c r="I277" s="75">
        <v>354104.12</v>
      </c>
      <c r="J277" s="76" t="s">
        <v>1370</v>
      </c>
      <c r="K277" s="70" t="s">
        <v>349</v>
      </c>
      <c r="L277" s="70" t="s">
        <v>349</v>
      </c>
      <c r="M277" s="70" t="str">
        <f t="shared" si="3"/>
        <v>108 Days</v>
      </c>
      <c r="N277" s="70" t="str">
        <f>IF($A$3=" "," ", IFERROR( VLOOKUP($A277,'SUPPLIER DATA BASE'!$A$2:$O$936,11,0),""))</f>
        <v>-</v>
      </c>
      <c r="O277" s="70" t="str">
        <f>IF($A$3=" "," ", IFERROR( VLOOKUP($A277,'SUPPLIER DATA BASE'!$A$2:$O$936,12,0),""))</f>
        <v>-</v>
      </c>
      <c r="P277" s="70" t="str">
        <f>IF($A$3=" "," ", IFERROR( VLOOKUP($A277,'SUPPLIER DATA BASE'!$A$2:$O$936,13,0),""))</f>
        <v>-</v>
      </c>
      <c r="Q277" s="77"/>
      <c r="R277" s="73"/>
      <c r="S277" s="77"/>
      <c r="T277" s="70"/>
      <c r="U277" s="78"/>
      <c r="V277" s="70" t="str">
        <f t="shared" si="4"/>
        <v>FY 25-26</v>
      </c>
      <c r="W277" s="23"/>
      <c r="X277" s="23"/>
    </row>
    <row r="278">
      <c r="A278" s="70" t="s">
        <v>354</v>
      </c>
      <c r="B278" s="70" t="str">
        <f>IF($A$3=" "," ", IFERROR( VLOOKUP($A278,'SUPPLIER DATA BASE'!$A$2:$M$936,3,0),""))</f>
        <v>-</v>
      </c>
      <c r="C278" s="70" t="str">
        <f>IF($A$3=" "," ", IFERROR( VLOOKUP($A278,'SUPPLIER DATA BASE'!$A$2:$F$936,6,0),""))</f>
        <v>-</v>
      </c>
      <c r="D278" s="70" t="str">
        <f>IF($A$3=" "," ", IFERROR( VLOOKUP($A278,'SUPPLIER DATA BASE'!$A$2:$G$936,4,0),""))</f>
        <v>-</v>
      </c>
      <c r="E278" s="71" t="str">
        <f>IF($A$3=" "," ", IFERROR( VLOOKUP($A278,'SUPPLIER DATA BASE'!$A$2:$H$936,5,0),""))</f>
        <v>-</v>
      </c>
      <c r="F278" s="72" t="s">
        <v>1371</v>
      </c>
      <c r="G278" s="73">
        <v>46080.0</v>
      </c>
      <c r="H278" s="74">
        <v>70.0</v>
      </c>
      <c r="I278" s="75">
        <v>148514.75</v>
      </c>
      <c r="J278" s="76" t="s">
        <v>1372</v>
      </c>
      <c r="K278" s="70" t="s">
        <v>349</v>
      </c>
      <c r="L278" s="70" t="s">
        <v>349</v>
      </c>
      <c r="M278" s="70" t="str">
        <f t="shared" si="3"/>
        <v>108 Days</v>
      </c>
      <c r="N278" s="70" t="str">
        <f>IF($A$3=" "," ", IFERROR( VLOOKUP($A278,'SUPPLIER DATA BASE'!$A$2:$O$936,11,0),""))</f>
        <v>-</v>
      </c>
      <c r="O278" s="70" t="str">
        <f>IF($A$3=" "," ", IFERROR( VLOOKUP($A278,'SUPPLIER DATA BASE'!$A$2:$O$936,12,0),""))</f>
        <v>-</v>
      </c>
      <c r="P278" s="70" t="str">
        <f>IF($A$3=" "," ", IFERROR( VLOOKUP($A278,'SUPPLIER DATA BASE'!$A$2:$O$936,13,0),""))</f>
        <v>-</v>
      </c>
      <c r="Q278" s="77"/>
      <c r="R278" s="73"/>
      <c r="S278" s="77"/>
      <c r="T278" s="70"/>
      <c r="U278" s="78"/>
      <c r="V278" s="70" t="str">
        <f t="shared" si="4"/>
        <v>FY 25-26</v>
      </c>
      <c r="W278" s="23"/>
      <c r="X278" s="23"/>
    </row>
    <row r="279">
      <c r="A279" s="70" t="s">
        <v>354</v>
      </c>
      <c r="B279" s="70" t="str">
        <f>IF($A$3=" "," ", IFERROR( VLOOKUP($A279,'SUPPLIER DATA BASE'!$A$2:$M$936,3,0),""))</f>
        <v>-</v>
      </c>
      <c r="C279" s="70" t="str">
        <f>IF($A$3=" "," ", IFERROR( VLOOKUP($A279,'SUPPLIER DATA BASE'!$A$2:$F$936,6,0),""))</f>
        <v>-</v>
      </c>
      <c r="D279" s="70" t="str">
        <f>IF($A$3=" "," ", IFERROR( VLOOKUP($A279,'SUPPLIER DATA BASE'!$A$2:$G$936,4,0),""))</f>
        <v>-</v>
      </c>
      <c r="E279" s="71" t="str">
        <f>IF($A$3=" "," ", IFERROR( VLOOKUP($A279,'SUPPLIER DATA BASE'!$A$2:$H$936,5,0),""))</f>
        <v>-</v>
      </c>
      <c r="F279" s="72" t="s">
        <v>1373</v>
      </c>
      <c r="G279" s="73">
        <v>46080.0</v>
      </c>
      <c r="H279" s="74">
        <v>285.0</v>
      </c>
      <c r="I279" s="75">
        <v>547571.15</v>
      </c>
      <c r="J279" s="76" t="s">
        <v>1374</v>
      </c>
      <c r="K279" s="70" t="s">
        <v>349</v>
      </c>
      <c r="L279" s="70" t="s">
        <v>349</v>
      </c>
      <c r="M279" s="70" t="str">
        <f t="shared" si="3"/>
        <v>108 Days</v>
      </c>
      <c r="N279" s="70" t="str">
        <f>IF($A$3=" "," ", IFERROR( VLOOKUP($A279,'SUPPLIER DATA BASE'!$A$2:$O$936,11,0),""))</f>
        <v>-</v>
      </c>
      <c r="O279" s="70" t="str">
        <f>IF($A$3=" "," ", IFERROR( VLOOKUP($A279,'SUPPLIER DATA BASE'!$A$2:$O$936,12,0),""))</f>
        <v>-</v>
      </c>
      <c r="P279" s="70" t="str">
        <f>IF($A$3=" "," ", IFERROR( VLOOKUP($A279,'SUPPLIER DATA BASE'!$A$2:$O$936,13,0),""))</f>
        <v>-</v>
      </c>
      <c r="Q279" s="77"/>
      <c r="R279" s="73"/>
      <c r="S279" s="77"/>
      <c r="T279" s="70"/>
      <c r="U279" s="78"/>
      <c r="V279" s="70" t="str">
        <f t="shared" si="4"/>
        <v>FY 25-26</v>
      </c>
      <c r="W279" s="23"/>
      <c r="X279" s="23"/>
    </row>
    <row r="280">
      <c r="A280" s="70" t="s">
        <v>354</v>
      </c>
      <c r="B280" s="70" t="str">
        <f>IF($A$3=" "," ", IFERROR( VLOOKUP($A280,'SUPPLIER DATA BASE'!$A$2:$M$936,3,0),""))</f>
        <v>-</v>
      </c>
      <c r="C280" s="70" t="str">
        <f>IF($A$3=" "," ", IFERROR( VLOOKUP($A280,'SUPPLIER DATA BASE'!$A$2:$F$936,6,0),""))</f>
        <v>-</v>
      </c>
      <c r="D280" s="70" t="str">
        <f>IF($A$3=" "," ", IFERROR( VLOOKUP($A280,'SUPPLIER DATA BASE'!$A$2:$G$936,4,0),""))</f>
        <v>-</v>
      </c>
      <c r="E280" s="71" t="str">
        <f>IF($A$3=" "," ", IFERROR( VLOOKUP($A280,'SUPPLIER DATA BASE'!$A$2:$H$936,5,0),""))</f>
        <v>-</v>
      </c>
      <c r="F280" s="72" t="s">
        <v>1375</v>
      </c>
      <c r="G280" s="73">
        <v>46080.0</v>
      </c>
      <c r="H280" s="74">
        <v>60.0</v>
      </c>
      <c r="I280" s="75">
        <v>126580.1</v>
      </c>
      <c r="J280" s="76" t="s">
        <v>1376</v>
      </c>
      <c r="K280" s="70" t="s">
        <v>349</v>
      </c>
      <c r="L280" s="70" t="s">
        <v>349</v>
      </c>
      <c r="M280" s="70" t="str">
        <f t="shared" si="3"/>
        <v>108 Days</v>
      </c>
      <c r="N280" s="70" t="str">
        <f>IF($A$3=" "," ", IFERROR( VLOOKUP($A280,'SUPPLIER DATA BASE'!$A$2:$O$936,11,0),""))</f>
        <v>-</v>
      </c>
      <c r="O280" s="70" t="str">
        <f>IF($A$3=" "," ", IFERROR( VLOOKUP($A280,'SUPPLIER DATA BASE'!$A$2:$O$936,12,0),""))</f>
        <v>-</v>
      </c>
      <c r="P280" s="70" t="str">
        <f>IF($A$3=" "," ", IFERROR( VLOOKUP($A280,'SUPPLIER DATA BASE'!$A$2:$O$936,13,0),""))</f>
        <v>-</v>
      </c>
      <c r="Q280" s="77"/>
      <c r="R280" s="73"/>
      <c r="S280" s="77"/>
      <c r="T280" s="70"/>
      <c r="U280" s="78"/>
      <c r="V280" s="70" t="str">
        <f t="shared" si="4"/>
        <v>FY 25-26</v>
      </c>
      <c r="W280" s="23"/>
      <c r="X280" s="23"/>
    </row>
    <row r="281">
      <c r="A281" s="70" t="s">
        <v>484</v>
      </c>
      <c r="B281" s="70" t="str">
        <f>IF($A$3=" "," ", IFERROR( VLOOKUP($A281,'SUPPLIER DATA BASE'!$A$2:$M$936,3,0),""))</f>
        <v>HYPHEN</v>
      </c>
      <c r="C281" s="70" t="str">
        <f>IF($A$3=" "," ", IFERROR( VLOOKUP($A281,'SUPPLIER DATA BASE'!$A$2:$F$936,6,0),""))</f>
        <v>-</v>
      </c>
      <c r="D281" s="70" t="str">
        <f>IF($A$3=" "," ", IFERROR( VLOOKUP($A281,'SUPPLIER DATA BASE'!$A$2:$G$936,4,0),""))</f>
        <v>-</v>
      </c>
      <c r="E281" s="71" t="str">
        <f>IF($A$3=" "," ", IFERROR( VLOOKUP($A281,'SUPPLIER DATA BASE'!$A$2:$H$936,5,0),""))</f>
        <v>-</v>
      </c>
      <c r="F281" s="72" t="s">
        <v>1377</v>
      </c>
      <c r="G281" s="73">
        <v>46080.0</v>
      </c>
      <c r="H281" s="74">
        <v>8.0</v>
      </c>
      <c r="I281" s="75">
        <v>20401.0</v>
      </c>
      <c r="J281" s="76" t="s">
        <v>1378</v>
      </c>
      <c r="K281" s="70" t="s">
        <v>349</v>
      </c>
      <c r="L281" s="70" t="s">
        <v>349</v>
      </c>
      <c r="M281" s="70" t="str">
        <f t="shared" si="3"/>
        <v>108 Days</v>
      </c>
      <c r="N281" s="70" t="str">
        <f>IF($A$3=" "," ", IFERROR( VLOOKUP($A281,'SUPPLIER DATA BASE'!$A$2:$O$936,11,0),""))</f>
        <v>HYPHEN GARMENTS PVT. LTD.</v>
      </c>
      <c r="O281" s="70" t="str">
        <f>IF($A$3=" "," ", IFERROR( VLOOKUP($A281,'SUPPLIER DATA BASE'!$A$2:$O$936,12,0),""))</f>
        <v>0303261100828</v>
      </c>
      <c r="P281" s="70" t="str">
        <f>IF($A$3=" "," ", IFERROR( VLOOKUP($A281,'SUPPLIER DATA BASE'!$A$2:$O$936,13,0),""))</f>
        <v>CNRB0000303</v>
      </c>
      <c r="Q281" s="77"/>
      <c r="R281" s="73"/>
      <c r="S281" s="77"/>
      <c r="T281" s="70"/>
      <c r="U281" s="78"/>
      <c r="V281" s="70" t="str">
        <f t="shared" si="4"/>
        <v>FY 25-26</v>
      </c>
      <c r="W281" s="23"/>
      <c r="X281" s="23"/>
    </row>
    <row r="282">
      <c r="A282" s="70" t="s">
        <v>354</v>
      </c>
      <c r="B282" s="70" t="str">
        <f>IF($A$3=" "," ", IFERROR( VLOOKUP($A282,'SUPPLIER DATA BASE'!$A$2:$M$936,3,0),""))</f>
        <v>-</v>
      </c>
      <c r="C282" s="70" t="str">
        <f>IF($A$3=" "," ", IFERROR( VLOOKUP($A282,'SUPPLIER DATA BASE'!$A$2:$F$936,6,0),""))</f>
        <v>-</v>
      </c>
      <c r="D282" s="70" t="str">
        <f>IF($A$3=" "," ", IFERROR( VLOOKUP($A282,'SUPPLIER DATA BASE'!$A$2:$G$936,4,0),""))</f>
        <v>-</v>
      </c>
      <c r="E282" s="71" t="str">
        <f>IF($A$3=" "," ", IFERROR( VLOOKUP($A282,'SUPPLIER DATA BASE'!$A$2:$H$936,5,0),""))</f>
        <v>-</v>
      </c>
      <c r="F282" s="72" t="s">
        <v>1379</v>
      </c>
      <c r="G282" s="73">
        <v>46080.0</v>
      </c>
      <c r="H282" s="74">
        <v>42.0</v>
      </c>
      <c r="I282" s="75">
        <v>81722.56</v>
      </c>
      <c r="J282" s="76" t="s">
        <v>1380</v>
      </c>
      <c r="K282" s="70" t="s">
        <v>349</v>
      </c>
      <c r="L282" s="70" t="s">
        <v>349</v>
      </c>
      <c r="M282" s="70" t="str">
        <f t="shared" si="3"/>
        <v>108 Days</v>
      </c>
      <c r="N282" s="70" t="str">
        <f>IF($A$3=" "," ", IFERROR( VLOOKUP($A282,'SUPPLIER DATA BASE'!$A$2:$O$936,11,0),""))</f>
        <v>-</v>
      </c>
      <c r="O282" s="70" t="str">
        <f>IF($A$3=" "," ", IFERROR( VLOOKUP($A282,'SUPPLIER DATA BASE'!$A$2:$O$936,12,0),""))</f>
        <v>-</v>
      </c>
      <c r="P282" s="70" t="str">
        <f>IF($A$3=" "," ", IFERROR( VLOOKUP($A282,'SUPPLIER DATA BASE'!$A$2:$O$936,13,0),""))</f>
        <v>-</v>
      </c>
      <c r="Q282" s="77"/>
      <c r="R282" s="73"/>
      <c r="S282" s="77"/>
      <c r="T282" s="70"/>
      <c r="U282" s="78"/>
      <c r="V282" s="70" t="str">
        <f t="shared" si="4"/>
        <v>FY 25-26</v>
      </c>
      <c r="W282" s="23"/>
      <c r="X282" s="23"/>
    </row>
    <row r="283">
      <c r="A283" s="70" t="s">
        <v>354</v>
      </c>
      <c r="B283" s="70" t="str">
        <f>IF($A$3=" "," ", IFERROR( VLOOKUP($A283,'SUPPLIER DATA BASE'!$A$2:$M$936,3,0),""))</f>
        <v>-</v>
      </c>
      <c r="C283" s="70" t="str">
        <f>IF($A$3=" "," ", IFERROR( VLOOKUP($A283,'SUPPLIER DATA BASE'!$A$2:$F$936,6,0),""))</f>
        <v>-</v>
      </c>
      <c r="D283" s="70" t="str">
        <f>IF($A$3=" "," ", IFERROR( VLOOKUP($A283,'SUPPLIER DATA BASE'!$A$2:$G$936,4,0),""))</f>
        <v>-</v>
      </c>
      <c r="E283" s="71" t="str">
        <f>IF($A$3=" "," ", IFERROR( VLOOKUP($A283,'SUPPLIER DATA BASE'!$A$2:$H$936,5,0),""))</f>
        <v>-</v>
      </c>
      <c r="F283" s="72" t="s">
        <v>1381</v>
      </c>
      <c r="G283" s="73">
        <v>46080.0</v>
      </c>
      <c r="H283" s="74">
        <v>114.0</v>
      </c>
      <c r="I283" s="75">
        <v>215239.8</v>
      </c>
      <c r="J283" s="76" t="s">
        <v>1382</v>
      </c>
      <c r="K283" s="70" t="s">
        <v>349</v>
      </c>
      <c r="L283" s="70" t="s">
        <v>349</v>
      </c>
      <c r="M283" s="70" t="str">
        <f t="shared" si="3"/>
        <v>108 Days</v>
      </c>
      <c r="N283" s="70" t="str">
        <f>IF($A$3=" "," ", IFERROR( VLOOKUP($A283,'SUPPLIER DATA BASE'!$A$2:$O$936,11,0),""))</f>
        <v>-</v>
      </c>
      <c r="O283" s="70" t="str">
        <f>IF($A$3=" "," ", IFERROR( VLOOKUP($A283,'SUPPLIER DATA BASE'!$A$2:$O$936,12,0),""))</f>
        <v>-</v>
      </c>
      <c r="P283" s="70" t="str">
        <f>IF($A$3=" "," ", IFERROR( VLOOKUP($A283,'SUPPLIER DATA BASE'!$A$2:$O$936,13,0),""))</f>
        <v>-</v>
      </c>
      <c r="Q283" s="77"/>
      <c r="R283" s="73"/>
      <c r="S283" s="77"/>
      <c r="T283" s="70"/>
      <c r="U283" s="78"/>
      <c r="V283" s="70" t="str">
        <f t="shared" si="4"/>
        <v>FY 25-26</v>
      </c>
      <c r="W283" s="23"/>
      <c r="X283" s="23"/>
    </row>
    <row r="284">
      <c r="A284" s="70" t="s">
        <v>354</v>
      </c>
      <c r="B284" s="70" t="str">
        <f>IF($A$3=" "," ", IFERROR( VLOOKUP($A284,'SUPPLIER DATA BASE'!$A$2:$M$936,3,0),""))</f>
        <v>-</v>
      </c>
      <c r="C284" s="70" t="str">
        <f>IF($A$3=" "," ", IFERROR( VLOOKUP($A284,'SUPPLIER DATA BASE'!$A$2:$F$936,6,0),""))</f>
        <v>-</v>
      </c>
      <c r="D284" s="70" t="str">
        <f>IF($A$3=" "," ", IFERROR( VLOOKUP($A284,'SUPPLIER DATA BASE'!$A$2:$G$936,4,0),""))</f>
        <v>-</v>
      </c>
      <c r="E284" s="71" t="str">
        <f>IF($A$3=" "," ", IFERROR( VLOOKUP($A284,'SUPPLIER DATA BASE'!$A$2:$H$936,5,0),""))</f>
        <v>-</v>
      </c>
      <c r="F284" s="72" t="s">
        <v>1383</v>
      </c>
      <c r="G284" s="73">
        <v>46080.0</v>
      </c>
      <c r="H284" s="74">
        <v>134.0</v>
      </c>
      <c r="I284" s="75">
        <v>254957.97</v>
      </c>
      <c r="J284" s="76" t="s">
        <v>1384</v>
      </c>
      <c r="K284" s="70" t="s">
        <v>349</v>
      </c>
      <c r="L284" s="70" t="s">
        <v>349</v>
      </c>
      <c r="M284" s="70" t="str">
        <f t="shared" si="3"/>
        <v>108 Days</v>
      </c>
      <c r="N284" s="70" t="str">
        <f>IF($A$3=" "," ", IFERROR( VLOOKUP($A284,'SUPPLIER DATA BASE'!$A$2:$O$936,11,0),""))</f>
        <v>-</v>
      </c>
      <c r="O284" s="70" t="str">
        <f>IF($A$3=" "," ", IFERROR( VLOOKUP($A284,'SUPPLIER DATA BASE'!$A$2:$O$936,12,0),""))</f>
        <v>-</v>
      </c>
      <c r="P284" s="70" t="str">
        <f>IF($A$3=" "," ", IFERROR( VLOOKUP($A284,'SUPPLIER DATA BASE'!$A$2:$O$936,13,0),""))</f>
        <v>-</v>
      </c>
      <c r="Q284" s="77"/>
      <c r="R284" s="73"/>
      <c r="S284" s="77"/>
      <c r="T284" s="70"/>
      <c r="U284" s="78"/>
      <c r="V284" s="70" t="str">
        <f t="shared" si="4"/>
        <v>FY 25-26</v>
      </c>
      <c r="W284" s="23"/>
      <c r="X284" s="23"/>
    </row>
    <row r="285">
      <c r="A285" s="70" t="s">
        <v>354</v>
      </c>
      <c r="B285" s="70" t="str">
        <f>IF($A$3=" "," ", IFERROR( VLOOKUP($A285,'SUPPLIER DATA BASE'!$A$2:$M$936,3,0),""))</f>
        <v>-</v>
      </c>
      <c r="C285" s="70" t="str">
        <f>IF($A$3=" "," ", IFERROR( VLOOKUP($A285,'SUPPLIER DATA BASE'!$A$2:$F$936,6,0),""))</f>
        <v>-</v>
      </c>
      <c r="D285" s="70" t="str">
        <f>IF($A$3=" "," ", IFERROR( VLOOKUP($A285,'SUPPLIER DATA BASE'!$A$2:$G$936,4,0),""))</f>
        <v>-</v>
      </c>
      <c r="E285" s="71" t="str">
        <f>IF($A$3=" "," ", IFERROR( VLOOKUP($A285,'SUPPLIER DATA BASE'!$A$2:$H$936,5,0),""))</f>
        <v>-</v>
      </c>
      <c r="F285" s="72" t="s">
        <v>1385</v>
      </c>
      <c r="G285" s="73">
        <v>46080.0</v>
      </c>
      <c r="H285" s="74">
        <v>11.0</v>
      </c>
      <c r="I285" s="75">
        <v>20857.83</v>
      </c>
      <c r="J285" s="76" t="s">
        <v>1386</v>
      </c>
      <c r="K285" s="70" t="s">
        <v>349</v>
      </c>
      <c r="L285" s="70" t="s">
        <v>349</v>
      </c>
      <c r="M285" s="70" t="str">
        <f t="shared" si="3"/>
        <v>108 Days</v>
      </c>
      <c r="N285" s="70" t="str">
        <f>IF($A$3=" "," ", IFERROR( VLOOKUP($A285,'SUPPLIER DATA BASE'!$A$2:$O$936,11,0),""))</f>
        <v>-</v>
      </c>
      <c r="O285" s="70" t="str">
        <f>IF($A$3=" "," ", IFERROR( VLOOKUP($A285,'SUPPLIER DATA BASE'!$A$2:$O$936,12,0),""))</f>
        <v>-</v>
      </c>
      <c r="P285" s="70" t="str">
        <f>IF($A$3=" "," ", IFERROR( VLOOKUP($A285,'SUPPLIER DATA BASE'!$A$2:$O$936,13,0),""))</f>
        <v>-</v>
      </c>
      <c r="Q285" s="77"/>
      <c r="R285" s="73"/>
      <c r="S285" s="77"/>
      <c r="T285" s="70"/>
      <c r="U285" s="78"/>
      <c r="V285" s="70" t="str">
        <f t="shared" si="4"/>
        <v>FY 25-26</v>
      </c>
      <c r="W285" s="23"/>
      <c r="X285" s="23"/>
    </row>
    <row r="286">
      <c r="A286" s="70" t="s">
        <v>354</v>
      </c>
      <c r="B286" s="70" t="str">
        <f>IF($A$3=" "," ", IFERROR( VLOOKUP($A286,'SUPPLIER DATA BASE'!$A$2:$M$936,3,0),""))</f>
        <v>-</v>
      </c>
      <c r="C286" s="70" t="str">
        <f>IF($A$3=" "," ", IFERROR( VLOOKUP($A286,'SUPPLIER DATA BASE'!$A$2:$F$936,6,0),""))</f>
        <v>-</v>
      </c>
      <c r="D286" s="70" t="str">
        <f>IF($A$3=" "," ", IFERROR( VLOOKUP($A286,'SUPPLIER DATA BASE'!$A$2:$G$936,4,0),""))</f>
        <v>-</v>
      </c>
      <c r="E286" s="71" t="str">
        <f>IF($A$3=" "," ", IFERROR( VLOOKUP($A286,'SUPPLIER DATA BASE'!$A$2:$H$936,5,0),""))</f>
        <v>-</v>
      </c>
      <c r="F286" s="72" t="s">
        <v>1387</v>
      </c>
      <c r="G286" s="73">
        <v>46080.0</v>
      </c>
      <c r="H286" s="74">
        <v>14.0</v>
      </c>
      <c r="I286" s="75">
        <v>24618.35</v>
      </c>
      <c r="J286" s="76" t="s">
        <v>1388</v>
      </c>
      <c r="K286" s="70" t="s">
        <v>349</v>
      </c>
      <c r="L286" s="70" t="s">
        <v>349</v>
      </c>
      <c r="M286" s="70" t="str">
        <f t="shared" si="3"/>
        <v>108 Days</v>
      </c>
      <c r="N286" s="70" t="str">
        <f>IF($A$3=" "," ", IFERROR( VLOOKUP($A286,'SUPPLIER DATA BASE'!$A$2:$O$936,11,0),""))</f>
        <v>-</v>
      </c>
      <c r="O286" s="70" t="str">
        <f>IF($A$3=" "," ", IFERROR( VLOOKUP($A286,'SUPPLIER DATA BASE'!$A$2:$O$936,12,0),""))</f>
        <v>-</v>
      </c>
      <c r="P286" s="70" t="str">
        <f>IF($A$3=" "," ", IFERROR( VLOOKUP($A286,'SUPPLIER DATA BASE'!$A$2:$O$936,13,0),""))</f>
        <v>-</v>
      </c>
      <c r="Q286" s="77"/>
      <c r="R286" s="73"/>
      <c r="S286" s="77"/>
      <c r="T286" s="70"/>
      <c r="U286" s="78"/>
      <c r="V286" s="70" t="str">
        <f t="shared" si="4"/>
        <v>FY 25-26</v>
      </c>
      <c r="W286" s="23"/>
      <c r="X286" s="23"/>
    </row>
    <row r="287">
      <c r="A287" s="70" t="s">
        <v>354</v>
      </c>
      <c r="B287" s="70" t="str">
        <f>IF($A$3=" "," ", IFERROR( VLOOKUP($A287,'SUPPLIER DATA BASE'!$A$2:$M$936,3,0),""))</f>
        <v>-</v>
      </c>
      <c r="C287" s="70" t="str">
        <f>IF($A$3=" "," ", IFERROR( VLOOKUP($A287,'SUPPLIER DATA BASE'!$A$2:$F$936,6,0),""))</f>
        <v>-</v>
      </c>
      <c r="D287" s="70" t="str">
        <f>IF($A$3=" "," ", IFERROR( VLOOKUP($A287,'SUPPLIER DATA BASE'!$A$2:$G$936,4,0),""))</f>
        <v>-</v>
      </c>
      <c r="E287" s="71" t="str">
        <f>IF($A$3=" "," ", IFERROR( VLOOKUP($A287,'SUPPLIER DATA BASE'!$A$2:$H$936,5,0),""))</f>
        <v>-</v>
      </c>
      <c r="F287" s="72" t="s">
        <v>1389</v>
      </c>
      <c r="G287" s="73">
        <v>46080.0</v>
      </c>
      <c r="H287" s="74">
        <v>2.0</v>
      </c>
      <c r="I287" s="75">
        <v>5200.68</v>
      </c>
      <c r="J287" s="76" t="s">
        <v>1390</v>
      </c>
      <c r="K287" s="70" t="s">
        <v>349</v>
      </c>
      <c r="L287" s="70" t="s">
        <v>349</v>
      </c>
      <c r="M287" s="70" t="str">
        <f t="shared" si="3"/>
        <v>108 Days</v>
      </c>
      <c r="N287" s="70" t="str">
        <f>IF($A$3=" "," ", IFERROR( VLOOKUP($A287,'SUPPLIER DATA BASE'!$A$2:$O$936,11,0),""))</f>
        <v>-</v>
      </c>
      <c r="O287" s="70" t="str">
        <f>IF($A$3=" "," ", IFERROR( VLOOKUP($A287,'SUPPLIER DATA BASE'!$A$2:$O$936,12,0),""))</f>
        <v>-</v>
      </c>
      <c r="P287" s="70" t="str">
        <f>IF($A$3=" "," ", IFERROR( VLOOKUP($A287,'SUPPLIER DATA BASE'!$A$2:$O$936,13,0),""))</f>
        <v>-</v>
      </c>
      <c r="Q287" s="77"/>
      <c r="R287" s="73"/>
      <c r="S287" s="77"/>
      <c r="T287" s="70"/>
      <c r="U287" s="78"/>
      <c r="V287" s="70" t="str">
        <f t="shared" si="4"/>
        <v>FY 25-26</v>
      </c>
      <c r="W287" s="23"/>
      <c r="X287" s="23"/>
    </row>
    <row r="288">
      <c r="A288" s="70" t="s">
        <v>354</v>
      </c>
      <c r="B288" s="70" t="str">
        <f>IF($A$3=" "," ", IFERROR( VLOOKUP($A288,'SUPPLIER DATA BASE'!$A$2:$M$936,3,0),""))</f>
        <v>-</v>
      </c>
      <c r="C288" s="70" t="str">
        <f>IF($A$3=" "," ", IFERROR( VLOOKUP($A288,'SUPPLIER DATA BASE'!$A$2:$F$936,6,0),""))</f>
        <v>-</v>
      </c>
      <c r="D288" s="70" t="str">
        <f>IF($A$3=" "," ", IFERROR( VLOOKUP($A288,'SUPPLIER DATA BASE'!$A$2:$G$936,4,0),""))</f>
        <v>-</v>
      </c>
      <c r="E288" s="71" t="str">
        <f>IF($A$3=" "," ", IFERROR( VLOOKUP($A288,'SUPPLIER DATA BASE'!$A$2:$H$936,5,0),""))</f>
        <v>-</v>
      </c>
      <c r="F288" s="72" t="s">
        <v>1391</v>
      </c>
      <c r="G288" s="73">
        <v>46080.0</v>
      </c>
      <c r="H288" s="74">
        <v>25.0</v>
      </c>
      <c r="I288" s="75">
        <v>50054.5</v>
      </c>
      <c r="J288" s="76" t="s">
        <v>1392</v>
      </c>
      <c r="K288" s="70" t="s">
        <v>349</v>
      </c>
      <c r="L288" s="70" t="s">
        <v>349</v>
      </c>
      <c r="M288" s="70" t="str">
        <f t="shared" si="3"/>
        <v>108 Days</v>
      </c>
      <c r="N288" s="70" t="str">
        <f>IF($A$3=" "," ", IFERROR( VLOOKUP($A288,'SUPPLIER DATA BASE'!$A$2:$O$936,11,0),""))</f>
        <v>-</v>
      </c>
      <c r="O288" s="70" t="str">
        <f>IF($A$3=" "," ", IFERROR( VLOOKUP($A288,'SUPPLIER DATA BASE'!$A$2:$O$936,12,0),""))</f>
        <v>-</v>
      </c>
      <c r="P288" s="70" t="str">
        <f>IF($A$3=" "," ", IFERROR( VLOOKUP($A288,'SUPPLIER DATA BASE'!$A$2:$O$936,13,0),""))</f>
        <v>-</v>
      </c>
      <c r="Q288" s="77"/>
      <c r="R288" s="73"/>
      <c r="S288" s="77"/>
      <c r="T288" s="70"/>
      <c r="U288" s="78"/>
      <c r="V288" s="70" t="str">
        <f t="shared" si="4"/>
        <v>FY 25-26</v>
      </c>
      <c r="W288" s="23"/>
      <c r="X288" s="23"/>
    </row>
    <row r="289">
      <c r="A289" s="70" t="s">
        <v>354</v>
      </c>
      <c r="B289" s="70" t="str">
        <f>IF($A$3=" "," ", IFERROR( VLOOKUP($A289,'SUPPLIER DATA BASE'!$A$2:$M$936,3,0),""))</f>
        <v>-</v>
      </c>
      <c r="C289" s="70" t="str">
        <f>IF($A$3=" "," ", IFERROR( VLOOKUP($A289,'SUPPLIER DATA BASE'!$A$2:$F$936,6,0),""))</f>
        <v>-</v>
      </c>
      <c r="D289" s="70" t="str">
        <f>IF($A$3=" "," ", IFERROR( VLOOKUP($A289,'SUPPLIER DATA BASE'!$A$2:$G$936,4,0),""))</f>
        <v>-</v>
      </c>
      <c r="E289" s="71" t="str">
        <f>IF($A$3=" "," ", IFERROR( VLOOKUP($A289,'SUPPLIER DATA BASE'!$A$2:$H$936,5,0),""))</f>
        <v>-</v>
      </c>
      <c r="F289" s="72" t="s">
        <v>1393</v>
      </c>
      <c r="G289" s="73">
        <v>46080.0</v>
      </c>
      <c r="H289" s="74">
        <v>119.0</v>
      </c>
      <c r="I289" s="75">
        <v>129477.41</v>
      </c>
      <c r="J289" s="76" t="s">
        <v>1394</v>
      </c>
      <c r="K289" s="70" t="s">
        <v>349</v>
      </c>
      <c r="L289" s="70" t="s">
        <v>349</v>
      </c>
      <c r="M289" s="70" t="str">
        <f t="shared" si="3"/>
        <v>108 Days</v>
      </c>
      <c r="N289" s="70" t="str">
        <f>IF($A$3=" "," ", IFERROR( VLOOKUP($A289,'SUPPLIER DATA BASE'!$A$2:$O$936,11,0),""))</f>
        <v>-</v>
      </c>
      <c r="O289" s="70" t="str">
        <f>IF($A$3=" "," ", IFERROR( VLOOKUP($A289,'SUPPLIER DATA BASE'!$A$2:$O$936,12,0),""))</f>
        <v>-</v>
      </c>
      <c r="P289" s="70" t="str">
        <f>IF($A$3=" "," ", IFERROR( VLOOKUP($A289,'SUPPLIER DATA BASE'!$A$2:$O$936,13,0),""))</f>
        <v>-</v>
      </c>
      <c r="Q289" s="77"/>
      <c r="R289" s="73"/>
      <c r="S289" s="77"/>
      <c r="T289" s="70"/>
      <c r="U289" s="78"/>
      <c r="V289" s="70" t="str">
        <f t="shared" si="4"/>
        <v>FY 25-26</v>
      </c>
      <c r="W289" s="23"/>
      <c r="X289" s="23"/>
    </row>
    <row r="290">
      <c r="A290" s="70" t="s">
        <v>354</v>
      </c>
      <c r="B290" s="70" t="str">
        <f>IF($A$3=" "," ", IFERROR( VLOOKUP($A290,'SUPPLIER DATA BASE'!$A$2:$M$936,3,0),""))</f>
        <v>-</v>
      </c>
      <c r="C290" s="70" t="str">
        <f>IF($A$3=" "," ", IFERROR( VLOOKUP($A290,'SUPPLIER DATA BASE'!$A$2:$F$936,6,0),""))</f>
        <v>-</v>
      </c>
      <c r="D290" s="70" t="str">
        <f>IF($A$3=" "," ", IFERROR( VLOOKUP($A290,'SUPPLIER DATA BASE'!$A$2:$G$936,4,0),""))</f>
        <v>-</v>
      </c>
      <c r="E290" s="71" t="str">
        <f>IF($A$3=" "," ", IFERROR( VLOOKUP($A290,'SUPPLIER DATA BASE'!$A$2:$H$936,5,0),""))</f>
        <v>-</v>
      </c>
      <c r="F290" s="72" t="s">
        <v>1395</v>
      </c>
      <c r="G290" s="73">
        <v>46080.0</v>
      </c>
      <c r="H290" s="74">
        <v>7.0</v>
      </c>
      <c r="I290" s="75">
        <v>34133.46</v>
      </c>
      <c r="J290" s="76" t="s">
        <v>1396</v>
      </c>
      <c r="K290" s="70" t="s">
        <v>349</v>
      </c>
      <c r="L290" s="70" t="s">
        <v>349</v>
      </c>
      <c r="M290" s="70" t="str">
        <f t="shared" si="3"/>
        <v>108 Days</v>
      </c>
      <c r="N290" s="70" t="str">
        <f>IF($A$3=" "," ", IFERROR( VLOOKUP($A290,'SUPPLIER DATA BASE'!$A$2:$O$936,11,0),""))</f>
        <v>-</v>
      </c>
      <c r="O290" s="70" t="str">
        <f>IF($A$3=" "," ", IFERROR( VLOOKUP($A290,'SUPPLIER DATA BASE'!$A$2:$O$936,12,0),""))</f>
        <v>-</v>
      </c>
      <c r="P290" s="70" t="str">
        <f>IF($A$3=" "," ", IFERROR( VLOOKUP($A290,'SUPPLIER DATA BASE'!$A$2:$O$936,13,0),""))</f>
        <v>-</v>
      </c>
      <c r="Q290" s="77"/>
      <c r="R290" s="73"/>
      <c r="S290" s="77"/>
      <c r="T290" s="70"/>
      <c r="U290" s="78"/>
      <c r="V290" s="70" t="str">
        <f t="shared" si="4"/>
        <v>FY 25-26</v>
      </c>
      <c r="W290" s="23"/>
      <c r="X290" s="23"/>
    </row>
    <row r="291">
      <c r="A291" s="70" t="s">
        <v>354</v>
      </c>
      <c r="B291" s="70" t="str">
        <f>IF($A$3=" "," ", IFERROR( VLOOKUP($A291,'SUPPLIER DATA BASE'!$A$2:$M$936,3,0),""))</f>
        <v>-</v>
      </c>
      <c r="C291" s="70" t="str">
        <f>IF($A$3=" "," ", IFERROR( VLOOKUP($A291,'SUPPLIER DATA BASE'!$A$2:$F$936,6,0),""))</f>
        <v>-</v>
      </c>
      <c r="D291" s="70" t="str">
        <f>IF($A$3=" "," ", IFERROR( VLOOKUP($A291,'SUPPLIER DATA BASE'!$A$2:$G$936,4,0),""))</f>
        <v>-</v>
      </c>
      <c r="E291" s="71" t="str">
        <f>IF($A$3=" "," ", IFERROR( VLOOKUP($A291,'SUPPLIER DATA BASE'!$A$2:$H$936,5,0),""))</f>
        <v>-</v>
      </c>
      <c r="F291" s="72" t="s">
        <v>1397</v>
      </c>
      <c r="G291" s="73">
        <v>46080.0</v>
      </c>
      <c r="H291" s="74">
        <v>9.0</v>
      </c>
      <c r="I291" s="75">
        <v>15617.31</v>
      </c>
      <c r="J291" s="76" t="s">
        <v>1398</v>
      </c>
      <c r="K291" s="70" t="s">
        <v>349</v>
      </c>
      <c r="L291" s="70" t="s">
        <v>349</v>
      </c>
      <c r="M291" s="70" t="str">
        <f t="shared" si="3"/>
        <v>108 Days</v>
      </c>
      <c r="N291" s="70" t="str">
        <f>IF($A$3=" "," ", IFERROR( VLOOKUP($A291,'SUPPLIER DATA BASE'!$A$2:$O$936,11,0),""))</f>
        <v>-</v>
      </c>
      <c r="O291" s="70" t="str">
        <f>IF($A$3=" "," ", IFERROR( VLOOKUP($A291,'SUPPLIER DATA BASE'!$A$2:$O$936,12,0),""))</f>
        <v>-</v>
      </c>
      <c r="P291" s="70" t="str">
        <f>IF($A$3=" "," ", IFERROR( VLOOKUP($A291,'SUPPLIER DATA BASE'!$A$2:$O$936,13,0),""))</f>
        <v>-</v>
      </c>
      <c r="Q291" s="77"/>
      <c r="R291" s="73"/>
      <c r="S291" s="77"/>
      <c r="T291" s="70"/>
      <c r="U291" s="78"/>
      <c r="V291" s="70" t="str">
        <f t="shared" si="4"/>
        <v>FY 25-26</v>
      </c>
      <c r="W291" s="23"/>
      <c r="X291" s="23"/>
    </row>
    <row r="292">
      <c r="A292" s="70" t="s">
        <v>664</v>
      </c>
      <c r="B292" s="70" t="str">
        <f>IF($A$3=" "," ", IFERROR( VLOOKUP($A292,'SUPPLIER DATA BASE'!$A$2:$M$936,3,0),""))</f>
        <v>-</v>
      </c>
      <c r="C292" s="70" t="str">
        <f>IF($A$3=" "," ", IFERROR( VLOOKUP($A292,'SUPPLIER DATA BASE'!$A$2:$F$936,6,0),""))</f>
        <v>SURYAM TEXTILE AGENCY</v>
      </c>
      <c r="D292" s="70" t="str">
        <f>IF($A$3=" "," ", IFERROR( VLOOKUP($A292,'SUPPLIER DATA BASE'!$A$2:$G$936,4,0),""))</f>
        <v>-</v>
      </c>
      <c r="E292" s="71" t="str">
        <f>IF($A$3=" "," ", IFERROR( VLOOKUP($A292,'SUPPLIER DATA BASE'!$A$2:$H$936,5,0),""))</f>
        <v>-</v>
      </c>
      <c r="F292" s="72" t="s">
        <v>1399</v>
      </c>
      <c r="G292" s="73">
        <v>46080.0</v>
      </c>
      <c r="H292" s="74">
        <v>2.0</v>
      </c>
      <c r="I292" s="75">
        <v>12873.0</v>
      </c>
      <c r="J292" s="76" t="s">
        <v>1400</v>
      </c>
      <c r="K292" s="70" t="s">
        <v>349</v>
      </c>
      <c r="L292" s="70" t="s">
        <v>349</v>
      </c>
      <c r="M292" s="70" t="str">
        <f t="shared" si="3"/>
        <v>108 Days</v>
      </c>
      <c r="N292" s="70" t="str">
        <f>IF($A$3=" "," ", IFERROR( VLOOKUP($A292,'SUPPLIER DATA BASE'!$A$2:$O$936,11,0),""))</f>
        <v>SAESHA CREATION</v>
      </c>
      <c r="O292" s="70" t="str">
        <f>IF($A$3=" "," ", IFERROR( VLOOKUP($A292,'SUPPLIER DATA BASE'!$A$2:$O$936,12,0),""))</f>
        <v>8141048013</v>
      </c>
      <c r="P292" s="70" t="str">
        <f>IF($A$3=" "," ", IFERROR( VLOOKUP($A292,'SUPPLIER DATA BASE'!$A$2:$O$936,13,0),""))</f>
        <v>KKBK0002852</v>
      </c>
      <c r="Q292" s="77"/>
      <c r="R292" s="73"/>
      <c r="S292" s="77"/>
      <c r="T292" s="70"/>
      <c r="U292" s="78"/>
      <c r="V292" s="70" t="str">
        <f t="shared" si="4"/>
        <v>FY 25-26</v>
      </c>
      <c r="W292" s="23"/>
      <c r="X292" s="23"/>
    </row>
    <row r="293">
      <c r="A293" s="70" t="s">
        <v>354</v>
      </c>
      <c r="B293" s="70" t="str">
        <f>IF($A$3=" "," ", IFERROR( VLOOKUP($A293,'SUPPLIER DATA BASE'!$A$2:$M$936,3,0),""))</f>
        <v>-</v>
      </c>
      <c r="C293" s="70" t="str">
        <f>IF($A$3=" "," ", IFERROR( VLOOKUP($A293,'SUPPLIER DATA BASE'!$A$2:$F$936,6,0),""))</f>
        <v>-</v>
      </c>
      <c r="D293" s="70" t="str">
        <f>IF($A$3=" "," ", IFERROR( VLOOKUP($A293,'SUPPLIER DATA BASE'!$A$2:$G$936,4,0),""))</f>
        <v>-</v>
      </c>
      <c r="E293" s="71" t="str">
        <f>IF($A$3=" "," ", IFERROR( VLOOKUP($A293,'SUPPLIER DATA BASE'!$A$2:$H$936,5,0),""))</f>
        <v>-</v>
      </c>
      <c r="F293" s="72" t="s">
        <v>1401</v>
      </c>
      <c r="G293" s="73">
        <v>46080.0</v>
      </c>
      <c r="H293" s="74">
        <v>300.0</v>
      </c>
      <c r="I293" s="75">
        <v>284698.21</v>
      </c>
      <c r="J293" s="76" t="s">
        <v>1402</v>
      </c>
      <c r="K293" s="70" t="s">
        <v>349</v>
      </c>
      <c r="L293" s="70" t="s">
        <v>349</v>
      </c>
      <c r="M293" s="70" t="str">
        <f t="shared" si="3"/>
        <v>108 Days</v>
      </c>
      <c r="N293" s="70" t="str">
        <f>IF($A$3=" "," ", IFERROR( VLOOKUP($A293,'SUPPLIER DATA BASE'!$A$2:$O$936,11,0),""))</f>
        <v>-</v>
      </c>
      <c r="O293" s="70" t="str">
        <f>IF($A$3=" "," ", IFERROR( VLOOKUP($A293,'SUPPLIER DATA BASE'!$A$2:$O$936,12,0),""))</f>
        <v>-</v>
      </c>
      <c r="P293" s="70" t="str">
        <f>IF($A$3=" "," ", IFERROR( VLOOKUP($A293,'SUPPLIER DATA BASE'!$A$2:$O$936,13,0),""))</f>
        <v>-</v>
      </c>
      <c r="Q293" s="77"/>
      <c r="R293" s="73"/>
      <c r="S293" s="77"/>
      <c r="T293" s="70"/>
      <c r="U293" s="78"/>
      <c r="V293" s="70" t="str">
        <f t="shared" si="4"/>
        <v>FY 25-26</v>
      </c>
      <c r="W293" s="23"/>
      <c r="X293" s="23"/>
    </row>
    <row r="294">
      <c r="A294" s="70" t="s">
        <v>354</v>
      </c>
      <c r="B294" s="70" t="str">
        <f>IF($A$3=" "," ", IFERROR( VLOOKUP($A294,'SUPPLIER DATA BASE'!$A$2:$M$936,3,0),""))</f>
        <v>-</v>
      </c>
      <c r="C294" s="70" t="str">
        <f>IF($A$3=" "," ", IFERROR( VLOOKUP($A294,'SUPPLIER DATA BASE'!$A$2:$F$936,6,0),""))</f>
        <v>-</v>
      </c>
      <c r="D294" s="70" t="str">
        <f>IF($A$3=" "," ", IFERROR( VLOOKUP($A294,'SUPPLIER DATA BASE'!$A$2:$G$936,4,0),""))</f>
        <v>-</v>
      </c>
      <c r="E294" s="71" t="str">
        <f>IF($A$3=" "," ", IFERROR( VLOOKUP($A294,'SUPPLIER DATA BASE'!$A$2:$H$936,5,0),""))</f>
        <v>-</v>
      </c>
      <c r="F294" s="72" t="s">
        <v>1403</v>
      </c>
      <c r="G294" s="73">
        <v>46080.0</v>
      </c>
      <c r="H294" s="74">
        <v>14.0</v>
      </c>
      <c r="I294" s="75">
        <v>14041.44</v>
      </c>
      <c r="J294" s="76" t="s">
        <v>1404</v>
      </c>
      <c r="K294" s="70" t="s">
        <v>349</v>
      </c>
      <c r="L294" s="73"/>
      <c r="M294" s="70" t="str">
        <f t="shared" si="3"/>
        <v>108 Days</v>
      </c>
      <c r="N294" s="70" t="str">
        <f>IF($A$3=" "," ", IFERROR( VLOOKUP($A294,'SUPPLIER DATA BASE'!$A$2:$O$936,11,0),""))</f>
        <v>-</v>
      </c>
      <c r="O294" s="70" t="str">
        <f>IF($A$3=" "," ", IFERROR( VLOOKUP($A294,'SUPPLIER DATA BASE'!$A$2:$O$936,12,0),""))</f>
        <v>-</v>
      </c>
      <c r="P294" s="70" t="str">
        <f>IF($A$3=" "," ", IFERROR( VLOOKUP($A294,'SUPPLIER DATA BASE'!$A$2:$O$936,13,0),""))</f>
        <v>-</v>
      </c>
      <c r="Q294" s="77"/>
      <c r="R294" s="73"/>
      <c r="S294" s="77"/>
      <c r="T294" s="70"/>
      <c r="U294" s="78"/>
      <c r="V294" s="70" t="str">
        <f t="shared" si="4"/>
        <v>FY 25-26</v>
      </c>
      <c r="W294" s="23"/>
      <c r="X294" s="23"/>
    </row>
    <row r="295">
      <c r="A295" s="70" t="s">
        <v>439</v>
      </c>
      <c r="B295" s="70" t="str">
        <f>IF($A$3=" "," ", IFERROR( VLOOKUP($A295,'SUPPLIER DATA BASE'!$A$2:$M$936,3,0),""))</f>
        <v>GOCOLOURS</v>
      </c>
      <c r="C295" s="70" t="str">
        <f>IF($A$3=" "," ", IFERROR( VLOOKUP($A295,'SUPPLIER DATA BASE'!$A$2:$F$936,6,0),""))</f>
        <v>-</v>
      </c>
      <c r="D295" s="70">
        <f>IF($A$3=" "," ", IFERROR( VLOOKUP($A295,'SUPPLIER DATA BASE'!$A$2:$G$936,4,0),""))</f>
        <v>30</v>
      </c>
      <c r="E295" s="71">
        <f>IF($A$3=" "," ", IFERROR( VLOOKUP($A295,'SUPPLIER DATA BASE'!$A$2:$H$936,5,0),""))</f>
        <v>0.02</v>
      </c>
      <c r="F295" s="72" t="s">
        <v>1405</v>
      </c>
      <c r="G295" s="73">
        <v>46081.0</v>
      </c>
      <c r="H295" s="74">
        <v>27.0</v>
      </c>
      <c r="I295" s="75">
        <v>17172.0</v>
      </c>
      <c r="J295" s="83" t="s">
        <v>1406</v>
      </c>
      <c r="K295" s="70" t="s">
        <v>349</v>
      </c>
      <c r="L295" s="70" t="s">
        <v>349</v>
      </c>
      <c r="M295" s="70" t="str">
        <f t="shared" si="3"/>
        <v>107 Days</v>
      </c>
      <c r="N295" s="70" t="str">
        <f>IF($A$3=" "," ", IFERROR( VLOOKUP($A295,'SUPPLIER DATA BASE'!$A$2:$O$936,11,0),""))</f>
        <v>EMPORIO SIDDHARTH SALES PRIVATE LIMITED</v>
      </c>
      <c r="O295" s="70" t="str">
        <f>IF($A$3=" "," ", IFERROR( VLOOKUP($A295,'SUPPLIER DATA BASE'!$A$2:$O$936,12,0),""))</f>
        <v>50200111968638</v>
      </c>
      <c r="P295" s="70" t="str">
        <f>IF($A$3=" "," ", IFERROR( VLOOKUP($A295,'SUPPLIER DATA BASE'!$A$2:$O$936,13,0),""))</f>
        <v>HDFC000186</v>
      </c>
      <c r="Q295" s="77"/>
      <c r="R295" s="73"/>
      <c r="S295" s="77"/>
      <c r="T295" s="70"/>
      <c r="U295" s="78"/>
      <c r="V295" s="70" t="str">
        <f t="shared" si="4"/>
        <v>FY 25-26</v>
      </c>
      <c r="W295" s="23"/>
      <c r="X295" s="23"/>
    </row>
    <row r="296">
      <c r="A296" s="70" t="s">
        <v>402</v>
      </c>
      <c r="B296" s="70" t="str">
        <f>IF($A$3=" "," ", IFERROR( VLOOKUP($A296,'SUPPLIER DATA BASE'!$A$2:$M$936,3,0),""))</f>
        <v>KHUSHAL/STATUS QUO</v>
      </c>
      <c r="C296" s="70" t="str">
        <f>IF($A$3=" "," ", IFERROR( VLOOKUP($A296,'SUPPLIER DATA BASE'!$A$2:$F$936,6,0),""))</f>
        <v>-</v>
      </c>
      <c r="D296" s="70" t="str">
        <f>IF($A$3=" "," ", IFERROR( VLOOKUP($A296,'SUPPLIER DATA BASE'!$A$2:$G$936,4,0),""))</f>
        <v>-</v>
      </c>
      <c r="E296" s="71" t="str">
        <f>IF($A$3=" "," ", IFERROR( VLOOKUP($A296,'SUPPLIER DATA BASE'!$A$2:$H$936,5,0),""))</f>
        <v>-</v>
      </c>
      <c r="F296" s="72" t="s">
        <v>1407</v>
      </c>
      <c r="G296" s="73">
        <v>46081.0</v>
      </c>
      <c r="H296" s="74">
        <v>41.0</v>
      </c>
      <c r="I296" s="75">
        <v>38586.0</v>
      </c>
      <c r="J296" s="76" t="s">
        <v>1408</v>
      </c>
      <c r="K296" s="70" t="s">
        <v>349</v>
      </c>
      <c r="L296" s="70" t="s">
        <v>349</v>
      </c>
      <c r="M296" s="70" t="str">
        <f t="shared" si="3"/>
        <v>107 Days</v>
      </c>
      <c r="N296" s="70" t="str">
        <f>IF($A$3=" "," ", IFERROR( VLOOKUP($A296,'SUPPLIER DATA BASE'!$A$2:$O$936,11,0),""))</f>
        <v>D APPAREL</v>
      </c>
      <c r="O296" s="70" t="str">
        <f>IF($A$3=" "," ", IFERROR( VLOOKUP($A296,'SUPPLIER DATA BASE'!$A$2:$O$936,12,0),""))</f>
        <v>722501010050397</v>
      </c>
      <c r="P296" s="70" t="str">
        <f>IF($A$3=" "," ", IFERROR( VLOOKUP($A296,'SUPPLIER DATA BASE'!$A$2:$O$936,13,0),""))</f>
        <v>UBIN0572250</v>
      </c>
      <c r="Q296" s="77"/>
      <c r="R296" s="73"/>
      <c r="S296" s="77"/>
      <c r="T296" s="70"/>
      <c r="U296" s="78"/>
      <c r="V296" s="70" t="str">
        <f t="shared" si="4"/>
        <v>FY 25-26</v>
      </c>
      <c r="W296" s="23"/>
      <c r="X296" s="23"/>
    </row>
    <row r="297">
      <c r="A297" s="70" t="s">
        <v>471</v>
      </c>
      <c r="B297" s="70" t="str">
        <f>IF($A$3=" "," ", IFERROR( VLOOKUP($A297,'SUPPLIER DATA BASE'!$A$2:$M$936,3,0),""))</f>
        <v>PEPPER MINT</v>
      </c>
      <c r="C297" s="70" t="str">
        <f>IF($A$3=" "," ", IFERROR( VLOOKUP($A297,'SUPPLIER DATA BASE'!$A$2:$F$936,6,0),""))</f>
        <v>-</v>
      </c>
      <c r="D297" s="70" t="str">
        <f>IF($A$3=" "," ", IFERROR( VLOOKUP($A297,'SUPPLIER DATA BASE'!$A$2:$G$936,4,0),""))</f>
        <v>-</v>
      </c>
      <c r="E297" s="71" t="str">
        <f>IF($A$3=" "," ", IFERROR( VLOOKUP($A297,'SUPPLIER DATA BASE'!$A$2:$H$936,5,0),""))</f>
        <v>-</v>
      </c>
      <c r="F297" s="72" t="s">
        <v>1409</v>
      </c>
      <c r="G297" s="73">
        <v>46081.0</v>
      </c>
      <c r="H297" s="74">
        <v>25.0</v>
      </c>
      <c r="I297" s="75">
        <v>35950.67</v>
      </c>
      <c r="J297" s="76" t="s">
        <v>1410</v>
      </c>
      <c r="K297" s="70" t="s">
        <v>349</v>
      </c>
      <c r="L297" s="70" t="s">
        <v>349</v>
      </c>
      <c r="M297" s="70" t="str">
        <f t="shared" si="3"/>
        <v>107 Days</v>
      </c>
      <c r="N297" s="70" t="str">
        <f>IF($A$3=" "," ", IFERROR( VLOOKUP($A297,'SUPPLIER DATA BASE'!$A$2:$O$936,11,0),""))</f>
        <v>GEETANSHI APPARELS</v>
      </c>
      <c r="O297" s="70" t="str">
        <f>IF($A$3=" "," ", IFERROR( VLOOKUP($A297,'SUPPLIER DATA BASE'!$A$2:$O$936,12,0),""))</f>
        <v>50200083410855</v>
      </c>
      <c r="P297" s="70" t="str">
        <f>IF($A$3=" "," ", IFERROR( VLOOKUP($A297,'SUPPLIER DATA BASE'!$A$2:$O$936,13,0),""))</f>
        <v>HDFC0005189</v>
      </c>
      <c r="Q297" s="77"/>
      <c r="R297" s="73"/>
      <c r="S297" s="77"/>
      <c r="T297" s="70"/>
      <c r="U297" s="78"/>
      <c r="V297" s="70" t="str">
        <f t="shared" si="4"/>
        <v>FY 25-26</v>
      </c>
      <c r="W297" s="23"/>
      <c r="X297" s="23"/>
    </row>
    <row r="298">
      <c r="A298" s="70" t="s">
        <v>702</v>
      </c>
      <c r="B298" s="70" t="str">
        <f>IF($A$3=" "," ", IFERROR( VLOOKUP($A298,'SUPPLIER DATA BASE'!$A$2:$M$936,3,0),""))</f>
        <v>JOCKEY</v>
      </c>
      <c r="C298" s="70" t="str">
        <f>IF($A$3=" "," ", IFERROR( VLOOKUP($A298,'SUPPLIER DATA BASE'!$A$2:$F$936,6,0),""))</f>
        <v>-</v>
      </c>
      <c r="D298" s="70">
        <f>IF($A$3=" "," ", IFERROR( VLOOKUP($A298,'SUPPLIER DATA BASE'!$A$2:$G$936,4,0),""))</f>
        <v>15</v>
      </c>
      <c r="E298" s="71">
        <f>IF($A$3=" "," ", IFERROR( VLOOKUP($A298,'SUPPLIER DATA BASE'!$A$2:$H$936,5,0),""))</f>
        <v>0.02</v>
      </c>
      <c r="F298" s="72" t="s">
        <v>1411</v>
      </c>
      <c r="G298" s="73">
        <v>46081.0</v>
      </c>
      <c r="H298" s="74">
        <v>10.0</v>
      </c>
      <c r="I298" s="75">
        <v>1120.0</v>
      </c>
      <c r="J298" s="76" t="s">
        <v>1412</v>
      </c>
      <c r="K298" s="70" t="s">
        <v>349</v>
      </c>
      <c r="L298" s="70" t="s">
        <v>349</v>
      </c>
      <c r="M298" s="70" t="str">
        <f t="shared" si="3"/>
        <v>107 Days</v>
      </c>
      <c r="N298" s="70" t="str">
        <f>IF($A$3=" "," ", IFERROR( VLOOKUP($A298,'SUPPLIER DATA BASE'!$A$2:$O$936,11,0),""))</f>
        <v>SHRI MAHAVIR ENTERPRISES</v>
      </c>
      <c r="O298" s="70" t="str">
        <f>IF($A$3=" "," ", IFERROR( VLOOKUP($A298,'SUPPLIER DATA BASE'!$A$2:$O$936,12,0),""))</f>
        <v>048905500722</v>
      </c>
      <c r="P298" s="70" t="str">
        <f>IF($A$3=" "," ", IFERROR( VLOOKUP($A298,'SUPPLIER DATA BASE'!$A$2:$O$936,13,0),""))</f>
        <v>ICIC0000489</v>
      </c>
      <c r="Q298" s="77"/>
      <c r="R298" s="73"/>
      <c r="S298" s="77"/>
      <c r="T298" s="70"/>
      <c r="U298" s="78"/>
      <c r="V298" s="70" t="str">
        <f t="shared" si="4"/>
        <v>FY 25-26</v>
      </c>
      <c r="W298" s="23"/>
      <c r="X298" s="23"/>
    </row>
    <row r="299">
      <c r="A299" s="70" t="s">
        <v>702</v>
      </c>
      <c r="B299" s="70" t="str">
        <f>IF($A$3=" "," ", IFERROR( VLOOKUP($A299,'SUPPLIER DATA BASE'!$A$2:$M$936,3,0),""))</f>
        <v>JOCKEY</v>
      </c>
      <c r="C299" s="70" t="str">
        <f>IF($A$3=" "," ", IFERROR( VLOOKUP($A299,'SUPPLIER DATA BASE'!$A$2:$F$936,6,0),""))</f>
        <v>-</v>
      </c>
      <c r="D299" s="70">
        <f>IF($A$3=" "," ", IFERROR( VLOOKUP($A299,'SUPPLIER DATA BASE'!$A$2:$G$936,4,0),""))</f>
        <v>15</v>
      </c>
      <c r="E299" s="71">
        <f>IF($A$3=" "," ", IFERROR( VLOOKUP($A299,'SUPPLIER DATA BASE'!$A$2:$H$936,5,0),""))</f>
        <v>0.02</v>
      </c>
      <c r="F299" s="72" t="s">
        <v>1413</v>
      </c>
      <c r="G299" s="73">
        <v>46081.0</v>
      </c>
      <c r="H299" s="74">
        <v>34.0</v>
      </c>
      <c r="I299" s="75">
        <v>13490.0</v>
      </c>
      <c r="J299" s="76" t="s">
        <v>1414</v>
      </c>
      <c r="K299" s="70" t="s">
        <v>349</v>
      </c>
      <c r="L299" s="70" t="s">
        <v>349</v>
      </c>
      <c r="M299" s="70" t="str">
        <f t="shared" si="3"/>
        <v>107 Days</v>
      </c>
      <c r="N299" s="70" t="str">
        <f>IF($A$3=" "," ", IFERROR( VLOOKUP($A299,'SUPPLIER DATA BASE'!$A$2:$O$936,11,0),""))</f>
        <v>SHRI MAHAVIR ENTERPRISES</v>
      </c>
      <c r="O299" s="70" t="str">
        <f>IF($A$3=" "," ", IFERROR( VLOOKUP($A299,'SUPPLIER DATA BASE'!$A$2:$O$936,12,0),""))</f>
        <v>048905500722</v>
      </c>
      <c r="P299" s="70" t="str">
        <f>IF($A$3=" "," ", IFERROR( VLOOKUP($A299,'SUPPLIER DATA BASE'!$A$2:$O$936,13,0),""))</f>
        <v>ICIC0000489</v>
      </c>
      <c r="Q299" s="77"/>
      <c r="R299" s="73"/>
      <c r="S299" s="77"/>
      <c r="T299" s="70"/>
      <c r="U299" s="78"/>
      <c r="V299" s="70" t="str">
        <f t="shared" si="4"/>
        <v>FY 25-26</v>
      </c>
      <c r="W299" s="23"/>
      <c r="X299" s="23"/>
    </row>
    <row r="300">
      <c r="A300" s="70" t="s">
        <v>702</v>
      </c>
      <c r="B300" s="70" t="str">
        <f>IF($A$3=" "," ", IFERROR( VLOOKUP($A300,'SUPPLIER DATA BASE'!$A$2:$M$936,3,0),""))</f>
        <v>JOCKEY</v>
      </c>
      <c r="C300" s="70" t="str">
        <f>IF($A$3=" "," ", IFERROR( VLOOKUP($A300,'SUPPLIER DATA BASE'!$A$2:$F$936,6,0),""))</f>
        <v>-</v>
      </c>
      <c r="D300" s="70">
        <f>IF($A$3=" "," ", IFERROR( VLOOKUP($A300,'SUPPLIER DATA BASE'!$A$2:$G$936,4,0),""))</f>
        <v>15</v>
      </c>
      <c r="E300" s="71">
        <f>IF($A$3=" "," ", IFERROR( VLOOKUP($A300,'SUPPLIER DATA BASE'!$A$2:$H$936,5,0),""))</f>
        <v>0.02</v>
      </c>
      <c r="F300" s="72" t="s">
        <v>1415</v>
      </c>
      <c r="G300" s="73">
        <v>46081.0</v>
      </c>
      <c r="H300" s="74">
        <v>30.0</v>
      </c>
      <c r="I300" s="75">
        <v>10085.0</v>
      </c>
      <c r="J300" s="76" t="s">
        <v>1416</v>
      </c>
      <c r="K300" s="70" t="s">
        <v>349</v>
      </c>
      <c r="L300" s="70" t="s">
        <v>349</v>
      </c>
      <c r="M300" s="70" t="str">
        <f t="shared" si="3"/>
        <v>107 Days</v>
      </c>
      <c r="N300" s="70" t="str">
        <f>IF($A$3=" "," ", IFERROR( VLOOKUP($A300,'SUPPLIER DATA BASE'!$A$2:$O$936,11,0),""))</f>
        <v>SHRI MAHAVIR ENTERPRISES</v>
      </c>
      <c r="O300" s="70" t="str">
        <f>IF($A$3=" "," ", IFERROR( VLOOKUP($A300,'SUPPLIER DATA BASE'!$A$2:$O$936,12,0),""))</f>
        <v>048905500722</v>
      </c>
      <c r="P300" s="70" t="str">
        <f>IF($A$3=" "," ", IFERROR( VLOOKUP($A300,'SUPPLIER DATA BASE'!$A$2:$O$936,13,0),""))</f>
        <v>ICIC0000489</v>
      </c>
      <c r="Q300" s="77"/>
      <c r="R300" s="73"/>
      <c r="S300" s="77"/>
      <c r="T300" s="70"/>
      <c r="U300" s="78"/>
      <c r="V300" s="70" t="str">
        <f t="shared" si="4"/>
        <v>FY 25-26</v>
      </c>
      <c r="W300" s="23"/>
      <c r="X300" s="23"/>
    </row>
    <row r="301">
      <c r="A301" s="70" t="s">
        <v>354</v>
      </c>
      <c r="B301" s="70" t="str">
        <f>IF($A$3=" "," ", IFERROR( VLOOKUP($A301,'SUPPLIER DATA BASE'!$A$2:$M$936,3,0),""))</f>
        <v>-</v>
      </c>
      <c r="C301" s="70" t="str">
        <f>IF($A$3=" "," ", IFERROR( VLOOKUP($A301,'SUPPLIER DATA BASE'!$A$2:$F$936,6,0),""))</f>
        <v>-</v>
      </c>
      <c r="D301" s="70" t="str">
        <f>IF($A$3=" "," ", IFERROR( VLOOKUP($A301,'SUPPLIER DATA BASE'!$A$2:$G$936,4,0),""))</f>
        <v>-</v>
      </c>
      <c r="E301" s="71" t="str">
        <f>IF($A$3=" "," ", IFERROR( VLOOKUP($A301,'SUPPLIER DATA BASE'!$A$2:$H$936,5,0),""))</f>
        <v>-</v>
      </c>
      <c r="F301" s="72" t="s">
        <v>1417</v>
      </c>
      <c r="G301" s="73">
        <v>46081.0</v>
      </c>
      <c r="H301" s="74">
        <v>8.0</v>
      </c>
      <c r="I301" s="75">
        <v>14807.09</v>
      </c>
      <c r="J301" s="76" t="s">
        <v>1418</v>
      </c>
      <c r="K301" s="70" t="s">
        <v>349</v>
      </c>
      <c r="L301" s="70" t="s">
        <v>349</v>
      </c>
      <c r="M301" s="70" t="str">
        <f t="shared" si="3"/>
        <v>107 Days</v>
      </c>
      <c r="N301" s="70" t="str">
        <f>IF($A$3=" "," ", IFERROR( VLOOKUP($A301,'SUPPLIER DATA BASE'!$A$2:$O$936,11,0),""))</f>
        <v>-</v>
      </c>
      <c r="O301" s="70" t="str">
        <f>IF($A$3=" "," ", IFERROR( VLOOKUP($A301,'SUPPLIER DATA BASE'!$A$2:$O$936,12,0),""))</f>
        <v>-</v>
      </c>
      <c r="P301" s="70" t="str">
        <f>IF($A$3=" "," ", IFERROR( VLOOKUP($A301,'SUPPLIER DATA BASE'!$A$2:$O$936,13,0),""))</f>
        <v>-</v>
      </c>
      <c r="Q301" s="77"/>
      <c r="R301" s="73"/>
      <c r="S301" s="77"/>
      <c r="T301" s="70"/>
      <c r="U301" s="78"/>
      <c r="V301" s="70" t="str">
        <f t="shared" si="4"/>
        <v>FY 25-26</v>
      </c>
      <c r="W301" s="23"/>
      <c r="X301" s="23"/>
    </row>
    <row r="302">
      <c r="A302" s="70" t="s">
        <v>354</v>
      </c>
      <c r="B302" s="70" t="str">
        <f>IF($A$3=" "," ", IFERROR( VLOOKUP($A302,'SUPPLIER DATA BASE'!$A$2:$M$936,3,0),""))</f>
        <v>-</v>
      </c>
      <c r="C302" s="70" t="str">
        <f>IF($A$3=" "," ", IFERROR( VLOOKUP($A302,'SUPPLIER DATA BASE'!$A$2:$F$936,6,0),""))</f>
        <v>-</v>
      </c>
      <c r="D302" s="70" t="str">
        <f>IF($A$3=" "," ", IFERROR( VLOOKUP($A302,'SUPPLIER DATA BASE'!$A$2:$G$936,4,0),""))</f>
        <v>-</v>
      </c>
      <c r="E302" s="71" t="str">
        <f>IF($A$3=" "," ", IFERROR( VLOOKUP($A302,'SUPPLIER DATA BASE'!$A$2:$H$936,5,0),""))</f>
        <v>-</v>
      </c>
      <c r="F302" s="72" t="s">
        <v>1419</v>
      </c>
      <c r="G302" s="73">
        <v>46081.0</v>
      </c>
      <c r="H302" s="74">
        <v>15.0</v>
      </c>
      <c r="I302" s="75">
        <v>16840.73</v>
      </c>
      <c r="J302" s="76" t="s">
        <v>1420</v>
      </c>
      <c r="K302" s="70" t="s">
        <v>349</v>
      </c>
      <c r="L302" s="70" t="s">
        <v>349</v>
      </c>
      <c r="M302" s="70" t="str">
        <f t="shared" si="3"/>
        <v>107 Days</v>
      </c>
      <c r="N302" s="70" t="str">
        <f>IF($A$3=" "," ", IFERROR( VLOOKUP($A302,'SUPPLIER DATA BASE'!$A$2:$O$936,11,0),""))</f>
        <v>-</v>
      </c>
      <c r="O302" s="70" t="str">
        <f>IF($A$3=" "," ", IFERROR( VLOOKUP($A302,'SUPPLIER DATA BASE'!$A$2:$O$936,12,0),""))</f>
        <v>-</v>
      </c>
      <c r="P302" s="70" t="str">
        <f>IF($A$3=" "," ", IFERROR( VLOOKUP($A302,'SUPPLIER DATA BASE'!$A$2:$O$936,13,0),""))</f>
        <v>-</v>
      </c>
      <c r="Q302" s="77"/>
      <c r="R302" s="73"/>
      <c r="S302" s="77"/>
      <c r="T302" s="70"/>
      <c r="U302" s="78"/>
      <c r="V302" s="70" t="str">
        <f t="shared" si="4"/>
        <v>FY 25-26</v>
      </c>
      <c r="W302" s="23"/>
      <c r="X302" s="23"/>
    </row>
    <row r="303">
      <c r="A303" s="70" t="s">
        <v>354</v>
      </c>
      <c r="B303" s="70" t="str">
        <f>IF($A$3=" "," ", IFERROR( VLOOKUP($A303,'SUPPLIER DATA BASE'!$A$2:$M$936,3,0),""))</f>
        <v>-</v>
      </c>
      <c r="C303" s="70" t="str">
        <f>IF($A$3=" "," ", IFERROR( VLOOKUP($A303,'SUPPLIER DATA BASE'!$A$2:$F$936,6,0),""))</f>
        <v>-</v>
      </c>
      <c r="D303" s="70" t="str">
        <f>IF($A$3=" "," ", IFERROR( VLOOKUP($A303,'SUPPLIER DATA BASE'!$A$2:$G$936,4,0),""))</f>
        <v>-</v>
      </c>
      <c r="E303" s="71" t="str">
        <f>IF($A$3=" "," ", IFERROR( VLOOKUP($A303,'SUPPLIER DATA BASE'!$A$2:$H$936,5,0),""))</f>
        <v>-</v>
      </c>
      <c r="F303" s="72" t="s">
        <v>1421</v>
      </c>
      <c r="G303" s="73">
        <v>46081.0</v>
      </c>
      <c r="H303" s="74">
        <v>64.0</v>
      </c>
      <c r="I303" s="75">
        <v>128262.85</v>
      </c>
      <c r="J303" s="76" t="s">
        <v>1422</v>
      </c>
      <c r="K303" s="70" t="s">
        <v>349</v>
      </c>
      <c r="L303" s="70" t="s">
        <v>349</v>
      </c>
      <c r="M303" s="70" t="str">
        <f t="shared" si="3"/>
        <v>107 Days</v>
      </c>
      <c r="N303" s="70" t="str">
        <f>IF($A$3=" "," ", IFERROR( VLOOKUP($A303,'SUPPLIER DATA BASE'!$A$2:$O$936,11,0),""))</f>
        <v>-</v>
      </c>
      <c r="O303" s="70" t="str">
        <f>IF($A$3=" "," ", IFERROR( VLOOKUP($A303,'SUPPLIER DATA BASE'!$A$2:$O$936,12,0),""))</f>
        <v>-</v>
      </c>
      <c r="P303" s="70" t="str">
        <f>IF($A$3=" "," ", IFERROR( VLOOKUP($A303,'SUPPLIER DATA BASE'!$A$2:$O$936,13,0),""))</f>
        <v>-</v>
      </c>
      <c r="Q303" s="77"/>
      <c r="R303" s="73"/>
      <c r="S303" s="77"/>
      <c r="T303" s="70"/>
      <c r="U303" s="78"/>
      <c r="V303" s="70" t="str">
        <f t="shared" si="4"/>
        <v>FY 25-26</v>
      </c>
      <c r="W303" s="23"/>
      <c r="X303" s="23"/>
    </row>
    <row r="304">
      <c r="A304" s="70" t="s">
        <v>354</v>
      </c>
      <c r="B304" s="70" t="str">
        <f>IF($A$3=" "," ", IFERROR( VLOOKUP($A304,'SUPPLIER DATA BASE'!$A$2:$M$936,3,0),""))</f>
        <v>-</v>
      </c>
      <c r="C304" s="70" t="str">
        <f>IF($A$3=" "," ", IFERROR( VLOOKUP($A304,'SUPPLIER DATA BASE'!$A$2:$F$936,6,0),""))</f>
        <v>-</v>
      </c>
      <c r="D304" s="70" t="str">
        <f>IF($A$3=" "," ", IFERROR( VLOOKUP($A304,'SUPPLIER DATA BASE'!$A$2:$G$936,4,0),""))</f>
        <v>-</v>
      </c>
      <c r="E304" s="71" t="str">
        <f>IF($A$3=" "," ", IFERROR( VLOOKUP($A304,'SUPPLIER DATA BASE'!$A$2:$H$936,5,0),""))</f>
        <v>-</v>
      </c>
      <c r="F304" s="72" t="s">
        <v>1423</v>
      </c>
      <c r="G304" s="73">
        <v>46081.0</v>
      </c>
      <c r="H304" s="74">
        <v>40.0</v>
      </c>
      <c r="I304" s="75">
        <v>40472.66</v>
      </c>
      <c r="J304" s="76" t="s">
        <v>1424</v>
      </c>
      <c r="K304" s="70" t="s">
        <v>349</v>
      </c>
      <c r="L304" s="70" t="s">
        <v>349</v>
      </c>
      <c r="M304" s="70" t="str">
        <f t="shared" si="3"/>
        <v>107 Days</v>
      </c>
      <c r="N304" s="70" t="str">
        <f>IF($A$3=" "," ", IFERROR( VLOOKUP($A304,'SUPPLIER DATA BASE'!$A$2:$O$936,11,0),""))</f>
        <v>-</v>
      </c>
      <c r="O304" s="70" t="str">
        <f>IF($A$3=" "," ", IFERROR( VLOOKUP($A304,'SUPPLIER DATA BASE'!$A$2:$O$936,12,0),""))</f>
        <v>-</v>
      </c>
      <c r="P304" s="70" t="str">
        <f>IF($A$3=" "," ", IFERROR( VLOOKUP($A304,'SUPPLIER DATA BASE'!$A$2:$O$936,13,0),""))</f>
        <v>-</v>
      </c>
      <c r="Q304" s="77"/>
      <c r="R304" s="73"/>
      <c r="S304" s="77"/>
      <c r="T304" s="70"/>
      <c r="U304" s="78"/>
      <c r="V304" s="70" t="str">
        <f t="shared" si="4"/>
        <v>FY 25-26</v>
      </c>
      <c r="W304" s="23"/>
      <c r="X304" s="23"/>
    </row>
    <row r="305">
      <c r="A305" s="70" t="s">
        <v>354</v>
      </c>
      <c r="B305" s="70" t="str">
        <f>IF($A$3=" "," ", IFERROR( VLOOKUP($A305,'SUPPLIER DATA BASE'!$A$2:$M$936,3,0),""))</f>
        <v>-</v>
      </c>
      <c r="C305" s="70" t="str">
        <f>IF($A$3=" "," ", IFERROR( VLOOKUP($A305,'SUPPLIER DATA BASE'!$A$2:$F$936,6,0),""))</f>
        <v>-</v>
      </c>
      <c r="D305" s="70" t="str">
        <f>IF($A$3=" "," ", IFERROR( VLOOKUP($A305,'SUPPLIER DATA BASE'!$A$2:$G$936,4,0),""))</f>
        <v>-</v>
      </c>
      <c r="E305" s="71" t="str">
        <f>IF($A$3=" "," ", IFERROR( VLOOKUP($A305,'SUPPLIER DATA BASE'!$A$2:$H$936,5,0),""))</f>
        <v>-</v>
      </c>
      <c r="F305" s="72" t="s">
        <v>1425</v>
      </c>
      <c r="G305" s="73">
        <v>46081.0</v>
      </c>
      <c r="H305" s="74">
        <v>113.0</v>
      </c>
      <c r="I305" s="75">
        <v>213289.62</v>
      </c>
      <c r="J305" s="76" t="s">
        <v>1426</v>
      </c>
      <c r="K305" s="70" t="s">
        <v>349</v>
      </c>
      <c r="L305" s="70" t="s">
        <v>349</v>
      </c>
      <c r="M305" s="70" t="str">
        <f t="shared" si="3"/>
        <v>107 Days</v>
      </c>
      <c r="N305" s="70" t="str">
        <f>IF($A$3=" "," ", IFERROR( VLOOKUP($A305,'SUPPLIER DATA BASE'!$A$2:$O$936,11,0),""))</f>
        <v>-</v>
      </c>
      <c r="O305" s="70" t="str">
        <f>IF($A$3=" "," ", IFERROR( VLOOKUP($A305,'SUPPLIER DATA BASE'!$A$2:$O$936,12,0),""))</f>
        <v>-</v>
      </c>
      <c r="P305" s="70" t="str">
        <f>IF($A$3=" "," ", IFERROR( VLOOKUP($A305,'SUPPLIER DATA BASE'!$A$2:$O$936,13,0),""))</f>
        <v>-</v>
      </c>
      <c r="Q305" s="77"/>
      <c r="R305" s="73"/>
      <c r="S305" s="77"/>
      <c r="T305" s="70"/>
      <c r="U305" s="78"/>
      <c r="V305" s="70" t="str">
        <f t="shared" si="4"/>
        <v>FY 25-26</v>
      </c>
      <c r="W305" s="23"/>
      <c r="X305" s="23"/>
    </row>
    <row r="306">
      <c r="A306" s="70" t="s">
        <v>354</v>
      </c>
      <c r="B306" s="70" t="str">
        <f>IF($A$3=" "," ", IFERROR( VLOOKUP($A306,'SUPPLIER DATA BASE'!$A$2:$M$936,3,0),""))</f>
        <v>-</v>
      </c>
      <c r="C306" s="70" t="str">
        <f>IF($A$3=" "," ", IFERROR( VLOOKUP($A306,'SUPPLIER DATA BASE'!$A$2:$F$936,6,0),""))</f>
        <v>-</v>
      </c>
      <c r="D306" s="70" t="str">
        <f>IF($A$3=" "," ", IFERROR( VLOOKUP($A306,'SUPPLIER DATA BASE'!$A$2:$G$936,4,0),""))</f>
        <v>-</v>
      </c>
      <c r="E306" s="71" t="str">
        <f>IF($A$3=" "," ", IFERROR( VLOOKUP($A306,'SUPPLIER DATA BASE'!$A$2:$H$936,5,0),""))</f>
        <v>-</v>
      </c>
      <c r="F306" s="72" t="s">
        <v>1427</v>
      </c>
      <c r="G306" s="73">
        <v>46081.0</v>
      </c>
      <c r="H306" s="74">
        <v>111.0</v>
      </c>
      <c r="I306" s="75">
        <v>202539.44</v>
      </c>
      <c r="J306" s="76" t="s">
        <v>1428</v>
      </c>
      <c r="K306" s="70" t="s">
        <v>349</v>
      </c>
      <c r="L306" s="70" t="s">
        <v>349</v>
      </c>
      <c r="M306" s="70" t="str">
        <f t="shared" si="3"/>
        <v>107 Days</v>
      </c>
      <c r="N306" s="70" t="str">
        <f>IF($A$3=" "," ", IFERROR( VLOOKUP($A306,'SUPPLIER DATA BASE'!$A$2:$O$936,11,0),""))</f>
        <v>-</v>
      </c>
      <c r="O306" s="70" t="str">
        <f>IF($A$3=" "," ", IFERROR( VLOOKUP($A306,'SUPPLIER DATA BASE'!$A$2:$O$936,12,0),""))</f>
        <v>-</v>
      </c>
      <c r="P306" s="70" t="str">
        <f>IF($A$3=" "," ", IFERROR( VLOOKUP($A306,'SUPPLIER DATA BASE'!$A$2:$O$936,13,0),""))</f>
        <v>-</v>
      </c>
      <c r="Q306" s="77"/>
      <c r="R306" s="73"/>
      <c r="S306" s="77"/>
      <c r="T306" s="70"/>
      <c r="U306" s="78"/>
      <c r="V306" s="70" t="str">
        <f t="shared" si="4"/>
        <v>FY 25-26</v>
      </c>
      <c r="W306" s="23"/>
      <c r="X306" s="23"/>
    </row>
    <row r="307">
      <c r="A307" s="70" t="s">
        <v>354</v>
      </c>
      <c r="B307" s="70" t="str">
        <f>IF($A$3=" "," ", IFERROR( VLOOKUP($A307,'SUPPLIER DATA BASE'!$A$2:$M$936,3,0),""))</f>
        <v>-</v>
      </c>
      <c r="C307" s="70" t="str">
        <f>IF($A$3=" "," ", IFERROR( VLOOKUP($A307,'SUPPLIER DATA BASE'!$A$2:$F$936,6,0),""))</f>
        <v>-</v>
      </c>
      <c r="D307" s="70" t="str">
        <f>IF($A$3=" "," ", IFERROR( VLOOKUP($A307,'SUPPLIER DATA BASE'!$A$2:$G$936,4,0),""))</f>
        <v>-</v>
      </c>
      <c r="E307" s="71" t="str">
        <f>IF($A$3=" "," ", IFERROR( VLOOKUP($A307,'SUPPLIER DATA BASE'!$A$2:$H$936,5,0),""))</f>
        <v>-</v>
      </c>
      <c r="F307" s="72" t="s">
        <v>1429</v>
      </c>
      <c r="G307" s="73">
        <v>46081.0</v>
      </c>
      <c r="H307" s="74">
        <v>12.0</v>
      </c>
      <c r="I307" s="75">
        <v>17968.92</v>
      </c>
      <c r="J307" s="76" t="s">
        <v>1430</v>
      </c>
      <c r="K307" s="70" t="s">
        <v>349</v>
      </c>
      <c r="L307" s="70" t="s">
        <v>349</v>
      </c>
      <c r="M307" s="70" t="str">
        <f t="shared" si="3"/>
        <v>107 Days</v>
      </c>
      <c r="N307" s="70" t="str">
        <f>IF($A$3=" "," ", IFERROR( VLOOKUP($A307,'SUPPLIER DATA BASE'!$A$2:$O$936,11,0),""))</f>
        <v>-</v>
      </c>
      <c r="O307" s="70" t="str">
        <f>IF($A$3=" "," ", IFERROR( VLOOKUP($A307,'SUPPLIER DATA BASE'!$A$2:$O$936,12,0),""))</f>
        <v>-</v>
      </c>
      <c r="P307" s="70" t="str">
        <f>IF($A$3=" "," ", IFERROR( VLOOKUP($A307,'SUPPLIER DATA BASE'!$A$2:$O$936,13,0),""))</f>
        <v>-</v>
      </c>
      <c r="Q307" s="77"/>
      <c r="R307" s="73"/>
      <c r="S307" s="77"/>
      <c r="T307" s="70"/>
      <c r="U307" s="78"/>
      <c r="V307" s="70" t="str">
        <f t="shared" si="4"/>
        <v>FY 25-26</v>
      </c>
      <c r="W307" s="23"/>
      <c r="X307" s="23"/>
    </row>
    <row r="308">
      <c r="A308" s="70" t="s">
        <v>354</v>
      </c>
      <c r="B308" s="70" t="str">
        <f>IF($A$3=" "," ", IFERROR( VLOOKUP($A308,'SUPPLIER DATA BASE'!$A$2:$M$936,3,0),""))</f>
        <v>-</v>
      </c>
      <c r="C308" s="70" t="str">
        <f>IF($A$3=" "," ", IFERROR( VLOOKUP($A308,'SUPPLIER DATA BASE'!$A$2:$F$936,6,0),""))</f>
        <v>-</v>
      </c>
      <c r="D308" s="70" t="str">
        <f>IF($A$3=" "," ", IFERROR( VLOOKUP($A308,'SUPPLIER DATA BASE'!$A$2:$G$936,4,0),""))</f>
        <v>-</v>
      </c>
      <c r="E308" s="71" t="str">
        <f>IF($A$3=" "," ", IFERROR( VLOOKUP($A308,'SUPPLIER DATA BASE'!$A$2:$H$936,5,0),""))</f>
        <v>-</v>
      </c>
      <c r="F308" s="72" t="s">
        <v>1431</v>
      </c>
      <c r="G308" s="73">
        <v>46081.0</v>
      </c>
      <c r="H308" s="74">
        <v>68.0</v>
      </c>
      <c r="I308" s="75">
        <v>146677.35</v>
      </c>
      <c r="J308" s="76" t="s">
        <v>1432</v>
      </c>
      <c r="K308" s="70" t="s">
        <v>349</v>
      </c>
      <c r="L308" s="70" t="s">
        <v>349</v>
      </c>
      <c r="M308" s="70" t="str">
        <f t="shared" si="3"/>
        <v>107 Days</v>
      </c>
      <c r="N308" s="70" t="str">
        <f>IF($A$3=" "," ", IFERROR( VLOOKUP($A308,'SUPPLIER DATA BASE'!$A$2:$O$936,11,0),""))</f>
        <v>-</v>
      </c>
      <c r="O308" s="70" t="str">
        <f>IF($A$3=" "," ", IFERROR( VLOOKUP($A308,'SUPPLIER DATA BASE'!$A$2:$O$936,12,0),""))</f>
        <v>-</v>
      </c>
      <c r="P308" s="70" t="str">
        <f>IF($A$3=" "," ", IFERROR( VLOOKUP($A308,'SUPPLIER DATA BASE'!$A$2:$O$936,13,0),""))</f>
        <v>-</v>
      </c>
      <c r="Q308" s="77"/>
      <c r="R308" s="73"/>
      <c r="S308" s="77"/>
      <c r="T308" s="70"/>
      <c r="U308" s="78"/>
      <c r="V308" s="70" t="str">
        <f t="shared" si="4"/>
        <v>FY 25-26</v>
      </c>
      <c r="W308" s="23"/>
      <c r="X308" s="23"/>
    </row>
    <row r="309">
      <c r="A309" s="70" t="s">
        <v>354</v>
      </c>
      <c r="B309" s="70" t="str">
        <f>IF($A$3=" "," ", IFERROR( VLOOKUP($A309,'SUPPLIER DATA BASE'!$A$2:$M$936,3,0),""))</f>
        <v>-</v>
      </c>
      <c r="C309" s="70" t="str">
        <f>IF($A$3=" "," ", IFERROR( VLOOKUP($A309,'SUPPLIER DATA BASE'!$A$2:$F$936,6,0),""))</f>
        <v>-</v>
      </c>
      <c r="D309" s="70" t="str">
        <f>IF($A$3=" "," ", IFERROR( VLOOKUP($A309,'SUPPLIER DATA BASE'!$A$2:$G$936,4,0),""))</f>
        <v>-</v>
      </c>
      <c r="E309" s="71" t="str">
        <f>IF($A$3=" "," ", IFERROR( VLOOKUP($A309,'SUPPLIER DATA BASE'!$A$2:$H$936,5,0),""))</f>
        <v>-</v>
      </c>
      <c r="F309" s="72" t="s">
        <v>1433</v>
      </c>
      <c r="G309" s="73">
        <v>46081.0</v>
      </c>
      <c r="H309" s="74">
        <v>33.0</v>
      </c>
      <c r="I309" s="75">
        <v>61334.42</v>
      </c>
      <c r="J309" s="76" t="s">
        <v>1434</v>
      </c>
      <c r="K309" s="70" t="s">
        <v>349</v>
      </c>
      <c r="L309" s="70" t="s">
        <v>349</v>
      </c>
      <c r="M309" s="70" t="str">
        <f t="shared" si="3"/>
        <v>107 Days</v>
      </c>
      <c r="N309" s="70" t="str">
        <f>IF($A$3=" "," ", IFERROR( VLOOKUP($A309,'SUPPLIER DATA BASE'!$A$2:$O$936,11,0),""))</f>
        <v>-</v>
      </c>
      <c r="O309" s="70" t="str">
        <f>IF($A$3=" "," ", IFERROR( VLOOKUP($A309,'SUPPLIER DATA BASE'!$A$2:$O$936,12,0),""))</f>
        <v>-</v>
      </c>
      <c r="P309" s="70" t="str">
        <f>IF($A$3=" "," ", IFERROR( VLOOKUP($A309,'SUPPLIER DATA BASE'!$A$2:$O$936,13,0),""))</f>
        <v>-</v>
      </c>
      <c r="Q309" s="77"/>
      <c r="R309" s="73"/>
      <c r="S309" s="77"/>
      <c r="T309" s="70"/>
      <c r="U309" s="78"/>
      <c r="V309" s="70" t="str">
        <f t="shared" si="4"/>
        <v>FY 25-26</v>
      </c>
      <c r="W309" s="23"/>
      <c r="X309" s="23"/>
    </row>
    <row r="310">
      <c r="A310" s="70" t="s">
        <v>354</v>
      </c>
      <c r="B310" s="70" t="str">
        <f>IF($A$3=" "," ", IFERROR( VLOOKUP($A310,'SUPPLIER DATA BASE'!$A$2:$M$936,3,0),""))</f>
        <v>-</v>
      </c>
      <c r="C310" s="70" t="str">
        <f>IF($A$3=" "," ", IFERROR( VLOOKUP($A310,'SUPPLIER DATA BASE'!$A$2:$F$936,6,0),""))</f>
        <v>-</v>
      </c>
      <c r="D310" s="70" t="str">
        <f>IF($A$3=" "," ", IFERROR( VLOOKUP($A310,'SUPPLIER DATA BASE'!$A$2:$G$936,4,0),""))</f>
        <v>-</v>
      </c>
      <c r="E310" s="71" t="str">
        <f>IF($A$3=" "," ", IFERROR( VLOOKUP($A310,'SUPPLIER DATA BASE'!$A$2:$H$936,5,0),""))</f>
        <v>-</v>
      </c>
      <c r="F310" s="72" t="s">
        <v>1435</v>
      </c>
      <c r="G310" s="73">
        <v>46081.0</v>
      </c>
      <c r="H310" s="74">
        <v>72.0</v>
      </c>
      <c r="I310" s="75">
        <v>150090.22</v>
      </c>
      <c r="J310" s="76" t="s">
        <v>1436</v>
      </c>
      <c r="K310" s="70" t="s">
        <v>349</v>
      </c>
      <c r="L310" s="70" t="s">
        <v>349</v>
      </c>
      <c r="M310" s="70" t="str">
        <f t="shared" si="3"/>
        <v>107 Days</v>
      </c>
      <c r="N310" s="70" t="str">
        <f>IF($A$3=" "," ", IFERROR( VLOOKUP($A310,'SUPPLIER DATA BASE'!$A$2:$O$936,11,0),""))</f>
        <v>-</v>
      </c>
      <c r="O310" s="70" t="str">
        <f>IF($A$3=" "," ", IFERROR( VLOOKUP($A310,'SUPPLIER DATA BASE'!$A$2:$O$936,12,0),""))</f>
        <v>-</v>
      </c>
      <c r="P310" s="70" t="str">
        <f>IF($A$3=" "," ", IFERROR( VLOOKUP($A310,'SUPPLIER DATA BASE'!$A$2:$O$936,13,0),""))</f>
        <v>-</v>
      </c>
      <c r="Q310" s="77"/>
      <c r="R310" s="73"/>
      <c r="S310" s="77"/>
      <c r="T310" s="70"/>
      <c r="U310" s="78"/>
      <c r="V310" s="70" t="str">
        <f t="shared" si="4"/>
        <v>FY 25-26</v>
      </c>
      <c r="W310" s="23"/>
      <c r="X310" s="23"/>
    </row>
    <row r="311">
      <c r="A311" s="70" t="s">
        <v>354</v>
      </c>
      <c r="B311" s="70" t="str">
        <f>IF($A$3=" "," ", IFERROR( VLOOKUP($A311,'SUPPLIER DATA BASE'!$A$2:$M$936,3,0),""))</f>
        <v>-</v>
      </c>
      <c r="C311" s="70" t="str">
        <f>IF($A$3=" "," ", IFERROR( VLOOKUP($A311,'SUPPLIER DATA BASE'!$A$2:$F$936,6,0),""))</f>
        <v>-</v>
      </c>
      <c r="D311" s="70" t="str">
        <f>IF($A$3=" "," ", IFERROR( VLOOKUP($A311,'SUPPLIER DATA BASE'!$A$2:$G$936,4,0),""))</f>
        <v>-</v>
      </c>
      <c r="E311" s="71" t="str">
        <f>IF($A$3=" "," ", IFERROR( VLOOKUP($A311,'SUPPLIER DATA BASE'!$A$2:$H$936,5,0),""))</f>
        <v>-</v>
      </c>
      <c r="F311" s="72" t="s">
        <v>1437</v>
      </c>
      <c r="G311" s="73">
        <v>46081.0</v>
      </c>
      <c r="H311" s="74">
        <v>4.0</v>
      </c>
      <c r="I311" s="75">
        <v>54618.24</v>
      </c>
      <c r="J311" s="76" t="s">
        <v>1438</v>
      </c>
      <c r="K311" s="70" t="s">
        <v>349</v>
      </c>
      <c r="L311" s="70" t="s">
        <v>349</v>
      </c>
      <c r="M311" s="70" t="str">
        <f t="shared" si="3"/>
        <v>107 Days</v>
      </c>
      <c r="N311" s="70" t="str">
        <f>IF($A$3=" "," ", IFERROR( VLOOKUP($A311,'SUPPLIER DATA BASE'!$A$2:$O$936,11,0),""))</f>
        <v>-</v>
      </c>
      <c r="O311" s="70" t="str">
        <f>IF($A$3=" "," ", IFERROR( VLOOKUP($A311,'SUPPLIER DATA BASE'!$A$2:$O$936,12,0),""))</f>
        <v>-</v>
      </c>
      <c r="P311" s="70" t="str">
        <f>IF($A$3=" "," ", IFERROR( VLOOKUP($A311,'SUPPLIER DATA BASE'!$A$2:$O$936,13,0),""))</f>
        <v>-</v>
      </c>
      <c r="Q311" s="77"/>
      <c r="R311" s="73"/>
      <c r="S311" s="77"/>
      <c r="T311" s="70"/>
      <c r="U311" s="78"/>
      <c r="V311" s="70" t="str">
        <f t="shared" si="4"/>
        <v>FY 25-26</v>
      </c>
      <c r="W311" s="23"/>
      <c r="X311" s="23"/>
    </row>
    <row r="312">
      <c r="A312" s="70" t="s">
        <v>354</v>
      </c>
      <c r="B312" s="70" t="str">
        <f>IF($A$3=" "," ", IFERROR( VLOOKUP($A312,'SUPPLIER DATA BASE'!$A$2:$M$936,3,0),""))</f>
        <v>-</v>
      </c>
      <c r="C312" s="70" t="str">
        <f>IF($A$3=" "," ", IFERROR( VLOOKUP($A312,'SUPPLIER DATA BASE'!$A$2:$F$936,6,0),""))</f>
        <v>-</v>
      </c>
      <c r="D312" s="70" t="str">
        <f>IF($A$3=" "," ", IFERROR( VLOOKUP($A312,'SUPPLIER DATA BASE'!$A$2:$G$936,4,0),""))</f>
        <v>-</v>
      </c>
      <c r="E312" s="71" t="str">
        <f>IF($A$3=" "," ", IFERROR( VLOOKUP($A312,'SUPPLIER DATA BASE'!$A$2:$H$936,5,0),""))</f>
        <v>-</v>
      </c>
      <c r="F312" s="72" t="s">
        <v>1439</v>
      </c>
      <c r="G312" s="73">
        <v>46081.0</v>
      </c>
      <c r="H312" s="74">
        <v>8.0</v>
      </c>
      <c r="I312" s="75">
        <v>14807.09</v>
      </c>
      <c r="J312" s="76" t="s">
        <v>1440</v>
      </c>
      <c r="K312" s="70" t="s">
        <v>349</v>
      </c>
      <c r="L312" s="70" t="s">
        <v>349</v>
      </c>
      <c r="M312" s="70" t="str">
        <f t="shared" si="3"/>
        <v>107 Days</v>
      </c>
      <c r="N312" s="70" t="str">
        <f>IF($A$3=" "," ", IFERROR( VLOOKUP($A312,'SUPPLIER DATA BASE'!$A$2:$O$936,11,0),""))</f>
        <v>-</v>
      </c>
      <c r="O312" s="70" t="str">
        <f>IF($A$3=" "," ", IFERROR( VLOOKUP($A312,'SUPPLIER DATA BASE'!$A$2:$O$936,12,0),""))</f>
        <v>-</v>
      </c>
      <c r="P312" s="70" t="str">
        <f>IF($A$3=" "," ", IFERROR( VLOOKUP($A312,'SUPPLIER DATA BASE'!$A$2:$O$936,13,0),""))</f>
        <v>-</v>
      </c>
      <c r="Q312" s="77"/>
      <c r="R312" s="73"/>
      <c r="S312" s="77"/>
      <c r="T312" s="70"/>
      <c r="U312" s="78"/>
      <c r="V312" s="70" t="str">
        <f t="shared" si="4"/>
        <v>FY 25-26</v>
      </c>
      <c r="W312" s="23"/>
      <c r="X312" s="23"/>
    </row>
    <row r="313">
      <c r="A313" s="70" t="s">
        <v>354</v>
      </c>
      <c r="B313" s="70" t="str">
        <f>IF($A$3=" "," ", IFERROR( VLOOKUP($A313,'SUPPLIER DATA BASE'!$A$2:$M$936,3,0),""))</f>
        <v>-</v>
      </c>
      <c r="C313" s="70" t="str">
        <f>IF($A$3=" "," ", IFERROR( VLOOKUP($A313,'SUPPLIER DATA BASE'!$A$2:$F$936,6,0),""))</f>
        <v>-</v>
      </c>
      <c r="D313" s="70" t="str">
        <f>IF($A$3=" "," ", IFERROR( VLOOKUP($A313,'SUPPLIER DATA BASE'!$A$2:$G$936,4,0),""))</f>
        <v>-</v>
      </c>
      <c r="E313" s="71" t="str">
        <f>IF($A$3=" "," ", IFERROR( VLOOKUP($A313,'SUPPLIER DATA BASE'!$A$2:$H$936,5,0),""))</f>
        <v>-</v>
      </c>
      <c r="F313" s="72" t="s">
        <v>1441</v>
      </c>
      <c r="G313" s="73">
        <v>46081.0</v>
      </c>
      <c r="H313" s="74">
        <v>138.0</v>
      </c>
      <c r="I313" s="75">
        <v>273007.49</v>
      </c>
      <c r="J313" s="76" t="s">
        <v>1442</v>
      </c>
      <c r="K313" s="70" t="s">
        <v>349</v>
      </c>
      <c r="L313" s="70" t="s">
        <v>349</v>
      </c>
      <c r="M313" s="70" t="str">
        <f t="shared" si="3"/>
        <v>107 Days</v>
      </c>
      <c r="N313" s="70" t="str">
        <f>IF($A$3=" "," ", IFERROR( VLOOKUP($A313,'SUPPLIER DATA BASE'!$A$2:$O$936,11,0),""))</f>
        <v>-</v>
      </c>
      <c r="O313" s="70" t="str">
        <f>IF($A$3=" "," ", IFERROR( VLOOKUP($A313,'SUPPLIER DATA BASE'!$A$2:$O$936,12,0),""))</f>
        <v>-</v>
      </c>
      <c r="P313" s="70" t="str">
        <f>IF($A$3=" "," ", IFERROR( VLOOKUP($A313,'SUPPLIER DATA BASE'!$A$2:$O$936,13,0),""))</f>
        <v>-</v>
      </c>
      <c r="Q313" s="77"/>
      <c r="R313" s="73"/>
      <c r="S313" s="77"/>
      <c r="T313" s="70"/>
      <c r="U313" s="78"/>
      <c r="V313" s="70" t="str">
        <f t="shared" si="4"/>
        <v>FY 25-26</v>
      </c>
      <c r="W313" s="23"/>
      <c r="X313" s="23"/>
    </row>
    <row r="314">
      <c r="A314" s="70" t="s">
        <v>402</v>
      </c>
      <c r="B314" s="70" t="str">
        <f>IF($A$3=" "," ", IFERROR( VLOOKUP($A314,'SUPPLIER DATA BASE'!$A$2:$M$936,3,0),""))</f>
        <v>KHUSHAL/STATUS QUO</v>
      </c>
      <c r="C314" s="70" t="str">
        <f>IF($A$3=" "," ", IFERROR( VLOOKUP($A314,'SUPPLIER DATA BASE'!$A$2:$F$936,6,0),""))</f>
        <v>-</v>
      </c>
      <c r="D314" s="70" t="str">
        <f>IF($A$3=" "," ", IFERROR( VLOOKUP($A314,'SUPPLIER DATA BASE'!$A$2:$G$936,4,0),""))</f>
        <v>-</v>
      </c>
      <c r="E314" s="71" t="str">
        <f>IF($A$3=" "," ", IFERROR( VLOOKUP($A314,'SUPPLIER DATA BASE'!$A$2:$H$936,5,0),""))</f>
        <v>-</v>
      </c>
      <c r="F314" s="72" t="s">
        <v>1443</v>
      </c>
      <c r="G314" s="73">
        <v>46081.0</v>
      </c>
      <c r="H314" s="74">
        <v>22.0</v>
      </c>
      <c r="I314" s="75">
        <v>20331.0</v>
      </c>
      <c r="J314" s="76" t="s">
        <v>1444</v>
      </c>
      <c r="K314" s="70" t="s">
        <v>349</v>
      </c>
      <c r="L314" s="70" t="s">
        <v>349</v>
      </c>
      <c r="M314" s="70" t="str">
        <f t="shared" si="3"/>
        <v>107 Days</v>
      </c>
      <c r="N314" s="70" t="str">
        <f>IF($A$3=" "," ", IFERROR( VLOOKUP($A314,'SUPPLIER DATA BASE'!$A$2:$O$936,11,0),""))</f>
        <v>D APPAREL</v>
      </c>
      <c r="O314" s="70" t="str">
        <f>IF($A$3=" "," ", IFERROR( VLOOKUP($A314,'SUPPLIER DATA BASE'!$A$2:$O$936,12,0),""))</f>
        <v>722501010050397</v>
      </c>
      <c r="P314" s="70" t="str">
        <f>IF($A$3=" "," ", IFERROR( VLOOKUP($A314,'SUPPLIER DATA BASE'!$A$2:$O$936,13,0),""))</f>
        <v>UBIN0572250</v>
      </c>
      <c r="Q314" s="77"/>
      <c r="R314" s="73"/>
      <c r="S314" s="77"/>
      <c r="T314" s="70"/>
      <c r="U314" s="78"/>
      <c r="V314" s="70" t="str">
        <f t="shared" si="4"/>
        <v>FY 25-26</v>
      </c>
      <c r="W314" s="23"/>
      <c r="X314" s="23"/>
    </row>
    <row r="315">
      <c r="A315" s="70" t="s">
        <v>575</v>
      </c>
      <c r="B315" s="70" t="str">
        <f>IF($A$3=" "," ", IFERROR( VLOOKUP($A315,'SUPPLIER DATA BASE'!$A$2:$M$936,3,0),""))</f>
        <v>BLACKBERRY</v>
      </c>
      <c r="C315" s="70" t="str">
        <f>IF($A$3=" "," ", IFERROR( VLOOKUP($A315,'SUPPLIER DATA BASE'!$A$2:$F$936,6,0),""))</f>
        <v>-</v>
      </c>
      <c r="D315" s="70" t="str">
        <f>IF($A$3=" "," ", IFERROR( VLOOKUP($A315,'SUPPLIER DATA BASE'!$A$2:$G$936,4,0),""))</f>
        <v>-</v>
      </c>
      <c r="E315" s="71" t="str">
        <f>IF($A$3=" "," ", IFERROR( VLOOKUP($A315,'SUPPLIER DATA BASE'!$A$2:$H$936,5,0),""))</f>
        <v>-</v>
      </c>
      <c r="F315" s="72">
        <v>8.500273403E9</v>
      </c>
      <c r="G315" s="73">
        <v>46081.0</v>
      </c>
      <c r="H315" s="74">
        <v>41.0</v>
      </c>
      <c r="I315" s="75">
        <v>75235.19</v>
      </c>
      <c r="J315" s="76" t="s">
        <v>1445</v>
      </c>
      <c r="K315" s="70" t="s">
        <v>349</v>
      </c>
      <c r="L315" s="70" t="s">
        <v>349</v>
      </c>
      <c r="M315" s="70" t="str">
        <f t="shared" si="3"/>
        <v>107 Days</v>
      </c>
      <c r="N315" s="70" t="str">
        <f>IF($A$3=" "," ", IFERROR( VLOOKUP($A315,'SUPPLIER DATA BASE'!$A$2:$O$936,11,0),""))</f>
        <v>MOHAN CLOTHING COMPANY PVT LTD</v>
      </c>
      <c r="O315" s="70" t="str">
        <f>IF($A$3=" "," ", IFERROR( VLOOKUP($A315,'SUPPLIER DATA BASE'!$A$2:$O$936,12,0),""))</f>
        <v>0710096023</v>
      </c>
      <c r="P315" s="70" t="str">
        <f>IF($A$3=" "," ", IFERROR( VLOOKUP($A315,'SUPPLIER DATA BASE'!$A$2:$O$936,13,0),""))</f>
        <v>CITI0000002</v>
      </c>
      <c r="Q315" s="77"/>
      <c r="R315" s="73"/>
      <c r="S315" s="77"/>
      <c r="T315" s="70"/>
      <c r="U315" s="78"/>
      <c r="V315" s="70" t="str">
        <f t="shared" si="4"/>
        <v>FY 25-26</v>
      </c>
      <c r="W315" s="23"/>
      <c r="X315" s="23"/>
    </row>
    <row r="316">
      <c r="A316" s="70" t="s">
        <v>354</v>
      </c>
      <c r="B316" s="70" t="str">
        <f>IF($A$3=" "," ", IFERROR( VLOOKUP($A316,'SUPPLIER DATA BASE'!$A$2:$M$936,3,0),""))</f>
        <v>-</v>
      </c>
      <c r="C316" s="70" t="str">
        <f>IF($A$3=" "," ", IFERROR( VLOOKUP($A316,'SUPPLIER DATA BASE'!$A$2:$F$936,6,0),""))</f>
        <v>-</v>
      </c>
      <c r="D316" s="70" t="str">
        <f>IF($A$3=" "," ", IFERROR( VLOOKUP($A316,'SUPPLIER DATA BASE'!$A$2:$G$936,4,0),""))</f>
        <v>-</v>
      </c>
      <c r="E316" s="71" t="str">
        <f>IF($A$3=" "," ", IFERROR( VLOOKUP($A316,'SUPPLIER DATA BASE'!$A$2:$H$936,5,0),""))</f>
        <v>-</v>
      </c>
      <c r="F316" s="72" t="s">
        <v>1446</v>
      </c>
      <c r="G316" s="73">
        <v>46081.0</v>
      </c>
      <c r="H316" s="74">
        <v>18.0</v>
      </c>
      <c r="I316" s="75">
        <v>117045.61</v>
      </c>
      <c r="J316" s="76" t="s">
        <v>1447</v>
      </c>
      <c r="K316" s="70" t="s">
        <v>349</v>
      </c>
      <c r="L316" s="70" t="s">
        <v>349</v>
      </c>
      <c r="M316" s="70" t="str">
        <f t="shared" si="3"/>
        <v>107 Days</v>
      </c>
      <c r="N316" s="70" t="str">
        <f>IF($A$3=" "," ", IFERROR( VLOOKUP($A316,'SUPPLIER DATA BASE'!$A$2:$O$936,11,0),""))</f>
        <v>-</v>
      </c>
      <c r="O316" s="70" t="str">
        <f>IF($A$3=" "," ", IFERROR( VLOOKUP($A316,'SUPPLIER DATA BASE'!$A$2:$O$936,12,0),""))</f>
        <v>-</v>
      </c>
      <c r="P316" s="70" t="str">
        <f>IF($A$3=" "," ", IFERROR( VLOOKUP($A316,'SUPPLIER DATA BASE'!$A$2:$O$936,13,0),""))</f>
        <v>-</v>
      </c>
      <c r="Q316" s="77"/>
      <c r="R316" s="73"/>
      <c r="S316" s="77"/>
      <c r="T316" s="70"/>
      <c r="U316" s="78"/>
      <c r="V316" s="70" t="str">
        <f t="shared" si="4"/>
        <v>FY 25-26</v>
      </c>
      <c r="W316" s="23"/>
      <c r="X316" s="23"/>
    </row>
    <row r="317">
      <c r="A317" s="70" t="s">
        <v>354</v>
      </c>
      <c r="B317" s="70" t="str">
        <f>IF($A$3=" "," ", IFERROR( VLOOKUP($A317,'SUPPLIER DATA BASE'!$A$2:$M$936,3,0),""))</f>
        <v>-</v>
      </c>
      <c r="C317" s="70" t="str">
        <f>IF($A$3=" "," ", IFERROR( VLOOKUP($A317,'SUPPLIER DATA BASE'!$A$2:$F$936,6,0),""))</f>
        <v>-</v>
      </c>
      <c r="D317" s="70" t="str">
        <f>IF($A$3=" "," ", IFERROR( VLOOKUP($A317,'SUPPLIER DATA BASE'!$A$2:$G$936,4,0),""))</f>
        <v>-</v>
      </c>
      <c r="E317" s="71" t="str">
        <f>IF($A$3=" "," ", IFERROR( VLOOKUP($A317,'SUPPLIER DATA BASE'!$A$2:$H$936,5,0),""))</f>
        <v>-</v>
      </c>
      <c r="F317" s="72" t="s">
        <v>1448</v>
      </c>
      <c r="G317" s="73">
        <v>46081.0</v>
      </c>
      <c r="H317" s="74">
        <v>46.0</v>
      </c>
      <c r="I317" s="75">
        <v>87587.04</v>
      </c>
      <c r="J317" s="76" t="s">
        <v>1449</v>
      </c>
      <c r="K317" s="70" t="s">
        <v>349</v>
      </c>
      <c r="L317" s="70" t="s">
        <v>349</v>
      </c>
      <c r="M317" s="70" t="str">
        <f t="shared" si="3"/>
        <v>107 Days</v>
      </c>
      <c r="N317" s="70" t="str">
        <f>IF($A$3=" "," ", IFERROR( VLOOKUP($A317,'SUPPLIER DATA BASE'!$A$2:$O$936,11,0),""))</f>
        <v>-</v>
      </c>
      <c r="O317" s="70" t="str">
        <f>IF($A$3=" "," ", IFERROR( VLOOKUP($A317,'SUPPLIER DATA BASE'!$A$2:$O$936,12,0),""))</f>
        <v>-</v>
      </c>
      <c r="P317" s="70" t="str">
        <f>IF($A$3=" "," ", IFERROR( VLOOKUP($A317,'SUPPLIER DATA BASE'!$A$2:$O$936,13,0),""))</f>
        <v>-</v>
      </c>
      <c r="Q317" s="77"/>
      <c r="R317" s="73"/>
      <c r="S317" s="77"/>
      <c r="T317" s="70"/>
      <c r="U317" s="78"/>
      <c r="V317" s="70" t="str">
        <f t="shared" si="4"/>
        <v>FY 25-26</v>
      </c>
      <c r="W317" s="23"/>
      <c r="X317" s="23"/>
    </row>
    <row r="318">
      <c r="A318" s="70" t="s">
        <v>354</v>
      </c>
      <c r="B318" s="70" t="str">
        <f>IF($A$3=" "," ", IFERROR( VLOOKUP($A318,'SUPPLIER DATA BASE'!$A$2:$M$936,3,0),""))</f>
        <v>-</v>
      </c>
      <c r="C318" s="70" t="str">
        <f>IF($A$3=" "," ", IFERROR( VLOOKUP($A318,'SUPPLIER DATA BASE'!$A$2:$F$936,6,0),""))</f>
        <v>-</v>
      </c>
      <c r="D318" s="70" t="str">
        <f>IF($A$3=" "," ", IFERROR( VLOOKUP($A318,'SUPPLIER DATA BASE'!$A$2:$G$936,4,0),""))</f>
        <v>-</v>
      </c>
      <c r="E318" s="71" t="str">
        <f>IF($A$3=" "," ", IFERROR( VLOOKUP($A318,'SUPPLIER DATA BASE'!$A$2:$H$936,5,0),""))</f>
        <v>-</v>
      </c>
      <c r="F318" s="72" t="s">
        <v>1450</v>
      </c>
      <c r="G318" s="73">
        <v>46081.0</v>
      </c>
      <c r="H318" s="74">
        <v>220.0</v>
      </c>
      <c r="I318" s="75">
        <v>418651.0</v>
      </c>
      <c r="J318" s="76" t="s">
        <v>1451</v>
      </c>
      <c r="K318" s="70" t="s">
        <v>349</v>
      </c>
      <c r="L318" s="70" t="s">
        <v>349</v>
      </c>
      <c r="M318" s="70" t="str">
        <f t="shared" si="3"/>
        <v>107 Days</v>
      </c>
      <c r="N318" s="70" t="str">
        <f>IF($A$3=" "," ", IFERROR( VLOOKUP($A318,'SUPPLIER DATA BASE'!$A$2:$O$936,11,0),""))</f>
        <v>-</v>
      </c>
      <c r="O318" s="70" t="str">
        <f>IF($A$3=" "," ", IFERROR( VLOOKUP($A318,'SUPPLIER DATA BASE'!$A$2:$O$936,12,0),""))</f>
        <v>-</v>
      </c>
      <c r="P318" s="70" t="str">
        <f>IF($A$3=" "," ", IFERROR( VLOOKUP($A318,'SUPPLIER DATA BASE'!$A$2:$O$936,13,0),""))</f>
        <v>-</v>
      </c>
      <c r="Q318" s="77"/>
      <c r="R318" s="73"/>
      <c r="S318" s="77"/>
      <c r="T318" s="70"/>
      <c r="U318" s="78"/>
      <c r="V318" s="70" t="str">
        <f t="shared" si="4"/>
        <v>FY 25-26</v>
      </c>
      <c r="W318" s="23"/>
      <c r="X318" s="23"/>
    </row>
    <row r="319">
      <c r="A319" s="70" t="s">
        <v>354</v>
      </c>
      <c r="B319" s="70" t="str">
        <f>IF($A$3=" "," ", IFERROR( VLOOKUP($A319,'SUPPLIER DATA BASE'!$A$2:$M$936,3,0),""))</f>
        <v>-</v>
      </c>
      <c r="C319" s="70" t="str">
        <f>IF($A$3=" "," ", IFERROR( VLOOKUP($A319,'SUPPLIER DATA BASE'!$A$2:$F$936,6,0),""))</f>
        <v>-</v>
      </c>
      <c r="D319" s="70" t="str">
        <f>IF($A$3=" "," ", IFERROR( VLOOKUP($A319,'SUPPLIER DATA BASE'!$A$2:$G$936,4,0),""))</f>
        <v>-</v>
      </c>
      <c r="E319" s="71" t="str">
        <f>IF($A$3=" "," ", IFERROR( VLOOKUP($A319,'SUPPLIER DATA BASE'!$A$2:$H$936,5,0),""))</f>
        <v>-</v>
      </c>
      <c r="F319" s="72" t="s">
        <v>1452</v>
      </c>
      <c r="G319" s="73">
        <v>46081.0</v>
      </c>
      <c r="H319" s="74">
        <v>10.0</v>
      </c>
      <c r="I319" s="75">
        <v>18494.63</v>
      </c>
      <c r="J319" s="76" t="s">
        <v>1453</v>
      </c>
      <c r="K319" s="70" t="s">
        <v>349</v>
      </c>
      <c r="L319" s="70" t="s">
        <v>349</v>
      </c>
      <c r="M319" s="70" t="str">
        <f t="shared" si="3"/>
        <v>107 Days</v>
      </c>
      <c r="N319" s="70" t="str">
        <f>IF($A$3=" "," ", IFERROR( VLOOKUP($A319,'SUPPLIER DATA BASE'!$A$2:$O$936,11,0),""))</f>
        <v>-</v>
      </c>
      <c r="O319" s="70" t="str">
        <f>IF($A$3=" "," ", IFERROR( VLOOKUP($A319,'SUPPLIER DATA BASE'!$A$2:$O$936,12,0),""))</f>
        <v>-</v>
      </c>
      <c r="P319" s="70" t="str">
        <f>IF($A$3=" "," ", IFERROR( VLOOKUP($A319,'SUPPLIER DATA BASE'!$A$2:$O$936,13,0),""))</f>
        <v>-</v>
      </c>
      <c r="Q319" s="77"/>
      <c r="R319" s="73"/>
      <c r="S319" s="77"/>
      <c r="T319" s="70"/>
      <c r="U319" s="78"/>
      <c r="V319" s="70" t="str">
        <f t="shared" si="4"/>
        <v>FY 25-26</v>
      </c>
      <c r="W319" s="23"/>
      <c r="X319" s="23"/>
    </row>
    <row r="320">
      <c r="A320" s="70" t="s">
        <v>354</v>
      </c>
      <c r="B320" s="70" t="str">
        <f>IF($A$3=" "," ", IFERROR( VLOOKUP($A320,'SUPPLIER DATA BASE'!$A$2:$M$936,3,0),""))</f>
        <v>-</v>
      </c>
      <c r="C320" s="70" t="str">
        <f>IF($A$3=" "," ", IFERROR( VLOOKUP($A320,'SUPPLIER DATA BASE'!$A$2:$F$936,6,0),""))</f>
        <v>-</v>
      </c>
      <c r="D320" s="70" t="str">
        <f>IF($A$3=" "," ", IFERROR( VLOOKUP($A320,'SUPPLIER DATA BASE'!$A$2:$G$936,4,0),""))</f>
        <v>-</v>
      </c>
      <c r="E320" s="71" t="str">
        <f>IF($A$3=" "," ", IFERROR( VLOOKUP($A320,'SUPPLIER DATA BASE'!$A$2:$H$936,5,0),""))</f>
        <v>-</v>
      </c>
      <c r="F320" s="72" t="s">
        <v>1454</v>
      </c>
      <c r="G320" s="73">
        <v>46081.0</v>
      </c>
      <c r="H320" s="74">
        <v>8.0</v>
      </c>
      <c r="I320" s="75">
        <v>11979.28</v>
      </c>
      <c r="J320" s="76" t="s">
        <v>1455</v>
      </c>
      <c r="K320" s="70" t="s">
        <v>349</v>
      </c>
      <c r="L320" s="70" t="s">
        <v>349</v>
      </c>
      <c r="M320" s="70" t="str">
        <f t="shared" si="3"/>
        <v>107 Days</v>
      </c>
      <c r="N320" s="70" t="str">
        <f>IF($A$3=" "," ", IFERROR( VLOOKUP($A320,'SUPPLIER DATA BASE'!$A$2:$O$936,11,0),""))</f>
        <v>-</v>
      </c>
      <c r="O320" s="70" t="str">
        <f>IF($A$3=" "," ", IFERROR( VLOOKUP($A320,'SUPPLIER DATA BASE'!$A$2:$O$936,12,0),""))</f>
        <v>-</v>
      </c>
      <c r="P320" s="70" t="str">
        <f>IF($A$3=" "," ", IFERROR( VLOOKUP($A320,'SUPPLIER DATA BASE'!$A$2:$O$936,13,0),""))</f>
        <v>-</v>
      </c>
      <c r="Q320" s="77"/>
      <c r="R320" s="73"/>
      <c r="S320" s="77"/>
      <c r="T320" s="70"/>
      <c r="U320" s="78"/>
      <c r="V320" s="70" t="str">
        <f t="shared" si="4"/>
        <v>FY 25-26</v>
      </c>
      <c r="W320" s="23"/>
      <c r="X320" s="23"/>
    </row>
    <row r="321">
      <c r="A321" s="70" t="s">
        <v>354</v>
      </c>
      <c r="B321" s="70" t="str">
        <f>IF($A$3=" "," ", IFERROR( VLOOKUP($A321,'SUPPLIER DATA BASE'!$A$2:$M$936,3,0),""))</f>
        <v>-</v>
      </c>
      <c r="C321" s="70" t="str">
        <f>IF($A$3=" "," ", IFERROR( VLOOKUP($A321,'SUPPLIER DATA BASE'!$A$2:$F$936,6,0),""))</f>
        <v>-</v>
      </c>
      <c r="D321" s="70" t="str">
        <f>IF($A$3=" "," ", IFERROR( VLOOKUP($A321,'SUPPLIER DATA BASE'!$A$2:$G$936,4,0),""))</f>
        <v>-</v>
      </c>
      <c r="E321" s="71" t="str">
        <f>IF($A$3=" "," ", IFERROR( VLOOKUP($A321,'SUPPLIER DATA BASE'!$A$2:$H$936,5,0),""))</f>
        <v>-</v>
      </c>
      <c r="F321" s="72" t="s">
        <v>1456</v>
      </c>
      <c r="G321" s="73">
        <v>46081.0</v>
      </c>
      <c r="H321" s="74">
        <v>1.0</v>
      </c>
      <c r="I321" s="75">
        <v>1369.31</v>
      </c>
      <c r="J321" s="76" t="s">
        <v>1457</v>
      </c>
      <c r="K321" s="70" t="s">
        <v>349</v>
      </c>
      <c r="L321" s="70" t="s">
        <v>349</v>
      </c>
      <c r="M321" s="70" t="str">
        <f t="shared" si="3"/>
        <v>107 Days</v>
      </c>
      <c r="N321" s="70" t="str">
        <f>IF($A$3=" "," ", IFERROR( VLOOKUP($A321,'SUPPLIER DATA BASE'!$A$2:$O$936,11,0),""))</f>
        <v>-</v>
      </c>
      <c r="O321" s="70" t="str">
        <f>IF($A$3=" "," ", IFERROR( VLOOKUP($A321,'SUPPLIER DATA BASE'!$A$2:$O$936,12,0),""))</f>
        <v>-</v>
      </c>
      <c r="P321" s="70" t="str">
        <f>IF($A$3=" "," ", IFERROR( VLOOKUP($A321,'SUPPLIER DATA BASE'!$A$2:$O$936,13,0),""))</f>
        <v>-</v>
      </c>
      <c r="Q321" s="77"/>
      <c r="R321" s="73"/>
      <c r="S321" s="77"/>
      <c r="T321" s="70"/>
      <c r="U321" s="78"/>
      <c r="V321" s="70" t="str">
        <f t="shared" si="4"/>
        <v>FY 25-26</v>
      </c>
      <c r="W321" s="23"/>
      <c r="X321" s="23"/>
    </row>
    <row r="322">
      <c r="A322" s="70" t="s">
        <v>354</v>
      </c>
      <c r="B322" s="70" t="str">
        <f>IF($A$3=" "," ", IFERROR( VLOOKUP($A322,'SUPPLIER DATA BASE'!$A$2:$M$936,3,0),""))</f>
        <v>-</v>
      </c>
      <c r="C322" s="70" t="str">
        <f>IF($A$3=" "," ", IFERROR( VLOOKUP($A322,'SUPPLIER DATA BASE'!$A$2:$F$936,6,0),""))</f>
        <v>-</v>
      </c>
      <c r="D322" s="70" t="str">
        <f>IF($A$3=" "," ", IFERROR( VLOOKUP($A322,'SUPPLIER DATA BASE'!$A$2:$G$936,4,0),""))</f>
        <v>-</v>
      </c>
      <c r="E322" s="71" t="str">
        <f>IF($A$3=" "," ", IFERROR( VLOOKUP($A322,'SUPPLIER DATA BASE'!$A$2:$H$936,5,0),""))</f>
        <v>-</v>
      </c>
      <c r="F322" s="72" t="s">
        <v>1458</v>
      </c>
      <c r="G322" s="73">
        <v>46081.0</v>
      </c>
      <c r="H322" s="74">
        <v>38.0</v>
      </c>
      <c r="I322" s="75">
        <v>69402.6</v>
      </c>
      <c r="J322" s="76" t="s">
        <v>1459</v>
      </c>
      <c r="K322" s="70" t="s">
        <v>349</v>
      </c>
      <c r="L322" s="70" t="s">
        <v>349</v>
      </c>
      <c r="M322" s="70" t="str">
        <f t="shared" si="3"/>
        <v>107 Days</v>
      </c>
      <c r="N322" s="70" t="str">
        <f>IF($A$3=" "," ", IFERROR( VLOOKUP($A322,'SUPPLIER DATA BASE'!$A$2:$O$936,11,0),""))</f>
        <v>-</v>
      </c>
      <c r="O322" s="70" t="str">
        <f>IF($A$3=" "," ", IFERROR( VLOOKUP($A322,'SUPPLIER DATA BASE'!$A$2:$O$936,12,0),""))</f>
        <v>-</v>
      </c>
      <c r="P322" s="70" t="str">
        <f>IF($A$3=" "," ", IFERROR( VLOOKUP($A322,'SUPPLIER DATA BASE'!$A$2:$O$936,13,0),""))</f>
        <v>-</v>
      </c>
      <c r="Q322" s="77"/>
      <c r="R322" s="73"/>
      <c r="S322" s="77"/>
      <c r="T322" s="70"/>
      <c r="U322" s="78"/>
      <c r="V322" s="70" t="str">
        <f t="shared" si="4"/>
        <v>FY 25-26</v>
      </c>
      <c r="W322" s="23"/>
      <c r="X322" s="23"/>
    </row>
    <row r="323">
      <c r="A323" s="70" t="s">
        <v>354</v>
      </c>
      <c r="B323" s="70" t="str">
        <f>IF($A$3=" "," ", IFERROR( VLOOKUP($A323,'SUPPLIER DATA BASE'!$A$2:$M$936,3,0),""))</f>
        <v>-</v>
      </c>
      <c r="C323" s="70" t="str">
        <f>IF($A$3=" "," ", IFERROR( VLOOKUP($A323,'SUPPLIER DATA BASE'!$A$2:$F$936,6,0),""))</f>
        <v>-</v>
      </c>
      <c r="D323" s="70" t="str">
        <f>IF($A$3=" "," ", IFERROR( VLOOKUP($A323,'SUPPLIER DATA BASE'!$A$2:$G$936,4,0),""))</f>
        <v>-</v>
      </c>
      <c r="E323" s="71" t="str">
        <f>IF($A$3=" "," ", IFERROR( VLOOKUP($A323,'SUPPLIER DATA BASE'!$A$2:$H$936,5,0),""))</f>
        <v>-</v>
      </c>
      <c r="F323" s="72" t="s">
        <v>1460</v>
      </c>
      <c r="G323" s="73">
        <v>46081.0</v>
      </c>
      <c r="H323" s="74">
        <v>90.0</v>
      </c>
      <c r="I323" s="75">
        <v>185389.71</v>
      </c>
      <c r="J323" s="76" t="s">
        <v>1461</v>
      </c>
      <c r="K323" s="70" t="s">
        <v>349</v>
      </c>
      <c r="L323" s="70" t="s">
        <v>349</v>
      </c>
      <c r="M323" s="70" t="str">
        <f t="shared" si="3"/>
        <v>107 Days</v>
      </c>
      <c r="N323" s="70" t="str">
        <f>IF($A$3=" "," ", IFERROR( VLOOKUP($A323,'SUPPLIER DATA BASE'!$A$2:$O$936,11,0),""))</f>
        <v>-</v>
      </c>
      <c r="O323" s="70" t="str">
        <f>IF($A$3=" "," ", IFERROR( VLOOKUP($A323,'SUPPLIER DATA BASE'!$A$2:$O$936,12,0),""))</f>
        <v>-</v>
      </c>
      <c r="P323" s="70" t="str">
        <f>IF($A$3=" "," ", IFERROR( VLOOKUP($A323,'SUPPLIER DATA BASE'!$A$2:$O$936,13,0),""))</f>
        <v>-</v>
      </c>
      <c r="Q323" s="77"/>
      <c r="R323" s="73"/>
      <c r="S323" s="77"/>
      <c r="T323" s="70"/>
      <c r="U323" s="78"/>
      <c r="V323" s="70" t="str">
        <f t="shared" si="4"/>
        <v>FY 25-26</v>
      </c>
      <c r="W323" s="23"/>
      <c r="X323" s="23"/>
    </row>
    <row r="324">
      <c r="A324" s="70" t="s">
        <v>354</v>
      </c>
      <c r="B324" s="70" t="str">
        <f>IF($A$3=" "," ", IFERROR( VLOOKUP($A324,'SUPPLIER DATA BASE'!$A$2:$M$936,3,0),""))</f>
        <v>-</v>
      </c>
      <c r="C324" s="70" t="str">
        <f>IF($A$3=" "," ", IFERROR( VLOOKUP($A324,'SUPPLIER DATA BASE'!$A$2:$F$936,6,0),""))</f>
        <v>-</v>
      </c>
      <c r="D324" s="70" t="str">
        <f>IF($A$3=" "," ", IFERROR( VLOOKUP($A324,'SUPPLIER DATA BASE'!$A$2:$G$936,4,0),""))</f>
        <v>-</v>
      </c>
      <c r="E324" s="71" t="str">
        <f>IF($A$3=" "," ", IFERROR( VLOOKUP($A324,'SUPPLIER DATA BASE'!$A$2:$H$936,5,0),""))</f>
        <v>-</v>
      </c>
      <c r="F324" s="72" t="s">
        <v>1462</v>
      </c>
      <c r="G324" s="73">
        <v>46081.0</v>
      </c>
      <c r="H324" s="74">
        <v>138.0</v>
      </c>
      <c r="I324" s="75">
        <v>272678.55</v>
      </c>
      <c r="J324" s="76" t="s">
        <v>1463</v>
      </c>
      <c r="K324" s="70" t="s">
        <v>349</v>
      </c>
      <c r="L324" s="70" t="s">
        <v>349</v>
      </c>
      <c r="M324" s="70" t="str">
        <f t="shared" si="3"/>
        <v>107 Days</v>
      </c>
      <c r="N324" s="70" t="str">
        <f>IF($A$3=" "," ", IFERROR( VLOOKUP($A324,'SUPPLIER DATA BASE'!$A$2:$O$936,11,0),""))</f>
        <v>-</v>
      </c>
      <c r="O324" s="70" t="str">
        <f>IF($A$3=" "," ", IFERROR( VLOOKUP($A324,'SUPPLIER DATA BASE'!$A$2:$O$936,12,0),""))</f>
        <v>-</v>
      </c>
      <c r="P324" s="70" t="str">
        <f>IF($A$3=" "," ", IFERROR( VLOOKUP($A324,'SUPPLIER DATA BASE'!$A$2:$O$936,13,0),""))</f>
        <v>-</v>
      </c>
      <c r="Q324" s="77"/>
      <c r="R324" s="73"/>
      <c r="S324" s="77"/>
      <c r="T324" s="70"/>
      <c r="U324" s="78"/>
      <c r="V324" s="70" t="str">
        <f t="shared" si="4"/>
        <v>FY 25-26</v>
      </c>
      <c r="W324" s="23"/>
      <c r="X324" s="23"/>
    </row>
    <row r="325">
      <c r="A325" s="70" t="s">
        <v>354</v>
      </c>
      <c r="B325" s="70" t="str">
        <f>IF($A$3=" "," ", IFERROR( VLOOKUP($A325,'SUPPLIER DATA BASE'!$A$2:$M$936,3,0),""))</f>
        <v>-</v>
      </c>
      <c r="C325" s="70" t="str">
        <f>IF($A$3=" "," ", IFERROR( VLOOKUP($A325,'SUPPLIER DATA BASE'!$A$2:$F$936,6,0),""))</f>
        <v>-</v>
      </c>
      <c r="D325" s="70" t="str">
        <f>IF($A$3=" "," ", IFERROR( VLOOKUP($A325,'SUPPLIER DATA BASE'!$A$2:$G$936,4,0),""))</f>
        <v>-</v>
      </c>
      <c r="E325" s="71" t="str">
        <f>IF($A$3=" "," ", IFERROR( VLOOKUP($A325,'SUPPLIER DATA BASE'!$A$2:$H$936,5,0),""))</f>
        <v>-</v>
      </c>
      <c r="F325" s="72" t="s">
        <v>1464</v>
      </c>
      <c r="G325" s="73">
        <v>46081.0</v>
      </c>
      <c r="H325" s="74">
        <v>65.0</v>
      </c>
      <c r="I325" s="75">
        <v>124946.13</v>
      </c>
      <c r="J325" s="76" t="s">
        <v>1465</v>
      </c>
      <c r="K325" s="70" t="s">
        <v>349</v>
      </c>
      <c r="L325" s="70" t="s">
        <v>349</v>
      </c>
      <c r="M325" s="70" t="str">
        <f t="shared" si="3"/>
        <v>107 Days</v>
      </c>
      <c r="N325" s="70" t="str">
        <f>IF($A$3=" "," ", IFERROR( VLOOKUP($A325,'SUPPLIER DATA BASE'!$A$2:$O$936,11,0),""))</f>
        <v>-</v>
      </c>
      <c r="O325" s="70" t="str">
        <f>IF($A$3=" "," ", IFERROR( VLOOKUP($A325,'SUPPLIER DATA BASE'!$A$2:$O$936,12,0),""))</f>
        <v>-</v>
      </c>
      <c r="P325" s="70" t="str">
        <f>IF($A$3=" "," ", IFERROR( VLOOKUP($A325,'SUPPLIER DATA BASE'!$A$2:$O$936,13,0),""))</f>
        <v>-</v>
      </c>
      <c r="Q325" s="77"/>
      <c r="R325" s="73"/>
      <c r="S325" s="77"/>
      <c r="T325" s="70"/>
      <c r="U325" s="78"/>
      <c r="V325" s="70" t="str">
        <f t="shared" si="4"/>
        <v>FY 25-26</v>
      </c>
      <c r="W325" s="23"/>
      <c r="X325" s="23"/>
    </row>
    <row r="326">
      <c r="A326" s="70" t="s">
        <v>354</v>
      </c>
      <c r="B326" s="70" t="str">
        <f>IF($A$3=" "," ", IFERROR( VLOOKUP($A326,'SUPPLIER DATA BASE'!$A$2:$M$936,3,0),""))</f>
        <v>-</v>
      </c>
      <c r="C326" s="70" t="str">
        <f>IF($A$3=" "," ", IFERROR( VLOOKUP($A326,'SUPPLIER DATA BASE'!$A$2:$F$936,6,0),""))</f>
        <v>-</v>
      </c>
      <c r="D326" s="70" t="str">
        <f>IF($A$3=" "," ", IFERROR( VLOOKUP($A326,'SUPPLIER DATA BASE'!$A$2:$G$936,4,0),""))</f>
        <v>-</v>
      </c>
      <c r="E326" s="71" t="str">
        <f>IF($A$3=" "," ", IFERROR( VLOOKUP($A326,'SUPPLIER DATA BASE'!$A$2:$H$936,5,0),""))</f>
        <v>-</v>
      </c>
      <c r="F326" s="72" t="s">
        <v>1466</v>
      </c>
      <c r="G326" s="73">
        <v>46081.0</v>
      </c>
      <c r="H326" s="74">
        <v>3.0</v>
      </c>
      <c r="I326" s="75">
        <v>16579.37</v>
      </c>
      <c r="J326" s="76" t="s">
        <v>1467</v>
      </c>
      <c r="K326" s="70" t="s">
        <v>349</v>
      </c>
      <c r="L326" s="70" t="s">
        <v>349</v>
      </c>
      <c r="M326" s="70" t="str">
        <f t="shared" si="3"/>
        <v>107 Days</v>
      </c>
      <c r="N326" s="70" t="str">
        <f>IF($A$3=" "," ", IFERROR( VLOOKUP($A326,'SUPPLIER DATA BASE'!$A$2:$O$936,11,0),""))</f>
        <v>-</v>
      </c>
      <c r="O326" s="70" t="str">
        <f>IF($A$3=" "," ", IFERROR( VLOOKUP($A326,'SUPPLIER DATA BASE'!$A$2:$O$936,12,0),""))</f>
        <v>-</v>
      </c>
      <c r="P326" s="70" t="str">
        <f>IF($A$3=" "," ", IFERROR( VLOOKUP($A326,'SUPPLIER DATA BASE'!$A$2:$O$936,13,0),""))</f>
        <v>-</v>
      </c>
      <c r="Q326" s="77"/>
      <c r="R326" s="73"/>
      <c r="S326" s="77"/>
      <c r="T326" s="70"/>
      <c r="U326" s="78"/>
      <c r="V326" s="70" t="str">
        <f t="shared" si="4"/>
        <v>FY 25-26</v>
      </c>
      <c r="W326" s="23"/>
      <c r="X326" s="23"/>
    </row>
    <row r="327">
      <c r="A327" s="70" t="s">
        <v>354</v>
      </c>
      <c r="B327" s="70" t="str">
        <f>IF($A$3=" "," ", IFERROR( VLOOKUP($A327,'SUPPLIER DATA BASE'!$A$2:$M$936,3,0),""))</f>
        <v>-</v>
      </c>
      <c r="C327" s="70" t="str">
        <f>IF($A$3=" "," ", IFERROR( VLOOKUP($A327,'SUPPLIER DATA BASE'!$A$2:$F$936,6,0),""))</f>
        <v>-</v>
      </c>
      <c r="D327" s="70" t="str">
        <f>IF($A$3=" "," ", IFERROR( VLOOKUP($A327,'SUPPLIER DATA BASE'!$A$2:$G$936,4,0),""))</f>
        <v>-</v>
      </c>
      <c r="E327" s="71" t="str">
        <f>IF($A$3=" "," ", IFERROR( VLOOKUP($A327,'SUPPLIER DATA BASE'!$A$2:$H$936,5,0),""))</f>
        <v>-</v>
      </c>
      <c r="F327" s="72" t="s">
        <v>1468</v>
      </c>
      <c r="G327" s="73">
        <v>46081.0</v>
      </c>
      <c r="H327" s="74">
        <v>36.0</v>
      </c>
      <c r="I327" s="75">
        <v>78786.6</v>
      </c>
      <c r="J327" s="76" t="s">
        <v>1469</v>
      </c>
      <c r="K327" s="70" t="s">
        <v>349</v>
      </c>
      <c r="L327" s="70" t="s">
        <v>349</v>
      </c>
      <c r="M327" s="70" t="str">
        <f t="shared" si="3"/>
        <v>107 Days</v>
      </c>
      <c r="N327" s="70" t="str">
        <f>IF($A$3=" "," ", IFERROR( VLOOKUP($A327,'SUPPLIER DATA BASE'!$A$2:$O$936,11,0),""))</f>
        <v>-</v>
      </c>
      <c r="O327" s="70" t="str">
        <f>IF($A$3=" "," ", IFERROR( VLOOKUP($A327,'SUPPLIER DATA BASE'!$A$2:$O$936,12,0),""))</f>
        <v>-</v>
      </c>
      <c r="P327" s="70" t="str">
        <f>IF($A$3=" "," ", IFERROR( VLOOKUP($A327,'SUPPLIER DATA BASE'!$A$2:$O$936,13,0),""))</f>
        <v>-</v>
      </c>
      <c r="Q327" s="77"/>
      <c r="R327" s="73"/>
      <c r="S327" s="77"/>
      <c r="T327" s="70"/>
      <c r="U327" s="78"/>
      <c r="V327" s="70" t="str">
        <f t="shared" si="4"/>
        <v>FY 25-26</v>
      </c>
      <c r="W327" s="23"/>
      <c r="X327" s="23"/>
    </row>
    <row r="328">
      <c r="A328" s="70" t="s">
        <v>354</v>
      </c>
      <c r="B328" s="70" t="str">
        <f>IF($A$3=" "," ", IFERROR( VLOOKUP($A328,'SUPPLIER DATA BASE'!$A$2:$M$936,3,0),""))</f>
        <v>-</v>
      </c>
      <c r="C328" s="70" t="str">
        <f>IF($A$3=" "," ", IFERROR( VLOOKUP($A328,'SUPPLIER DATA BASE'!$A$2:$F$936,6,0),""))</f>
        <v>-</v>
      </c>
      <c r="D328" s="70" t="str">
        <f>IF($A$3=" "," ", IFERROR( VLOOKUP($A328,'SUPPLIER DATA BASE'!$A$2:$G$936,4,0),""))</f>
        <v>-</v>
      </c>
      <c r="E328" s="71" t="str">
        <f>IF($A$3=" "," ", IFERROR( VLOOKUP($A328,'SUPPLIER DATA BASE'!$A$2:$H$936,5,0),""))</f>
        <v>-</v>
      </c>
      <c r="F328" s="72" t="s">
        <v>1470</v>
      </c>
      <c r="G328" s="73">
        <v>46081.0</v>
      </c>
      <c r="H328" s="74">
        <v>14.0</v>
      </c>
      <c r="I328" s="75">
        <v>46527.99</v>
      </c>
      <c r="J328" s="76" t="s">
        <v>1471</v>
      </c>
      <c r="K328" s="70" t="s">
        <v>349</v>
      </c>
      <c r="L328" s="70" t="s">
        <v>349</v>
      </c>
      <c r="M328" s="70" t="str">
        <f t="shared" si="3"/>
        <v>107 Days</v>
      </c>
      <c r="N328" s="70" t="str">
        <f>IF($A$3=" "," ", IFERROR( VLOOKUP($A328,'SUPPLIER DATA BASE'!$A$2:$O$936,11,0),""))</f>
        <v>-</v>
      </c>
      <c r="O328" s="70" t="str">
        <f>IF($A$3=" "," ", IFERROR( VLOOKUP($A328,'SUPPLIER DATA BASE'!$A$2:$O$936,12,0),""))</f>
        <v>-</v>
      </c>
      <c r="P328" s="70" t="str">
        <f>IF($A$3=" "," ", IFERROR( VLOOKUP($A328,'SUPPLIER DATA BASE'!$A$2:$O$936,13,0),""))</f>
        <v>-</v>
      </c>
      <c r="Q328" s="77"/>
      <c r="R328" s="73"/>
      <c r="S328" s="77"/>
      <c r="T328" s="70"/>
      <c r="U328" s="78"/>
      <c r="V328" s="70" t="str">
        <f t="shared" si="4"/>
        <v>FY 25-26</v>
      </c>
      <c r="W328" s="23"/>
      <c r="X328" s="23"/>
    </row>
    <row r="329">
      <c r="A329" s="70" t="s">
        <v>723</v>
      </c>
      <c r="B329" s="70" t="str">
        <f>IF($A$3=" "," ", IFERROR( VLOOKUP($A329,'SUPPLIER DATA BASE'!$A$2:$M$936,3,0),""))</f>
        <v>-</v>
      </c>
      <c r="C329" s="70" t="str">
        <f>IF($A$3=" "," ", IFERROR( VLOOKUP($A329,'SUPPLIER DATA BASE'!$A$2:$F$936,6,0),""))</f>
        <v>-</v>
      </c>
      <c r="D329" s="70" t="str">
        <f>IF($A$3=" "," ", IFERROR( VLOOKUP($A329,'SUPPLIER DATA BASE'!$A$2:$G$936,4,0),""))</f>
        <v>-</v>
      </c>
      <c r="E329" s="71" t="str">
        <f>IF($A$3=" "," ", IFERROR( VLOOKUP($A329,'SUPPLIER DATA BASE'!$A$2:$H$936,5,0),""))</f>
        <v>-</v>
      </c>
      <c r="F329" s="70" t="s">
        <v>1472</v>
      </c>
      <c r="G329" s="73">
        <v>46081.0</v>
      </c>
      <c r="H329" s="74">
        <v>118.0</v>
      </c>
      <c r="I329" s="75">
        <v>73913.0</v>
      </c>
      <c r="J329" s="76" t="s">
        <v>1473</v>
      </c>
      <c r="K329" s="70" t="s">
        <v>349</v>
      </c>
      <c r="L329" s="70" t="s">
        <v>349</v>
      </c>
      <c r="M329" s="70" t="str">
        <f t="shared" si="3"/>
        <v>107 Days</v>
      </c>
      <c r="N329" s="70" t="str">
        <f>IF($A$3=" "," ", IFERROR( VLOOKUP($A329,'SUPPLIER DATA BASE'!$A$2:$O$936,11,0),""))</f>
        <v>-</v>
      </c>
      <c r="O329" s="70" t="str">
        <f>IF($A$3=" "," ", IFERROR( VLOOKUP($A329,'SUPPLIER DATA BASE'!$A$2:$O$936,12,0),""))</f>
        <v>-</v>
      </c>
      <c r="P329" s="70" t="str">
        <f>IF($A$3=" "," ", IFERROR( VLOOKUP($A329,'SUPPLIER DATA BASE'!$A$2:$O$936,13,0),""))</f>
        <v>-</v>
      </c>
      <c r="Q329" s="77"/>
      <c r="R329" s="73"/>
      <c r="S329" s="77"/>
      <c r="T329" s="70"/>
      <c r="U329" s="78"/>
      <c r="V329" s="70" t="str">
        <f t="shared" si="4"/>
        <v>FY 25-26</v>
      </c>
      <c r="W329" s="23"/>
      <c r="X329" s="23"/>
    </row>
    <row r="330">
      <c r="A330" s="70" t="s">
        <v>723</v>
      </c>
      <c r="B330" s="70" t="str">
        <f>IF($A$3=" "," ", IFERROR( VLOOKUP($A330,'SUPPLIER DATA BASE'!$A$2:$M$936,3,0),""))</f>
        <v>-</v>
      </c>
      <c r="C330" s="70" t="str">
        <f>IF($A$3=" "," ", IFERROR( VLOOKUP($A330,'SUPPLIER DATA BASE'!$A$2:$F$936,6,0),""))</f>
        <v>-</v>
      </c>
      <c r="D330" s="70" t="str">
        <f>IF($A$3=" "," ", IFERROR( VLOOKUP($A330,'SUPPLIER DATA BASE'!$A$2:$G$936,4,0),""))</f>
        <v>-</v>
      </c>
      <c r="E330" s="71" t="str">
        <f>IF($A$3=" "," ", IFERROR( VLOOKUP($A330,'SUPPLIER DATA BASE'!$A$2:$H$936,5,0),""))</f>
        <v>-</v>
      </c>
      <c r="F330" s="72" t="s">
        <v>1474</v>
      </c>
      <c r="G330" s="73">
        <v>46081.0</v>
      </c>
      <c r="H330" s="74">
        <v>78.0</v>
      </c>
      <c r="I330" s="75">
        <v>45184.0</v>
      </c>
      <c r="J330" s="76" t="s">
        <v>1475</v>
      </c>
      <c r="K330" s="70" t="s">
        <v>349</v>
      </c>
      <c r="L330" s="70" t="s">
        <v>349</v>
      </c>
      <c r="M330" s="70" t="str">
        <f t="shared" si="3"/>
        <v>107 Days</v>
      </c>
      <c r="N330" s="70" t="str">
        <f>IF($A$3=" "," ", IFERROR( VLOOKUP($A330,'SUPPLIER DATA BASE'!$A$2:$O$936,11,0),""))</f>
        <v>-</v>
      </c>
      <c r="O330" s="70" t="str">
        <f>IF($A$3=" "," ", IFERROR( VLOOKUP($A330,'SUPPLIER DATA BASE'!$A$2:$O$936,12,0),""))</f>
        <v>-</v>
      </c>
      <c r="P330" s="70" t="str">
        <f>IF($A$3=" "," ", IFERROR( VLOOKUP($A330,'SUPPLIER DATA BASE'!$A$2:$O$936,13,0),""))</f>
        <v>-</v>
      </c>
      <c r="Q330" s="77"/>
      <c r="R330" s="73"/>
      <c r="S330" s="77"/>
      <c r="T330" s="70"/>
      <c r="U330" s="78"/>
      <c r="V330" s="70" t="str">
        <f t="shared" si="4"/>
        <v>FY 25-26</v>
      </c>
      <c r="W330" s="23"/>
      <c r="X330" s="23"/>
    </row>
    <row r="331">
      <c r="A331" s="70" t="s">
        <v>818</v>
      </c>
      <c r="B331" s="70" t="str">
        <f>IF($A$3=" "," ", IFERROR( VLOOKUP($A331,'SUPPLIER DATA BASE'!$A$2:$M$936,3,0),""))</f>
        <v>DS YUVRAAJ</v>
      </c>
      <c r="C331" s="70" t="str">
        <f>IF($A$3=" "," ", IFERROR( VLOOKUP($A331,'SUPPLIER DATA BASE'!$A$2:$F$936,6,0),""))</f>
        <v/>
      </c>
      <c r="D331" s="70" t="str">
        <f>IF($A$3=" "," ", IFERROR( VLOOKUP($A331,'SUPPLIER DATA BASE'!$A$2:$G$936,4,0),""))</f>
        <v>-</v>
      </c>
      <c r="E331" s="71" t="str">
        <f>IF($A$3=" "," ", IFERROR( VLOOKUP($A331,'SUPPLIER DATA BASE'!$A$2:$H$936,5,0),""))</f>
        <v>-</v>
      </c>
      <c r="F331" s="72" t="s">
        <v>1476</v>
      </c>
      <c r="G331" s="73">
        <v>46081.0</v>
      </c>
      <c r="H331" s="74">
        <v>24.0</v>
      </c>
      <c r="I331" s="75">
        <v>38536.0</v>
      </c>
      <c r="J331" s="76" t="s">
        <v>1477</v>
      </c>
      <c r="K331" s="70" t="s">
        <v>349</v>
      </c>
      <c r="L331" s="73"/>
      <c r="M331" s="70" t="str">
        <f t="shared" si="3"/>
        <v>107 Days</v>
      </c>
      <c r="N331" s="70" t="str">
        <f>IF($A$3=" "," ", IFERROR( VLOOKUP($A331,'SUPPLIER DATA BASE'!$A$2:$O$936,11,0),""))</f>
        <v>DS YUVRAAJ</v>
      </c>
      <c r="O331" s="70" t="str">
        <f>IF($A$3=" "," ", IFERROR( VLOOKUP($A331,'SUPPLIER DATA BASE'!$A$2:$O$936,12,0),""))</f>
        <v>6912012063</v>
      </c>
      <c r="P331" s="70" t="str">
        <f>IF($A$3=" "," ", IFERROR( VLOOKUP($A331,'SUPPLIER DATA BASE'!$A$2:$O$936,13,0),""))</f>
        <v>KKBK0004586</v>
      </c>
      <c r="Q331" s="77"/>
      <c r="R331" s="73"/>
      <c r="S331" s="77"/>
      <c r="T331" s="70"/>
      <c r="U331" s="78"/>
      <c r="V331" s="70" t="str">
        <f t="shared" si="4"/>
        <v>FY 25-26</v>
      </c>
      <c r="W331" s="23"/>
      <c r="X331" s="23"/>
    </row>
    <row r="332">
      <c r="A332" s="70" t="s">
        <v>354</v>
      </c>
      <c r="B332" s="70" t="str">
        <f>IF($A$3=" "," ", IFERROR( VLOOKUP($A332,'SUPPLIER DATA BASE'!$A$2:$M$936,3,0),""))</f>
        <v>-</v>
      </c>
      <c r="C332" s="70" t="str">
        <f>IF($A$3=" "," ", IFERROR( VLOOKUP($A332,'SUPPLIER DATA BASE'!$A$2:$F$936,6,0),""))</f>
        <v>-</v>
      </c>
      <c r="D332" s="70" t="str">
        <f>IF($A$3=" "," ", IFERROR( VLOOKUP($A332,'SUPPLIER DATA BASE'!$A$2:$G$936,4,0),""))</f>
        <v>-</v>
      </c>
      <c r="E332" s="71" t="str">
        <f>IF($A$3=" "," ", IFERROR( VLOOKUP($A332,'SUPPLIER DATA BASE'!$A$2:$H$936,5,0),""))</f>
        <v>-</v>
      </c>
      <c r="F332" s="72" t="s">
        <v>1478</v>
      </c>
      <c r="G332" s="73">
        <v>46081.0</v>
      </c>
      <c r="H332" s="74">
        <v>2.0</v>
      </c>
      <c r="I332" s="75">
        <v>1897.98</v>
      </c>
      <c r="J332" s="76" t="s">
        <v>1479</v>
      </c>
      <c r="K332" s="70" t="s">
        <v>349</v>
      </c>
      <c r="L332" s="73"/>
      <c r="M332" s="70" t="str">
        <f t="shared" si="3"/>
        <v>107 Days</v>
      </c>
      <c r="N332" s="70" t="str">
        <f>IF($A$3=" "," ", IFERROR( VLOOKUP($A332,'SUPPLIER DATA BASE'!$A$2:$O$936,11,0),""))</f>
        <v>-</v>
      </c>
      <c r="O332" s="70" t="str">
        <f>IF($A$3=" "," ", IFERROR( VLOOKUP($A332,'SUPPLIER DATA BASE'!$A$2:$O$936,12,0),""))</f>
        <v>-</v>
      </c>
      <c r="P332" s="70" t="str">
        <f>IF($A$3=" "," ", IFERROR( VLOOKUP($A332,'SUPPLIER DATA BASE'!$A$2:$O$936,13,0),""))</f>
        <v>-</v>
      </c>
      <c r="Q332" s="77"/>
      <c r="R332" s="73"/>
      <c r="S332" s="77"/>
      <c r="T332" s="70"/>
      <c r="U332" s="78"/>
      <c r="V332" s="70" t="str">
        <f t="shared" si="4"/>
        <v>FY 25-26</v>
      </c>
      <c r="W332" s="23"/>
      <c r="X332" s="23"/>
    </row>
    <row r="333">
      <c r="A333" s="70" t="s">
        <v>603</v>
      </c>
      <c r="B333" s="70" t="str">
        <f>IF($A$3=" "," ", IFERROR( VLOOKUP($A333,'SUPPLIER DATA BASE'!$A$2:$M$936,3,0),""))</f>
        <v>-</v>
      </c>
      <c r="C333" s="70" t="str">
        <f>IF($A$3=" "," ", IFERROR( VLOOKUP($A333,'SUPPLIER DATA BASE'!$A$2:$F$936,6,0),""))</f>
        <v>-</v>
      </c>
      <c r="D333" s="70" t="str">
        <f>IF($A$3=" "," ", IFERROR( VLOOKUP($A333,'SUPPLIER DATA BASE'!$A$2:$G$936,4,0),""))</f>
        <v>-</v>
      </c>
      <c r="E333" s="71" t="str">
        <f>IF($A$3=" "," ", IFERROR( VLOOKUP($A333,'SUPPLIER DATA BASE'!$A$2:$H$936,5,0),""))</f>
        <v>-</v>
      </c>
      <c r="F333" s="88" t="s">
        <v>1480</v>
      </c>
      <c r="G333" s="73">
        <v>46082.0</v>
      </c>
      <c r="H333" s="74">
        <v>7.0</v>
      </c>
      <c r="I333" s="75">
        <v>5493.0</v>
      </c>
      <c r="J333" s="76" t="s">
        <v>1481</v>
      </c>
      <c r="K333" s="70" t="s">
        <v>349</v>
      </c>
      <c r="L333" s="70" t="s">
        <v>349</v>
      </c>
      <c r="M333" s="70" t="str">
        <f t="shared" si="3"/>
        <v>106 Days</v>
      </c>
      <c r="N333" s="70" t="str">
        <f>IF($A$3=" "," ", IFERROR( VLOOKUP($A333,'SUPPLIER DATA BASE'!$A$2:$O$936,11,0),""))</f>
        <v>-</v>
      </c>
      <c r="O333" s="70" t="str">
        <f>IF($A$3=" "," ", IFERROR( VLOOKUP($A333,'SUPPLIER DATA BASE'!$A$2:$O$936,12,0),""))</f>
        <v>-</v>
      </c>
      <c r="P333" s="70" t="str">
        <f>IF($A$3=" "," ", IFERROR( VLOOKUP($A333,'SUPPLIER DATA BASE'!$A$2:$O$936,13,0),""))</f>
        <v>-</v>
      </c>
      <c r="Q333" s="77"/>
      <c r="R333" s="73"/>
      <c r="S333" s="77"/>
      <c r="T333" s="70"/>
      <c r="U333" s="78"/>
      <c r="V333" s="70" t="str">
        <f t="shared" si="4"/>
        <v>FY 25-26</v>
      </c>
      <c r="W333" s="23"/>
      <c r="X333" s="23"/>
    </row>
    <row r="334">
      <c r="A334" s="70" t="s">
        <v>603</v>
      </c>
      <c r="B334" s="70" t="str">
        <f>IF($A$3=" "," ", IFERROR( VLOOKUP($A334,'SUPPLIER DATA BASE'!$A$2:$M$936,3,0),""))</f>
        <v>-</v>
      </c>
      <c r="C334" s="70" t="str">
        <f>IF($A$3=" "," ", IFERROR( VLOOKUP($A334,'SUPPLIER DATA BASE'!$A$2:$F$936,6,0),""))</f>
        <v>-</v>
      </c>
      <c r="D334" s="70" t="str">
        <f>IF($A$3=" "," ", IFERROR( VLOOKUP($A334,'SUPPLIER DATA BASE'!$A$2:$G$936,4,0),""))</f>
        <v>-</v>
      </c>
      <c r="E334" s="71" t="str">
        <f>IF($A$3=" "," ", IFERROR( VLOOKUP($A334,'SUPPLIER DATA BASE'!$A$2:$H$936,5,0),""))</f>
        <v>-</v>
      </c>
      <c r="F334" s="88" t="s">
        <v>1482</v>
      </c>
      <c r="G334" s="73">
        <v>46082.0</v>
      </c>
      <c r="H334" s="74">
        <v>5.0</v>
      </c>
      <c r="I334" s="75">
        <v>3995.0</v>
      </c>
      <c r="J334" s="76" t="s">
        <v>1483</v>
      </c>
      <c r="K334" s="70" t="s">
        <v>349</v>
      </c>
      <c r="L334" s="70" t="s">
        <v>349</v>
      </c>
      <c r="M334" s="70" t="str">
        <f t="shared" si="3"/>
        <v>106 Days</v>
      </c>
      <c r="N334" s="70" t="str">
        <f>IF($A$3=" "," ", IFERROR( VLOOKUP($A334,'SUPPLIER DATA BASE'!$A$2:$O$936,11,0),""))</f>
        <v>-</v>
      </c>
      <c r="O334" s="70" t="str">
        <f>IF($A$3=" "," ", IFERROR( VLOOKUP($A334,'SUPPLIER DATA BASE'!$A$2:$O$936,12,0),""))</f>
        <v>-</v>
      </c>
      <c r="P334" s="70" t="str">
        <f>IF($A$3=" "," ", IFERROR( VLOOKUP($A334,'SUPPLIER DATA BASE'!$A$2:$O$936,13,0),""))</f>
        <v>-</v>
      </c>
      <c r="Q334" s="77"/>
      <c r="R334" s="73"/>
      <c r="S334" s="77"/>
      <c r="T334" s="70"/>
      <c r="U334" s="78"/>
      <c r="V334" s="70" t="str">
        <f t="shared" si="4"/>
        <v>FY 25-26</v>
      </c>
      <c r="W334" s="23"/>
      <c r="X334" s="23"/>
    </row>
    <row r="335">
      <c r="A335" s="70" t="s">
        <v>425</v>
      </c>
      <c r="B335" s="70" t="str">
        <f>IF($A$3=" "," ", IFERROR( VLOOKUP($A335,'SUPPLIER DATA BASE'!$A$2:$M$936,3,0),""))</f>
        <v>SANSKAR</v>
      </c>
      <c r="C335" s="70" t="str">
        <f>IF($A$3=" "," ", IFERROR( VLOOKUP($A335,'SUPPLIER DATA BASE'!$A$2:$F$936,6,0),""))</f>
        <v>-</v>
      </c>
      <c r="D335" s="70" t="str">
        <f>IF($A$3=" "," ", IFERROR( VLOOKUP($A335,'SUPPLIER DATA BASE'!$A$2:$G$936,4,0),""))</f>
        <v>-</v>
      </c>
      <c r="E335" s="71" t="str">
        <f>IF($A$3=" "," ", IFERROR( VLOOKUP($A335,'SUPPLIER DATA BASE'!$A$2:$H$936,5,0),""))</f>
        <v>-</v>
      </c>
      <c r="F335" s="72" t="s">
        <v>1484</v>
      </c>
      <c r="G335" s="73">
        <v>46083.0</v>
      </c>
      <c r="H335" s="74">
        <v>9.0</v>
      </c>
      <c r="I335" s="75">
        <v>16284.0</v>
      </c>
      <c r="J335" s="76" t="s">
        <v>1485</v>
      </c>
      <c r="K335" s="70" t="s">
        <v>349</v>
      </c>
      <c r="L335" s="70" t="s">
        <v>349</v>
      </c>
      <c r="M335" s="70" t="str">
        <f t="shared" si="3"/>
        <v>105 Days</v>
      </c>
      <c r="N335" s="70" t="str">
        <f>IF($A$3=" "," ", IFERROR( VLOOKUP($A335,'SUPPLIER DATA BASE'!$A$2:$O$936,11,0),""))</f>
        <v>-</v>
      </c>
      <c r="O335" s="70" t="str">
        <f>IF($A$3=" "," ", IFERROR( VLOOKUP($A335,'SUPPLIER DATA BASE'!$A$2:$O$936,12,0),""))</f>
        <v>-</v>
      </c>
      <c r="P335" s="70" t="str">
        <f>IF($A$3=" "," ", IFERROR( VLOOKUP($A335,'SUPPLIER DATA BASE'!$A$2:$O$936,13,0),""))</f>
        <v>-</v>
      </c>
      <c r="Q335" s="77"/>
      <c r="R335" s="73"/>
      <c r="S335" s="77"/>
      <c r="T335" s="70"/>
      <c r="U335" s="78"/>
      <c r="V335" s="70" t="str">
        <f t="shared" si="4"/>
        <v>FY 25-26</v>
      </c>
      <c r="W335" s="23"/>
      <c r="X335" s="23"/>
    </row>
    <row r="336">
      <c r="A336" s="70" t="s">
        <v>354</v>
      </c>
      <c r="B336" s="70" t="str">
        <f>IF($A$3=" "," ", IFERROR( VLOOKUP($A336,'SUPPLIER DATA BASE'!$A$2:$M$936,3,0),""))</f>
        <v>-</v>
      </c>
      <c r="C336" s="70" t="str">
        <f>IF($A$3=" "," ", IFERROR( VLOOKUP($A336,'SUPPLIER DATA BASE'!$A$2:$F$936,6,0),""))</f>
        <v>-</v>
      </c>
      <c r="D336" s="70" t="str">
        <f>IF($A$3=" "," ", IFERROR( VLOOKUP($A336,'SUPPLIER DATA BASE'!$A$2:$G$936,4,0),""))</f>
        <v>-</v>
      </c>
      <c r="E336" s="71" t="str">
        <f>IF($A$3=" "," ", IFERROR( VLOOKUP($A336,'SUPPLIER DATA BASE'!$A$2:$H$936,5,0),""))</f>
        <v>-</v>
      </c>
      <c r="F336" s="72" t="s">
        <v>1486</v>
      </c>
      <c r="G336" s="73">
        <v>46083.0</v>
      </c>
      <c r="H336" s="74">
        <v>10.0</v>
      </c>
      <c r="I336" s="75">
        <v>4208.2</v>
      </c>
      <c r="J336" s="76" t="s">
        <v>1487</v>
      </c>
      <c r="K336" s="70" t="s">
        <v>349</v>
      </c>
      <c r="L336" s="70" t="s">
        <v>349</v>
      </c>
      <c r="M336" s="70" t="str">
        <f t="shared" si="3"/>
        <v>105 Days</v>
      </c>
      <c r="N336" s="70" t="str">
        <f>IF($A$3=" "," ", IFERROR( VLOOKUP($A336,'SUPPLIER DATA BASE'!$A$2:$O$936,11,0),""))</f>
        <v>-</v>
      </c>
      <c r="O336" s="70" t="str">
        <f>IF($A$3=" "," ", IFERROR( VLOOKUP($A336,'SUPPLIER DATA BASE'!$A$2:$O$936,12,0),""))</f>
        <v>-</v>
      </c>
      <c r="P336" s="70" t="str">
        <f>IF($A$3=" "," ", IFERROR( VLOOKUP($A336,'SUPPLIER DATA BASE'!$A$2:$O$936,13,0),""))</f>
        <v>-</v>
      </c>
      <c r="Q336" s="77"/>
      <c r="R336" s="73"/>
      <c r="S336" s="77"/>
      <c r="T336" s="70"/>
      <c r="U336" s="78"/>
      <c r="V336" s="70" t="str">
        <f t="shared" si="4"/>
        <v>FY 25-26</v>
      </c>
      <c r="W336" s="23"/>
      <c r="X336" s="23"/>
    </row>
    <row r="337">
      <c r="A337" s="70" t="s">
        <v>354</v>
      </c>
      <c r="B337" s="70" t="str">
        <f>IF($A$3=" "," ", IFERROR( VLOOKUP($A337,'SUPPLIER DATA BASE'!$A$2:$M$936,3,0),""))</f>
        <v>-</v>
      </c>
      <c r="C337" s="70" t="str">
        <f>IF($A$3=" "," ", IFERROR( VLOOKUP($A337,'SUPPLIER DATA BASE'!$A$2:$F$936,6,0),""))</f>
        <v>-</v>
      </c>
      <c r="D337" s="70" t="str">
        <f>IF($A$3=" "," ", IFERROR( VLOOKUP($A337,'SUPPLIER DATA BASE'!$A$2:$G$936,4,0),""))</f>
        <v>-</v>
      </c>
      <c r="E337" s="71" t="str">
        <f>IF($A$3=" "," ", IFERROR( VLOOKUP($A337,'SUPPLIER DATA BASE'!$A$2:$H$936,5,0),""))</f>
        <v>-</v>
      </c>
      <c r="F337" s="72" t="s">
        <v>1488</v>
      </c>
      <c r="G337" s="73">
        <v>46083.0</v>
      </c>
      <c r="H337" s="74">
        <v>13.0</v>
      </c>
      <c r="I337" s="75">
        <v>18038.23</v>
      </c>
      <c r="J337" s="76" t="s">
        <v>1489</v>
      </c>
      <c r="K337" s="70" t="s">
        <v>349</v>
      </c>
      <c r="L337" s="70" t="s">
        <v>349</v>
      </c>
      <c r="M337" s="70" t="str">
        <f t="shared" si="3"/>
        <v>105 Days</v>
      </c>
      <c r="N337" s="70" t="str">
        <f>IF($A$3=" "," ", IFERROR( VLOOKUP($A337,'SUPPLIER DATA BASE'!$A$2:$O$936,11,0),""))</f>
        <v>-</v>
      </c>
      <c r="O337" s="70" t="str">
        <f>IF($A$3=" "," ", IFERROR( VLOOKUP($A337,'SUPPLIER DATA BASE'!$A$2:$O$936,12,0),""))</f>
        <v>-</v>
      </c>
      <c r="P337" s="70" t="str">
        <f>IF($A$3=" "," ", IFERROR( VLOOKUP($A337,'SUPPLIER DATA BASE'!$A$2:$O$936,13,0),""))</f>
        <v>-</v>
      </c>
      <c r="Q337" s="77"/>
      <c r="R337" s="73"/>
      <c r="S337" s="77"/>
      <c r="T337" s="70"/>
      <c r="U337" s="78"/>
      <c r="V337" s="70" t="str">
        <f t="shared" si="4"/>
        <v>FY 25-26</v>
      </c>
      <c r="W337" s="23"/>
      <c r="X337" s="23"/>
    </row>
    <row r="338">
      <c r="A338" s="70" t="s">
        <v>354</v>
      </c>
      <c r="B338" s="70" t="str">
        <f>IF($A$3=" "," ", IFERROR( VLOOKUP($A338,'SUPPLIER DATA BASE'!$A$2:$M$936,3,0),""))</f>
        <v>-</v>
      </c>
      <c r="C338" s="70" t="str">
        <f>IF($A$3=" "," ", IFERROR( VLOOKUP($A338,'SUPPLIER DATA BASE'!$A$2:$F$936,6,0),""))</f>
        <v>-</v>
      </c>
      <c r="D338" s="70" t="str">
        <f>IF($A$3=" "," ", IFERROR( VLOOKUP($A338,'SUPPLIER DATA BASE'!$A$2:$G$936,4,0),""))</f>
        <v>-</v>
      </c>
      <c r="E338" s="71" t="str">
        <f>IF($A$3=" "," ", IFERROR( VLOOKUP($A338,'SUPPLIER DATA BASE'!$A$2:$H$936,5,0),""))</f>
        <v>-</v>
      </c>
      <c r="F338" s="72" t="s">
        <v>1490</v>
      </c>
      <c r="G338" s="73">
        <v>46083.0</v>
      </c>
      <c r="H338" s="74">
        <v>16.0</v>
      </c>
      <c r="I338" s="75">
        <v>42270.79</v>
      </c>
      <c r="J338" s="76" t="s">
        <v>1491</v>
      </c>
      <c r="K338" s="70" t="s">
        <v>349</v>
      </c>
      <c r="L338" s="70" t="s">
        <v>349</v>
      </c>
      <c r="M338" s="70" t="str">
        <f t="shared" si="3"/>
        <v>105 Days</v>
      </c>
      <c r="N338" s="70" t="str">
        <f>IF($A$3=" "," ", IFERROR( VLOOKUP($A338,'SUPPLIER DATA BASE'!$A$2:$O$936,11,0),""))</f>
        <v>-</v>
      </c>
      <c r="O338" s="70" t="str">
        <f>IF($A$3=" "," ", IFERROR( VLOOKUP($A338,'SUPPLIER DATA BASE'!$A$2:$O$936,12,0),""))</f>
        <v>-</v>
      </c>
      <c r="P338" s="70" t="str">
        <f>IF($A$3=" "," ", IFERROR( VLOOKUP($A338,'SUPPLIER DATA BASE'!$A$2:$O$936,13,0),""))</f>
        <v>-</v>
      </c>
      <c r="Q338" s="77"/>
      <c r="R338" s="73"/>
      <c r="S338" s="77"/>
      <c r="T338" s="70"/>
      <c r="U338" s="78"/>
      <c r="V338" s="70" t="str">
        <f t="shared" si="4"/>
        <v>FY 25-26</v>
      </c>
      <c r="W338" s="23"/>
      <c r="X338" s="23"/>
    </row>
    <row r="339">
      <c r="A339" s="70" t="s">
        <v>713</v>
      </c>
      <c r="B339" s="70" t="str">
        <f>IF($A$3=" "," ", IFERROR( VLOOKUP($A339,'SUPPLIER DATA BASE'!$A$2:$M$936,3,0),""))</f>
        <v>-</v>
      </c>
      <c r="C339" s="70" t="str">
        <f>IF($A$3=" "," ", IFERROR( VLOOKUP($A339,'SUPPLIER DATA BASE'!$A$2:$F$936,6,0),""))</f>
        <v>SURYAM TEXTILE AGENCY</v>
      </c>
      <c r="D339" s="70" t="str">
        <f>IF($A$3=" "," ", IFERROR( VLOOKUP($A339,'SUPPLIER DATA BASE'!$A$2:$G$936,4,0),""))</f>
        <v>NO</v>
      </c>
      <c r="E339" s="71" t="str">
        <f>IF($A$3=" "," ", IFERROR( VLOOKUP($A339,'SUPPLIER DATA BASE'!$A$2:$H$936,5,0),""))</f>
        <v>-</v>
      </c>
      <c r="F339" s="82">
        <v>125096.0</v>
      </c>
      <c r="G339" s="73">
        <v>46083.0</v>
      </c>
      <c r="H339" s="74">
        <v>52.0</v>
      </c>
      <c r="I339" s="75">
        <v>44804.0</v>
      </c>
      <c r="J339" s="76" t="s">
        <v>1492</v>
      </c>
      <c r="K339" s="70" t="s">
        <v>349</v>
      </c>
      <c r="L339" s="70" t="s">
        <v>349</v>
      </c>
      <c r="M339" s="70" t="str">
        <f t="shared" si="3"/>
        <v>105 Days</v>
      </c>
      <c r="N339" s="70" t="str">
        <f>IF($A$3=" "," ", IFERROR( VLOOKUP($A339,'SUPPLIER DATA BASE'!$A$2:$O$936,11,0),""))</f>
        <v>SHRITHIK DESIGNER LLP</v>
      </c>
      <c r="O339" s="70" t="str">
        <f>IF($A$3=" "," ", IFERROR( VLOOKUP($A339,'SUPPLIER DATA BASE'!$A$2:$O$936,12,0),""))</f>
        <v>339805000598</v>
      </c>
      <c r="P339" s="70" t="str">
        <f>IF($A$3=" "," ", IFERROR( VLOOKUP($A339,'SUPPLIER DATA BASE'!$A$2:$O$936,13,0),""))</f>
        <v>ICIC0003398</v>
      </c>
      <c r="Q339" s="77"/>
      <c r="R339" s="73"/>
      <c r="S339" s="77"/>
      <c r="T339" s="70"/>
      <c r="U339" s="78"/>
      <c r="V339" s="70" t="str">
        <f t="shared" si="4"/>
        <v>FY 25-26</v>
      </c>
      <c r="W339" s="23"/>
      <c r="X339" s="23"/>
    </row>
    <row r="340">
      <c r="A340" s="70" t="s">
        <v>354</v>
      </c>
      <c r="B340" s="70" t="str">
        <f>IF($A$3=" "," ", IFERROR( VLOOKUP($A340,'SUPPLIER DATA BASE'!$A$2:$M$936,3,0),""))</f>
        <v>-</v>
      </c>
      <c r="C340" s="70" t="str">
        <f>IF($A$3=" "," ", IFERROR( VLOOKUP($A340,'SUPPLIER DATA BASE'!$A$2:$F$936,6,0),""))</f>
        <v>-</v>
      </c>
      <c r="D340" s="70" t="str">
        <f>IF($A$3=" "," ", IFERROR( VLOOKUP($A340,'SUPPLIER DATA BASE'!$A$2:$G$936,4,0),""))</f>
        <v>-</v>
      </c>
      <c r="E340" s="71" t="str">
        <f>IF($A$3=" "," ", IFERROR( VLOOKUP($A340,'SUPPLIER DATA BASE'!$A$2:$H$936,5,0),""))</f>
        <v>-</v>
      </c>
      <c r="F340" s="72" t="s">
        <v>1493</v>
      </c>
      <c r="G340" s="73">
        <v>46083.0</v>
      </c>
      <c r="H340" s="74">
        <v>1.0</v>
      </c>
      <c r="I340" s="75">
        <v>1808.05</v>
      </c>
      <c r="J340" s="76" t="s">
        <v>1494</v>
      </c>
      <c r="K340" s="70" t="s">
        <v>349</v>
      </c>
      <c r="L340" s="70" t="s">
        <v>349</v>
      </c>
      <c r="M340" s="70" t="str">
        <f t="shared" si="3"/>
        <v>105 Days</v>
      </c>
      <c r="N340" s="70" t="str">
        <f>IF($A$3=" "," ", IFERROR( VLOOKUP($A340,'SUPPLIER DATA BASE'!$A$2:$O$936,11,0),""))</f>
        <v>-</v>
      </c>
      <c r="O340" s="70" t="str">
        <f>IF($A$3=" "," ", IFERROR( VLOOKUP($A340,'SUPPLIER DATA BASE'!$A$2:$O$936,12,0),""))</f>
        <v>-</v>
      </c>
      <c r="P340" s="70" t="str">
        <f>IF($A$3=" "," ", IFERROR( VLOOKUP($A340,'SUPPLIER DATA BASE'!$A$2:$O$936,13,0),""))</f>
        <v>-</v>
      </c>
      <c r="Q340" s="77"/>
      <c r="R340" s="73"/>
      <c r="S340" s="77"/>
      <c r="T340" s="70"/>
      <c r="U340" s="78"/>
      <c r="V340" s="70" t="str">
        <f t="shared" si="4"/>
        <v>FY 25-26</v>
      </c>
      <c r="W340" s="23"/>
      <c r="X340" s="23"/>
    </row>
    <row r="341">
      <c r="A341" s="70" t="s">
        <v>354</v>
      </c>
      <c r="B341" s="70" t="str">
        <f>IF($A$3=" "," ", IFERROR( VLOOKUP($A341,'SUPPLIER DATA BASE'!$A$2:$M$936,3,0),""))</f>
        <v>-</v>
      </c>
      <c r="C341" s="70" t="str">
        <f>IF($A$3=" "," ", IFERROR( VLOOKUP($A341,'SUPPLIER DATA BASE'!$A$2:$F$936,6,0),""))</f>
        <v>-</v>
      </c>
      <c r="D341" s="70" t="str">
        <f>IF($A$3=" "," ", IFERROR( VLOOKUP($A341,'SUPPLIER DATA BASE'!$A$2:$G$936,4,0),""))</f>
        <v>-</v>
      </c>
      <c r="E341" s="71" t="str">
        <f>IF($A$3=" "," ", IFERROR( VLOOKUP($A341,'SUPPLIER DATA BASE'!$A$2:$H$936,5,0),""))</f>
        <v>-</v>
      </c>
      <c r="F341" s="72" t="s">
        <v>1495</v>
      </c>
      <c r="G341" s="73">
        <v>46083.0</v>
      </c>
      <c r="H341" s="74">
        <v>51.0</v>
      </c>
      <c r="I341" s="75">
        <v>56720.32</v>
      </c>
      <c r="J341" s="76" t="s">
        <v>1496</v>
      </c>
      <c r="K341" s="70" t="s">
        <v>349</v>
      </c>
      <c r="L341" s="70" t="s">
        <v>349</v>
      </c>
      <c r="M341" s="70" t="str">
        <f t="shared" si="3"/>
        <v>105 Days</v>
      </c>
      <c r="N341" s="70" t="str">
        <f>IF($A$3=" "," ", IFERROR( VLOOKUP($A341,'SUPPLIER DATA BASE'!$A$2:$O$936,11,0),""))</f>
        <v>-</v>
      </c>
      <c r="O341" s="70" t="str">
        <f>IF($A$3=" "," ", IFERROR( VLOOKUP($A341,'SUPPLIER DATA BASE'!$A$2:$O$936,12,0),""))</f>
        <v>-</v>
      </c>
      <c r="P341" s="70" t="str">
        <f>IF($A$3=" "," ", IFERROR( VLOOKUP($A341,'SUPPLIER DATA BASE'!$A$2:$O$936,13,0),""))</f>
        <v>-</v>
      </c>
      <c r="Q341" s="77"/>
      <c r="R341" s="73"/>
      <c r="S341" s="77"/>
      <c r="T341" s="70"/>
      <c r="U341" s="78"/>
      <c r="V341" s="70" t="str">
        <f t="shared" si="4"/>
        <v>FY 25-26</v>
      </c>
      <c r="W341" s="23"/>
      <c r="X341" s="23"/>
    </row>
    <row r="342">
      <c r="A342" s="70" t="s">
        <v>354</v>
      </c>
      <c r="B342" s="70" t="str">
        <f>IF($A$3=" "," ", IFERROR( VLOOKUP($A342,'SUPPLIER DATA BASE'!$A$2:$M$936,3,0),""))</f>
        <v>-</v>
      </c>
      <c r="C342" s="70" t="str">
        <f>IF($A$3=" "," ", IFERROR( VLOOKUP($A342,'SUPPLIER DATA BASE'!$A$2:$F$936,6,0),""))</f>
        <v>-</v>
      </c>
      <c r="D342" s="70" t="str">
        <f>IF($A$3=" "," ", IFERROR( VLOOKUP($A342,'SUPPLIER DATA BASE'!$A$2:$G$936,4,0),""))</f>
        <v>-</v>
      </c>
      <c r="E342" s="71" t="str">
        <f>IF($A$3=" "," ", IFERROR( VLOOKUP($A342,'SUPPLIER DATA BASE'!$A$2:$H$936,5,0),""))</f>
        <v>-</v>
      </c>
      <c r="F342" s="72" t="s">
        <v>1497</v>
      </c>
      <c r="G342" s="73">
        <v>46083.0</v>
      </c>
      <c r="H342" s="74">
        <v>7.0</v>
      </c>
      <c r="I342" s="75">
        <v>13235.68</v>
      </c>
      <c r="J342" s="76" t="s">
        <v>1498</v>
      </c>
      <c r="K342" s="70" t="s">
        <v>349</v>
      </c>
      <c r="L342" s="70" t="s">
        <v>349</v>
      </c>
      <c r="M342" s="70" t="str">
        <f t="shared" si="3"/>
        <v>105 Days</v>
      </c>
      <c r="N342" s="70" t="str">
        <f>IF($A$3=" "," ", IFERROR( VLOOKUP($A342,'SUPPLIER DATA BASE'!$A$2:$O$936,11,0),""))</f>
        <v>-</v>
      </c>
      <c r="O342" s="70" t="str">
        <f>IF($A$3=" "," ", IFERROR( VLOOKUP($A342,'SUPPLIER DATA BASE'!$A$2:$O$936,12,0),""))</f>
        <v>-</v>
      </c>
      <c r="P342" s="70" t="str">
        <f>IF($A$3=" "," ", IFERROR( VLOOKUP($A342,'SUPPLIER DATA BASE'!$A$2:$O$936,13,0),""))</f>
        <v>-</v>
      </c>
      <c r="Q342" s="77"/>
      <c r="R342" s="73"/>
      <c r="S342" s="77"/>
      <c r="T342" s="70"/>
      <c r="U342" s="78"/>
      <c r="V342" s="70" t="str">
        <f t="shared" si="4"/>
        <v>FY 25-26</v>
      </c>
      <c r="W342" s="23"/>
      <c r="X342" s="23"/>
    </row>
    <row r="343">
      <c r="A343" s="70" t="s">
        <v>354</v>
      </c>
      <c r="B343" s="70" t="str">
        <f>IF($A$3=" "," ", IFERROR( VLOOKUP($A343,'SUPPLIER DATA BASE'!$A$2:$M$936,3,0),""))</f>
        <v>-</v>
      </c>
      <c r="C343" s="70" t="str">
        <f>IF($A$3=" "," ", IFERROR( VLOOKUP($A343,'SUPPLIER DATA BASE'!$A$2:$F$936,6,0),""))</f>
        <v>-</v>
      </c>
      <c r="D343" s="70" t="str">
        <f>IF($A$3=" "," ", IFERROR( VLOOKUP($A343,'SUPPLIER DATA BASE'!$A$2:$G$936,4,0),""))</f>
        <v>-</v>
      </c>
      <c r="E343" s="71" t="str">
        <f>IF($A$3=" "," ", IFERROR( VLOOKUP($A343,'SUPPLIER DATA BASE'!$A$2:$H$936,5,0),""))</f>
        <v>-</v>
      </c>
      <c r="F343" s="72" t="s">
        <v>1499</v>
      </c>
      <c r="G343" s="73">
        <v>46083.0</v>
      </c>
      <c r="H343" s="74">
        <v>3.0</v>
      </c>
      <c r="I343" s="75">
        <v>5293.42</v>
      </c>
      <c r="J343" s="76" t="s">
        <v>1500</v>
      </c>
      <c r="K343" s="70" t="s">
        <v>349</v>
      </c>
      <c r="L343" s="70" t="s">
        <v>349</v>
      </c>
      <c r="M343" s="70" t="str">
        <f t="shared" si="3"/>
        <v>105 Days</v>
      </c>
      <c r="N343" s="70" t="str">
        <f>IF($A$3=" "," ", IFERROR( VLOOKUP($A343,'SUPPLIER DATA BASE'!$A$2:$O$936,11,0),""))</f>
        <v>-</v>
      </c>
      <c r="O343" s="70" t="str">
        <f>IF($A$3=" "," ", IFERROR( VLOOKUP($A343,'SUPPLIER DATA BASE'!$A$2:$O$936,12,0),""))</f>
        <v>-</v>
      </c>
      <c r="P343" s="70" t="str">
        <f>IF($A$3=" "," ", IFERROR( VLOOKUP($A343,'SUPPLIER DATA BASE'!$A$2:$O$936,13,0),""))</f>
        <v>-</v>
      </c>
      <c r="Q343" s="77"/>
      <c r="R343" s="73"/>
      <c r="S343" s="77"/>
      <c r="T343" s="70"/>
      <c r="U343" s="78"/>
      <c r="V343" s="70" t="str">
        <f t="shared" si="4"/>
        <v>FY 25-26</v>
      </c>
      <c r="W343" s="23"/>
      <c r="X343" s="23"/>
    </row>
    <row r="344">
      <c r="A344" s="70" t="s">
        <v>354</v>
      </c>
      <c r="B344" s="70" t="str">
        <f>IF($A$3=" "," ", IFERROR( VLOOKUP($A344,'SUPPLIER DATA BASE'!$A$2:$M$936,3,0),""))</f>
        <v>-</v>
      </c>
      <c r="C344" s="70" t="str">
        <f>IF($A$3=" "," ", IFERROR( VLOOKUP($A344,'SUPPLIER DATA BASE'!$A$2:$F$936,6,0),""))</f>
        <v>-</v>
      </c>
      <c r="D344" s="70" t="str">
        <f>IF($A$3=" "," ", IFERROR( VLOOKUP($A344,'SUPPLIER DATA BASE'!$A$2:$G$936,4,0),""))</f>
        <v>-</v>
      </c>
      <c r="E344" s="71" t="str">
        <f>IF($A$3=" "," ", IFERROR( VLOOKUP($A344,'SUPPLIER DATA BASE'!$A$2:$H$936,5,0),""))</f>
        <v>-</v>
      </c>
      <c r="F344" s="72" t="s">
        <v>1501</v>
      </c>
      <c r="G344" s="73">
        <v>46083.0</v>
      </c>
      <c r="H344" s="74">
        <v>18.0</v>
      </c>
      <c r="I344" s="75">
        <v>38647.0</v>
      </c>
      <c r="J344" s="76" t="s">
        <v>1502</v>
      </c>
      <c r="K344" s="70" t="s">
        <v>349</v>
      </c>
      <c r="L344" s="70" t="s">
        <v>349</v>
      </c>
      <c r="M344" s="70" t="str">
        <f t="shared" si="3"/>
        <v>105 Days</v>
      </c>
      <c r="N344" s="70" t="str">
        <f>IF($A$3=" "," ", IFERROR( VLOOKUP($A344,'SUPPLIER DATA BASE'!$A$2:$O$936,11,0),""))</f>
        <v>-</v>
      </c>
      <c r="O344" s="70" t="str">
        <f>IF($A$3=" "," ", IFERROR( VLOOKUP($A344,'SUPPLIER DATA BASE'!$A$2:$O$936,12,0),""))</f>
        <v>-</v>
      </c>
      <c r="P344" s="70" t="str">
        <f>IF($A$3=" "," ", IFERROR( VLOOKUP($A344,'SUPPLIER DATA BASE'!$A$2:$O$936,13,0),""))</f>
        <v>-</v>
      </c>
      <c r="Q344" s="77"/>
      <c r="R344" s="73"/>
      <c r="S344" s="77"/>
      <c r="T344" s="70"/>
      <c r="U344" s="78"/>
      <c r="V344" s="70" t="str">
        <f t="shared" si="4"/>
        <v>FY 25-26</v>
      </c>
      <c r="W344" s="23"/>
      <c r="X344" s="23"/>
    </row>
    <row r="345">
      <c r="A345" s="70" t="s">
        <v>354</v>
      </c>
      <c r="B345" s="70" t="str">
        <f>IF($A$3=" "," ", IFERROR( VLOOKUP($A345,'SUPPLIER DATA BASE'!$A$2:$M$936,3,0),""))</f>
        <v>-</v>
      </c>
      <c r="C345" s="70" t="str">
        <f>IF($A$3=" "," ", IFERROR( VLOOKUP($A345,'SUPPLIER DATA BASE'!$A$2:$F$936,6,0),""))</f>
        <v>-</v>
      </c>
      <c r="D345" s="70" t="str">
        <f>IF($A$3=" "," ", IFERROR( VLOOKUP($A345,'SUPPLIER DATA BASE'!$A$2:$G$936,4,0),""))</f>
        <v>-</v>
      </c>
      <c r="E345" s="71" t="str">
        <f>IF($A$3=" "," ", IFERROR( VLOOKUP($A345,'SUPPLIER DATA BASE'!$A$2:$H$936,5,0),""))</f>
        <v>-</v>
      </c>
      <c r="F345" s="72" t="s">
        <v>1503</v>
      </c>
      <c r="G345" s="73">
        <v>46083.0</v>
      </c>
      <c r="H345" s="74">
        <v>7.0</v>
      </c>
      <c r="I345" s="75">
        <v>12048.8</v>
      </c>
      <c r="J345" s="76" t="s">
        <v>1504</v>
      </c>
      <c r="K345" s="70" t="s">
        <v>349</v>
      </c>
      <c r="L345" s="70" t="s">
        <v>349</v>
      </c>
      <c r="M345" s="70" t="str">
        <f t="shared" si="3"/>
        <v>105 Days</v>
      </c>
      <c r="N345" s="70" t="str">
        <f>IF($A$3=" "," ", IFERROR( VLOOKUP($A345,'SUPPLIER DATA BASE'!$A$2:$O$936,11,0),""))</f>
        <v>-</v>
      </c>
      <c r="O345" s="70" t="str">
        <f>IF($A$3=" "," ", IFERROR( VLOOKUP($A345,'SUPPLIER DATA BASE'!$A$2:$O$936,12,0),""))</f>
        <v>-</v>
      </c>
      <c r="P345" s="70" t="str">
        <f>IF($A$3=" "," ", IFERROR( VLOOKUP($A345,'SUPPLIER DATA BASE'!$A$2:$O$936,13,0),""))</f>
        <v>-</v>
      </c>
      <c r="Q345" s="77"/>
      <c r="R345" s="73"/>
      <c r="S345" s="77"/>
      <c r="T345" s="70"/>
      <c r="U345" s="78"/>
      <c r="V345" s="70" t="str">
        <f t="shared" si="4"/>
        <v>FY 25-26</v>
      </c>
      <c r="W345" s="23"/>
      <c r="X345" s="23"/>
    </row>
    <row r="346">
      <c r="A346" s="70" t="s">
        <v>658</v>
      </c>
      <c r="B346" s="70" t="str">
        <f>IF($A$3=" "," ", IFERROR( VLOOKUP($A346,'SUPPLIER DATA BASE'!$A$2:$M$936,3,0),""))</f>
        <v>-</v>
      </c>
      <c r="C346" s="70" t="str">
        <f>IF($A$3=" "," ", IFERROR( VLOOKUP($A346,'SUPPLIER DATA BASE'!$A$2:$F$936,6,0),""))</f>
        <v>-</v>
      </c>
      <c r="D346" s="70" t="str">
        <f>IF($A$3=" "," ", IFERROR( VLOOKUP($A346,'SUPPLIER DATA BASE'!$A$2:$G$936,4,0),""))</f>
        <v>-</v>
      </c>
      <c r="E346" s="71" t="str">
        <f>IF($A$3=" "," ", IFERROR( VLOOKUP($A346,'SUPPLIER DATA BASE'!$A$2:$H$936,5,0),""))</f>
        <v>-</v>
      </c>
      <c r="F346" s="72" t="s">
        <v>1505</v>
      </c>
      <c r="G346" s="73">
        <v>46083.0</v>
      </c>
      <c r="H346" s="74">
        <v>33.0</v>
      </c>
      <c r="I346" s="75">
        <v>28563.0</v>
      </c>
      <c r="J346" s="76" t="s">
        <v>1506</v>
      </c>
      <c r="K346" s="70" t="s">
        <v>349</v>
      </c>
      <c r="L346" s="70" t="s">
        <v>349</v>
      </c>
      <c r="M346" s="70" t="str">
        <f t="shared" si="3"/>
        <v>105 Days</v>
      </c>
      <c r="N346" s="70" t="str">
        <f>IF($A$3=" "," ", IFERROR( VLOOKUP($A346,'SUPPLIER DATA BASE'!$A$2:$O$936,11,0),""))</f>
        <v>-</v>
      </c>
      <c r="O346" s="70" t="str">
        <f>IF($A$3=" "," ", IFERROR( VLOOKUP($A346,'SUPPLIER DATA BASE'!$A$2:$O$936,12,0),""))</f>
        <v>-</v>
      </c>
      <c r="P346" s="70" t="str">
        <f>IF($A$3=" "," ", IFERROR( VLOOKUP($A346,'SUPPLIER DATA BASE'!$A$2:$O$936,13,0),""))</f>
        <v>-</v>
      </c>
      <c r="Q346" s="77"/>
      <c r="R346" s="73"/>
      <c r="S346" s="77"/>
      <c r="T346" s="70"/>
      <c r="U346" s="78"/>
      <c r="V346" s="70" t="str">
        <f t="shared" si="4"/>
        <v>FY 25-26</v>
      </c>
      <c r="W346" s="23"/>
      <c r="X346" s="23"/>
    </row>
    <row r="347">
      <c r="A347" s="70" t="s">
        <v>575</v>
      </c>
      <c r="B347" s="70" t="str">
        <f>IF($A$3=" "," ", IFERROR( VLOOKUP($A347,'SUPPLIER DATA BASE'!$A$2:$M$936,3,0),""))</f>
        <v>BLACKBERRY</v>
      </c>
      <c r="C347" s="70" t="str">
        <f>IF($A$3=" "," ", IFERROR( VLOOKUP($A347,'SUPPLIER DATA BASE'!$A$2:$F$936,6,0),""))</f>
        <v>-</v>
      </c>
      <c r="D347" s="70" t="str">
        <f>IF($A$3=" "," ", IFERROR( VLOOKUP($A347,'SUPPLIER DATA BASE'!$A$2:$G$936,4,0),""))</f>
        <v>-</v>
      </c>
      <c r="E347" s="71" t="str">
        <f>IF($A$3=" "," ", IFERROR( VLOOKUP($A347,'SUPPLIER DATA BASE'!$A$2:$H$936,5,0),""))</f>
        <v>-</v>
      </c>
      <c r="F347" s="72">
        <v>8.500274196E9</v>
      </c>
      <c r="G347" s="73">
        <v>46083.0</v>
      </c>
      <c r="H347" s="74">
        <v>32.0</v>
      </c>
      <c r="I347" s="75">
        <v>261250.58</v>
      </c>
      <c r="J347" s="76" t="s">
        <v>1507</v>
      </c>
      <c r="K347" s="70" t="s">
        <v>349</v>
      </c>
      <c r="L347" s="70" t="s">
        <v>349</v>
      </c>
      <c r="M347" s="70" t="str">
        <f t="shared" si="3"/>
        <v>105 Days</v>
      </c>
      <c r="N347" s="70" t="str">
        <f>IF($A$3=" "," ", IFERROR( VLOOKUP($A347,'SUPPLIER DATA BASE'!$A$2:$O$936,11,0),""))</f>
        <v>MOHAN CLOTHING COMPANY PVT LTD</v>
      </c>
      <c r="O347" s="70" t="str">
        <f>IF($A$3=" "," ", IFERROR( VLOOKUP($A347,'SUPPLIER DATA BASE'!$A$2:$O$936,12,0),""))</f>
        <v>0710096023</v>
      </c>
      <c r="P347" s="70" t="str">
        <f>IF($A$3=" "," ", IFERROR( VLOOKUP($A347,'SUPPLIER DATA BASE'!$A$2:$O$936,13,0),""))</f>
        <v>CITI0000002</v>
      </c>
      <c r="Q347" s="77"/>
      <c r="R347" s="73"/>
      <c r="S347" s="77"/>
      <c r="T347" s="70"/>
      <c r="U347" s="78"/>
      <c r="V347" s="70" t="str">
        <f t="shared" si="4"/>
        <v>FY 25-26</v>
      </c>
      <c r="W347" s="23"/>
      <c r="X347" s="23"/>
    </row>
    <row r="348">
      <c r="A348" s="70" t="s">
        <v>354</v>
      </c>
      <c r="B348" s="70" t="str">
        <f>IF($A$3=" "," ", IFERROR( VLOOKUP($A348,'SUPPLIER DATA BASE'!$A$2:$M$936,3,0),""))</f>
        <v>-</v>
      </c>
      <c r="C348" s="70" t="str">
        <f>IF($A$3=" "," ", IFERROR( VLOOKUP($A348,'SUPPLIER DATA BASE'!$A$2:$F$936,6,0),""))</f>
        <v>-</v>
      </c>
      <c r="D348" s="70" t="str">
        <f>IF($A$3=" "," ", IFERROR( VLOOKUP($A348,'SUPPLIER DATA BASE'!$A$2:$G$936,4,0),""))</f>
        <v>-</v>
      </c>
      <c r="E348" s="71" t="str">
        <f>IF($A$3=" "," ", IFERROR( VLOOKUP($A348,'SUPPLIER DATA BASE'!$A$2:$H$936,5,0),""))</f>
        <v>-</v>
      </c>
      <c r="F348" s="72" t="s">
        <v>1508</v>
      </c>
      <c r="G348" s="73">
        <v>46083.0</v>
      </c>
      <c r="H348" s="74">
        <v>16.0</v>
      </c>
      <c r="I348" s="75">
        <v>16244.19</v>
      </c>
      <c r="J348" s="76" t="s">
        <v>1509</v>
      </c>
      <c r="K348" s="70" t="s">
        <v>349</v>
      </c>
      <c r="L348" s="70" t="s">
        <v>349</v>
      </c>
      <c r="M348" s="70" t="str">
        <f t="shared" si="3"/>
        <v>105 Days</v>
      </c>
      <c r="N348" s="70" t="str">
        <f>IF($A$3=" "," ", IFERROR( VLOOKUP($A348,'SUPPLIER DATA BASE'!$A$2:$O$936,11,0),""))</f>
        <v>-</v>
      </c>
      <c r="O348" s="70" t="str">
        <f>IF($A$3=" "," ", IFERROR( VLOOKUP($A348,'SUPPLIER DATA BASE'!$A$2:$O$936,12,0),""))</f>
        <v>-</v>
      </c>
      <c r="P348" s="70" t="str">
        <f>IF($A$3=" "," ", IFERROR( VLOOKUP($A348,'SUPPLIER DATA BASE'!$A$2:$O$936,13,0),""))</f>
        <v>-</v>
      </c>
      <c r="Q348" s="77"/>
      <c r="R348" s="73"/>
      <c r="S348" s="77"/>
      <c r="T348" s="70"/>
      <c r="U348" s="78"/>
      <c r="V348" s="70" t="str">
        <f t="shared" si="4"/>
        <v>FY 25-26</v>
      </c>
      <c r="W348" s="23"/>
      <c r="X348" s="23"/>
    </row>
    <row r="349">
      <c r="A349" s="70" t="s">
        <v>354</v>
      </c>
      <c r="B349" s="70" t="str">
        <f>IF($A$3=" "," ", IFERROR( VLOOKUP($A349,'SUPPLIER DATA BASE'!$A$2:$M$936,3,0),""))</f>
        <v>-</v>
      </c>
      <c r="C349" s="70" t="str">
        <f>IF($A$3=" "," ", IFERROR( VLOOKUP($A349,'SUPPLIER DATA BASE'!$A$2:$F$936,6,0),""))</f>
        <v>-</v>
      </c>
      <c r="D349" s="70" t="str">
        <f>IF($A$3=" "," ", IFERROR( VLOOKUP($A349,'SUPPLIER DATA BASE'!$A$2:$G$936,4,0),""))</f>
        <v>-</v>
      </c>
      <c r="E349" s="71" t="str">
        <f>IF($A$3=" "," ", IFERROR( VLOOKUP($A349,'SUPPLIER DATA BASE'!$A$2:$H$936,5,0),""))</f>
        <v>-</v>
      </c>
      <c r="F349" s="72" t="s">
        <v>1510</v>
      </c>
      <c r="G349" s="73">
        <v>46083.0</v>
      </c>
      <c r="H349" s="74">
        <v>2.0</v>
      </c>
      <c r="I349" s="75">
        <v>3888.41</v>
      </c>
      <c r="J349" s="76" t="s">
        <v>1511</v>
      </c>
      <c r="K349" s="70" t="s">
        <v>349</v>
      </c>
      <c r="L349" s="70" t="s">
        <v>349</v>
      </c>
      <c r="M349" s="70" t="str">
        <f t="shared" si="3"/>
        <v>105 Days</v>
      </c>
      <c r="N349" s="70" t="str">
        <f>IF($A$3=" "," ", IFERROR( VLOOKUP($A349,'SUPPLIER DATA BASE'!$A$2:$O$936,11,0),""))</f>
        <v>-</v>
      </c>
      <c r="O349" s="70" t="str">
        <f>IF($A$3=" "," ", IFERROR( VLOOKUP($A349,'SUPPLIER DATA BASE'!$A$2:$O$936,12,0),""))</f>
        <v>-</v>
      </c>
      <c r="P349" s="70" t="str">
        <f>IF($A$3=" "," ", IFERROR( VLOOKUP($A349,'SUPPLIER DATA BASE'!$A$2:$O$936,13,0),""))</f>
        <v>-</v>
      </c>
      <c r="Q349" s="77"/>
      <c r="R349" s="73"/>
      <c r="S349" s="77"/>
      <c r="T349" s="70"/>
      <c r="U349" s="78"/>
      <c r="V349" s="70" t="str">
        <f t="shared" si="4"/>
        <v>FY 25-26</v>
      </c>
      <c r="W349" s="23"/>
      <c r="X349" s="23"/>
    </row>
    <row r="350">
      <c r="A350" s="70" t="s">
        <v>575</v>
      </c>
      <c r="B350" s="70" t="str">
        <f>IF($A$3=" "," ", IFERROR( VLOOKUP($A350,'SUPPLIER DATA BASE'!$A$2:$M$936,3,0),""))</f>
        <v>BLACKBERRY</v>
      </c>
      <c r="C350" s="70" t="str">
        <f>IF($A$3=" "," ", IFERROR( VLOOKUP($A350,'SUPPLIER DATA BASE'!$A$2:$F$936,6,0),""))</f>
        <v>-</v>
      </c>
      <c r="D350" s="70" t="str">
        <f>IF($A$3=" "," ", IFERROR( VLOOKUP($A350,'SUPPLIER DATA BASE'!$A$2:$G$936,4,0),""))</f>
        <v>-</v>
      </c>
      <c r="E350" s="71" t="str">
        <f>IF($A$3=" "," ", IFERROR( VLOOKUP($A350,'SUPPLIER DATA BASE'!$A$2:$H$936,5,0),""))</f>
        <v>-</v>
      </c>
      <c r="F350" s="72">
        <v>8.500273795E9</v>
      </c>
      <c r="G350" s="73">
        <v>46083.0</v>
      </c>
      <c r="H350" s="74">
        <v>28.0</v>
      </c>
      <c r="I350" s="75">
        <v>6161.9</v>
      </c>
      <c r="J350" s="76" t="s">
        <v>1512</v>
      </c>
      <c r="K350" s="70" t="s">
        <v>349</v>
      </c>
      <c r="L350" s="70" t="s">
        <v>349</v>
      </c>
      <c r="M350" s="70" t="str">
        <f t="shared" si="3"/>
        <v>105 Days</v>
      </c>
      <c r="N350" s="70" t="str">
        <f>IF($A$3=" "," ", IFERROR( VLOOKUP($A350,'SUPPLIER DATA BASE'!$A$2:$O$936,11,0),""))</f>
        <v>MOHAN CLOTHING COMPANY PVT LTD</v>
      </c>
      <c r="O350" s="70" t="str">
        <f>IF($A$3=" "," ", IFERROR( VLOOKUP($A350,'SUPPLIER DATA BASE'!$A$2:$O$936,12,0),""))</f>
        <v>0710096023</v>
      </c>
      <c r="P350" s="70" t="str">
        <f>IF($A$3=" "," ", IFERROR( VLOOKUP($A350,'SUPPLIER DATA BASE'!$A$2:$O$936,13,0),""))</f>
        <v>CITI0000002</v>
      </c>
      <c r="Q350" s="77"/>
      <c r="R350" s="73"/>
      <c r="S350" s="77"/>
      <c r="T350" s="70"/>
      <c r="U350" s="78"/>
      <c r="V350" s="70" t="str">
        <f t="shared" si="4"/>
        <v>FY 25-26</v>
      </c>
      <c r="W350" s="23"/>
      <c r="X350" s="23"/>
    </row>
    <row r="351">
      <c r="A351" s="70" t="s">
        <v>354</v>
      </c>
      <c r="B351" s="70" t="str">
        <f>IF($A$3=" "," ", IFERROR( VLOOKUP($A351,'SUPPLIER DATA BASE'!$A$2:$M$936,3,0),""))</f>
        <v>-</v>
      </c>
      <c r="C351" s="70" t="str">
        <f>IF($A$3=" "," ", IFERROR( VLOOKUP($A351,'SUPPLIER DATA BASE'!$A$2:$F$936,6,0),""))</f>
        <v>-</v>
      </c>
      <c r="D351" s="70" t="str">
        <f>IF($A$3=" "," ", IFERROR( VLOOKUP($A351,'SUPPLIER DATA BASE'!$A$2:$G$936,4,0),""))</f>
        <v>-</v>
      </c>
      <c r="E351" s="71" t="str">
        <f>IF($A$3=" "," ", IFERROR( VLOOKUP($A351,'SUPPLIER DATA BASE'!$A$2:$H$936,5,0),""))</f>
        <v>-</v>
      </c>
      <c r="F351" s="72" t="s">
        <v>1513</v>
      </c>
      <c r="G351" s="73">
        <v>46083.0</v>
      </c>
      <c r="H351" s="74">
        <v>1.0</v>
      </c>
      <c r="I351" s="75">
        <v>1887.92</v>
      </c>
      <c r="J351" s="76" t="s">
        <v>1514</v>
      </c>
      <c r="K351" s="70" t="s">
        <v>349</v>
      </c>
      <c r="L351" s="73"/>
      <c r="M351" s="70" t="str">
        <f t="shared" si="3"/>
        <v>105 Days</v>
      </c>
      <c r="N351" s="70" t="str">
        <f>IF($A$3=" "," ", IFERROR( VLOOKUP($A351,'SUPPLIER DATA BASE'!$A$2:$O$936,11,0),""))</f>
        <v>-</v>
      </c>
      <c r="O351" s="70" t="str">
        <f>IF($A$3=" "," ", IFERROR( VLOOKUP($A351,'SUPPLIER DATA BASE'!$A$2:$O$936,12,0),""))</f>
        <v>-</v>
      </c>
      <c r="P351" s="70" t="str">
        <f>IF($A$3=" "," ", IFERROR( VLOOKUP($A351,'SUPPLIER DATA BASE'!$A$2:$O$936,13,0),""))</f>
        <v>-</v>
      </c>
      <c r="Q351" s="77"/>
      <c r="R351" s="73"/>
      <c r="S351" s="77"/>
      <c r="T351" s="70"/>
      <c r="U351" s="78"/>
      <c r="V351" s="70" t="str">
        <f t="shared" si="4"/>
        <v>FY 25-26</v>
      </c>
      <c r="W351" s="23"/>
      <c r="X351" s="23"/>
    </row>
    <row r="352">
      <c r="A352" s="70" t="s">
        <v>354</v>
      </c>
      <c r="B352" s="70" t="str">
        <f>IF($A$3=" "," ", IFERROR( VLOOKUP($A352,'SUPPLIER DATA BASE'!$A$2:$M$936,3,0),""))</f>
        <v>-</v>
      </c>
      <c r="C352" s="70" t="str">
        <f>IF($A$3=" "," ", IFERROR( VLOOKUP($A352,'SUPPLIER DATA BASE'!$A$2:$F$936,6,0),""))</f>
        <v>-</v>
      </c>
      <c r="D352" s="70" t="str">
        <f>IF($A$3=" "," ", IFERROR( VLOOKUP($A352,'SUPPLIER DATA BASE'!$A$2:$G$936,4,0),""))</f>
        <v>-</v>
      </c>
      <c r="E352" s="71" t="str">
        <f>IF($A$3=" "," ", IFERROR( VLOOKUP($A352,'SUPPLIER DATA BASE'!$A$2:$H$936,5,0),""))</f>
        <v>-</v>
      </c>
      <c r="F352" s="72" t="s">
        <v>1515</v>
      </c>
      <c r="G352" s="73">
        <v>46083.0</v>
      </c>
      <c r="H352" s="74">
        <v>29.0</v>
      </c>
      <c r="I352" s="75">
        <v>66196.93</v>
      </c>
      <c r="J352" s="76" t="s">
        <v>1516</v>
      </c>
      <c r="K352" s="70" t="s">
        <v>349</v>
      </c>
      <c r="L352" s="73"/>
      <c r="M352" s="70" t="str">
        <f t="shared" si="3"/>
        <v>105 Days</v>
      </c>
      <c r="N352" s="70" t="str">
        <f>IF($A$3=" "," ", IFERROR( VLOOKUP($A352,'SUPPLIER DATA BASE'!$A$2:$O$936,11,0),""))</f>
        <v>-</v>
      </c>
      <c r="O352" s="70" t="str">
        <f>IF($A$3=" "," ", IFERROR( VLOOKUP($A352,'SUPPLIER DATA BASE'!$A$2:$O$936,12,0),""))</f>
        <v>-</v>
      </c>
      <c r="P352" s="70" t="str">
        <f>IF($A$3=" "," ", IFERROR( VLOOKUP($A352,'SUPPLIER DATA BASE'!$A$2:$O$936,13,0),""))</f>
        <v>-</v>
      </c>
      <c r="Q352" s="77"/>
      <c r="R352" s="73"/>
      <c r="S352" s="77"/>
      <c r="T352" s="70"/>
      <c r="U352" s="78"/>
      <c r="V352" s="70" t="str">
        <f t="shared" si="4"/>
        <v>FY 25-26</v>
      </c>
      <c r="W352" s="23"/>
      <c r="X352" s="23"/>
    </row>
    <row r="353">
      <c r="A353" s="70" t="s">
        <v>354</v>
      </c>
      <c r="B353" s="70" t="str">
        <f>IF($A$3=" "," ", IFERROR( VLOOKUP($A353,'SUPPLIER DATA BASE'!$A$2:$M$936,3,0),""))</f>
        <v>-</v>
      </c>
      <c r="C353" s="70" t="str">
        <f>IF($A$3=" "," ", IFERROR( VLOOKUP($A353,'SUPPLIER DATA BASE'!$A$2:$F$936,6,0),""))</f>
        <v>-</v>
      </c>
      <c r="D353" s="70" t="str">
        <f>IF($A$3=" "," ", IFERROR( VLOOKUP($A353,'SUPPLIER DATA BASE'!$A$2:$G$936,4,0),""))</f>
        <v>-</v>
      </c>
      <c r="E353" s="71" t="str">
        <f>IF($A$3=" "," ", IFERROR( VLOOKUP($A353,'SUPPLIER DATA BASE'!$A$2:$H$936,5,0),""))</f>
        <v>-</v>
      </c>
      <c r="F353" s="72" t="s">
        <v>1517</v>
      </c>
      <c r="G353" s="73">
        <v>46083.0</v>
      </c>
      <c r="H353" s="74">
        <v>2.0</v>
      </c>
      <c r="I353" s="75">
        <v>3835.02</v>
      </c>
      <c r="J353" s="76" t="s">
        <v>1518</v>
      </c>
      <c r="K353" s="70" t="s">
        <v>349</v>
      </c>
      <c r="L353" s="73"/>
      <c r="M353" s="70" t="str">
        <f t="shared" si="3"/>
        <v>105 Days</v>
      </c>
      <c r="N353" s="70" t="str">
        <f>IF($A$3=" "," ", IFERROR( VLOOKUP($A353,'SUPPLIER DATA BASE'!$A$2:$O$936,11,0),""))</f>
        <v>-</v>
      </c>
      <c r="O353" s="70" t="str">
        <f>IF($A$3=" "," ", IFERROR( VLOOKUP($A353,'SUPPLIER DATA BASE'!$A$2:$O$936,12,0),""))</f>
        <v>-</v>
      </c>
      <c r="P353" s="70" t="str">
        <f>IF($A$3=" "," ", IFERROR( VLOOKUP($A353,'SUPPLIER DATA BASE'!$A$2:$O$936,13,0),""))</f>
        <v>-</v>
      </c>
      <c r="Q353" s="77"/>
      <c r="R353" s="73"/>
      <c r="S353" s="77"/>
      <c r="T353" s="70"/>
      <c r="U353" s="78"/>
      <c r="V353" s="70" t="str">
        <f t="shared" si="4"/>
        <v>FY 25-26</v>
      </c>
      <c r="W353" s="23"/>
      <c r="X353" s="23"/>
    </row>
    <row r="354">
      <c r="A354" s="70" t="s">
        <v>637</v>
      </c>
      <c r="B354" s="70" t="str">
        <f>IF($A$3=" "," ", IFERROR( VLOOKUP($A354,'SUPPLIER DATA BASE'!$A$2:$M$936,3,0),""))</f>
        <v>CHARCHIT</v>
      </c>
      <c r="C354" s="70" t="str">
        <f>IF($A$3=" "," ", IFERROR( VLOOKUP($A354,'SUPPLIER DATA BASE'!$A$2:$F$936,6,0),""))</f>
        <v>RTC</v>
      </c>
      <c r="D354" s="70" t="str">
        <f>IF($A$3=" "," ", IFERROR( VLOOKUP($A354,'SUPPLIER DATA BASE'!$A$2:$G$936,4,0),""))</f>
        <v>NO</v>
      </c>
      <c r="E354" s="71" t="str">
        <f>IF($A$3=" "," ", IFERROR( VLOOKUP($A354,'SUPPLIER DATA BASE'!$A$2:$H$936,5,0),""))</f>
        <v>-</v>
      </c>
      <c r="F354" s="72">
        <v>1.2516352E7</v>
      </c>
      <c r="G354" s="73">
        <v>46083.0</v>
      </c>
      <c r="H354" s="74">
        <v>34.0</v>
      </c>
      <c r="I354" s="75">
        <v>24231.0</v>
      </c>
      <c r="J354" s="76" t="s">
        <v>1519</v>
      </c>
      <c r="K354" s="70" t="s">
        <v>349</v>
      </c>
      <c r="L354" s="73"/>
      <c r="M354" s="70" t="str">
        <f t="shared" si="3"/>
        <v>105 Days</v>
      </c>
      <c r="N354" s="70" t="str">
        <f>IF($A$3=" "," ", IFERROR( VLOOKUP($A354,'SUPPLIER DATA BASE'!$A$2:$O$936,11,0),""))</f>
        <v>RTC Garmentex India Pvgt LTd</v>
      </c>
      <c r="O354" s="70" t="str">
        <f>IF($A$3=" "," ", IFERROR( VLOOKUP($A354,'SUPPLIER DATA BASE'!$A$2:$O$936,12,0),""))</f>
        <v>112605502571</v>
      </c>
      <c r="P354" s="70" t="str">
        <f>IF($A$3=" "," ", IFERROR( VLOOKUP($A354,'SUPPLIER DATA BASE'!$A$2:$O$936,13,0),""))</f>
        <v>ICIC0001126</v>
      </c>
      <c r="Q354" s="77"/>
      <c r="R354" s="73"/>
      <c r="S354" s="77"/>
      <c r="T354" s="70"/>
      <c r="U354" s="78"/>
      <c r="V354" s="70" t="str">
        <f t="shared" si="4"/>
        <v>FY 25-26</v>
      </c>
      <c r="W354" s="23"/>
      <c r="X354" s="23"/>
    </row>
    <row r="355">
      <c r="A355" s="70" t="s">
        <v>354</v>
      </c>
      <c r="B355" s="70" t="str">
        <f>IF($A$3=" "," ", IFERROR( VLOOKUP($A355,'SUPPLIER DATA BASE'!$A$2:$M$936,3,0),""))</f>
        <v>-</v>
      </c>
      <c r="C355" s="70" t="str">
        <f>IF($A$3=" "," ", IFERROR( VLOOKUP($A355,'SUPPLIER DATA BASE'!$A$2:$F$936,6,0),""))</f>
        <v>-</v>
      </c>
      <c r="D355" s="70" t="str">
        <f>IF($A$3=" "," ", IFERROR( VLOOKUP($A355,'SUPPLIER DATA BASE'!$A$2:$G$936,4,0),""))</f>
        <v>-</v>
      </c>
      <c r="E355" s="71" t="str">
        <f>IF($A$3=" "," ", IFERROR( VLOOKUP($A355,'SUPPLIER DATA BASE'!$A$2:$H$936,5,0),""))</f>
        <v>-</v>
      </c>
      <c r="F355" s="72" t="s">
        <v>1520</v>
      </c>
      <c r="G355" s="73">
        <v>46084.0</v>
      </c>
      <c r="H355" s="74">
        <v>14.0</v>
      </c>
      <c r="I355" s="75">
        <v>15970.04</v>
      </c>
      <c r="J355" s="76" t="s">
        <v>1521</v>
      </c>
      <c r="K355" s="70" t="s">
        <v>349</v>
      </c>
      <c r="L355" s="70" t="s">
        <v>349</v>
      </c>
      <c r="M355" s="70" t="str">
        <f t="shared" si="3"/>
        <v>104 Days</v>
      </c>
      <c r="N355" s="70" t="str">
        <f>IF($A$3=" "," ", IFERROR( VLOOKUP($A355,'SUPPLIER DATA BASE'!$A$2:$O$936,11,0),""))</f>
        <v>-</v>
      </c>
      <c r="O355" s="70" t="str">
        <f>IF($A$3=" "," ", IFERROR( VLOOKUP($A355,'SUPPLIER DATA BASE'!$A$2:$O$936,12,0),""))</f>
        <v>-</v>
      </c>
      <c r="P355" s="70" t="str">
        <f>IF($A$3=" "," ", IFERROR( VLOOKUP($A355,'SUPPLIER DATA BASE'!$A$2:$O$936,13,0),""))</f>
        <v>-</v>
      </c>
      <c r="Q355" s="77"/>
      <c r="R355" s="73"/>
      <c r="S355" s="77"/>
      <c r="T355" s="70"/>
      <c r="U355" s="78"/>
      <c r="V355" s="70" t="str">
        <f t="shared" si="4"/>
        <v>FY 25-26</v>
      </c>
      <c r="W355" s="23"/>
      <c r="X355" s="23"/>
    </row>
    <row r="356">
      <c r="A356" s="70" t="s">
        <v>537</v>
      </c>
      <c r="B356" s="70" t="str">
        <f>IF($A$3=" "," ", IFERROR( VLOOKUP($A356,'SUPPLIER DATA BASE'!$A$2:$M$936,3,0),""))</f>
        <v>-</v>
      </c>
      <c r="C356" s="70" t="str">
        <f>IF($A$3=" "," ", IFERROR( VLOOKUP($A356,'SUPPLIER DATA BASE'!$A$2:$F$936,6,0),""))</f>
        <v>-</v>
      </c>
      <c r="D356" s="70">
        <f>IF($A$3=" "," ", IFERROR( VLOOKUP($A356,'SUPPLIER DATA BASE'!$A$2:$G$936,4,0),""))</f>
        <v>60</v>
      </c>
      <c r="E356" s="71">
        <f>IF($A$3=" "," ", IFERROR( VLOOKUP($A356,'SUPPLIER DATA BASE'!$A$2:$H$936,5,0),""))</f>
        <v>0.1</v>
      </c>
      <c r="F356" s="72" t="s">
        <v>1522</v>
      </c>
      <c r="G356" s="73">
        <v>46084.0</v>
      </c>
      <c r="H356" s="74">
        <v>398.0</v>
      </c>
      <c r="I356" s="75">
        <v>344863.0</v>
      </c>
      <c r="J356" s="76" t="s">
        <v>1523</v>
      </c>
      <c r="K356" s="70" t="s">
        <v>349</v>
      </c>
      <c r="L356" s="70" t="s">
        <v>349</v>
      </c>
      <c r="M356" s="70" t="str">
        <f t="shared" si="3"/>
        <v>104 Days</v>
      </c>
      <c r="N356" s="70" t="str">
        <f>IF($A$3=" "," ", IFERROR( VLOOKUP($A356,'SUPPLIER DATA BASE'!$A$2:$O$936,11,0),""))</f>
        <v>M B ENTERPRISES</v>
      </c>
      <c r="O356" s="70" t="str">
        <f>IF($A$3=" "," ", IFERROR( VLOOKUP($A356,'SUPPLIER DATA BASE'!$A$2:$O$936,12,0),""))</f>
        <v>50200035172636</v>
      </c>
      <c r="P356" s="70" t="str">
        <f>IF($A$3=" "," ", IFERROR( VLOOKUP($A356,'SUPPLIER DATA BASE'!$A$2:$O$936,13,0),""))</f>
        <v>HDFC0002834</v>
      </c>
      <c r="Q356" s="77"/>
      <c r="R356" s="73"/>
      <c r="S356" s="77"/>
      <c r="T356" s="70"/>
      <c r="U356" s="78"/>
      <c r="V356" s="70" t="str">
        <f t="shared" si="4"/>
        <v>FY 25-26</v>
      </c>
      <c r="W356" s="23"/>
      <c r="X356" s="23"/>
    </row>
    <row r="357">
      <c r="A357" s="70" t="s">
        <v>354</v>
      </c>
      <c r="B357" s="70" t="str">
        <f>IF($A$3=" "," ", IFERROR( VLOOKUP($A357,'SUPPLIER DATA BASE'!$A$2:$M$936,3,0),""))</f>
        <v>-</v>
      </c>
      <c r="C357" s="70" t="str">
        <f>IF($A$3=" "," ", IFERROR( VLOOKUP($A357,'SUPPLIER DATA BASE'!$A$2:$F$936,6,0),""))</f>
        <v>-</v>
      </c>
      <c r="D357" s="70" t="str">
        <f>IF($A$3=" "," ", IFERROR( VLOOKUP($A357,'SUPPLIER DATA BASE'!$A$2:$G$936,4,0),""))</f>
        <v>-</v>
      </c>
      <c r="E357" s="71" t="str">
        <f>IF($A$3=" "," ", IFERROR( VLOOKUP($A357,'SUPPLIER DATA BASE'!$A$2:$H$936,5,0),""))</f>
        <v>-</v>
      </c>
      <c r="F357" s="72" t="s">
        <v>1524</v>
      </c>
      <c r="G357" s="73">
        <v>46084.0</v>
      </c>
      <c r="H357" s="74">
        <v>15.0</v>
      </c>
      <c r="I357" s="75">
        <v>27120.75</v>
      </c>
      <c r="J357" s="76" t="s">
        <v>1525</v>
      </c>
      <c r="K357" s="70" t="s">
        <v>349</v>
      </c>
      <c r="L357" s="70" t="s">
        <v>349</v>
      </c>
      <c r="M357" s="70" t="str">
        <f t="shared" si="3"/>
        <v>104 Days</v>
      </c>
      <c r="N357" s="70" t="str">
        <f>IF($A$3=" "," ", IFERROR( VLOOKUP($A357,'SUPPLIER DATA BASE'!$A$2:$O$936,11,0),""))</f>
        <v>-</v>
      </c>
      <c r="O357" s="70" t="str">
        <f>IF($A$3=" "," ", IFERROR( VLOOKUP($A357,'SUPPLIER DATA BASE'!$A$2:$O$936,12,0),""))</f>
        <v>-</v>
      </c>
      <c r="P357" s="70" t="str">
        <f>IF($A$3=" "," ", IFERROR( VLOOKUP($A357,'SUPPLIER DATA BASE'!$A$2:$O$936,13,0),""))</f>
        <v>-</v>
      </c>
      <c r="Q357" s="77"/>
      <c r="R357" s="73"/>
      <c r="S357" s="77"/>
      <c r="T357" s="70"/>
      <c r="U357" s="78"/>
      <c r="V357" s="70" t="str">
        <f t="shared" si="4"/>
        <v>FY 25-26</v>
      </c>
      <c r="W357" s="23"/>
      <c r="X357" s="23"/>
    </row>
    <row r="358">
      <c r="A358" s="70" t="s">
        <v>354</v>
      </c>
      <c r="B358" s="70" t="str">
        <f>IF($A$3=" "," ", IFERROR( VLOOKUP($A358,'SUPPLIER DATA BASE'!$A$2:$M$936,3,0),""))</f>
        <v>-</v>
      </c>
      <c r="C358" s="70" t="str">
        <f>IF($A$3=" "," ", IFERROR( VLOOKUP($A358,'SUPPLIER DATA BASE'!$A$2:$F$936,6,0),""))</f>
        <v>-</v>
      </c>
      <c r="D358" s="70" t="str">
        <f>IF($A$3=" "," ", IFERROR( VLOOKUP($A358,'SUPPLIER DATA BASE'!$A$2:$G$936,4,0),""))</f>
        <v>-</v>
      </c>
      <c r="E358" s="71" t="str">
        <f>IF($A$3=" "," ", IFERROR( VLOOKUP($A358,'SUPPLIER DATA BASE'!$A$2:$H$936,5,0),""))</f>
        <v>-</v>
      </c>
      <c r="F358" s="72" t="s">
        <v>1526</v>
      </c>
      <c r="G358" s="73">
        <v>46084.0</v>
      </c>
      <c r="H358" s="74">
        <v>40.0</v>
      </c>
      <c r="I358" s="75">
        <v>78060.29</v>
      </c>
      <c r="J358" s="76" t="s">
        <v>1527</v>
      </c>
      <c r="K358" s="70" t="s">
        <v>349</v>
      </c>
      <c r="L358" s="70" t="s">
        <v>349</v>
      </c>
      <c r="M358" s="70" t="str">
        <f t="shared" si="3"/>
        <v>104 Days</v>
      </c>
      <c r="N358" s="70" t="str">
        <f>IF($A$3=" "," ", IFERROR( VLOOKUP($A358,'SUPPLIER DATA BASE'!$A$2:$O$936,11,0),""))</f>
        <v>-</v>
      </c>
      <c r="O358" s="70" t="str">
        <f>IF($A$3=" "," ", IFERROR( VLOOKUP($A358,'SUPPLIER DATA BASE'!$A$2:$O$936,12,0),""))</f>
        <v>-</v>
      </c>
      <c r="P358" s="70" t="str">
        <f>IF($A$3=" "," ", IFERROR( VLOOKUP($A358,'SUPPLIER DATA BASE'!$A$2:$O$936,13,0),""))</f>
        <v>-</v>
      </c>
      <c r="Q358" s="77"/>
      <c r="R358" s="73"/>
      <c r="S358" s="77"/>
      <c r="T358" s="70"/>
      <c r="U358" s="78"/>
      <c r="V358" s="70" t="str">
        <f t="shared" si="4"/>
        <v>FY 25-26</v>
      </c>
      <c r="W358" s="23"/>
      <c r="X358" s="23"/>
    </row>
    <row r="359">
      <c r="A359" s="70" t="s">
        <v>354</v>
      </c>
      <c r="B359" s="70" t="str">
        <f>IF($A$3=" "," ", IFERROR( VLOOKUP($A359,'SUPPLIER DATA BASE'!$A$2:$M$936,3,0),""))</f>
        <v>-</v>
      </c>
      <c r="C359" s="70" t="str">
        <f>IF($A$3=" "," ", IFERROR( VLOOKUP($A359,'SUPPLIER DATA BASE'!$A$2:$F$936,6,0),""))</f>
        <v>-</v>
      </c>
      <c r="D359" s="70" t="str">
        <f>IF($A$3=" "," ", IFERROR( VLOOKUP($A359,'SUPPLIER DATA BASE'!$A$2:$G$936,4,0),""))</f>
        <v>-</v>
      </c>
      <c r="E359" s="71" t="str">
        <f>IF($A$3=" "," ", IFERROR( VLOOKUP($A359,'SUPPLIER DATA BASE'!$A$2:$H$936,5,0),""))</f>
        <v>-</v>
      </c>
      <c r="F359" s="72" t="s">
        <v>1528</v>
      </c>
      <c r="G359" s="73">
        <v>46084.0</v>
      </c>
      <c r="H359" s="74">
        <v>19.0</v>
      </c>
      <c r="I359" s="75">
        <v>33687.21</v>
      </c>
      <c r="J359" s="76" t="s">
        <v>1529</v>
      </c>
      <c r="K359" s="70" t="s">
        <v>349</v>
      </c>
      <c r="L359" s="70" t="s">
        <v>349</v>
      </c>
      <c r="M359" s="70" t="str">
        <f t="shared" si="3"/>
        <v>104 Days</v>
      </c>
      <c r="N359" s="70" t="str">
        <f>IF($A$3=" "," ", IFERROR( VLOOKUP($A359,'SUPPLIER DATA BASE'!$A$2:$O$936,11,0),""))</f>
        <v>-</v>
      </c>
      <c r="O359" s="70" t="str">
        <f>IF($A$3=" "," ", IFERROR( VLOOKUP($A359,'SUPPLIER DATA BASE'!$A$2:$O$936,12,0),""))</f>
        <v>-</v>
      </c>
      <c r="P359" s="70" t="str">
        <f>IF($A$3=" "," ", IFERROR( VLOOKUP($A359,'SUPPLIER DATA BASE'!$A$2:$O$936,13,0),""))</f>
        <v>-</v>
      </c>
      <c r="Q359" s="77"/>
      <c r="R359" s="73"/>
      <c r="S359" s="77"/>
      <c r="T359" s="70"/>
      <c r="U359" s="78"/>
      <c r="V359" s="70" t="str">
        <f t="shared" si="4"/>
        <v>FY 25-26</v>
      </c>
      <c r="W359" s="23"/>
      <c r="X359" s="23"/>
    </row>
    <row r="360">
      <c r="A360" s="70" t="s">
        <v>354</v>
      </c>
      <c r="B360" s="70" t="str">
        <f>IF($A$3=" "," ", IFERROR( VLOOKUP($A360,'SUPPLIER DATA BASE'!$A$2:$M$936,3,0),""))</f>
        <v>-</v>
      </c>
      <c r="C360" s="70" t="str">
        <f>IF($A$3=" "," ", IFERROR( VLOOKUP($A360,'SUPPLIER DATA BASE'!$A$2:$F$936,6,0),""))</f>
        <v>-</v>
      </c>
      <c r="D360" s="70" t="str">
        <f>IF($A$3=" "," ", IFERROR( VLOOKUP($A360,'SUPPLIER DATA BASE'!$A$2:$G$936,4,0),""))</f>
        <v>-</v>
      </c>
      <c r="E360" s="71" t="str">
        <f>IF($A$3=" "," ", IFERROR( VLOOKUP($A360,'SUPPLIER DATA BASE'!$A$2:$H$936,5,0),""))</f>
        <v>-</v>
      </c>
      <c r="F360" s="72" t="s">
        <v>1530</v>
      </c>
      <c r="G360" s="73">
        <v>46084.0</v>
      </c>
      <c r="H360" s="74">
        <v>21.0</v>
      </c>
      <c r="I360" s="75">
        <v>43994.46</v>
      </c>
      <c r="J360" s="76" t="s">
        <v>1531</v>
      </c>
      <c r="K360" s="70" t="s">
        <v>349</v>
      </c>
      <c r="L360" s="70" t="s">
        <v>349</v>
      </c>
      <c r="M360" s="70" t="str">
        <f t="shared" si="3"/>
        <v>104 Days</v>
      </c>
      <c r="N360" s="70" t="str">
        <f>IF($A$3=" "," ", IFERROR( VLOOKUP($A360,'SUPPLIER DATA BASE'!$A$2:$O$936,11,0),""))</f>
        <v>-</v>
      </c>
      <c r="O360" s="70" t="str">
        <f>IF($A$3=" "," ", IFERROR( VLOOKUP($A360,'SUPPLIER DATA BASE'!$A$2:$O$936,12,0),""))</f>
        <v>-</v>
      </c>
      <c r="P360" s="70" t="str">
        <f>IF($A$3=" "," ", IFERROR( VLOOKUP($A360,'SUPPLIER DATA BASE'!$A$2:$O$936,13,0),""))</f>
        <v>-</v>
      </c>
      <c r="Q360" s="77"/>
      <c r="R360" s="73"/>
      <c r="S360" s="77"/>
      <c r="T360" s="70"/>
      <c r="U360" s="78"/>
      <c r="V360" s="70" t="str">
        <f t="shared" si="4"/>
        <v>FY 25-26</v>
      </c>
      <c r="W360" s="23"/>
      <c r="X360" s="23"/>
    </row>
    <row r="361">
      <c r="A361" s="70" t="s">
        <v>475</v>
      </c>
      <c r="B361" s="70" t="str">
        <f>IF($A$3=" "," ", IFERROR( VLOOKUP($A361,'SUPPLIER DATA BASE'!$A$2:$M$936,3,0),""))</f>
        <v>-</v>
      </c>
      <c r="C361" s="70" t="str">
        <f>IF($A$3=" "," ", IFERROR( VLOOKUP($A361,'SUPPLIER DATA BASE'!$A$2:$F$936,6,0),""))</f>
        <v>-</v>
      </c>
      <c r="D361" s="70" t="str">
        <f>IF($A$3=" "," ", IFERROR( VLOOKUP($A361,'SUPPLIER DATA BASE'!$A$2:$G$936,4,0),""))</f>
        <v>-</v>
      </c>
      <c r="E361" s="71" t="str">
        <f>IF($A$3=" "," ", IFERROR( VLOOKUP($A361,'SUPPLIER DATA BASE'!$A$2:$H$936,5,0),""))</f>
        <v>-</v>
      </c>
      <c r="F361" s="72" t="s">
        <v>1532</v>
      </c>
      <c r="G361" s="73">
        <v>46084.0</v>
      </c>
      <c r="H361" s="74">
        <v>16.0</v>
      </c>
      <c r="I361" s="75">
        <v>9622.0</v>
      </c>
      <c r="J361" s="76" t="s">
        <v>1533</v>
      </c>
      <c r="K361" s="70" t="s">
        <v>349</v>
      </c>
      <c r="L361" s="70" t="s">
        <v>349</v>
      </c>
      <c r="M361" s="70" t="str">
        <f t="shared" si="3"/>
        <v>104 Days</v>
      </c>
      <c r="N361" s="70" t="str">
        <f>IF($A$3=" "," ", IFERROR( VLOOKUP($A361,'SUPPLIER DATA BASE'!$A$2:$O$936,11,0),""))</f>
        <v>-</v>
      </c>
      <c r="O361" s="70" t="str">
        <f>IF($A$3=" "," ", IFERROR( VLOOKUP($A361,'SUPPLIER DATA BASE'!$A$2:$O$936,12,0),""))</f>
        <v>-</v>
      </c>
      <c r="P361" s="70" t="str">
        <f>IF($A$3=" "," ", IFERROR( VLOOKUP($A361,'SUPPLIER DATA BASE'!$A$2:$O$936,13,0),""))</f>
        <v>-</v>
      </c>
      <c r="Q361" s="77"/>
      <c r="R361" s="73"/>
      <c r="S361" s="77"/>
      <c r="T361" s="70"/>
      <c r="U361" s="78"/>
      <c r="V361" s="70" t="str">
        <f t="shared" si="4"/>
        <v>FY 25-26</v>
      </c>
      <c r="W361" s="23"/>
      <c r="X361" s="23"/>
    </row>
    <row r="362">
      <c r="A362" s="70" t="s">
        <v>575</v>
      </c>
      <c r="B362" s="70" t="str">
        <f>IF($A$3=" "," ", IFERROR( VLOOKUP($A362,'SUPPLIER DATA BASE'!$A$2:$M$936,3,0),""))</f>
        <v>BLACKBERRY</v>
      </c>
      <c r="C362" s="70" t="str">
        <f>IF($A$3=" "," ", IFERROR( VLOOKUP($A362,'SUPPLIER DATA BASE'!$A$2:$F$936,6,0),""))</f>
        <v>-</v>
      </c>
      <c r="D362" s="70" t="str">
        <f>IF($A$3=" "," ", IFERROR( VLOOKUP($A362,'SUPPLIER DATA BASE'!$A$2:$G$936,4,0),""))</f>
        <v>-</v>
      </c>
      <c r="E362" s="71" t="str">
        <f>IF($A$3=" "," ", IFERROR( VLOOKUP($A362,'SUPPLIER DATA BASE'!$A$2:$H$936,5,0),""))</f>
        <v>-</v>
      </c>
      <c r="F362" s="72">
        <v>8.500274639E9</v>
      </c>
      <c r="G362" s="73">
        <v>46084.0</v>
      </c>
      <c r="H362" s="74">
        <v>10.0</v>
      </c>
      <c r="I362" s="75">
        <v>63442.98</v>
      </c>
      <c r="J362" s="76" t="s">
        <v>1534</v>
      </c>
      <c r="K362" s="70" t="s">
        <v>349</v>
      </c>
      <c r="L362" s="70" t="s">
        <v>349</v>
      </c>
      <c r="M362" s="70" t="str">
        <f t="shared" si="3"/>
        <v>104 Days</v>
      </c>
      <c r="N362" s="70" t="str">
        <f>IF($A$3=" "," ", IFERROR( VLOOKUP($A362,'SUPPLIER DATA BASE'!$A$2:$O$936,11,0),""))</f>
        <v>MOHAN CLOTHING COMPANY PVT LTD</v>
      </c>
      <c r="O362" s="70" t="str">
        <f>IF($A$3=" "," ", IFERROR( VLOOKUP($A362,'SUPPLIER DATA BASE'!$A$2:$O$936,12,0),""))</f>
        <v>0710096023</v>
      </c>
      <c r="P362" s="70" t="str">
        <f>IF($A$3=" "," ", IFERROR( VLOOKUP($A362,'SUPPLIER DATA BASE'!$A$2:$O$936,13,0),""))</f>
        <v>CITI0000002</v>
      </c>
      <c r="Q362" s="77"/>
      <c r="R362" s="73"/>
      <c r="S362" s="77"/>
      <c r="T362" s="70"/>
      <c r="U362" s="78"/>
      <c r="V362" s="70" t="str">
        <f t="shared" si="4"/>
        <v>FY 25-26</v>
      </c>
      <c r="W362" s="23"/>
      <c r="X362" s="23"/>
    </row>
    <row r="363">
      <c r="A363" s="70" t="s">
        <v>370</v>
      </c>
      <c r="B363" s="70" t="str">
        <f>IF($A$3=" "," ", IFERROR( VLOOKUP($A363,'SUPPLIER DATA BASE'!$A$2:$M$936,3,0),""))</f>
        <v>-</v>
      </c>
      <c r="C363" s="70" t="str">
        <f>IF($A$3=" "," ", IFERROR( VLOOKUP($A363,'SUPPLIER DATA BASE'!$A$2:$F$936,6,0),""))</f>
        <v>SURYAM TEXTILE AGENCY</v>
      </c>
      <c r="D363" s="70">
        <f>IF($A$3=" "," ", IFERROR( VLOOKUP($A363,'SUPPLIER DATA BASE'!$A$2:$G$936,4,0),""))</f>
        <v>30</v>
      </c>
      <c r="E363" s="71">
        <f>IF($A$3=" "," ", IFERROR( VLOOKUP($A363,'SUPPLIER DATA BASE'!$A$2:$H$936,5,0),""))</f>
        <v>0.09</v>
      </c>
      <c r="F363" s="72">
        <v>338.0</v>
      </c>
      <c r="G363" s="73">
        <v>46084.0</v>
      </c>
      <c r="H363" s="74">
        <v>32.0</v>
      </c>
      <c r="I363" s="75">
        <v>13339.0</v>
      </c>
      <c r="J363" s="76" t="s">
        <v>1535</v>
      </c>
      <c r="K363" s="70" t="s">
        <v>349</v>
      </c>
      <c r="L363" s="70" t="s">
        <v>349</v>
      </c>
      <c r="M363" s="70" t="str">
        <f t="shared" si="3"/>
        <v>104 Days</v>
      </c>
      <c r="N363" s="70" t="str">
        <f>IF($A$3=" "," ", IFERROR( VLOOKUP($A363,'SUPPLIER DATA BASE'!$A$2:$O$936,11,0),""))</f>
        <v>AS TEXTILE</v>
      </c>
      <c r="O363" s="70" t="str">
        <f>IF($A$3=" "," ", IFERROR( VLOOKUP($A363,'SUPPLIER DATA BASE'!$A$2:$O$936,12,0),""))</f>
        <v>50200012846193</v>
      </c>
      <c r="P363" s="70" t="str">
        <f>IF($A$3=" "," ", IFERROR( VLOOKUP($A363,'SUPPLIER DATA BASE'!$A$2:$O$936,13,0),""))</f>
        <v>HDFC0001249</v>
      </c>
      <c r="Q363" s="77"/>
      <c r="R363" s="73"/>
      <c r="S363" s="77"/>
      <c r="T363" s="70"/>
      <c r="U363" s="78"/>
      <c r="V363" s="70" t="str">
        <f t="shared" si="4"/>
        <v>FY 25-26</v>
      </c>
      <c r="W363" s="23"/>
      <c r="X363" s="23"/>
    </row>
    <row r="364">
      <c r="A364" s="70" t="s">
        <v>370</v>
      </c>
      <c r="B364" s="70" t="str">
        <f>IF($A$3=" "," ", IFERROR( VLOOKUP($A364,'SUPPLIER DATA BASE'!$A$2:$M$936,3,0),""))</f>
        <v>-</v>
      </c>
      <c r="C364" s="70" t="str">
        <f>IF($A$3=" "," ", IFERROR( VLOOKUP($A364,'SUPPLIER DATA BASE'!$A$2:$F$936,6,0),""))</f>
        <v>SURYAM TEXTILE AGENCY</v>
      </c>
      <c r="D364" s="70">
        <f>IF($A$3=" "," ", IFERROR( VLOOKUP($A364,'SUPPLIER DATA BASE'!$A$2:$G$936,4,0),""))</f>
        <v>30</v>
      </c>
      <c r="E364" s="71">
        <f>IF($A$3=" "," ", IFERROR( VLOOKUP($A364,'SUPPLIER DATA BASE'!$A$2:$H$936,5,0),""))</f>
        <v>0.09</v>
      </c>
      <c r="F364" s="72">
        <v>339.0</v>
      </c>
      <c r="G364" s="73">
        <v>46084.0</v>
      </c>
      <c r="H364" s="74">
        <v>32.0</v>
      </c>
      <c r="I364" s="75">
        <v>13339.0</v>
      </c>
      <c r="J364" s="76" t="s">
        <v>1536</v>
      </c>
      <c r="K364" s="70" t="s">
        <v>349</v>
      </c>
      <c r="L364" s="70" t="s">
        <v>349</v>
      </c>
      <c r="M364" s="70" t="str">
        <f t="shared" si="3"/>
        <v>104 Days</v>
      </c>
      <c r="N364" s="70" t="str">
        <f>IF($A$3=" "," ", IFERROR( VLOOKUP($A364,'SUPPLIER DATA BASE'!$A$2:$O$936,11,0),""))</f>
        <v>AS TEXTILE</v>
      </c>
      <c r="O364" s="70" t="str">
        <f>IF($A$3=" "," ", IFERROR( VLOOKUP($A364,'SUPPLIER DATA BASE'!$A$2:$O$936,12,0),""))</f>
        <v>50200012846193</v>
      </c>
      <c r="P364" s="70" t="str">
        <f>IF($A$3=" "," ", IFERROR( VLOOKUP($A364,'SUPPLIER DATA BASE'!$A$2:$O$936,13,0),""))</f>
        <v>HDFC0001249</v>
      </c>
      <c r="Q364" s="77"/>
      <c r="R364" s="73"/>
      <c r="S364" s="77"/>
      <c r="T364" s="70"/>
      <c r="U364" s="78"/>
      <c r="V364" s="70" t="str">
        <f t="shared" si="4"/>
        <v>FY 25-26</v>
      </c>
      <c r="W364" s="23"/>
      <c r="X364" s="23"/>
    </row>
    <row r="365">
      <c r="A365" s="70" t="s">
        <v>354</v>
      </c>
      <c r="B365" s="70" t="str">
        <f>IF($A$3=" "," ", IFERROR( VLOOKUP($A365,'SUPPLIER DATA BASE'!$A$2:$M$936,3,0),""))</f>
        <v>-</v>
      </c>
      <c r="C365" s="70" t="str">
        <f>IF($A$3=" "," ", IFERROR( VLOOKUP($A365,'SUPPLIER DATA BASE'!$A$2:$F$936,6,0),""))</f>
        <v>-</v>
      </c>
      <c r="D365" s="70" t="str">
        <f>IF($A$3=" "," ", IFERROR( VLOOKUP($A365,'SUPPLIER DATA BASE'!$A$2:$G$936,4,0),""))</f>
        <v>-</v>
      </c>
      <c r="E365" s="71" t="str">
        <f>IF($A$3=" "," ", IFERROR( VLOOKUP($A365,'SUPPLIER DATA BASE'!$A$2:$H$936,5,0),""))</f>
        <v>-</v>
      </c>
      <c r="F365" s="72" t="s">
        <v>1537</v>
      </c>
      <c r="G365" s="73">
        <v>46084.0</v>
      </c>
      <c r="H365" s="74">
        <v>8.0</v>
      </c>
      <c r="I365" s="75">
        <v>14881.16</v>
      </c>
      <c r="J365" s="76" t="s">
        <v>1538</v>
      </c>
      <c r="K365" s="70" t="s">
        <v>349</v>
      </c>
      <c r="L365" s="70" t="s">
        <v>349</v>
      </c>
      <c r="M365" s="70" t="str">
        <f t="shared" si="3"/>
        <v>104 Days</v>
      </c>
      <c r="N365" s="70" t="str">
        <f>IF($A$3=" "," ", IFERROR( VLOOKUP($A365,'SUPPLIER DATA BASE'!$A$2:$O$936,11,0),""))</f>
        <v>-</v>
      </c>
      <c r="O365" s="70" t="str">
        <f>IF($A$3=" "," ", IFERROR( VLOOKUP($A365,'SUPPLIER DATA BASE'!$A$2:$O$936,12,0),""))</f>
        <v>-</v>
      </c>
      <c r="P365" s="70" t="str">
        <f>IF($A$3=" "," ", IFERROR( VLOOKUP($A365,'SUPPLIER DATA BASE'!$A$2:$O$936,13,0),""))</f>
        <v>-</v>
      </c>
      <c r="Q365" s="77"/>
      <c r="R365" s="73"/>
      <c r="S365" s="77"/>
      <c r="T365" s="70"/>
      <c r="U365" s="78"/>
      <c r="V365" s="70" t="str">
        <f t="shared" si="4"/>
        <v>FY 25-26</v>
      </c>
      <c r="W365" s="23"/>
      <c r="X365" s="23"/>
    </row>
    <row r="366">
      <c r="A366" s="70" t="s">
        <v>354</v>
      </c>
      <c r="B366" s="70" t="str">
        <f>IF($A$3=" "," ", IFERROR( VLOOKUP($A366,'SUPPLIER DATA BASE'!$A$2:$M$936,3,0),""))</f>
        <v>-</v>
      </c>
      <c r="C366" s="70" t="str">
        <f>IF($A$3=" "," ", IFERROR( VLOOKUP($A366,'SUPPLIER DATA BASE'!$A$2:$F$936,6,0),""))</f>
        <v>-</v>
      </c>
      <c r="D366" s="70" t="str">
        <f>IF($A$3=" "," ", IFERROR( VLOOKUP($A366,'SUPPLIER DATA BASE'!$A$2:$G$936,4,0),""))</f>
        <v>-</v>
      </c>
      <c r="E366" s="71" t="str">
        <f>IF($A$3=" "," ", IFERROR( VLOOKUP($A366,'SUPPLIER DATA BASE'!$A$2:$H$936,5,0),""))</f>
        <v>-</v>
      </c>
      <c r="F366" s="72" t="s">
        <v>1539</v>
      </c>
      <c r="G366" s="73">
        <v>46084.0</v>
      </c>
      <c r="H366" s="74">
        <v>1.0</v>
      </c>
      <c r="I366" s="75">
        <v>13654.56</v>
      </c>
      <c r="J366" s="76" t="s">
        <v>1540</v>
      </c>
      <c r="K366" s="70" t="s">
        <v>349</v>
      </c>
      <c r="L366" s="70" t="s">
        <v>349</v>
      </c>
      <c r="M366" s="70" t="str">
        <f t="shared" si="3"/>
        <v>104 Days</v>
      </c>
      <c r="N366" s="70" t="str">
        <f>IF($A$3=" "," ", IFERROR( VLOOKUP($A366,'SUPPLIER DATA BASE'!$A$2:$O$936,11,0),""))</f>
        <v>-</v>
      </c>
      <c r="O366" s="70" t="str">
        <f>IF($A$3=" "," ", IFERROR( VLOOKUP($A366,'SUPPLIER DATA BASE'!$A$2:$O$936,12,0),""))</f>
        <v>-</v>
      </c>
      <c r="P366" s="70" t="str">
        <f>IF($A$3=" "," ", IFERROR( VLOOKUP($A366,'SUPPLIER DATA BASE'!$A$2:$O$936,13,0),""))</f>
        <v>-</v>
      </c>
      <c r="Q366" s="77"/>
      <c r="R366" s="73"/>
      <c r="S366" s="77"/>
      <c r="T366" s="70"/>
      <c r="U366" s="78"/>
      <c r="V366" s="70" t="str">
        <f t="shared" si="4"/>
        <v>FY 25-26</v>
      </c>
      <c r="W366" s="23"/>
      <c r="X366" s="23"/>
    </row>
    <row r="367">
      <c r="A367" s="70" t="s">
        <v>354</v>
      </c>
      <c r="B367" s="70" t="str">
        <f>IF($A$3=" "," ", IFERROR( VLOOKUP($A367,'SUPPLIER DATA BASE'!$A$2:$M$936,3,0),""))</f>
        <v>-</v>
      </c>
      <c r="C367" s="70" t="str">
        <f>IF($A$3=" "," ", IFERROR( VLOOKUP($A367,'SUPPLIER DATA BASE'!$A$2:$F$936,6,0),""))</f>
        <v>-</v>
      </c>
      <c r="D367" s="70" t="str">
        <f>IF($A$3=" "," ", IFERROR( VLOOKUP($A367,'SUPPLIER DATA BASE'!$A$2:$G$936,4,0),""))</f>
        <v>-</v>
      </c>
      <c r="E367" s="71" t="str">
        <f>IF($A$3=" "," ", IFERROR( VLOOKUP($A367,'SUPPLIER DATA BASE'!$A$2:$H$936,5,0),""))</f>
        <v>-</v>
      </c>
      <c r="F367" s="72" t="s">
        <v>1541</v>
      </c>
      <c r="G367" s="73">
        <v>46084.0</v>
      </c>
      <c r="H367" s="74">
        <v>7.0</v>
      </c>
      <c r="I367" s="75">
        <v>12416.08</v>
      </c>
      <c r="J367" s="76" t="s">
        <v>1542</v>
      </c>
      <c r="K367" s="70" t="s">
        <v>349</v>
      </c>
      <c r="L367" s="70" t="s">
        <v>349</v>
      </c>
      <c r="M367" s="70" t="str">
        <f t="shared" si="3"/>
        <v>104 Days</v>
      </c>
      <c r="N367" s="70" t="str">
        <f>IF($A$3=" "," ", IFERROR( VLOOKUP($A367,'SUPPLIER DATA BASE'!$A$2:$O$936,11,0),""))</f>
        <v>-</v>
      </c>
      <c r="O367" s="70" t="str">
        <f>IF($A$3=" "," ", IFERROR( VLOOKUP($A367,'SUPPLIER DATA BASE'!$A$2:$O$936,12,0),""))</f>
        <v>-</v>
      </c>
      <c r="P367" s="70" t="str">
        <f>IF($A$3=" "," ", IFERROR( VLOOKUP($A367,'SUPPLIER DATA BASE'!$A$2:$O$936,13,0),""))</f>
        <v>-</v>
      </c>
      <c r="Q367" s="77"/>
      <c r="R367" s="73"/>
      <c r="S367" s="77"/>
      <c r="T367" s="70"/>
      <c r="U367" s="78"/>
      <c r="V367" s="70" t="str">
        <f t="shared" si="4"/>
        <v>FY 25-26</v>
      </c>
      <c r="W367" s="23"/>
      <c r="X367" s="23"/>
    </row>
    <row r="368">
      <c r="A368" s="70" t="s">
        <v>354</v>
      </c>
      <c r="B368" s="70" t="str">
        <f>IF($A$3=" "," ", IFERROR( VLOOKUP($A368,'SUPPLIER DATA BASE'!$A$2:$M$936,3,0),""))</f>
        <v>-</v>
      </c>
      <c r="C368" s="70" t="str">
        <f>IF($A$3=" "," ", IFERROR( VLOOKUP($A368,'SUPPLIER DATA BASE'!$A$2:$F$936,6,0),""))</f>
        <v>-</v>
      </c>
      <c r="D368" s="70" t="str">
        <f>IF($A$3=" "," ", IFERROR( VLOOKUP($A368,'SUPPLIER DATA BASE'!$A$2:$G$936,4,0),""))</f>
        <v>-</v>
      </c>
      <c r="E368" s="71" t="str">
        <f>IF($A$3=" "," ", IFERROR( VLOOKUP($A368,'SUPPLIER DATA BASE'!$A$2:$H$936,5,0),""))</f>
        <v>-</v>
      </c>
      <c r="F368" s="72" t="s">
        <v>1543</v>
      </c>
      <c r="G368" s="73">
        <v>46085.0</v>
      </c>
      <c r="H368" s="74">
        <v>7.0</v>
      </c>
      <c r="I368" s="75">
        <v>12656.35</v>
      </c>
      <c r="J368" s="76" t="s">
        <v>1544</v>
      </c>
      <c r="K368" s="70" t="s">
        <v>349</v>
      </c>
      <c r="L368" s="70" t="s">
        <v>349</v>
      </c>
      <c r="M368" s="70" t="str">
        <f t="shared" si="3"/>
        <v>103 Days</v>
      </c>
      <c r="N368" s="70" t="str">
        <f>IF($A$3=" "," ", IFERROR( VLOOKUP($A368,'SUPPLIER DATA BASE'!$A$2:$O$936,11,0),""))</f>
        <v>-</v>
      </c>
      <c r="O368" s="70" t="str">
        <f>IF($A$3=" "," ", IFERROR( VLOOKUP($A368,'SUPPLIER DATA BASE'!$A$2:$O$936,12,0),""))</f>
        <v>-</v>
      </c>
      <c r="P368" s="70" t="str">
        <f>IF($A$3=" "," ", IFERROR( VLOOKUP($A368,'SUPPLIER DATA BASE'!$A$2:$O$936,13,0),""))</f>
        <v>-</v>
      </c>
      <c r="Q368" s="77"/>
      <c r="R368" s="73"/>
      <c r="S368" s="77"/>
      <c r="T368" s="70"/>
      <c r="U368" s="78"/>
      <c r="V368" s="70" t="str">
        <f t="shared" si="4"/>
        <v>FY 25-26</v>
      </c>
      <c r="W368" s="23"/>
      <c r="X368" s="23"/>
    </row>
    <row r="369">
      <c r="A369" s="70" t="s">
        <v>354</v>
      </c>
      <c r="B369" s="70" t="str">
        <f>IF($A$3=" "," ", IFERROR( VLOOKUP($A369,'SUPPLIER DATA BASE'!$A$2:$M$936,3,0),""))</f>
        <v>-</v>
      </c>
      <c r="C369" s="70" t="str">
        <f>IF($A$3=" "," ", IFERROR( VLOOKUP($A369,'SUPPLIER DATA BASE'!$A$2:$F$936,6,0),""))</f>
        <v>-</v>
      </c>
      <c r="D369" s="70" t="str">
        <f>IF($A$3=" "," ", IFERROR( VLOOKUP($A369,'SUPPLIER DATA BASE'!$A$2:$G$936,4,0),""))</f>
        <v>-</v>
      </c>
      <c r="E369" s="71" t="str">
        <f>IF($A$3=" "," ", IFERROR( VLOOKUP($A369,'SUPPLIER DATA BASE'!$A$2:$H$936,5,0),""))</f>
        <v>-</v>
      </c>
      <c r="F369" s="72" t="s">
        <v>1545</v>
      </c>
      <c r="G369" s="73">
        <v>46085.0</v>
      </c>
      <c r="H369" s="74">
        <v>19.0</v>
      </c>
      <c r="I369" s="75">
        <v>35664.63</v>
      </c>
      <c r="J369" s="76" t="s">
        <v>1546</v>
      </c>
      <c r="K369" s="70" t="s">
        <v>349</v>
      </c>
      <c r="L369" s="70" t="s">
        <v>349</v>
      </c>
      <c r="M369" s="70" t="str">
        <f t="shared" si="3"/>
        <v>103 Days</v>
      </c>
      <c r="N369" s="70" t="str">
        <f>IF($A$3=" "," ", IFERROR( VLOOKUP($A369,'SUPPLIER DATA BASE'!$A$2:$O$936,11,0),""))</f>
        <v>-</v>
      </c>
      <c r="O369" s="70" t="str">
        <f>IF($A$3=" "," ", IFERROR( VLOOKUP($A369,'SUPPLIER DATA BASE'!$A$2:$O$936,12,0),""))</f>
        <v>-</v>
      </c>
      <c r="P369" s="70" t="str">
        <f>IF($A$3=" "," ", IFERROR( VLOOKUP($A369,'SUPPLIER DATA BASE'!$A$2:$O$936,13,0),""))</f>
        <v>-</v>
      </c>
      <c r="Q369" s="77"/>
      <c r="R369" s="73"/>
      <c r="S369" s="77"/>
      <c r="T369" s="70"/>
      <c r="U369" s="78"/>
      <c r="V369" s="70" t="str">
        <f t="shared" si="4"/>
        <v>FY 25-26</v>
      </c>
      <c r="W369" s="23"/>
      <c r="X369" s="23"/>
    </row>
    <row r="370">
      <c r="A370" s="70" t="s">
        <v>465</v>
      </c>
      <c r="B370" s="70" t="str">
        <f>IF($A$3=" "," ", IFERROR( VLOOKUP($A370,'SUPPLIER DATA BASE'!$A$2:$M$936,3,0),""))</f>
        <v>PRETTY GIRL</v>
      </c>
      <c r="C370" s="70" t="str">
        <f>IF($A$3=" "," ", IFERROR( VLOOKUP($A370,'SUPPLIER DATA BASE'!$A$2:$F$936,6,0),""))</f>
        <v>-</v>
      </c>
      <c r="D370" s="70" t="str">
        <f>IF($A$3=" "," ", IFERROR( VLOOKUP($A370,'SUPPLIER DATA BASE'!$A$2:$G$936,4,0),""))</f>
        <v>-</v>
      </c>
      <c r="E370" s="71" t="str">
        <f>IF($A$3=" "," ", IFERROR( VLOOKUP($A370,'SUPPLIER DATA BASE'!$A$2:$H$936,5,0),""))</f>
        <v>-</v>
      </c>
      <c r="F370" s="72">
        <v>7081.0</v>
      </c>
      <c r="G370" s="73">
        <v>46085.0</v>
      </c>
      <c r="H370" s="74">
        <v>16.0</v>
      </c>
      <c r="I370" s="75">
        <v>29442.0</v>
      </c>
      <c r="J370" s="76" t="s">
        <v>1547</v>
      </c>
      <c r="K370" s="70" t="s">
        <v>349</v>
      </c>
      <c r="L370" s="70" t="s">
        <v>349</v>
      </c>
      <c r="M370" s="70" t="str">
        <f t="shared" si="3"/>
        <v>103 Days</v>
      </c>
      <c r="N370" s="70" t="str">
        <f>IF($A$3=" "," ", IFERROR( VLOOKUP($A370,'SUPPLIER DATA BASE'!$A$2:$O$936,11,0),""))</f>
        <v>FLAIR KIDS CAMP</v>
      </c>
      <c r="O370" s="70" t="str">
        <f>IF($A$3=" "," ", IFERROR( VLOOKUP($A370,'SUPPLIER DATA BASE'!$A$2:$O$936,12,0),""))</f>
        <v>-</v>
      </c>
      <c r="P370" s="70" t="str">
        <f>IF($A$3=" "," ", IFERROR( VLOOKUP($A370,'SUPPLIER DATA BASE'!$A$2:$O$936,13,0),""))</f>
        <v>-</v>
      </c>
      <c r="Q370" s="77"/>
      <c r="R370" s="73"/>
      <c r="S370" s="77"/>
      <c r="T370" s="70"/>
      <c r="U370" s="78"/>
      <c r="V370" s="70" t="str">
        <f t="shared" si="4"/>
        <v>FY 25-26</v>
      </c>
      <c r="W370" s="23"/>
      <c r="X370" s="23"/>
    </row>
    <row r="371">
      <c r="A371" s="70" t="s">
        <v>354</v>
      </c>
      <c r="B371" s="70" t="str">
        <f>IF($A$3=" "," ", IFERROR( VLOOKUP($A371,'SUPPLIER DATA BASE'!$A$2:$M$936,3,0),""))</f>
        <v>-</v>
      </c>
      <c r="C371" s="70" t="str">
        <f>IF($A$3=" "," ", IFERROR( VLOOKUP($A371,'SUPPLIER DATA BASE'!$A$2:$F$936,6,0),""))</f>
        <v>-</v>
      </c>
      <c r="D371" s="70" t="str">
        <f>IF($A$3=" "," ", IFERROR( VLOOKUP($A371,'SUPPLIER DATA BASE'!$A$2:$G$936,4,0),""))</f>
        <v>-</v>
      </c>
      <c r="E371" s="71" t="str">
        <f>IF($A$3=" "," ", IFERROR( VLOOKUP($A371,'SUPPLIER DATA BASE'!$A$2:$H$936,5,0),""))</f>
        <v>-</v>
      </c>
      <c r="F371" s="72" t="s">
        <v>1548</v>
      </c>
      <c r="G371" s="73">
        <v>46085.0</v>
      </c>
      <c r="H371" s="74">
        <v>21.0</v>
      </c>
      <c r="I371" s="75">
        <v>22508.64</v>
      </c>
      <c r="J371" s="76" t="s">
        <v>1549</v>
      </c>
      <c r="K371" s="70" t="s">
        <v>349</v>
      </c>
      <c r="L371" s="70" t="s">
        <v>349</v>
      </c>
      <c r="M371" s="70" t="str">
        <f t="shared" si="3"/>
        <v>103 Days</v>
      </c>
      <c r="N371" s="70" t="str">
        <f>IF($A$3=" "," ", IFERROR( VLOOKUP($A371,'SUPPLIER DATA BASE'!$A$2:$O$936,11,0),""))</f>
        <v>-</v>
      </c>
      <c r="O371" s="70" t="str">
        <f>IF($A$3=" "," ", IFERROR( VLOOKUP($A371,'SUPPLIER DATA BASE'!$A$2:$O$936,12,0),""))</f>
        <v>-</v>
      </c>
      <c r="P371" s="70" t="str">
        <f>IF($A$3=" "," ", IFERROR( VLOOKUP($A371,'SUPPLIER DATA BASE'!$A$2:$O$936,13,0),""))</f>
        <v>-</v>
      </c>
      <c r="Q371" s="77"/>
      <c r="R371" s="73"/>
      <c r="S371" s="77"/>
      <c r="T371" s="70"/>
      <c r="U371" s="78"/>
      <c r="V371" s="70" t="str">
        <f t="shared" si="4"/>
        <v>FY 25-26</v>
      </c>
      <c r="W371" s="23"/>
      <c r="X371" s="23"/>
    </row>
    <row r="372">
      <c r="A372" s="70" t="s">
        <v>354</v>
      </c>
      <c r="B372" s="70" t="str">
        <f>IF($A$3=" "," ", IFERROR( VLOOKUP($A372,'SUPPLIER DATA BASE'!$A$2:$M$936,3,0),""))</f>
        <v>-</v>
      </c>
      <c r="C372" s="70" t="str">
        <f>IF($A$3=" "," ", IFERROR( VLOOKUP($A372,'SUPPLIER DATA BASE'!$A$2:$F$936,6,0),""))</f>
        <v>-</v>
      </c>
      <c r="D372" s="70" t="str">
        <f>IF($A$3=" "," ", IFERROR( VLOOKUP($A372,'SUPPLIER DATA BASE'!$A$2:$G$936,4,0),""))</f>
        <v>-</v>
      </c>
      <c r="E372" s="71" t="str">
        <f>IF($A$3=" "," ", IFERROR( VLOOKUP($A372,'SUPPLIER DATA BASE'!$A$2:$H$936,5,0),""))</f>
        <v>-</v>
      </c>
      <c r="F372" s="72" t="s">
        <v>1550</v>
      </c>
      <c r="G372" s="73">
        <v>46085.0</v>
      </c>
      <c r="H372" s="74">
        <v>14.0</v>
      </c>
      <c r="I372" s="75">
        <v>28741.09</v>
      </c>
      <c r="J372" s="76" t="s">
        <v>1551</v>
      </c>
      <c r="K372" s="70" t="s">
        <v>349</v>
      </c>
      <c r="L372" s="70" t="s">
        <v>349</v>
      </c>
      <c r="M372" s="70" t="str">
        <f t="shared" si="3"/>
        <v>103 Days</v>
      </c>
      <c r="N372" s="70" t="str">
        <f>IF($A$3=" "," ", IFERROR( VLOOKUP($A372,'SUPPLIER DATA BASE'!$A$2:$O$936,11,0),""))</f>
        <v>-</v>
      </c>
      <c r="O372" s="70" t="str">
        <f>IF($A$3=" "," ", IFERROR( VLOOKUP($A372,'SUPPLIER DATA BASE'!$A$2:$O$936,12,0),""))</f>
        <v>-</v>
      </c>
      <c r="P372" s="70" t="str">
        <f>IF($A$3=" "," ", IFERROR( VLOOKUP($A372,'SUPPLIER DATA BASE'!$A$2:$O$936,13,0),""))</f>
        <v>-</v>
      </c>
      <c r="Q372" s="77"/>
      <c r="R372" s="73"/>
      <c r="S372" s="77"/>
      <c r="T372" s="70"/>
      <c r="U372" s="78"/>
      <c r="V372" s="70" t="str">
        <f t="shared" si="4"/>
        <v>FY 25-26</v>
      </c>
      <c r="W372" s="23"/>
      <c r="X372" s="23"/>
    </row>
    <row r="373">
      <c r="A373" s="70" t="s">
        <v>354</v>
      </c>
      <c r="B373" s="70" t="str">
        <f>IF($A$3=" "," ", IFERROR( VLOOKUP($A373,'SUPPLIER DATA BASE'!$A$2:$M$936,3,0),""))</f>
        <v>-</v>
      </c>
      <c r="C373" s="70" t="str">
        <f>IF($A$3=" "," ", IFERROR( VLOOKUP($A373,'SUPPLIER DATA BASE'!$A$2:$F$936,6,0),""))</f>
        <v>-</v>
      </c>
      <c r="D373" s="70" t="str">
        <f>IF($A$3=" "," ", IFERROR( VLOOKUP($A373,'SUPPLIER DATA BASE'!$A$2:$G$936,4,0),""))</f>
        <v>-</v>
      </c>
      <c r="E373" s="71" t="str">
        <f>IF($A$3=" "," ", IFERROR( VLOOKUP($A373,'SUPPLIER DATA BASE'!$A$2:$H$936,5,0),""))</f>
        <v>-</v>
      </c>
      <c r="F373" s="72" t="s">
        <v>1552</v>
      </c>
      <c r="G373" s="73">
        <v>46085.0</v>
      </c>
      <c r="H373" s="74">
        <v>16.0</v>
      </c>
      <c r="I373" s="75">
        <v>29291.59</v>
      </c>
      <c r="J373" s="76" t="s">
        <v>1553</v>
      </c>
      <c r="K373" s="70" t="s">
        <v>349</v>
      </c>
      <c r="L373" s="70" t="s">
        <v>349</v>
      </c>
      <c r="M373" s="70" t="str">
        <f t="shared" si="3"/>
        <v>103 Days</v>
      </c>
      <c r="N373" s="70" t="str">
        <f>IF($A$3=" "," ", IFERROR( VLOOKUP($A373,'SUPPLIER DATA BASE'!$A$2:$O$936,11,0),""))</f>
        <v>-</v>
      </c>
      <c r="O373" s="70" t="str">
        <f>IF($A$3=" "," ", IFERROR( VLOOKUP($A373,'SUPPLIER DATA BASE'!$A$2:$O$936,12,0),""))</f>
        <v>-</v>
      </c>
      <c r="P373" s="70" t="str">
        <f>IF($A$3=" "," ", IFERROR( VLOOKUP($A373,'SUPPLIER DATA BASE'!$A$2:$O$936,13,0),""))</f>
        <v>-</v>
      </c>
      <c r="Q373" s="77"/>
      <c r="R373" s="73"/>
      <c r="S373" s="77"/>
      <c r="T373" s="70"/>
      <c r="U373" s="78"/>
      <c r="V373" s="70" t="str">
        <f t="shared" si="4"/>
        <v>FY 25-26</v>
      </c>
      <c r="W373" s="23"/>
      <c r="X373" s="23"/>
    </row>
    <row r="374">
      <c r="A374" s="70" t="s">
        <v>354</v>
      </c>
      <c r="B374" s="70" t="str">
        <f>IF($A$3=" "," ", IFERROR( VLOOKUP($A374,'SUPPLIER DATA BASE'!$A$2:$M$936,3,0),""))</f>
        <v>-</v>
      </c>
      <c r="C374" s="70" t="str">
        <f>IF($A$3=" "," ", IFERROR( VLOOKUP($A374,'SUPPLIER DATA BASE'!$A$2:$F$936,6,0),""))</f>
        <v>-</v>
      </c>
      <c r="D374" s="70" t="str">
        <f>IF($A$3=" "," ", IFERROR( VLOOKUP($A374,'SUPPLIER DATA BASE'!$A$2:$G$936,4,0),""))</f>
        <v>-</v>
      </c>
      <c r="E374" s="71" t="str">
        <f>IF($A$3=" "," ", IFERROR( VLOOKUP($A374,'SUPPLIER DATA BASE'!$A$2:$H$936,5,0),""))</f>
        <v>-</v>
      </c>
      <c r="F374" s="72" t="s">
        <v>1554</v>
      </c>
      <c r="G374" s="73">
        <v>46085.0</v>
      </c>
      <c r="H374" s="74">
        <v>3.0</v>
      </c>
      <c r="I374" s="75">
        <v>5552.92</v>
      </c>
      <c r="J374" s="76" t="s">
        <v>1555</v>
      </c>
      <c r="K374" s="70" t="s">
        <v>349</v>
      </c>
      <c r="L374" s="70" t="s">
        <v>349</v>
      </c>
      <c r="M374" s="70" t="str">
        <f t="shared" si="3"/>
        <v>103 Days</v>
      </c>
      <c r="N374" s="70" t="str">
        <f>IF($A$3=" "," ", IFERROR( VLOOKUP($A374,'SUPPLIER DATA BASE'!$A$2:$O$936,11,0),""))</f>
        <v>-</v>
      </c>
      <c r="O374" s="70" t="str">
        <f>IF($A$3=" "," ", IFERROR( VLOOKUP($A374,'SUPPLIER DATA BASE'!$A$2:$O$936,12,0),""))</f>
        <v>-</v>
      </c>
      <c r="P374" s="70" t="str">
        <f>IF($A$3=" "," ", IFERROR( VLOOKUP($A374,'SUPPLIER DATA BASE'!$A$2:$O$936,13,0),""))</f>
        <v>-</v>
      </c>
      <c r="Q374" s="77"/>
      <c r="R374" s="73"/>
      <c r="S374" s="77"/>
      <c r="T374" s="70"/>
      <c r="U374" s="78"/>
      <c r="V374" s="70" t="str">
        <f t="shared" si="4"/>
        <v>FY 25-26</v>
      </c>
      <c r="W374" s="23"/>
      <c r="X374" s="23"/>
    </row>
    <row r="375">
      <c r="A375" s="70" t="s">
        <v>354</v>
      </c>
      <c r="B375" s="70" t="str">
        <f>IF($A$3=" "," ", IFERROR( VLOOKUP($A375,'SUPPLIER DATA BASE'!$A$2:$M$936,3,0),""))</f>
        <v>-</v>
      </c>
      <c r="C375" s="70" t="str">
        <f>IF($A$3=" "," ", IFERROR( VLOOKUP($A375,'SUPPLIER DATA BASE'!$A$2:$F$936,6,0),""))</f>
        <v>-</v>
      </c>
      <c r="D375" s="70" t="str">
        <f>IF($A$3=" "," ", IFERROR( VLOOKUP($A375,'SUPPLIER DATA BASE'!$A$2:$G$936,4,0),""))</f>
        <v>-</v>
      </c>
      <c r="E375" s="71" t="str">
        <f>IF($A$3=" "," ", IFERROR( VLOOKUP($A375,'SUPPLIER DATA BASE'!$A$2:$H$936,5,0),""))</f>
        <v>-</v>
      </c>
      <c r="F375" s="72" t="s">
        <v>1556</v>
      </c>
      <c r="G375" s="73">
        <v>46085.0</v>
      </c>
      <c r="H375" s="74">
        <v>13.0</v>
      </c>
      <c r="I375" s="75">
        <v>27461.88</v>
      </c>
      <c r="J375" s="76" t="s">
        <v>1557</v>
      </c>
      <c r="K375" s="70" t="s">
        <v>349</v>
      </c>
      <c r="L375" s="70" t="s">
        <v>349</v>
      </c>
      <c r="M375" s="70" t="str">
        <f t="shared" si="3"/>
        <v>103 Days</v>
      </c>
      <c r="N375" s="70" t="str">
        <f>IF($A$3=" "," ", IFERROR( VLOOKUP($A375,'SUPPLIER DATA BASE'!$A$2:$O$936,11,0),""))</f>
        <v>-</v>
      </c>
      <c r="O375" s="70" t="str">
        <f>IF($A$3=" "," ", IFERROR( VLOOKUP($A375,'SUPPLIER DATA BASE'!$A$2:$O$936,12,0),""))</f>
        <v>-</v>
      </c>
      <c r="P375" s="70" t="str">
        <f>IF($A$3=" "," ", IFERROR( VLOOKUP($A375,'SUPPLIER DATA BASE'!$A$2:$O$936,13,0),""))</f>
        <v>-</v>
      </c>
      <c r="Q375" s="77"/>
      <c r="R375" s="73"/>
      <c r="S375" s="77"/>
      <c r="T375" s="70"/>
      <c r="U375" s="78"/>
      <c r="V375" s="70" t="str">
        <f t="shared" si="4"/>
        <v>FY 25-26</v>
      </c>
      <c r="W375" s="23"/>
      <c r="X375" s="23"/>
    </row>
    <row r="376">
      <c r="A376" s="70" t="s">
        <v>354</v>
      </c>
      <c r="B376" s="70" t="str">
        <f>IF($A$3=" "," ", IFERROR( VLOOKUP($A376,'SUPPLIER DATA BASE'!$A$2:$M$936,3,0),""))</f>
        <v>-</v>
      </c>
      <c r="C376" s="70" t="str">
        <f>IF($A$3=" "," ", IFERROR( VLOOKUP($A376,'SUPPLIER DATA BASE'!$A$2:$F$936,6,0),""))</f>
        <v>-</v>
      </c>
      <c r="D376" s="70" t="str">
        <f>IF($A$3=" "," ", IFERROR( VLOOKUP($A376,'SUPPLIER DATA BASE'!$A$2:$G$936,4,0),""))</f>
        <v>-</v>
      </c>
      <c r="E376" s="71" t="str">
        <f>IF($A$3=" "," ", IFERROR( VLOOKUP($A376,'SUPPLIER DATA BASE'!$A$2:$H$936,5,0),""))</f>
        <v>-</v>
      </c>
      <c r="F376" s="72" t="s">
        <v>1558</v>
      </c>
      <c r="G376" s="73">
        <v>46085.0</v>
      </c>
      <c r="H376" s="74">
        <v>7.0</v>
      </c>
      <c r="I376" s="75">
        <v>7502.88</v>
      </c>
      <c r="J376" s="76" t="s">
        <v>1559</v>
      </c>
      <c r="K376" s="70" t="s">
        <v>349</v>
      </c>
      <c r="L376" s="70" t="s">
        <v>349</v>
      </c>
      <c r="M376" s="70" t="str">
        <f t="shared" si="3"/>
        <v>103 Days</v>
      </c>
      <c r="N376" s="70" t="str">
        <f>IF($A$3=" "," ", IFERROR( VLOOKUP($A376,'SUPPLIER DATA BASE'!$A$2:$O$936,11,0),""))</f>
        <v>-</v>
      </c>
      <c r="O376" s="70" t="str">
        <f>IF($A$3=" "," ", IFERROR( VLOOKUP($A376,'SUPPLIER DATA BASE'!$A$2:$O$936,12,0),""))</f>
        <v>-</v>
      </c>
      <c r="P376" s="70" t="str">
        <f>IF($A$3=" "," ", IFERROR( VLOOKUP($A376,'SUPPLIER DATA BASE'!$A$2:$O$936,13,0),""))</f>
        <v>-</v>
      </c>
      <c r="Q376" s="77"/>
      <c r="R376" s="73"/>
      <c r="S376" s="77"/>
      <c r="T376" s="70"/>
      <c r="U376" s="78"/>
      <c r="V376" s="70" t="str">
        <f t="shared" si="4"/>
        <v>FY 25-26</v>
      </c>
      <c r="W376" s="23"/>
      <c r="X376" s="23"/>
    </row>
    <row r="377">
      <c r="A377" s="70" t="s">
        <v>354</v>
      </c>
      <c r="B377" s="70" t="str">
        <f>IF($A$3=" "," ", IFERROR( VLOOKUP($A377,'SUPPLIER DATA BASE'!$A$2:$M$936,3,0),""))</f>
        <v>-</v>
      </c>
      <c r="C377" s="70" t="str">
        <f>IF($A$3=" "," ", IFERROR( VLOOKUP($A377,'SUPPLIER DATA BASE'!$A$2:$F$936,6,0),""))</f>
        <v>-</v>
      </c>
      <c r="D377" s="70" t="str">
        <f>IF($A$3=" "," ", IFERROR( VLOOKUP($A377,'SUPPLIER DATA BASE'!$A$2:$G$936,4,0),""))</f>
        <v>-</v>
      </c>
      <c r="E377" s="71" t="str">
        <f>IF($A$3=" "," ", IFERROR( VLOOKUP($A377,'SUPPLIER DATA BASE'!$A$2:$H$936,5,0),""))</f>
        <v>-</v>
      </c>
      <c r="F377" s="72" t="s">
        <v>1560</v>
      </c>
      <c r="G377" s="73">
        <v>46085.0</v>
      </c>
      <c r="H377" s="74">
        <v>6.0</v>
      </c>
      <c r="I377" s="75">
        <v>10848.3</v>
      </c>
      <c r="J377" s="76" t="s">
        <v>1561</v>
      </c>
      <c r="K377" s="70" t="s">
        <v>349</v>
      </c>
      <c r="L377" s="70" t="s">
        <v>349</v>
      </c>
      <c r="M377" s="70" t="str">
        <f t="shared" si="3"/>
        <v>103 Days</v>
      </c>
      <c r="N377" s="70" t="str">
        <f>IF($A$3=" "," ", IFERROR( VLOOKUP($A377,'SUPPLIER DATA BASE'!$A$2:$O$936,11,0),""))</f>
        <v>-</v>
      </c>
      <c r="O377" s="70" t="str">
        <f>IF($A$3=" "," ", IFERROR( VLOOKUP($A377,'SUPPLIER DATA BASE'!$A$2:$O$936,12,0),""))</f>
        <v>-</v>
      </c>
      <c r="P377" s="70" t="str">
        <f>IF($A$3=" "," ", IFERROR( VLOOKUP($A377,'SUPPLIER DATA BASE'!$A$2:$O$936,13,0),""))</f>
        <v>-</v>
      </c>
      <c r="Q377" s="77"/>
      <c r="R377" s="73"/>
      <c r="S377" s="77"/>
      <c r="T377" s="70"/>
      <c r="U377" s="78"/>
      <c r="V377" s="70" t="str">
        <f t="shared" si="4"/>
        <v>FY 25-26</v>
      </c>
      <c r="W377" s="23"/>
      <c r="X377" s="23"/>
    </row>
    <row r="378">
      <c r="A378" s="70" t="s">
        <v>354</v>
      </c>
      <c r="B378" s="70" t="str">
        <f>IF($A$3=" "," ", IFERROR( VLOOKUP($A378,'SUPPLIER DATA BASE'!$A$2:$M$936,3,0),""))</f>
        <v>-</v>
      </c>
      <c r="C378" s="70" t="str">
        <f>IF($A$3=" "," ", IFERROR( VLOOKUP($A378,'SUPPLIER DATA BASE'!$A$2:$F$936,6,0),""))</f>
        <v>-</v>
      </c>
      <c r="D378" s="70" t="str">
        <f>IF($A$3=" "," ", IFERROR( VLOOKUP($A378,'SUPPLIER DATA BASE'!$A$2:$G$936,4,0),""))</f>
        <v>-</v>
      </c>
      <c r="E378" s="71" t="str">
        <f>IF($A$3=" "," ", IFERROR( VLOOKUP($A378,'SUPPLIER DATA BASE'!$A$2:$H$936,5,0),""))</f>
        <v>-</v>
      </c>
      <c r="F378" s="72" t="s">
        <v>1562</v>
      </c>
      <c r="G378" s="73">
        <v>46085.0</v>
      </c>
      <c r="H378" s="74">
        <v>25.0</v>
      </c>
      <c r="I378" s="75">
        <v>46906.13</v>
      </c>
      <c r="J378" s="76" t="s">
        <v>1563</v>
      </c>
      <c r="K378" s="70" t="s">
        <v>349</v>
      </c>
      <c r="L378" s="70" t="s">
        <v>349</v>
      </c>
      <c r="M378" s="70" t="str">
        <f t="shared" si="3"/>
        <v>103 Days</v>
      </c>
      <c r="N378" s="70" t="str">
        <f>IF($A$3=" "," ", IFERROR( VLOOKUP($A378,'SUPPLIER DATA BASE'!$A$2:$O$936,11,0),""))</f>
        <v>-</v>
      </c>
      <c r="O378" s="70" t="str">
        <f>IF($A$3=" "," ", IFERROR( VLOOKUP($A378,'SUPPLIER DATA BASE'!$A$2:$O$936,12,0),""))</f>
        <v>-</v>
      </c>
      <c r="P378" s="70" t="str">
        <f>IF($A$3=" "," ", IFERROR( VLOOKUP($A378,'SUPPLIER DATA BASE'!$A$2:$O$936,13,0),""))</f>
        <v>-</v>
      </c>
      <c r="Q378" s="77"/>
      <c r="R378" s="73"/>
      <c r="S378" s="77"/>
      <c r="T378" s="70"/>
      <c r="U378" s="78"/>
      <c r="V378" s="70" t="str">
        <f t="shared" si="4"/>
        <v>FY 25-26</v>
      </c>
      <c r="W378" s="23"/>
      <c r="X378" s="23"/>
    </row>
    <row r="379">
      <c r="A379" s="70" t="s">
        <v>354</v>
      </c>
      <c r="B379" s="70" t="str">
        <f>IF($A$3=" "," ", IFERROR( VLOOKUP($A379,'SUPPLIER DATA BASE'!$A$2:$M$936,3,0),""))</f>
        <v>-</v>
      </c>
      <c r="C379" s="70" t="str">
        <f>IF($A$3=" "," ", IFERROR( VLOOKUP($A379,'SUPPLIER DATA BASE'!$A$2:$F$936,6,0),""))</f>
        <v>-</v>
      </c>
      <c r="D379" s="70" t="str">
        <f>IF($A$3=" "," ", IFERROR( VLOOKUP($A379,'SUPPLIER DATA BASE'!$A$2:$G$936,4,0),""))</f>
        <v>-</v>
      </c>
      <c r="E379" s="71" t="str">
        <f>IF($A$3=" "," ", IFERROR( VLOOKUP($A379,'SUPPLIER DATA BASE'!$A$2:$H$936,5,0),""))</f>
        <v>-</v>
      </c>
      <c r="F379" s="72" t="s">
        <v>1564</v>
      </c>
      <c r="G379" s="73">
        <v>46085.0</v>
      </c>
      <c r="H379" s="74">
        <v>11.0</v>
      </c>
      <c r="I379" s="75">
        <v>20396.79</v>
      </c>
      <c r="J379" s="76" t="s">
        <v>1565</v>
      </c>
      <c r="K379" s="70" t="s">
        <v>349</v>
      </c>
      <c r="L379" s="70" t="s">
        <v>349</v>
      </c>
      <c r="M379" s="70" t="str">
        <f t="shared" si="3"/>
        <v>103 Days</v>
      </c>
      <c r="N379" s="70" t="str">
        <f>IF($A$3=" "," ", IFERROR( VLOOKUP($A379,'SUPPLIER DATA BASE'!$A$2:$O$936,11,0),""))</f>
        <v>-</v>
      </c>
      <c r="O379" s="70" t="str">
        <f>IF($A$3=" "," ", IFERROR( VLOOKUP($A379,'SUPPLIER DATA BASE'!$A$2:$O$936,12,0),""))</f>
        <v>-</v>
      </c>
      <c r="P379" s="70" t="str">
        <f>IF($A$3=" "," ", IFERROR( VLOOKUP($A379,'SUPPLIER DATA BASE'!$A$2:$O$936,13,0),""))</f>
        <v>-</v>
      </c>
      <c r="Q379" s="77"/>
      <c r="R379" s="73"/>
      <c r="S379" s="77"/>
      <c r="T379" s="70"/>
      <c r="U379" s="78"/>
      <c r="V379" s="70" t="str">
        <f t="shared" si="4"/>
        <v>FY 25-26</v>
      </c>
      <c r="W379" s="23"/>
      <c r="X379" s="23"/>
    </row>
    <row r="380">
      <c r="A380" s="70" t="s">
        <v>354</v>
      </c>
      <c r="B380" s="70" t="str">
        <f>IF($A$3=" "," ", IFERROR( VLOOKUP($A380,'SUPPLIER DATA BASE'!$A$2:$M$936,3,0),""))</f>
        <v>-</v>
      </c>
      <c r="C380" s="70" t="str">
        <f>IF($A$3=" "," ", IFERROR( VLOOKUP($A380,'SUPPLIER DATA BASE'!$A$2:$F$936,6,0),""))</f>
        <v>-</v>
      </c>
      <c r="D380" s="70" t="str">
        <f>IF($A$3=" "," ", IFERROR( VLOOKUP($A380,'SUPPLIER DATA BASE'!$A$2:$G$936,4,0),""))</f>
        <v>-</v>
      </c>
      <c r="E380" s="71" t="str">
        <f>IF($A$3=" "," ", IFERROR( VLOOKUP($A380,'SUPPLIER DATA BASE'!$A$2:$H$936,5,0),""))</f>
        <v>-</v>
      </c>
      <c r="F380" s="72" t="s">
        <v>1566</v>
      </c>
      <c r="G380" s="73">
        <v>46085.0</v>
      </c>
      <c r="H380" s="74">
        <v>5.0</v>
      </c>
      <c r="I380" s="75">
        <v>7003.44</v>
      </c>
      <c r="J380" s="76" t="s">
        <v>1567</v>
      </c>
      <c r="K380" s="70" t="s">
        <v>349</v>
      </c>
      <c r="L380" s="70" t="s">
        <v>349</v>
      </c>
      <c r="M380" s="70" t="str">
        <f t="shared" si="3"/>
        <v>103 Days</v>
      </c>
      <c r="N380" s="70" t="str">
        <f>IF($A$3=" "," ", IFERROR( VLOOKUP($A380,'SUPPLIER DATA BASE'!$A$2:$O$936,11,0),""))</f>
        <v>-</v>
      </c>
      <c r="O380" s="70" t="str">
        <f>IF($A$3=" "," ", IFERROR( VLOOKUP($A380,'SUPPLIER DATA BASE'!$A$2:$O$936,12,0),""))</f>
        <v>-</v>
      </c>
      <c r="P380" s="70" t="str">
        <f>IF($A$3=" "," ", IFERROR( VLOOKUP($A380,'SUPPLIER DATA BASE'!$A$2:$O$936,13,0),""))</f>
        <v>-</v>
      </c>
      <c r="Q380" s="77"/>
      <c r="R380" s="73"/>
      <c r="S380" s="77"/>
      <c r="T380" s="70"/>
      <c r="U380" s="78"/>
      <c r="V380" s="70" t="str">
        <f t="shared" si="4"/>
        <v>FY 25-26</v>
      </c>
      <c r="W380" s="23"/>
      <c r="X380" s="23"/>
    </row>
    <row r="381">
      <c r="A381" s="70" t="s">
        <v>354</v>
      </c>
      <c r="B381" s="70" t="str">
        <f>IF($A$3=" "," ", IFERROR( VLOOKUP($A381,'SUPPLIER DATA BASE'!$A$2:$M$936,3,0),""))</f>
        <v>-</v>
      </c>
      <c r="C381" s="70" t="str">
        <f>IF($A$3=" "," ", IFERROR( VLOOKUP($A381,'SUPPLIER DATA BASE'!$A$2:$F$936,6,0),""))</f>
        <v>-</v>
      </c>
      <c r="D381" s="70" t="str">
        <f>IF($A$3=" "," ", IFERROR( VLOOKUP($A381,'SUPPLIER DATA BASE'!$A$2:$G$936,4,0),""))</f>
        <v>-</v>
      </c>
      <c r="E381" s="71" t="str">
        <f>IF($A$3=" "," ", IFERROR( VLOOKUP($A381,'SUPPLIER DATA BASE'!$A$2:$H$936,5,0),""))</f>
        <v>-</v>
      </c>
      <c r="F381" s="72" t="s">
        <v>1568</v>
      </c>
      <c r="G381" s="73">
        <v>46085.0</v>
      </c>
      <c r="H381" s="74">
        <v>19.0</v>
      </c>
      <c r="I381" s="75">
        <v>35707.5</v>
      </c>
      <c r="J381" s="76" t="s">
        <v>1569</v>
      </c>
      <c r="K381" s="70" t="s">
        <v>349</v>
      </c>
      <c r="L381" s="73"/>
      <c r="M381" s="70" t="str">
        <f t="shared" si="3"/>
        <v>103 Days</v>
      </c>
      <c r="N381" s="70" t="str">
        <f>IF($A$3=" "," ", IFERROR( VLOOKUP($A381,'SUPPLIER DATA BASE'!$A$2:$O$936,11,0),""))</f>
        <v>-</v>
      </c>
      <c r="O381" s="70" t="str">
        <f>IF($A$3=" "," ", IFERROR( VLOOKUP($A381,'SUPPLIER DATA BASE'!$A$2:$O$936,12,0),""))</f>
        <v>-</v>
      </c>
      <c r="P381" s="70" t="str">
        <f>IF($A$3=" "," ", IFERROR( VLOOKUP($A381,'SUPPLIER DATA BASE'!$A$2:$O$936,13,0),""))</f>
        <v>-</v>
      </c>
      <c r="Q381" s="77"/>
      <c r="R381" s="73"/>
      <c r="S381" s="77"/>
      <c r="T381" s="70"/>
      <c r="U381" s="78"/>
      <c r="V381" s="70" t="str">
        <f t="shared" si="4"/>
        <v>FY 25-26</v>
      </c>
      <c r="W381" s="23"/>
      <c r="X381" s="23"/>
    </row>
    <row r="382">
      <c r="A382" s="70" t="s">
        <v>354</v>
      </c>
      <c r="B382" s="70" t="str">
        <f>IF($A$3=" "," ", IFERROR( VLOOKUP($A382,'SUPPLIER DATA BASE'!$A$2:$M$936,3,0),""))</f>
        <v>-</v>
      </c>
      <c r="C382" s="70" t="str">
        <f>IF($A$3=" "," ", IFERROR( VLOOKUP($A382,'SUPPLIER DATA BASE'!$A$2:$F$936,6,0),""))</f>
        <v>-</v>
      </c>
      <c r="D382" s="70" t="str">
        <f>IF($A$3=" "," ", IFERROR( VLOOKUP($A382,'SUPPLIER DATA BASE'!$A$2:$G$936,4,0),""))</f>
        <v>-</v>
      </c>
      <c r="E382" s="71" t="str">
        <f>IF($A$3=" "," ", IFERROR( VLOOKUP($A382,'SUPPLIER DATA BASE'!$A$2:$H$936,5,0),""))</f>
        <v>-</v>
      </c>
      <c r="F382" s="72" t="s">
        <v>1570</v>
      </c>
      <c r="G382" s="73">
        <v>46085.0</v>
      </c>
      <c r="H382" s="74">
        <v>15.0</v>
      </c>
      <c r="I382" s="75">
        <v>32422.53</v>
      </c>
      <c r="J382" s="76" t="s">
        <v>1571</v>
      </c>
      <c r="K382" s="70" t="s">
        <v>349</v>
      </c>
      <c r="L382" s="73"/>
      <c r="M382" s="70" t="str">
        <f t="shared" si="3"/>
        <v>103 Days</v>
      </c>
      <c r="N382" s="70" t="str">
        <f>IF($A$3=" "," ", IFERROR( VLOOKUP($A382,'SUPPLIER DATA BASE'!$A$2:$O$936,11,0),""))</f>
        <v>-</v>
      </c>
      <c r="O382" s="70" t="str">
        <f>IF($A$3=" "," ", IFERROR( VLOOKUP($A382,'SUPPLIER DATA BASE'!$A$2:$O$936,12,0),""))</f>
        <v>-</v>
      </c>
      <c r="P382" s="70" t="str">
        <f>IF($A$3=" "," ", IFERROR( VLOOKUP($A382,'SUPPLIER DATA BASE'!$A$2:$O$936,13,0),""))</f>
        <v>-</v>
      </c>
      <c r="Q382" s="77"/>
      <c r="R382" s="73"/>
      <c r="S382" s="77"/>
      <c r="T382" s="70"/>
      <c r="U382" s="78"/>
      <c r="V382" s="70" t="str">
        <f t="shared" si="4"/>
        <v>FY 25-26</v>
      </c>
      <c r="W382" s="23"/>
      <c r="X382" s="23"/>
    </row>
    <row r="383">
      <c r="A383" s="70" t="s">
        <v>354</v>
      </c>
      <c r="B383" s="70" t="str">
        <f>IF($A$3=" "," ", IFERROR( VLOOKUP($A383,'SUPPLIER DATA BASE'!$A$2:$M$936,3,0),""))</f>
        <v>-</v>
      </c>
      <c r="C383" s="70" t="str">
        <f>IF($A$3=" "," ", IFERROR( VLOOKUP($A383,'SUPPLIER DATA BASE'!$A$2:$F$936,6,0),""))</f>
        <v>-</v>
      </c>
      <c r="D383" s="70" t="str">
        <f>IF($A$3=" "," ", IFERROR( VLOOKUP($A383,'SUPPLIER DATA BASE'!$A$2:$G$936,4,0),""))</f>
        <v>-</v>
      </c>
      <c r="E383" s="71" t="str">
        <f>IF($A$3=" "," ", IFERROR( VLOOKUP($A383,'SUPPLIER DATA BASE'!$A$2:$H$936,5,0),""))</f>
        <v>-</v>
      </c>
      <c r="F383" s="72" t="s">
        <v>1572</v>
      </c>
      <c r="G383" s="73">
        <v>46086.0</v>
      </c>
      <c r="H383" s="74">
        <v>12.0</v>
      </c>
      <c r="I383" s="75">
        <v>22105.54</v>
      </c>
      <c r="J383" s="76" t="s">
        <v>1573</v>
      </c>
      <c r="K383" s="70" t="s">
        <v>349</v>
      </c>
      <c r="L383" s="70" t="s">
        <v>349</v>
      </c>
      <c r="M383" s="70" t="str">
        <f t="shared" si="3"/>
        <v>102 Days</v>
      </c>
      <c r="N383" s="70" t="str">
        <f>IF($A$3=" "," ", IFERROR( VLOOKUP($A383,'SUPPLIER DATA BASE'!$A$2:$O$936,11,0),""))</f>
        <v>-</v>
      </c>
      <c r="O383" s="70" t="str">
        <f>IF($A$3=" "," ", IFERROR( VLOOKUP($A383,'SUPPLIER DATA BASE'!$A$2:$O$936,12,0),""))</f>
        <v>-</v>
      </c>
      <c r="P383" s="70" t="str">
        <f>IF($A$3=" "," ", IFERROR( VLOOKUP($A383,'SUPPLIER DATA BASE'!$A$2:$O$936,13,0),""))</f>
        <v>-</v>
      </c>
      <c r="Q383" s="77"/>
      <c r="R383" s="73"/>
      <c r="S383" s="77"/>
      <c r="T383" s="70"/>
      <c r="U383" s="78"/>
      <c r="V383" s="70" t="str">
        <f t="shared" si="4"/>
        <v>FY 25-26</v>
      </c>
      <c r="W383" s="23"/>
      <c r="X383" s="23"/>
    </row>
    <row r="384">
      <c r="A384" s="70" t="s">
        <v>575</v>
      </c>
      <c r="B384" s="70" t="str">
        <f>IF($A$3=" "," ", IFERROR( VLOOKUP($A384,'SUPPLIER DATA BASE'!$A$2:$M$936,3,0),""))</f>
        <v>BLACKBERRY</v>
      </c>
      <c r="C384" s="70" t="str">
        <f>IF($A$3=" "," ", IFERROR( VLOOKUP($A384,'SUPPLIER DATA BASE'!$A$2:$F$936,6,0),""))</f>
        <v>-</v>
      </c>
      <c r="D384" s="70" t="str">
        <f>IF($A$3=" "," ", IFERROR( VLOOKUP($A384,'SUPPLIER DATA BASE'!$A$2:$G$936,4,0),""))</f>
        <v>-</v>
      </c>
      <c r="E384" s="71" t="str">
        <f>IF($A$3=" "," ", IFERROR( VLOOKUP($A384,'SUPPLIER DATA BASE'!$A$2:$H$936,5,0),""))</f>
        <v>-</v>
      </c>
      <c r="F384" s="72">
        <v>8.500275412E9</v>
      </c>
      <c r="G384" s="73">
        <v>46086.0</v>
      </c>
      <c r="H384" s="74">
        <v>7.0</v>
      </c>
      <c r="I384" s="75">
        <v>12384.82</v>
      </c>
      <c r="J384" s="76" t="s">
        <v>1574</v>
      </c>
      <c r="K384" s="70" t="s">
        <v>349</v>
      </c>
      <c r="L384" s="70" t="s">
        <v>349</v>
      </c>
      <c r="M384" s="70" t="str">
        <f t="shared" si="3"/>
        <v>102 Days</v>
      </c>
      <c r="N384" s="70" t="str">
        <f>IF($A$3=" "," ", IFERROR( VLOOKUP($A384,'SUPPLIER DATA BASE'!$A$2:$O$936,11,0),""))</f>
        <v>MOHAN CLOTHING COMPANY PVT LTD</v>
      </c>
      <c r="O384" s="70" t="str">
        <f>IF($A$3=" "," ", IFERROR( VLOOKUP($A384,'SUPPLIER DATA BASE'!$A$2:$O$936,12,0),""))</f>
        <v>0710096023</v>
      </c>
      <c r="P384" s="70" t="str">
        <f>IF($A$3=" "," ", IFERROR( VLOOKUP($A384,'SUPPLIER DATA BASE'!$A$2:$O$936,13,0),""))</f>
        <v>CITI0000002</v>
      </c>
      <c r="Q384" s="77"/>
      <c r="R384" s="73"/>
      <c r="S384" s="77"/>
      <c r="T384" s="70"/>
      <c r="U384" s="78"/>
      <c r="V384" s="70" t="str">
        <f t="shared" si="4"/>
        <v>FY 25-26</v>
      </c>
      <c r="W384" s="23"/>
      <c r="X384" s="23"/>
    </row>
    <row r="385">
      <c r="A385" s="70" t="s">
        <v>865</v>
      </c>
      <c r="B385" s="70" t="str">
        <f>IF($A$3=" "," ", IFERROR( VLOOKUP($A385,'SUPPLIER DATA BASE'!$A$2:$M$936,3,0),""))</f>
        <v/>
      </c>
      <c r="C385" s="70" t="str">
        <f>IF($A$3=" "," ", IFERROR( VLOOKUP($A385,'SUPPLIER DATA BASE'!$A$2:$F$936,6,0),""))</f>
        <v/>
      </c>
      <c r="D385" s="70" t="str">
        <f>IF($A$3=" "," ", IFERROR( VLOOKUP($A385,'SUPPLIER DATA BASE'!$A$2:$G$936,4,0),""))</f>
        <v/>
      </c>
      <c r="E385" s="71" t="str">
        <f>IF($A$3=" "," ", IFERROR( VLOOKUP($A385,'SUPPLIER DATA BASE'!$A$2:$H$936,5,0),""))</f>
        <v/>
      </c>
      <c r="F385" s="72" t="s">
        <v>1575</v>
      </c>
      <c r="G385" s="73">
        <v>46086.0</v>
      </c>
      <c r="H385" s="74">
        <v>4.0</v>
      </c>
      <c r="I385" s="75">
        <v>8222.0</v>
      </c>
      <c r="J385" s="76" t="s">
        <v>1576</v>
      </c>
      <c r="K385" s="70" t="s">
        <v>349</v>
      </c>
      <c r="L385" s="70" t="s">
        <v>349</v>
      </c>
      <c r="M385" s="70" t="str">
        <f t="shared" si="3"/>
        <v>102 Days</v>
      </c>
      <c r="N385" s="70" t="str">
        <f>IF($A$3=" "," ", IFERROR( VLOOKUP($A385,'SUPPLIER DATA BASE'!$A$2:$O$936,11,0),""))</f>
        <v>SHREE SANSKRUTI</v>
      </c>
      <c r="O385" s="70" t="str">
        <f>IF($A$3=" "," ", IFERROR( VLOOKUP($A385,'SUPPLIER DATA BASE'!$A$2:$O$936,12,0),""))</f>
        <v>50200012886505</v>
      </c>
      <c r="P385" s="70" t="str">
        <f>IF($A$3=" "," ", IFERROR( VLOOKUP($A385,'SUPPLIER DATA BASE'!$A$2:$O$936,13,0),""))</f>
        <v>HDFC0000146</v>
      </c>
      <c r="Q385" s="77"/>
      <c r="R385" s="73"/>
      <c r="S385" s="77"/>
      <c r="T385" s="70"/>
      <c r="U385" s="78"/>
      <c r="V385" s="70" t="str">
        <f t="shared" si="4"/>
        <v>FY 25-26</v>
      </c>
      <c r="W385" s="23"/>
      <c r="X385" s="23"/>
    </row>
    <row r="386">
      <c r="A386" s="70"/>
      <c r="B386" s="70" t="str">
        <f>IF($A$3=" "," ", IFERROR( VLOOKUP($A386,'SUPPLIER DATA BASE'!$A$2:$M$936,3,0),""))</f>
        <v/>
      </c>
      <c r="C386" s="70" t="str">
        <f>IF($A$3=" "," ", IFERROR( VLOOKUP($A386,'SUPPLIER DATA BASE'!$A$2:$F$936,6,0),""))</f>
        <v/>
      </c>
      <c r="D386" s="70" t="str">
        <f>IF($A$3=" "," ", IFERROR( VLOOKUP($A386,'SUPPLIER DATA BASE'!$A$2:$G$936,4,0),""))</f>
        <v/>
      </c>
      <c r="E386" s="71" t="str">
        <f>IF($A$3=" "," ", IFERROR( VLOOKUP($A386,'SUPPLIER DATA BASE'!$A$2:$H$936,5,0),""))</f>
        <v/>
      </c>
      <c r="F386" s="72" t="s">
        <v>1577</v>
      </c>
      <c r="G386" s="73">
        <v>46086.0</v>
      </c>
      <c r="H386" s="74">
        <v>6.0</v>
      </c>
      <c r="I386" s="75">
        <v>33104.0</v>
      </c>
      <c r="J386" s="76" t="s">
        <v>1578</v>
      </c>
      <c r="K386" s="70" t="s">
        <v>349</v>
      </c>
      <c r="L386" s="70" t="s">
        <v>349</v>
      </c>
      <c r="M386" s="70" t="str">
        <f t="shared" si="3"/>
        <v>102 Days</v>
      </c>
      <c r="N386" s="70" t="str">
        <f>IF($A$3=" "," ", IFERROR( VLOOKUP($A386,'SUPPLIER DATA BASE'!$A$2:$O$936,11,0),""))</f>
        <v/>
      </c>
      <c r="O386" s="70" t="str">
        <f>IF($A$3=" "," ", IFERROR( VLOOKUP($A386,'SUPPLIER DATA BASE'!$A$2:$O$936,12,0),""))</f>
        <v/>
      </c>
      <c r="P386" s="70" t="str">
        <f>IF($A$3=" "," ", IFERROR( VLOOKUP($A386,'SUPPLIER DATA BASE'!$A$2:$O$936,13,0),""))</f>
        <v/>
      </c>
      <c r="Q386" s="77"/>
      <c r="R386" s="73"/>
      <c r="S386" s="77"/>
      <c r="T386" s="70"/>
      <c r="U386" s="78"/>
      <c r="V386" s="70" t="str">
        <f t="shared" si="4"/>
        <v>FY 25-26</v>
      </c>
      <c r="W386" s="23"/>
      <c r="X386" s="23"/>
    </row>
    <row r="387">
      <c r="A387" s="70" t="s">
        <v>799</v>
      </c>
      <c r="B387" s="70" t="str">
        <f>IF($A$3=" "," ", IFERROR( VLOOKUP($A387,'SUPPLIER DATA BASE'!$A$2:$M$936,3,0),""))</f>
        <v>-</v>
      </c>
      <c r="C387" s="70" t="str">
        <f>IF($A$3=" "," ", IFERROR( VLOOKUP($A387,'SUPPLIER DATA BASE'!$A$2:$F$936,6,0),""))</f>
        <v>-</v>
      </c>
      <c r="D387" s="70" t="str">
        <f>IF($A$3=" "," ", IFERROR( VLOOKUP($A387,'SUPPLIER DATA BASE'!$A$2:$G$936,4,0),""))</f>
        <v>-</v>
      </c>
      <c r="E387" s="71" t="str">
        <f>IF($A$3=" "," ", IFERROR( VLOOKUP($A387,'SUPPLIER DATA BASE'!$A$2:$H$936,5,0),""))</f>
        <v>-</v>
      </c>
      <c r="F387" s="72" t="s">
        <v>1579</v>
      </c>
      <c r="G387" s="73">
        <v>46087.0</v>
      </c>
      <c r="H387" s="74">
        <v>27.0</v>
      </c>
      <c r="I387" s="75">
        <v>15646.0</v>
      </c>
      <c r="J387" s="76" t="s">
        <v>1580</v>
      </c>
      <c r="K387" s="70" t="s">
        <v>349</v>
      </c>
      <c r="L387" s="70" t="s">
        <v>349</v>
      </c>
      <c r="M387" s="70" t="str">
        <f t="shared" si="3"/>
        <v>101 Days</v>
      </c>
      <c r="N387" s="70" t="str">
        <f>IF($A$3=" "," ", IFERROR( VLOOKUP($A387,'SUPPLIER DATA BASE'!$A$2:$O$936,11,0),""))</f>
        <v>VISHAL MARKETING &amp; CO.</v>
      </c>
      <c r="O387" s="70" t="str">
        <f>IF($A$3=" "," ", IFERROR( VLOOKUP($A387,'SUPPLIER DATA BASE'!$A$2:$O$936,12,0),""))</f>
        <v>1091008700001025</v>
      </c>
      <c r="P387" s="70" t="str">
        <f>IF($A$3=" "," ", IFERROR( VLOOKUP($A387,'SUPPLIER DATA BASE'!$A$2:$O$936,13,0),""))</f>
        <v>PUNB0109100</v>
      </c>
      <c r="Q387" s="77"/>
      <c r="R387" s="73"/>
      <c r="S387" s="77"/>
      <c r="T387" s="70"/>
      <c r="U387" s="78"/>
      <c r="V387" s="70" t="str">
        <f t="shared" si="4"/>
        <v>FY 25-26</v>
      </c>
      <c r="W387" s="23"/>
      <c r="X387" s="23"/>
    </row>
    <row r="388">
      <c r="A388" s="70" t="s">
        <v>495</v>
      </c>
      <c r="B388" s="70" t="str">
        <f>IF($A$3=" "," ", IFERROR( VLOOKUP($A388,'SUPPLIER DATA BASE'!$A$2:$M$936,3,0),""))</f>
        <v>-</v>
      </c>
      <c r="C388" s="70" t="str">
        <f>IF($A$3=" "," ", IFERROR( VLOOKUP($A388,'SUPPLIER DATA BASE'!$A$2:$F$936,6,0),""))</f>
        <v>-</v>
      </c>
      <c r="D388" s="70" t="str">
        <f>IF($A$3=" "," ", IFERROR( VLOOKUP($A388,'SUPPLIER DATA BASE'!$A$2:$G$936,4,0),""))</f>
        <v>-</v>
      </c>
      <c r="E388" s="71" t="str">
        <f>IF($A$3=" "," ", IFERROR( VLOOKUP($A388,'SUPPLIER DATA BASE'!$A$2:$H$936,5,0),""))</f>
        <v>-</v>
      </c>
      <c r="F388" s="72" t="s">
        <v>1581</v>
      </c>
      <c r="G388" s="73">
        <v>46087.0</v>
      </c>
      <c r="H388" s="74">
        <v>105.0</v>
      </c>
      <c r="I388" s="75">
        <v>241025.0</v>
      </c>
      <c r="J388" s="76" t="s">
        <v>1582</v>
      </c>
      <c r="K388" s="70" t="s">
        <v>349</v>
      </c>
      <c r="L388" s="70" t="s">
        <v>349</v>
      </c>
      <c r="M388" s="70" t="str">
        <f t="shared" si="3"/>
        <v>101 Days</v>
      </c>
      <c r="N388" s="70" t="str">
        <f>IF($A$3=" "," ", IFERROR( VLOOKUP($A388,'SUPPLIER DATA BASE'!$A$2:$O$936,11,0),""))</f>
        <v>JAIN ADISHWAR HOSIERY WORKS LLP</v>
      </c>
      <c r="O388" s="70" t="str">
        <f>IF($A$3=" "," ", IFERROR( VLOOKUP($A388,'SUPPLIER DATA BASE'!$A$2:$O$936,12,0),""))</f>
        <v>99917644444444</v>
      </c>
      <c r="P388" s="70" t="str">
        <f>IF($A$3=" "," ", IFERROR( VLOOKUP($A388,'SUPPLIER DATA BASE'!$A$2:$O$936,13,0),""))</f>
        <v>HDFC0002063</v>
      </c>
      <c r="Q388" s="77"/>
      <c r="R388" s="73"/>
      <c r="S388" s="77"/>
      <c r="T388" s="70"/>
      <c r="U388" s="78"/>
      <c r="V388" s="70" t="str">
        <f t="shared" si="4"/>
        <v>FY 25-26</v>
      </c>
      <c r="W388" s="23"/>
      <c r="X388" s="23"/>
    </row>
    <row r="389">
      <c r="A389" s="70" t="s">
        <v>495</v>
      </c>
      <c r="B389" s="70" t="str">
        <f>IF($A$3=" "," ", IFERROR( VLOOKUP($A389,'SUPPLIER DATA BASE'!$A$2:$M$936,3,0),""))</f>
        <v>-</v>
      </c>
      <c r="C389" s="70" t="str">
        <f>IF($A$3=" "," ", IFERROR( VLOOKUP($A389,'SUPPLIER DATA BASE'!$A$2:$F$936,6,0),""))</f>
        <v>-</v>
      </c>
      <c r="D389" s="70" t="str">
        <f>IF($A$3=" "," ", IFERROR( VLOOKUP($A389,'SUPPLIER DATA BASE'!$A$2:$G$936,4,0),""))</f>
        <v>-</v>
      </c>
      <c r="E389" s="71" t="str">
        <f>IF($A$3=" "," ", IFERROR( VLOOKUP($A389,'SUPPLIER DATA BASE'!$A$2:$H$936,5,0),""))</f>
        <v>-</v>
      </c>
      <c r="F389" s="72" t="s">
        <v>1583</v>
      </c>
      <c r="G389" s="73">
        <v>46087.0</v>
      </c>
      <c r="H389" s="74">
        <v>92.0</v>
      </c>
      <c r="I389" s="75">
        <v>190491.0</v>
      </c>
      <c r="J389" s="76" t="s">
        <v>1584</v>
      </c>
      <c r="K389" s="70" t="s">
        <v>349</v>
      </c>
      <c r="L389" s="70" t="s">
        <v>349</v>
      </c>
      <c r="M389" s="70" t="str">
        <f t="shared" si="3"/>
        <v>101 Days</v>
      </c>
      <c r="N389" s="70" t="str">
        <f>IF($A$3=" "," ", IFERROR( VLOOKUP($A389,'SUPPLIER DATA BASE'!$A$2:$O$936,11,0),""))</f>
        <v>JAIN ADISHWAR HOSIERY WORKS LLP</v>
      </c>
      <c r="O389" s="70" t="str">
        <f>IF($A$3=" "," ", IFERROR( VLOOKUP($A389,'SUPPLIER DATA BASE'!$A$2:$O$936,12,0),""))</f>
        <v>99917644444444</v>
      </c>
      <c r="P389" s="70" t="str">
        <f>IF($A$3=" "," ", IFERROR( VLOOKUP($A389,'SUPPLIER DATA BASE'!$A$2:$O$936,13,0),""))</f>
        <v>HDFC0002063</v>
      </c>
      <c r="Q389" s="77"/>
      <c r="R389" s="73"/>
      <c r="S389" s="77"/>
      <c r="T389" s="70"/>
      <c r="U389" s="78"/>
      <c r="V389" s="70" t="str">
        <f t="shared" si="4"/>
        <v>FY 25-26</v>
      </c>
      <c r="W389" s="23"/>
      <c r="X389" s="23"/>
    </row>
    <row r="390">
      <c r="A390" s="70" t="s">
        <v>625</v>
      </c>
      <c r="B390" s="70" t="str">
        <f>IF($A$3=" "," ", IFERROR( VLOOKUP($A390,'SUPPLIER DATA BASE'!$A$2:$M$936,3,0),""))</f>
        <v>-</v>
      </c>
      <c r="C390" s="70" t="str">
        <f>IF($A$3=" "," ", IFERROR( VLOOKUP($A390,'SUPPLIER DATA BASE'!$A$2:$F$936,6,0),""))</f>
        <v>DIRECT</v>
      </c>
      <c r="D390" s="70">
        <f>IF($A$3=" "," ", IFERROR( VLOOKUP($A390,'SUPPLIER DATA BASE'!$A$2:$G$936,4,0),""))</f>
        <v>30</v>
      </c>
      <c r="E390" s="71">
        <f>IF($A$3=" "," ", IFERROR( VLOOKUP($A390,'SUPPLIER DATA BASE'!$A$2:$H$936,5,0),""))</f>
        <v>0.02</v>
      </c>
      <c r="F390" s="72">
        <v>3544.0</v>
      </c>
      <c r="G390" s="73">
        <v>46087.0</v>
      </c>
      <c r="H390" s="74">
        <v>86.0</v>
      </c>
      <c r="I390" s="75">
        <v>145218.0</v>
      </c>
      <c r="J390" s="76" t="s">
        <v>1585</v>
      </c>
      <c r="K390" s="70" t="s">
        <v>349</v>
      </c>
      <c r="L390" s="70" t="s">
        <v>349</v>
      </c>
      <c r="M390" s="70" t="str">
        <f t="shared" si="3"/>
        <v>101 Days</v>
      </c>
      <c r="N390" s="70" t="str">
        <f>IF($A$3=" "," ", IFERROR( VLOOKUP($A390,'SUPPLIER DATA BASE'!$A$2:$O$936,11,0),""))</f>
        <v>PLAZER GARMENTS</v>
      </c>
      <c r="O390" s="70" t="str">
        <f>IF($A$3=" "," ", IFERROR( VLOOKUP($A390,'SUPPLIER DATA BASE'!$A$2:$O$936,12,0),""))</f>
        <v>50200065043307</v>
      </c>
      <c r="P390" s="70" t="str">
        <f>IF($A$3=" "," ", IFERROR( VLOOKUP($A390,'SUPPLIER DATA BASE'!$A$2:$O$936,13,0),""))</f>
        <v>HDFC0000150</v>
      </c>
      <c r="Q390" s="77"/>
      <c r="R390" s="73"/>
      <c r="S390" s="77"/>
      <c r="T390" s="70"/>
      <c r="U390" s="78"/>
      <c r="V390" s="70" t="str">
        <f t="shared" si="4"/>
        <v>FY 25-26</v>
      </c>
      <c r="W390" s="23"/>
      <c r="X390" s="23"/>
    </row>
    <row r="391">
      <c r="A391" s="70" t="s">
        <v>606</v>
      </c>
      <c r="B391" s="70" t="str">
        <f>IF($A$3=" "," ", IFERROR( VLOOKUP($A391,'SUPPLIER DATA BASE'!$A$2:$M$936,3,0),""))</f>
        <v>-</v>
      </c>
      <c r="C391" s="70" t="str">
        <f>IF($A$3=" "," ", IFERROR( VLOOKUP($A391,'SUPPLIER DATA BASE'!$A$2:$F$936,6,0),""))</f>
        <v>-</v>
      </c>
      <c r="D391" s="70" t="str">
        <f>IF($A$3=" "," ", IFERROR( VLOOKUP($A391,'SUPPLIER DATA BASE'!$A$2:$G$936,4,0),""))</f>
        <v>-</v>
      </c>
      <c r="E391" s="71" t="str">
        <f>IF($A$3=" "," ", IFERROR( VLOOKUP($A391,'SUPPLIER DATA BASE'!$A$2:$H$936,5,0),""))</f>
        <v>-</v>
      </c>
      <c r="F391" s="72" t="s">
        <v>1586</v>
      </c>
      <c r="G391" s="73">
        <v>46087.0</v>
      </c>
      <c r="H391" s="74">
        <v>76.0</v>
      </c>
      <c r="I391" s="75">
        <v>32176.0</v>
      </c>
      <c r="J391" s="76" t="s">
        <v>1587</v>
      </c>
      <c r="K391" s="70" t="s">
        <v>349</v>
      </c>
      <c r="L391" s="70" t="s">
        <v>349</v>
      </c>
      <c r="M391" s="70" t="str">
        <f t="shared" si="3"/>
        <v>101 Days</v>
      </c>
      <c r="N391" s="70" t="str">
        <f>IF($A$3=" "," ", IFERROR( VLOOKUP($A391,'SUPPLIER DATA BASE'!$A$2:$O$936,11,0),""))</f>
        <v>P M SONS</v>
      </c>
      <c r="O391" s="70" t="str">
        <f>IF($A$3=" "," ", IFERROR( VLOOKUP($A391,'SUPPLIER DATA BASE'!$A$2:$O$936,12,0),""))</f>
        <v>8084600000325</v>
      </c>
      <c r="P391" s="70" t="str">
        <f>IF($A$3=" "," ", IFERROR( VLOOKUP($A391,'SUPPLIER DATA BASE'!$A$2:$O$936,13,0),""))</f>
        <v>YESB0000080</v>
      </c>
      <c r="Q391" s="77"/>
      <c r="R391" s="73"/>
      <c r="S391" s="77"/>
      <c r="T391" s="70"/>
      <c r="U391" s="78"/>
      <c r="V391" s="70" t="str">
        <f t="shared" si="4"/>
        <v>FY 25-26</v>
      </c>
      <c r="W391" s="23"/>
      <c r="X391" s="23"/>
    </row>
    <row r="392">
      <c r="A392" s="70" t="s">
        <v>448</v>
      </c>
      <c r="B392" s="70" t="str">
        <f>IF($A$3=" "," ", IFERROR( VLOOKUP($A392,'SUPPLIER DATA BASE'!$A$2:$M$936,3,0),""))</f>
        <v>SEWBERRY</v>
      </c>
      <c r="C392" s="70" t="str">
        <f>IF($A$3=" "," ", IFERROR( VLOOKUP($A392,'SUPPLIER DATA BASE'!$A$2:$F$936,6,0),""))</f>
        <v>-</v>
      </c>
      <c r="D392" s="70" t="str">
        <f>IF($A$3=" "," ", IFERROR( VLOOKUP($A392,'SUPPLIER DATA BASE'!$A$2:$G$936,4,0),""))</f>
        <v>-</v>
      </c>
      <c r="E392" s="71" t="str">
        <f>IF($A$3=" "," ", IFERROR( VLOOKUP($A392,'SUPPLIER DATA BASE'!$A$2:$H$936,5,0),""))</f>
        <v>-</v>
      </c>
      <c r="F392" s="72" t="s">
        <v>1588</v>
      </c>
      <c r="G392" s="73">
        <v>46087.0</v>
      </c>
      <c r="H392" s="74">
        <v>54.0</v>
      </c>
      <c r="I392" s="75">
        <v>66497.0</v>
      </c>
      <c r="J392" s="76" t="s">
        <v>1589</v>
      </c>
      <c r="K392" s="70" t="s">
        <v>349</v>
      </c>
      <c r="L392" s="70" t="s">
        <v>349</v>
      </c>
      <c r="M392" s="70" t="str">
        <f t="shared" si="3"/>
        <v>101 Days</v>
      </c>
      <c r="N392" s="70" t="str">
        <f>IF($A$3=" "," ", IFERROR( VLOOKUP($A392,'SUPPLIER DATA BASE'!$A$2:$O$936,11,0),""))</f>
        <v>FASHION EARTH GARMENTS PVT LTD</v>
      </c>
      <c r="O392" s="70" t="str">
        <f>IF($A$3=" "," ", IFERROR( VLOOKUP($A392,'SUPPLIER DATA BASE'!$A$2:$O$936,12,0),""))</f>
        <v>59209830559685</v>
      </c>
      <c r="P392" s="70" t="str">
        <f>IF($A$3=" "," ", IFERROR( VLOOKUP($A392,'SUPPLIER DATA BASE'!$A$2:$O$936,13,0),""))</f>
        <v>HDFC0000219</v>
      </c>
      <c r="Q392" s="77"/>
      <c r="R392" s="73"/>
      <c r="S392" s="77"/>
      <c r="T392" s="70"/>
      <c r="U392" s="78"/>
      <c r="V392" s="70" t="str">
        <f t="shared" si="4"/>
        <v>FY 25-26</v>
      </c>
      <c r="W392" s="23"/>
      <c r="X392" s="23"/>
    </row>
    <row r="393">
      <c r="A393" s="70" t="s">
        <v>448</v>
      </c>
      <c r="B393" s="70" t="str">
        <f>IF($A$3=" "," ", IFERROR( VLOOKUP($A393,'SUPPLIER DATA BASE'!$A$2:$M$936,3,0),""))</f>
        <v>SEWBERRY</v>
      </c>
      <c r="C393" s="70" t="str">
        <f>IF($A$3=" "," ", IFERROR( VLOOKUP($A393,'SUPPLIER DATA BASE'!$A$2:$F$936,6,0),""))</f>
        <v>-</v>
      </c>
      <c r="D393" s="70" t="str">
        <f>IF($A$3=" "," ", IFERROR( VLOOKUP($A393,'SUPPLIER DATA BASE'!$A$2:$G$936,4,0),""))</f>
        <v>-</v>
      </c>
      <c r="E393" s="71" t="str">
        <f>IF($A$3=" "," ", IFERROR( VLOOKUP($A393,'SUPPLIER DATA BASE'!$A$2:$H$936,5,0),""))</f>
        <v>-</v>
      </c>
      <c r="F393" s="72" t="s">
        <v>1590</v>
      </c>
      <c r="G393" s="73">
        <v>46087.0</v>
      </c>
      <c r="H393" s="74">
        <v>58.0</v>
      </c>
      <c r="I393" s="75">
        <v>84788.0</v>
      </c>
      <c r="J393" s="76" t="s">
        <v>1591</v>
      </c>
      <c r="K393" s="70" t="s">
        <v>349</v>
      </c>
      <c r="L393" s="70" t="s">
        <v>349</v>
      </c>
      <c r="M393" s="70" t="str">
        <f t="shared" si="3"/>
        <v>101 Days</v>
      </c>
      <c r="N393" s="70" t="str">
        <f>IF($A$3=" "," ", IFERROR( VLOOKUP($A393,'SUPPLIER DATA BASE'!$A$2:$O$936,11,0),""))</f>
        <v>FASHION EARTH GARMENTS PVT LTD</v>
      </c>
      <c r="O393" s="70" t="str">
        <f>IF($A$3=" "," ", IFERROR( VLOOKUP($A393,'SUPPLIER DATA BASE'!$A$2:$O$936,12,0),""))</f>
        <v>59209830559685</v>
      </c>
      <c r="P393" s="70" t="str">
        <f>IF($A$3=" "," ", IFERROR( VLOOKUP($A393,'SUPPLIER DATA BASE'!$A$2:$O$936,13,0),""))</f>
        <v>HDFC0000219</v>
      </c>
      <c r="Q393" s="77"/>
      <c r="R393" s="73"/>
      <c r="S393" s="77"/>
      <c r="T393" s="70"/>
      <c r="U393" s="78"/>
      <c r="V393" s="70" t="str">
        <f t="shared" si="4"/>
        <v>FY 25-26</v>
      </c>
      <c r="W393" s="23"/>
      <c r="X393" s="23"/>
    </row>
    <row r="394">
      <c r="A394" s="70" t="s">
        <v>495</v>
      </c>
      <c r="B394" s="70" t="str">
        <f>IF($A$3=" "," ", IFERROR( VLOOKUP($A394,'SUPPLIER DATA BASE'!$A$2:$M$936,3,0),""))</f>
        <v>-</v>
      </c>
      <c r="C394" s="70" t="str">
        <f>IF($A$3=" "," ", IFERROR( VLOOKUP($A394,'SUPPLIER DATA BASE'!$A$2:$F$936,6,0),""))</f>
        <v>-</v>
      </c>
      <c r="D394" s="70" t="str">
        <f>IF($A$3=" "," ", IFERROR( VLOOKUP($A394,'SUPPLIER DATA BASE'!$A$2:$G$936,4,0),""))</f>
        <v>-</v>
      </c>
      <c r="E394" s="71" t="str">
        <f>IF($A$3=" "," ", IFERROR( VLOOKUP($A394,'SUPPLIER DATA BASE'!$A$2:$H$936,5,0),""))</f>
        <v>-</v>
      </c>
      <c r="F394" s="72" t="s">
        <v>1592</v>
      </c>
      <c r="G394" s="73">
        <v>46087.0</v>
      </c>
      <c r="H394" s="74">
        <v>94.0</v>
      </c>
      <c r="I394" s="75">
        <v>189231.0</v>
      </c>
      <c r="J394" s="76" t="s">
        <v>1593</v>
      </c>
      <c r="K394" s="70" t="s">
        <v>349</v>
      </c>
      <c r="L394" s="70" t="s">
        <v>349</v>
      </c>
      <c r="M394" s="70" t="str">
        <f t="shared" si="3"/>
        <v>101 Days</v>
      </c>
      <c r="N394" s="70" t="str">
        <f>IF($A$3=" "," ", IFERROR( VLOOKUP($A394,'SUPPLIER DATA BASE'!$A$2:$O$936,11,0),""))</f>
        <v>JAIN ADISHWAR HOSIERY WORKS LLP</v>
      </c>
      <c r="O394" s="70" t="str">
        <f>IF($A$3=" "," ", IFERROR( VLOOKUP($A394,'SUPPLIER DATA BASE'!$A$2:$O$936,12,0),""))</f>
        <v>99917644444444</v>
      </c>
      <c r="P394" s="70" t="str">
        <f>IF($A$3=" "," ", IFERROR( VLOOKUP($A394,'SUPPLIER DATA BASE'!$A$2:$O$936,13,0),""))</f>
        <v>HDFC0002063</v>
      </c>
      <c r="Q394" s="77"/>
      <c r="R394" s="73"/>
      <c r="S394" s="77"/>
      <c r="T394" s="70"/>
      <c r="U394" s="78"/>
      <c r="V394" s="70" t="str">
        <f t="shared" si="4"/>
        <v>FY 25-26</v>
      </c>
      <c r="W394" s="23"/>
      <c r="X394" s="23"/>
    </row>
    <row r="395">
      <c r="A395" s="70" t="s">
        <v>354</v>
      </c>
      <c r="B395" s="70" t="str">
        <f>IF($A$3=" "," ", IFERROR( VLOOKUP($A395,'SUPPLIER DATA BASE'!$A$2:$M$936,3,0),""))</f>
        <v>-</v>
      </c>
      <c r="C395" s="70" t="str">
        <f>IF($A$3=" "," ", IFERROR( VLOOKUP($A395,'SUPPLIER DATA BASE'!$A$2:$F$936,6,0),""))</f>
        <v>-</v>
      </c>
      <c r="D395" s="70" t="str">
        <f>IF($A$3=" "," ", IFERROR( VLOOKUP($A395,'SUPPLIER DATA BASE'!$A$2:$G$936,4,0),""))</f>
        <v>-</v>
      </c>
      <c r="E395" s="71" t="str">
        <f>IF($A$3=" "," ", IFERROR( VLOOKUP($A395,'SUPPLIER DATA BASE'!$A$2:$H$936,5,0),""))</f>
        <v>-</v>
      </c>
      <c r="F395" s="72" t="s">
        <v>1594</v>
      </c>
      <c r="G395" s="73">
        <v>46087.0</v>
      </c>
      <c r="H395" s="74">
        <v>25.0</v>
      </c>
      <c r="I395" s="75">
        <v>45928.36</v>
      </c>
      <c r="J395" s="76" t="s">
        <v>1595</v>
      </c>
      <c r="K395" s="70" t="s">
        <v>349</v>
      </c>
      <c r="L395" s="70" t="s">
        <v>349</v>
      </c>
      <c r="M395" s="70" t="str">
        <f t="shared" si="3"/>
        <v>101 Days</v>
      </c>
      <c r="N395" s="70" t="str">
        <f>IF($A$3=" "," ", IFERROR( VLOOKUP($A395,'SUPPLIER DATA BASE'!$A$2:$O$936,11,0),""))</f>
        <v>-</v>
      </c>
      <c r="O395" s="70" t="str">
        <f>IF($A$3=" "," ", IFERROR( VLOOKUP($A395,'SUPPLIER DATA BASE'!$A$2:$O$936,12,0),""))</f>
        <v>-</v>
      </c>
      <c r="P395" s="70" t="str">
        <f>IF($A$3=" "," ", IFERROR( VLOOKUP($A395,'SUPPLIER DATA BASE'!$A$2:$O$936,13,0),""))</f>
        <v>-</v>
      </c>
      <c r="Q395" s="77"/>
      <c r="R395" s="73"/>
      <c r="S395" s="77"/>
      <c r="T395" s="70"/>
      <c r="U395" s="78"/>
      <c r="V395" s="70" t="str">
        <f t="shared" si="4"/>
        <v>FY 25-26</v>
      </c>
      <c r="W395" s="23"/>
      <c r="X395" s="23"/>
    </row>
    <row r="396">
      <c r="A396" s="70" t="s">
        <v>354</v>
      </c>
      <c r="B396" s="70" t="str">
        <f>IF($A$3=" "," ", IFERROR( VLOOKUP($A396,'SUPPLIER DATA BASE'!$A$2:$M$936,3,0),""))</f>
        <v>-</v>
      </c>
      <c r="C396" s="70" t="str">
        <f>IF($A$3=" "," ", IFERROR( VLOOKUP($A396,'SUPPLIER DATA BASE'!$A$2:$F$936,6,0),""))</f>
        <v>-</v>
      </c>
      <c r="D396" s="70" t="str">
        <f>IF($A$3=" "," ", IFERROR( VLOOKUP($A396,'SUPPLIER DATA BASE'!$A$2:$G$936,4,0),""))</f>
        <v>-</v>
      </c>
      <c r="E396" s="71" t="str">
        <f>IF($A$3=" "," ", IFERROR( VLOOKUP($A396,'SUPPLIER DATA BASE'!$A$2:$H$936,5,0),""))</f>
        <v>-</v>
      </c>
      <c r="F396" s="72" t="s">
        <v>1596</v>
      </c>
      <c r="G396" s="73">
        <v>46087.0</v>
      </c>
      <c r="H396" s="74">
        <v>14.0</v>
      </c>
      <c r="I396" s="75">
        <v>25377.77</v>
      </c>
      <c r="J396" s="76" t="s">
        <v>1597</v>
      </c>
      <c r="K396" s="70" t="s">
        <v>349</v>
      </c>
      <c r="L396" s="70" t="s">
        <v>349</v>
      </c>
      <c r="M396" s="70" t="str">
        <f t="shared" si="3"/>
        <v>101 Days</v>
      </c>
      <c r="N396" s="70" t="str">
        <f>IF($A$3=" "," ", IFERROR( VLOOKUP($A396,'SUPPLIER DATA BASE'!$A$2:$O$936,11,0),""))</f>
        <v>-</v>
      </c>
      <c r="O396" s="70" t="str">
        <f>IF($A$3=" "," ", IFERROR( VLOOKUP($A396,'SUPPLIER DATA BASE'!$A$2:$O$936,12,0),""))</f>
        <v>-</v>
      </c>
      <c r="P396" s="70" t="str">
        <f>IF($A$3=" "," ", IFERROR( VLOOKUP($A396,'SUPPLIER DATA BASE'!$A$2:$O$936,13,0),""))</f>
        <v>-</v>
      </c>
      <c r="Q396" s="77"/>
      <c r="R396" s="73"/>
      <c r="S396" s="77"/>
      <c r="T396" s="70"/>
      <c r="U396" s="78"/>
      <c r="V396" s="70" t="str">
        <f t="shared" si="4"/>
        <v>FY 25-26</v>
      </c>
      <c r="W396" s="23"/>
      <c r="X396" s="23"/>
    </row>
    <row r="397">
      <c r="A397" s="70"/>
      <c r="B397" s="70" t="str">
        <f>IF($A$3=" "," ", IFERROR( VLOOKUP($A397,'SUPPLIER DATA BASE'!$A$2:$M$936,3,0),""))</f>
        <v/>
      </c>
      <c r="C397" s="70" t="str">
        <f>IF($A$3=" "," ", IFERROR( VLOOKUP($A397,'SUPPLIER DATA BASE'!$A$2:$F$936,6,0),""))</f>
        <v/>
      </c>
      <c r="D397" s="70" t="str">
        <f>IF($A$3=" "," ", IFERROR( VLOOKUP($A397,'SUPPLIER DATA BASE'!$A$2:$G$936,4,0),""))</f>
        <v/>
      </c>
      <c r="E397" s="71" t="str">
        <f>IF($A$3=" "," ", IFERROR( VLOOKUP($A397,'SUPPLIER DATA BASE'!$A$2:$H$936,5,0),""))</f>
        <v/>
      </c>
      <c r="F397" s="72">
        <v>3898.0</v>
      </c>
      <c r="G397" s="73">
        <v>46087.0</v>
      </c>
      <c r="H397" s="74">
        <v>80.0</v>
      </c>
      <c r="I397" s="75">
        <v>88620.0</v>
      </c>
      <c r="J397" s="76" t="s">
        <v>1598</v>
      </c>
      <c r="K397" s="70" t="s">
        <v>349</v>
      </c>
      <c r="L397" s="70" t="s">
        <v>349</v>
      </c>
      <c r="M397" s="70" t="str">
        <f t="shared" si="3"/>
        <v>101 Days</v>
      </c>
      <c r="N397" s="70" t="str">
        <f>IF($A$3=" "," ", IFERROR( VLOOKUP($A397,'SUPPLIER DATA BASE'!$A$2:$O$936,11,0),""))</f>
        <v/>
      </c>
      <c r="O397" s="70" t="str">
        <f>IF($A$3=" "," ", IFERROR( VLOOKUP($A397,'SUPPLIER DATA BASE'!$A$2:$O$936,12,0),""))</f>
        <v/>
      </c>
      <c r="P397" s="70" t="str">
        <f>IF($A$3=" "," ", IFERROR( VLOOKUP($A397,'SUPPLIER DATA BASE'!$A$2:$O$936,13,0),""))</f>
        <v/>
      </c>
      <c r="Q397" s="77"/>
      <c r="R397" s="73"/>
      <c r="S397" s="77"/>
      <c r="T397" s="70"/>
      <c r="U397" s="78"/>
      <c r="V397" s="70" t="str">
        <f t="shared" si="4"/>
        <v>FY 25-26</v>
      </c>
      <c r="W397" s="23"/>
      <c r="X397" s="23"/>
    </row>
    <row r="398">
      <c r="A398" s="70" t="s">
        <v>402</v>
      </c>
      <c r="B398" s="70" t="str">
        <f>IF($A$3=" "," ", IFERROR( VLOOKUP($A398,'SUPPLIER DATA BASE'!$A$2:$M$936,3,0),""))</f>
        <v>KHUSHAL/STATUS QUO</v>
      </c>
      <c r="C398" s="70" t="str">
        <f>IF($A$3=" "," ", IFERROR( VLOOKUP($A398,'SUPPLIER DATA BASE'!$A$2:$F$936,6,0),""))</f>
        <v>-</v>
      </c>
      <c r="D398" s="70" t="str">
        <f>IF($A$3=" "," ", IFERROR( VLOOKUP($A398,'SUPPLIER DATA BASE'!$A$2:$G$936,4,0),""))</f>
        <v>-</v>
      </c>
      <c r="E398" s="71" t="str">
        <f>IF($A$3=" "," ", IFERROR( VLOOKUP($A398,'SUPPLIER DATA BASE'!$A$2:$H$936,5,0),""))</f>
        <v>-</v>
      </c>
      <c r="F398" s="72" t="s">
        <v>1599</v>
      </c>
      <c r="G398" s="73">
        <v>46087.0</v>
      </c>
      <c r="H398" s="74">
        <v>24.0</v>
      </c>
      <c r="I398" s="75">
        <v>24596.0</v>
      </c>
      <c r="J398" s="76" t="s">
        <v>1600</v>
      </c>
      <c r="K398" s="70" t="s">
        <v>349</v>
      </c>
      <c r="L398" s="73"/>
      <c r="M398" s="70" t="str">
        <f t="shared" si="3"/>
        <v>101 Days</v>
      </c>
      <c r="N398" s="70" t="str">
        <f>IF($A$3=" "," ", IFERROR( VLOOKUP($A398,'SUPPLIER DATA BASE'!$A$2:$O$936,11,0),""))</f>
        <v>D APPAREL</v>
      </c>
      <c r="O398" s="70" t="str">
        <f>IF($A$3=" "," ", IFERROR( VLOOKUP($A398,'SUPPLIER DATA BASE'!$A$2:$O$936,12,0),""))</f>
        <v>722501010050397</v>
      </c>
      <c r="P398" s="70" t="str">
        <f>IF($A$3=" "," ", IFERROR( VLOOKUP($A398,'SUPPLIER DATA BASE'!$A$2:$O$936,13,0),""))</f>
        <v>UBIN0572250</v>
      </c>
      <c r="Q398" s="77"/>
      <c r="R398" s="73"/>
      <c r="S398" s="77"/>
      <c r="T398" s="70"/>
      <c r="U398" s="78"/>
      <c r="V398" s="70" t="str">
        <f t="shared" si="4"/>
        <v>FY 25-26</v>
      </c>
      <c r="W398" s="23"/>
      <c r="X398" s="23"/>
    </row>
    <row r="399">
      <c r="A399" s="70" t="s">
        <v>692</v>
      </c>
      <c r="B399" s="70" t="str">
        <f>IF($A$3=" "," ", IFERROR( VLOOKUP($A399,'SUPPLIER DATA BASE'!$A$2:$M$936,3,0),""))</f>
        <v>JOCKEY</v>
      </c>
      <c r="C399" s="70" t="str">
        <f>IF($A$3=" "," ", IFERROR( VLOOKUP($A399,'SUPPLIER DATA BASE'!$A$2:$F$936,6,0),""))</f>
        <v>DIRECT</v>
      </c>
      <c r="D399" s="70">
        <f>IF($A$3=" "," ", IFERROR( VLOOKUP($A399,'SUPPLIER DATA BASE'!$A$2:$G$936,4,0),""))</f>
        <v>30</v>
      </c>
      <c r="E399" s="71">
        <f>IF($A$3=" "," ", IFERROR( VLOOKUP($A399,'SUPPLIER DATA BASE'!$A$2:$H$936,5,0),""))</f>
        <v>2</v>
      </c>
      <c r="F399" s="72" t="s">
        <v>1601</v>
      </c>
      <c r="G399" s="73">
        <v>46088.0</v>
      </c>
      <c r="H399" s="74">
        <v>40.0</v>
      </c>
      <c r="I399" s="75">
        <v>8808.0</v>
      </c>
      <c r="J399" s="76" t="s">
        <v>1602</v>
      </c>
      <c r="K399" s="70" t="s">
        <v>349</v>
      </c>
      <c r="L399" s="70" t="s">
        <v>349</v>
      </c>
      <c r="M399" s="70" t="str">
        <f t="shared" si="3"/>
        <v>100 Days</v>
      </c>
      <c r="N399" s="70" t="str">
        <f>IF($A$3=" "," ", IFERROR( VLOOKUP($A399,'SUPPLIER DATA BASE'!$A$2:$O$936,11,0),""))</f>
        <v>SHREE NARAYANI ENTERPRISE</v>
      </c>
      <c r="O399" s="70" t="str">
        <f>IF($A$3=" "," ", IFERROR( VLOOKUP($A399,'SUPPLIER DATA BASE'!$A$2:$O$936,12,0),""))</f>
        <v>29205005382</v>
      </c>
      <c r="P399" s="70" t="str">
        <f>IF($A$3=" "," ", IFERROR( VLOOKUP($A399,'SUPPLIER DATA BASE'!$A$2:$O$936,13,0),""))</f>
        <v>ICIC0000292</v>
      </c>
      <c r="Q399" s="77">
        <v>8808.0</v>
      </c>
      <c r="R399" s="73"/>
      <c r="S399" s="77"/>
      <c r="T399" s="70"/>
      <c r="U399" s="84"/>
      <c r="V399" s="70" t="str">
        <f t="shared" si="4"/>
        <v>FY 25-26</v>
      </c>
      <c r="W399" s="23"/>
      <c r="X399" s="23"/>
    </row>
    <row r="400">
      <c r="A400" s="70" t="s">
        <v>495</v>
      </c>
      <c r="B400" s="70" t="str">
        <f>IF($A$3=" "," ", IFERROR( VLOOKUP($A400,'SUPPLIER DATA BASE'!$A$2:$M$936,3,0),""))</f>
        <v>-</v>
      </c>
      <c r="C400" s="70" t="str">
        <f>IF($A$3=" "," ", IFERROR( VLOOKUP($A400,'SUPPLIER DATA BASE'!$A$2:$F$936,6,0),""))</f>
        <v>-</v>
      </c>
      <c r="D400" s="70" t="str">
        <f>IF($A$3=" "," ", IFERROR( VLOOKUP($A400,'SUPPLIER DATA BASE'!$A$2:$G$936,4,0),""))</f>
        <v>-</v>
      </c>
      <c r="E400" s="71" t="str">
        <f>IF($A$3=" "," ", IFERROR( VLOOKUP($A400,'SUPPLIER DATA BASE'!$A$2:$H$936,5,0),""))</f>
        <v>-</v>
      </c>
      <c r="F400" s="72" t="s">
        <v>1603</v>
      </c>
      <c r="G400" s="73">
        <v>46088.0</v>
      </c>
      <c r="H400" s="74">
        <v>101.0</v>
      </c>
      <c r="I400" s="75">
        <v>205972.0</v>
      </c>
      <c r="J400" s="76" t="s">
        <v>1604</v>
      </c>
      <c r="K400" s="70" t="s">
        <v>349</v>
      </c>
      <c r="L400" s="70" t="s">
        <v>349</v>
      </c>
      <c r="M400" s="70" t="str">
        <f t="shared" si="3"/>
        <v>100 Days</v>
      </c>
      <c r="N400" s="70" t="str">
        <f>IF($A$3=" "," ", IFERROR( VLOOKUP($A400,'SUPPLIER DATA BASE'!$A$2:$O$936,11,0),""))</f>
        <v>JAIN ADISHWAR HOSIERY WORKS LLP</v>
      </c>
      <c r="O400" s="70" t="str">
        <f>IF($A$3=" "," ", IFERROR( VLOOKUP($A400,'SUPPLIER DATA BASE'!$A$2:$O$936,12,0),""))</f>
        <v>99917644444444</v>
      </c>
      <c r="P400" s="70" t="str">
        <f>IF($A$3=" "," ", IFERROR( VLOOKUP($A400,'SUPPLIER DATA BASE'!$A$2:$O$936,13,0),""))</f>
        <v>HDFC0002063</v>
      </c>
      <c r="Q400" s="77"/>
      <c r="R400" s="73"/>
      <c r="S400" s="77"/>
      <c r="T400" s="70"/>
      <c r="U400" s="78"/>
      <c r="V400" s="70" t="str">
        <f t="shared" si="4"/>
        <v>FY 25-26</v>
      </c>
      <c r="W400" s="23"/>
      <c r="X400" s="23"/>
    </row>
    <row r="401">
      <c r="A401" s="70" t="s">
        <v>495</v>
      </c>
      <c r="B401" s="70" t="str">
        <f>IF($A$3=" "," ", IFERROR( VLOOKUP($A401,'SUPPLIER DATA BASE'!$A$2:$M$936,3,0),""))</f>
        <v>-</v>
      </c>
      <c r="C401" s="70" t="str">
        <f>IF($A$3=" "," ", IFERROR( VLOOKUP($A401,'SUPPLIER DATA BASE'!$A$2:$F$936,6,0),""))</f>
        <v>-</v>
      </c>
      <c r="D401" s="70" t="str">
        <f>IF($A$3=" "," ", IFERROR( VLOOKUP($A401,'SUPPLIER DATA BASE'!$A$2:$G$936,4,0),""))</f>
        <v>-</v>
      </c>
      <c r="E401" s="71" t="str">
        <f>IF($A$3=" "," ", IFERROR( VLOOKUP($A401,'SUPPLIER DATA BASE'!$A$2:$H$936,5,0),""))</f>
        <v>-</v>
      </c>
      <c r="F401" s="72" t="s">
        <v>1605</v>
      </c>
      <c r="G401" s="73">
        <v>46088.0</v>
      </c>
      <c r="H401" s="74">
        <v>111.0</v>
      </c>
      <c r="I401" s="75">
        <v>244664.0</v>
      </c>
      <c r="J401" s="76" t="s">
        <v>1606</v>
      </c>
      <c r="K401" s="70" t="s">
        <v>349</v>
      </c>
      <c r="L401" s="70" t="s">
        <v>349</v>
      </c>
      <c r="M401" s="70" t="str">
        <f t="shared" si="3"/>
        <v>100 Days</v>
      </c>
      <c r="N401" s="70" t="str">
        <f>IF($A$3=" "," ", IFERROR( VLOOKUP($A401,'SUPPLIER DATA BASE'!$A$2:$O$936,11,0),""))</f>
        <v>JAIN ADISHWAR HOSIERY WORKS LLP</v>
      </c>
      <c r="O401" s="70" t="str">
        <f>IF($A$3=" "," ", IFERROR( VLOOKUP($A401,'SUPPLIER DATA BASE'!$A$2:$O$936,12,0),""))</f>
        <v>99917644444444</v>
      </c>
      <c r="P401" s="70" t="str">
        <f>IF($A$3=" "," ", IFERROR( VLOOKUP($A401,'SUPPLIER DATA BASE'!$A$2:$O$936,13,0),""))</f>
        <v>HDFC0002063</v>
      </c>
      <c r="Q401" s="77"/>
      <c r="R401" s="73"/>
      <c r="S401" s="77"/>
      <c r="T401" s="70"/>
      <c r="U401" s="78"/>
      <c r="V401" s="70" t="str">
        <f t="shared" si="4"/>
        <v>FY 25-26</v>
      </c>
      <c r="W401" s="23"/>
      <c r="X401" s="23"/>
    </row>
    <row r="402">
      <c r="A402" s="70" t="s">
        <v>620</v>
      </c>
      <c r="B402" s="70" t="str">
        <f>IF($A$3=" "," ", IFERROR( VLOOKUP($A402,'SUPPLIER DATA BASE'!$A$2:$M$936,3,0),""))</f>
        <v>DMG/KRMS/TME/S</v>
      </c>
      <c r="C402" s="70" t="str">
        <f>IF($A$3=" "," ", IFERROR( VLOOKUP($A402,'SUPPLIER DATA BASE'!$A$2:$F$936,6,0),""))</f>
        <v>-</v>
      </c>
      <c r="D402" s="70" t="str">
        <f>IF($A$3=" "," ", IFERROR( VLOOKUP($A402,'SUPPLIER DATA BASE'!$A$2:$G$936,4,0),""))</f>
        <v>-</v>
      </c>
      <c r="E402" s="71" t="str">
        <f>IF($A$3=" "," ", IFERROR( VLOOKUP($A402,'SUPPLIER DATA BASE'!$A$2:$H$936,5,0),""))</f>
        <v>-</v>
      </c>
      <c r="F402" s="72" t="s">
        <v>1607</v>
      </c>
      <c r="G402" s="73">
        <v>46088.0</v>
      </c>
      <c r="H402" s="74">
        <v>258.0</v>
      </c>
      <c r="I402" s="75">
        <v>328283.0</v>
      </c>
      <c r="J402" s="76" t="s">
        <v>1608</v>
      </c>
      <c r="K402" s="70" t="s">
        <v>349</v>
      </c>
      <c r="L402" s="70" t="s">
        <v>349</v>
      </c>
      <c r="M402" s="70" t="str">
        <f t="shared" si="3"/>
        <v>100 Days</v>
      </c>
      <c r="N402" s="70" t="str">
        <f>IF($A$3=" "," ", IFERROR( VLOOKUP($A402,'SUPPLIER DATA BASE'!$A$2:$O$936,11,0),""))</f>
        <v>PAYAL GARMENTS</v>
      </c>
      <c r="O402" s="70" t="str">
        <f>IF($A$3=" "," ", IFERROR( VLOOKUP($A402,'SUPPLIER DATA BASE'!$A$2:$O$936,12,0),""))</f>
        <v>99921800000005</v>
      </c>
      <c r="P402" s="70" t="str">
        <f>IF($A$3=" "," ", IFERROR( VLOOKUP($A402,'SUPPLIER DATA BASE'!$A$2:$O$936,13,0),""))</f>
        <v>HDFC0002834</v>
      </c>
      <c r="Q402" s="77">
        <f>328283-24938</f>
        <v>303345</v>
      </c>
      <c r="R402" s="73">
        <v>46128.0</v>
      </c>
      <c r="S402" s="77">
        <v>24938.0</v>
      </c>
      <c r="T402" s="70"/>
      <c r="U402" s="84" t="s">
        <v>1609</v>
      </c>
      <c r="V402" s="70" t="str">
        <f t="shared" si="4"/>
        <v>FY 25-26</v>
      </c>
      <c r="W402" s="23"/>
      <c r="X402" s="23"/>
    </row>
    <row r="403">
      <c r="A403" s="70" t="s">
        <v>620</v>
      </c>
      <c r="B403" s="70" t="str">
        <f>IF($A$3=" "," ", IFERROR( VLOOKUP($A403,'SUPPLIER DATA BASE'!$A$2:$M$936,3,0),""))</f>
        <v>DMG/KRMS/TME/S</v>
      </c>
      <c r="C403" s="70" t="str">
        <f>IF($A$3=" "," ", IFERROR( VLOOKUP($A403,'SUPPLIER DATA BASE'!$A$2:$F$936,6,0),""))</f>
        <v>-</v>
      </c>
      <c r="D403" s="70" t="str">
        <f>IF($A$3=" "," ", IFERROR( VLOOKUP($A403,'SUPPLIER DATA BASE'!$A$2:$G$936,4,0),""))</f>
        <v>-</v>
      </c>
      <c r="E403" s="71" t="str">
        <f>IF($A$3=" "," ", IFERROR( VLOOKUP($A403,'SUPPLIER DATA BASE'!$A$2:$H$936,5,0),""))</f>
        <v>-</v>
      </c>
      <c r="F403" s="72" t="s">
        <v>1610</v>
      </c>
      <c r="G403" s="73">
        <v>46088.0</v>
      </c>
      <c r="H403" s="74">
        <v>196.0</v>
      </c>
      <c r="I403" s="75">
        <v>195422.0</v>
      </c>
      <c r="J403" s="76" t="s">
        <v>1611</v>
      </c>
      <c r="K403" s="70" t="s">
        <v>349</v>
      </c>
      <c r="L403" s="70" t="s">
        <v>349</v>
      </c>
      <c r="M403" s="70" t="str">
        <f t="shared" si="3"/>
        <v>100 Days</v>
      </c>
      <c r="N403" s="70" t="str">
        <f>IF($A$3=" "," ", IFERROR( VLOOKUP($A403,'SUPPLIER DATA BASE'!$A$2:$O$936,11,0),""))</f>
        <v>PAYAL GARMENTS</v>
      </c>
      <c r="O403" s="70" t="str">
        <f>IF($A$3=" "," ", IFERROR( VLOOKUP($A403,'SUPPLIER DATA BASE'!$A$2:$O$936,12,0),""))</f>
        <v>99921800000005</v>
      </c>
      <c r="P403" s="70" t="str">
        <f>IF($A$3=" "," ", IFERROR( VLOOKUP($A403,'SUPPLIER DATA BASE'!$A$2:$O$936,13,0),""))</f>
        <v>HDFC0002834</v>
      </c>
      <c r="Q403" s="75">
        <v>195422.0</v>
      </c>
      <c r="R403" s="73">
        <v>46128.0</v>
      </c>
      <c r="S403" s="77"/>
      <c r="T403" s="70"/>
      <c r="U403" s="84" t="s">
        <v>1609</v>
      </c>
      <c r="V403" s="70" t="str">
        <f t="shared" si="4"/>
        <v>FY 25-26</v>
      </c>
      <c r="W403" s="23"/>
      <c r="X403" s="23"/>
    </row>
    <row r="404">
      <c r="A404" s="70" t="s">
        <v>623</v>
      </c>
      <c r="B404" s="70" t="str">
        <f>IF($A$3=" "," ", IFERROR( VLOOKUP($A404,'SUPPLIER DATA BASE'!$A$2:$M$936,3,0),""))</f>
        <v>-</v>
      </c>
      <c r="C404" s="70" t="str">
        <f>IF($A$3=" "," ", IFERROR( VLOOKUP($A404,'SUPPLIER DATA BASE'!$A$2:$F$936,6,0),""))</f>
        <v>-</v>
      </c>
      <c r="D404" s="70" t="str">
        <f>IF($A$3=" "," ", IFERROR( VLOOKUP($A404,'SUPPLIER DATA BASE'!$A$2:$G$936,4,0),""))</f>
        <v>-</v>
      </c>
      <c r="E404" s="71" t="str">
        <f>IF($A$3=" "," ", IFERROR( VLOOKUP($A404,'SUPPLIER DATA BASE'!$A$2:$H$936,5,0),""))</f>
        <v>-</v>
      </c>
      <c r="F404" s="72">
        <v>3031.0</v>
      </c>
      <c r="G404" s="73">
        <v>46088.0</v>
      </c>
      <c r="H404" s="74">
        <v>108.0</v>
      </c>
      <c r="I404" s="75">
        <v>125131.0</v>
      </c>
      <c r="J404" s="76" t="s">
        <v>1612</v>
      </c>
      <c r="K404" s="70" t="s">
        <v>349</v>
      </c>
      <c r="L404" s="70" t="s">
        <v>349</v>
      </c>
      <c r="M404" s="70" t="str">
        <f t="shared" si="3"/>
        <v>100 Days</v>
      </c>
      <c r="N404" s="70" t="str">
        <f>IF($A$3=" "," ", IFERROR( VLOOKUP($A404,'SUPPLIER DATA BASE'!$A$2:$O$936,11,0),""))</f>
        <v>PLAZER FABRICS</v>
      </c>
      <c r="O404" s="70" t="str">
        <f>IF($A$3=" "," ", IFERROR( VLOOKUP($A404,'SUPPLIER DATA BASE'!$A$2:$O$936,12,0),""))</f>
        <v>50200014256984</v>
      </c>
      <c r="P404" s="70" t="str">
        <f>IF($A$3=" "," ", IFERROR( VLOOKUP($A404,'SUPPLIER DATA BASE'!$A$2:$O$936,13,0),""))</f>
        <v>HDFC0002834</v>
      </c>
      <c r="Q404" s="77"/>
      <c r="R404" s="73"/>
      <c r="S404" s="77"/>
      <c r="T404" s="70"/>
      <c r="U404" s="78"/>
      <c r="V404" s="70" t="str">
        <f t="shared" si="4"/>
        <v>FY 25-26</v>
      </c>
      <c r="W404" s="23"/>
      <c r="X404" s="23"/>
    </row>
    <row r="405">
      <c r="A405" s="70" t="s">
        <v>625</v>
      </c>
      <c r="B405" s="70" t="str">
        <f>IF($A$3=" "," ", IFERROR( VLOOKUP($A405,'SUPPLIER DATA BASE'!$A$2:$M$936,3,0),""))</f>
        <v>-</v>
      </c>
      <c r="C405" s="70" t="str">
        <f>IF($A$3=" "," ", IFERROR( VLOOKUP($A405,'SUPPLIER DATA BASE'!$A$2:$F$936,6,0),""))</f>
        <v>DIRECT</v>
      </c>
      <c r="D405" s="70">
        <f>IF($A$3=" "," ", IFERROR( VLOOKUP($A405,'SUPPLIER DATA BASE'!$A$2:$G$936,4,0),""))</f>
        <v>30</v>
      </c>
      <c r="E405" s="71">
        <f>IF($A$3=" "," ", IFERROR( VLOOKUP($A405,'SUPPLIER DATA BASE'!$A$2:$H$936,5,0),""))</f>
        <v>0.02</v>
      </c>
      <c r="F405" s="72">
        <v>3608.0</v>
      </c>
      <c r="G405" s="73">
        <v>46088.0</v>
      </c>
      <c r="H405" s="74">
        <v>63.0</v>
      </c>
      <c r="I405" s="75">
        <v>156047.0</v>
      </c>
      <c r="J405" s="76" t="s">
        <v>1613</v>
      </c>
      <c r="K405" s="70" t="s">
        <v>349</v>
      </c>
      <c r="L405" s="70" t="s">
        <v>349</v>
      </c>
      <c r="M405" s="70" t="str">
        <f t="shared" si="3"/>
        <v>100 Days</v>
      </c>
      <c r="N405" s="70" t="str">
        <f>IF($A$3=" "," ", IFERROR( VLOOKUP($A405,'SUPPLIER DATA BASE'!$A$2:$O$936,11,0),""))</f>
        <v>PLAZER GARMENTS</v>
      </c>
      <c r="O405" s="70" t="str">
        <f>IF($A$3=" "," ", IFERROR( VLOOKUP($A405,'SUPPLIER DATA BASE'!$A$2:$O$936,12,0),""))</f>
        <v>50200065043307</v>
      </c>
      <c r="P405" s="70" t="str">
        <f>IF($A$3=" "," ", IFERROR( VLOOKUP($A405,'SUPPLIER DATA BASE'!$A$2:$O$936,13,0),""))</f>
        <v>HDFC0000150</v>
      </c>
      <c r="Q405" s="77"/>
      <c r="R405" s="73"/>
      <c r="S405" s="77"/>
      <c r="T405" s="70"/>
      <c r="U405" s="78"/>
      <c r="V405" s="70" t="str">
        <f t="shared" si="4"/>
        <v>FY 25-26</v>
      </c>
      <c r="W405" s="23"/>
      <c r="X405" s="23"/>
    </row>
    <row r="406">
      <c r="A406" s="70" t="s">
        <v>799</v>
      </c>
      <c r="B406" s="70" t="str">
        <f>IF($A$3=" "," ", IFERROR( VLOOKUP($A406,'SUPPLIER DATA BASE'!$A$2:$M$936,3,0),""))</f>
        <v>-</v>
      </c>
      <c r="C406" s="70" t="str">
        <f>IF($A$3=" "," ", IFERROR( VLOOKUP($A406,'SUPPLIER DATA BASE'!$A$2:$F$936,6,0),""))</f>
        <v>-</v>
      </c>
      <c r="D406" s="70" t="str">
        <f>IF($A$3=" "," ", IFERROR( VLOOKUP($A406,'SUPPLIER DATA BASE'!$A$2:$G$936,4,0),""))</f>
        <v>-</v>
      </c>
      <c r="E406" s="71" t="str">
        <f>IF($A$3=" "," ", IFERROR( VLOOKUP($A406,'SUPPLIER DATA BASE'!$A$2:$H$936,5,0),""))</f>
        <v>-</v>
      </c>
      <c r="F406" s="72" t="s">
        <v>1614</v>
      </c>
      <c r="G406" s="73">
        <v>46088.0</v>
      </c>
      <c r="H406" s="74">
        <v>129.0</v>
      </c>
      <c r="I406" s="75">
        <v>267099.31</v>
      </c>
      <c r="J406" s="76" t="s">
        <v>1615</v>
      </c>
      <c r="K406" s="70" t="s">
        <v>349</v>
      </c>
      <c r="L406" s="70" t="s">
        <v>349</v>
      </c>
      <c r="M406" s="70" t="str">
        <f t="shared" si="3"/>
        <v>100 Days</v>
      </c>
      <c r="N406" s="70" t="str">
        <f>IF($A$3=" "," ", IFERROR( VLOOKUP($A406,'SUPPLIER DATA BASE'!$A$2:$O$936,11,0),""))</f>
        <v>VISHAL MARKETING &amp; CO.</v>
      </c>
      <c r="O406" s="70" t="str">
        <f>IF($A$3=" "," ", IFERROR( VLOOKUP($A406,'SUPPLIER DATA BASE'!$A$2:$O$936,12,0),""))</f>
        <v>1091008700001025</v>
      </c>
      <c r="P406" s="70" t="str">
        <f>IF($A$3=" "," ", IFERROR( VLOOKUP($A406,'SUPPLIER DATA BASE'!$A$2:$O$936,13,0),""))</f>
        <v>PUNB0109100</v>
      </c>
      <c r="Q406" s="77"/>
      <c r="R406" s="73"/>
      <c r="S406" s="77"/>
      <c r="T406" s="70"/>
      <c r="U406" s="78"/>
      <c r="V406" s="70" t="str">
        <f t="shared" si="4"/>
        <v>FY 25-26</v>
      </c>
      <c r="W406" s="23"/>
      <c r="X406" s="23"/>
    </row>
    <row r="407">
      <c r="A407" s="70" t="s">
        <v>799</v>
      </c>
      <c r="B407" s="70" t="str">
        <f>IF($A$3=" "," ", IFERROR( VLOOKUP($A407,'SUPPLIER DATA BASE'!$A$2:$M$936,3,0),""))</f>
        <v>-</v>
      </c>
      <c r="C407" s="70" t="str">
        <f>IF($A$3=" "," ", IFERROR( VLOOKUP($A407,'SUPPLIER DATA BASE'!$A$2:$F$936,6,0),""))</f>
        <v>-</v>
      </c>
      <c r="D407" s="70" t="str">
        <f>IF($A$3=" "," ", IFERROR( VLOOKUP($A407,'SUPPLIER DATA BASE'!$A$2:$G$936,4,0),""))</f>
        <v>-</v>
      </c>
      <c r="E407" s="71" t="str">
        <f>IF($A$3=" "," ", IFERROR( VLOOKUP($A407,'SUPPLIER DATA BASE'!$A$2:$H$936,5,0),""))</f>
        <v>-</v>
      </c>
      <c r="F407" s="72" t="s">
        <v>1616</v>
      </c>
      <c r="G407" s="73">
        <v>46088.0</v>
      </c>
      <c r="H407" s="74">
        <v>129.0</v>
      </c>
      <c r="I407" s="75">
        <v>267212.81</v>
      </c>
      <c r="J407" s="76" t="s">
        <v>1617</v>
      </c>
      <c r="K407" s="70" t="s">
        <v>349</v>
      </c>
      <c r="L407" s="70" t="s">
        <v>349</v>
      </c>
      <c r="M407" s="70" t="str">
        <f t="shared" si="3"/>
        <v>100 Days</v>
      </c>
      <c r="N407" s="70" t="str">
        <f>IF($A$3=" "," ", IFERROR( VLOOKUP($A407,'SUPPLIER DATA BASE'!$A$2:$O$936,11,0),""))</f>
        <v>VISHAL MARKETING &amp; CO.</v>
      </c>
      <c r="O407" s="70" t="str">
        <f>IF($A$3=" "," ", IFERROR( VLOOKUP($A407,'SUPPLIER DATA BASE'!$A$2:$O$936,12,0),""))</f>
        <v>1091008700001025</v>
      </c>
      <c r="P407" s="70" t="str">
        <f>IF($A$3=" "," ", IFERROR( VLOOKUP($A407,'SUPPLIER DATA BASE'!$A$2:$O$936,13,0),""))</f>
        <v>PUNB0109100</v>
      </c>
      <c r="Q407" s="77"/>
      <c r="R407" s="73"/>
      <c r="S407" s="77"/>
      <c r="T407" s="70"/>
      <c r="U407" s="78"/>
      <c r="V407" s="70" t="str">
        <f t="shared" si="4"/>
        <v>FY 25-26</v>
      </c>
      <c r="W407" s="23"/>
      <c r="X407" s="23"/>
    </row>
    <row r="408">
      <c r="A408" s="70" t="s">
        <v>799</v>
      </c>
      <c r="B408" s="70" t="str">
        <f>IF($A$3=" "," ", IFERROR( VLOOKUP($A408,'SUPPLIER DATA BASE'!$A$2:$M$936,3,0),""))</f>
        <v>-</v>
      </c>
      <c r="C408" s="70" t="str">
        <f>IF($A$3=" "," ", IFERROR( VLOOKUP($A408,'SUPPLIER DATA BASE'!$A$2:$F$936,6,0),""))</f>
        <v>-</v>
      </c>
      <c r="D408" s="70" t="str">
        <f>IF($A$3=" "," ", IFERROR( VLOOKUP($A408,'SUPPLIER DATA BASE'!$A$2:$G$936,4,0),""))</f>
        <v>-</v>
      </c>
      <c r="E408" s="71" t="str">
        <f>IF($A$3=" "," ", IFERROR( VLOOKUP($A408,'SUPPLIER DATA BASE'!$A$2:$H$936,5,0),""))</f>
        <v>-</v>
      </c>
      <c r="F408" s="72" t="s">
        <v>1618</v>
      </c>
      <c r="G408" s="73">
        <v>46088.0</v>
      </c>
      <c r="H408" s="74">
        <v>130.0</v>
      </c>
      <c r="I408" s="75">
        <v>269538.99</v>
      </c>
      <c r="J408" s="76" t="s">
        <v>1619</v>
      </c>
      <c r="K408" s="70" t="s">
        <v>349</v>
      </c>
      <c r="L408" s="70" t="s">
        <v>349</v>
      </c>
      <c r="M408" s="70" t="str">
        <f t="shared" si="3"/>
        <v>100 Days</v>
      </c>
      <c r="N408" s="70" t="str">
        <f>IF($A$3=" "," ", IFERROR( VLOOKUP($A408,'SUPPLIER DATA BASE'!$A$2:$O$936,11,0),""))</f>
        <v>VISHAL MARKETING &amp; CO.</v>
      </c>
      <c r="O408" s="70" t="str">
        <f>IF($A$3=" "," ", IFERROR( VLOOKUP($A408,'SUPPLIER DATA BASE'!$A$2:$O$936,12,0),""))</f>
        <v>1091008700001025</v>
      </c>
      <c r="P408" s="70" t="str">
        <f>IF($A$3=" "," ", IFERROR( VLOOKUP($A408,'SUPPLIER DATA BASE'!$A$2:$O$936,13,0),""))</f>
        <v>PUNB0109100</v>
      </c>
      <c r="Q408" s="77"/>
      <c r="R408" s="73"/>
      <c r="S408" s="77"/>
      <c r="T408" s="70"/>
      <c r="U408" s="78"/>
      <c r="V408" s="70" t="str">
        <f t="shared" si="4"/>
        <v>FY 25-26</v>
      </c>
      <c r="W408" s="23"/>
      <c r="X408" s="23"/>
    </row>
    <row r="409">
      <c r="A409" s="70" t="s">
        <v>799</v>
      </c>
      <c r="B409" s="70" t="str">
        <f>IF($A$3=" "," ", IFERROR( VLOOKUP($A409,'SUPPLIER DATA BASE'!$A$2:$M$936,3,0),""))</f>
        <v>-</v>
      </c>
      <c r="C409" s="70" t="str">
        <f>IF($A$3=" "," ", IFERROR( VLOOKUP($A409,'SUPPLIER DATA BASE'!$A$2:$F$936,6,0),""))</f>
        <v>-</v>
      </c>
      <c r="D409" s="70" t="str">
        <f>IF($A$3=" "," ", IFERROR( VLOOKUP($A409,'SUPPLIER DATA BASE'!$A$2:$G$936,4,0),""))</f>
        <v>-</v>
      </c>
      <c r="E409" s="71" t="str">
        <f>IF($A$3=" "," ", IFERROR( VLOOKUP($A409,'SUPPLIER DATA BASE'!$A$2:$H$936,5,0),""))</f>
        <v>-</v>
      </c>
      <c r="F409" s="72" t="s">
        <v>1620</v>
      </c>
      <c r="G409" s="73">
        <v>46088.0</v>
      </c>
      <c r="H409" s="74">
        <v>72.0</v>
      </c>
      <c r="I409" s="75">
        <v>116385.92</v>
      </c>
      <c r="J409" s="76" t="s">
        <v>1621</v>
      </c>
      <c r="K409" s="70" t="s">
        <v>349</v>
      </c>
      <c r="L409" s="70" t="s">
        <v>349</v>
      </c>
      <c r="M409" s="70" t="str">
        <f t="shared" si="3"/>
        <v>100 Days</v>
      </c>
      <c r="N409" s="70" t="str">
        <f>IF($A$3=" "," ", IFERROR( VLOOKUP($A409,'SUPPLIER DATA BASE'!$A$2:$O$936,11,0),""))</f>
        <v>VISHAL MARKETING &amp; CO.</v>
      </c>
      <c r="O409" s="70" t="str">
        <f>IF($A$3=" "," ", IFERROR( VLOOKUP($A409,'SUPPLIER DATA BASE'!$A$2:$O$936,12,0),""))</f>
        <v>1091008700001025</v>
      </c>
      <c r="P409" s="70" t="str">
        <f>IF($A$3=" "," ", IFERROR( VLOOKUP($A409,'SUPPLIER DATA BASE'!$A$2:$O$936,13,0),""))</f>
        <v>PUNB0109100</v>
      </c>
      <c r="Q409" s="77"/>
      <c r="R409" s="73"/>
      <c r="S409" s="77"/>
      <c r="T409" s="70"/>
      <c r="U409" s="78"/>
      <c r="V409" s="70" t="str">
        <f t="shared" si="4"/>
        <v>FY 25-26</v>
      </c>
      <c r="W409" s="23"/>
      <c r="X409" s="23"/>
    </row>
    <row r="410">
      <c r="A410" s="70" t="s">
        <v>799</v>
      </c>
      <c r="B410" s="70" t="str">
        <f>IF($A$3=" "," ", IFERROR( VLOOKUP($A410,'SUPPLIER DATA BASE'!$A$2:$M$936,3,0),""))</f>
        <v>-</v>
      </c>
      <c r="C410" s="70" t="str">
        <f>IF($A$3=" "," ", IFERROR( VLOOKUP($A410,'SUPPLIER DATA BASE'!$A$2:$F$936,6,0),""))</f>
        <v>-</v>
      </c>
      <c r="D410" s="70" t="str">
        <f>IF($A$3=" "," ", IFERROR( VLOOKUP($A410,'SUPPLIER DATA BASE'!$A$2:$G$936,4,0),""))</f>
        <v>-</v>
      </c>
      <c r="E410" s="71" t="str">
        <f>IF($A$3=" "," ", IFERROR( VLOOKUP($A410,'SUPPLIER DATA BASE'!$A$2:$H$936,5,0),""))</f>
        <v>-</v>
      </c>
      <c r="F410" s="72" t="s">
        <v>1622</v>
      </c>
      <c r="G410" s="73">
        <v>46088.0</v>
      </c>
      <c r="H410" s="74">
        <v>124.0</v>
      </c>
      <c r="I410" s="75">
        <v>244912.24</v>
      </c>
      <c r="J410" s="83" t="s">
        <v>1623</v>
      </c>
      <c r="K410" s="70" t="s">
        <v>349</v>
      </c>
      <c r="L410" s="70" t="s">
        <v>349</v>
      </c>
      <c r="M410" s="70" t="str">
        <f t="shared" si="3"/>
        <v>100 Days</v>
      </c>
      <c r="N410" s="70" t="str">
        <f>IF($A$3=" "," ", IFERROR( VLOOKUP($A410,'SUPPLIER DATA BASE'!$A$2:$O$936,11,0),""))</f>
        <v>VISHAL MARKETING &amp; CO.</v>
      </c>
      <c r="O410" s="70" t="str">
        <f>IF($A$3=" "," ", IFERROR( VLOOKUP($A410,'SUPPLIER DATA BASE'!$A$2:$O$936,12,0),""))</f>
        <v>1091008700001025</v>
      </c>
      <c r="P410" s="70" t="str">
        <f>IF($A$3=" "," ", IFERROR( VLOOKUP($A410,'SUPPLIER DATA BASE'!$A$2:$O$936,13,0),""))</f>
        <v>PUNB0109100</v>
      </c>
      <c r="Q410" s="77"/>
      <c r="R410" s="73"/>
      <c r="S410" s="77"/>
      <c r="T410" s="70"/>
      <c r="U410" s="78"/>
      <c r="V410" s="70" t="str">
        <f t="shared" si="4"/>
        <v>FY 25-26</v>
      </c>
      <c r="W410" s="23"/>
      <c r="X410" s="23"/>
    </row>
    <row r="411">
      <c r="A411" s="70" t="s">
        <v>495</v>
      </c>
      <c r="B411" s="70" t="str">
        <f>IF($A$3=" "," ", IFERROR( VLOOKUP($A411,'SUPPLIER DATA BASE'!$A$2:$M$936,3,0),""))</f>
        <v>-</v>
      </c>
      <c r="C411" s="70" t="str">
        <f>IF($A$3=" "," ", IFERROR( VLOOKUP($A411,'SUPPLIER DATA BASE'!$A$2:$F$936,6,0),""))</f>
        <v>-</v>
      </c>
      <c r="D411" s="70" t="str">
        <f>IF($A$3=" "," ", IFERROR( VLOOKUP($A411,'SUPPLIER DATA BASE'!$A$2:$G$936,4,0),""))</f>
        <v>-</v>
      </c>
      <c r="E411" s="71" t="str">
        <f>IF($A$3=" "," ", IFERROR( VLOOKUP($A411,'SUPPLIER DATA BASE'!$A$2:$H$936,5,0),""))</f>
        <v>-</v>
      </c>
      <c r="F411" s="72" t="s">
        <v>1624</v>
      </c>
      <c r="G411" s="73">
        <v>46088.0</v>
      </c>
      <c r="H411" s="74">
        <v>104.0</v>
      </c>
      <c r="I411" s="75">
        <v>231000.0</v>
      </c>
      <c r="J411" s="76" t="s">
        <v>1625</v>
      </c>
      <c r="K411" s="70" t="s">
        <v>349</v>
      </c>
      <c r="L411" s="70" t="s">
        <v>349</v>
      </c>
      <c r="M411" s="70" t="str">
        <f t="shared" si="3"/>
        <v>100 Days</v>
      </c>
      <c r="N411" s="70" t="str">
        <f>IF($A$3=" "," ", IFERROR( VLOOKUP($A411,'SUPPLIER DATA BASE'!$A$2:$O$936,11,0),""))</f>
        <v>JAIN ADISHWAR HOSIERY WORKS LLP</v>
      </c>
      <c r="O411" s="70" t="str">
        <f>IF($A$3=" "," ", IFERROR( VLOOKUP($A411,'SUPPLIER DATA BASE'!$A$2:$O$936,12,0),""))</f>
        <v>99917644444444</v>
      </c>
      <c r="P411" s="70" t="str">
        <f>IF($A$3=" "," ", IFERROR( VLOOKUP($A411,'SUPPLIER DATA BASE'!$A$2:$O$936,13,0),""))</f>
        <v>HDFC0002063</v>
      </c>
      <c r="Q411" s="77"/>
      <c r="R411" s="73"/>
      <c r="S411" s="77"/>
      <c r="T411" s="70"/>
      <c r="U411" s="78"/>
      <c r="V411" s="70" t="str">
        <f t="shared" si="4"/>
        <v>FY 25-26</v>
      </c>
      <c r="W411" s="23"/>
      <c r="X411" s="23"/>
    </row>
    <row r="412">
      <c r="A412" s="70" t="s">
        <v>402</v>
      </c>
      <c r="B412" s="70" t="str">
        <f>IF($A$3=" "," ", IFERROR( VLOOKUP($A412,'SUPPLIER DATA BASE'!$A$2:$M$936,3,0),""))</f>
        <v>KHUSHAL/STATUS QUO</v>
      </c>
      <c r="C412" s="70" t="str">
        <f>IF($A$3=" "," ", IFERROR( VLOOKUP($A412,'SUPPLIER DATA BASE'!$A$2:$F$936,6,0),""))</f>
        <v>-</v>
      </c>
      <c r="D412" s="70" t="str">
        <f>IF($A$3=" "," ", IFERROR( VLOOKUP($A412,'SUPPLIER DATA BASE'!$A$2:$G$936,4,0),""))</f>
        <v>-</v>
      </c>
      <c r="E412" s="71" t="str">
        <f>IF($A$3=" "," ", IFERROR( VLOOKUP($A412,'SUPPLIER DATA BASE'!$A$2:$H$936,5,0),""))</f>
        <v>-</v>
      </c>
      <c r="F412" s="72" t="s">
        <v>1626</v>
      </c>
      <c r="G412" s="73">
        <v>46088.0</v>
      </c>
      <c r="H412" s="74">
        <v>63.0</v>
      </c>
      <c r="I412" s="75">
        <v>59539.0</v>
      </c>
      <c r="J412" s="76" t="s">
        <v>1627</v>
      </c>
      <c r="K412" s="70" t="s">
        <v>349</v>
      </c>
      <c r="L412" s="70" t="s">
        <v>349</v>
      </c>
      <c r="M412" s="70" t="str">
        <f t="shared" si="3"/>
        <v>100 Days</v>
      </c>
      <c r="N412" s="70" t="str">
        <f>IF($A$3=" "," ", IFERROR( VLOOKUP($A412,'SUPPLIER DATA BASE'!$A$2:$O$936,11,0),""))</f>
        <v>D APPAREL</v>
      </c>
      <c r="O412" s="70" t="str">
        <f>IF($A$3=" "," ", IFERROR( VLOOKUP($A412,'SUPPLIER DATA BASE'!$A$2:$O$936,12,0),""))</f>
        <v>722501010050397</v>
      </c>
      <c r="P412" s="70" t="str">
        <f>IF($A$3=" "," ", IFERROR( VLOOKUP($A412,'SUPPLIER DATA BASE'!$A$2:$O$936,13,0),""))</f>
        <v>UBIN0572250</v>
      </c>
      <c r="Q412" s="77"/>
      <c r="R412" s="73"/>
      <c r="S412" s="77"/>
      <c r="T412" s="70"/>
      <c r="U412" s="78"/>
      <c r="V412" s="70" t="str">
        <f t="shared" si="4"/>
        <v>FY 25-26</v>
      </c>
      <c r="W412" s="23"/>
      <c r="X412" s="23"/>
    </row>
    <row r="413">
      <c r="A413" s="70" t="s">
        <v>402</v>
      </c>
      <c r="B413" s="70" t="str">
        <f>IF($A$3=" "," ", IFERROR( VLOOKUP($A413,'SUPPLIER DATA BASE'!$A$2:$M$936,3,0),""))</f>
        <v>KHUSHAL/STATUS QUO</v>
      </c>
      <c r="C413" s="70" t="str">
        <f>IF($A$3=" "," ", IFERROR( VLOOKUP($A413,'SUPPLIER DATA BASE'!$A$2:$F$936,6,0),""))</f>
        <v>-</v>
      </c>
      <c r="D413" s="70" t="str">
        <f>IF($A$3=" "," ", IFERROR( VLOOKUP($A413,'SUPPLIER DATA BASE'!$A$2:$G$936,4,0),""))</f>
        <v>-</v>
      </c>
      <c r="E413" s="71" t="str">
        <f>IF($A$3=" "," ", IFERROR( VLOOKUP($A413,'SUPPLIER DATA BASE'!$A$2:$H$936,5,0),""))</f>
        <v>-</v>
      </c>
      <c r="F413" s="72" t="s">
        <v>1628</v>
      </c>
      <c r="G413" s="73">
        <v>46088.0</v>
      </c>
      <c r="H413" s="74">
        <v>142.0</v>
      </c>
      <c r="I413" s="75">
        <v>56079.0</v>
      </c>
      <c r="J413" s="76" t="s">
        <v>1629</v>
      </c>
      <c r="K413" s="70" t="s">
        <v>349</v>
      </c>
      <c r="L413" s="70" t="s">
        <v>349</v>
      </c>
      <c r="M413" s="70" t="str">
        <f t="shared" si="3"/>
        <v>100 Days</v>
      </c>
      <c r="N413" s="70" t="str">
        <f>IF($A$3=" "," ", IFERROR( VLOOKUP($A413,'SUPPLIER DATA BASE'!$A$2:$O$936,11,0),""))</f>
        <v>D APPAREL</v>
      </c>
      <c r="O413" s="70" t="str">
        <f>IF($A$3=" "," ", IFERROR( VLOOKUP($A413,'SUPPLIER DATA BASE'!$A$2:$O$936,12,0),""))</f>
        <v>722501010050397</v>
      </c>
      <c r="P413" s="70" t="str">
        <f>IF($A$3=" "," ", IFERROR( VLOOKUP($A413,'SUPPLIER DATA BASE'!$A$2:$O$936,13,0),""))</f>
        <v>UBIN0572250</v>
      </c>
      <c r="Q413" s="77"/>
      <c r="R413" s="73"/>
      <c r="S413" s="77"/>
      <c r="T413" s="70"/>
      <c r="U413" s="78"/>
      <c r="V413" s="70" t="str">
        <f t="shared" si="4"/>
        <v>FY 25-26</v>
      </c>
      <c r="W413" s="23"/>
      <c r="X413" s="23"/>
    </row>
    <row r="414">
      <c r="A414" s="70" t="s">
        <v>495</v>
      </c>
      <c r="B414" s="70" t="str">
        <f>IF($A$3=" "," ", IFERROR( VLOOKUP($A414,'SUPPLIER DATA BASE'!$A$2:$M$936,3,0),""))</f>
        <v>-</v>
      </c>
      <c r="C414" s="70" t="str">
        <f>IF($A$3=" "," ", IFERROR( VLOOKUP($A414,'SUPPLIER DATA BASE'!$A$2:$F$936,6,0),""))</f>
        <v>-</v>
      </c>
      <c r="D414" s="70" t="str">
        <f>IF($A$3=" "," ", IFERROR( VLOOKUP($A414,'SUPPLIER DATA BASE'!$A$2:$G$936,4,0),""))</f>
        <v>-</v>
      </c>
      <c r="E414" s="71" t="str">
        <f>IF($A$3=" "," ", IFERROR( VLOOKUP($A414,'SUPPLIER DATA BASE'!$A$2:$H$936,5,0),""))</f>
        <v>-</v>
      </c>
      <c r="F414" s="72" t="s">
        <v>1630</v>
      </c>
      <c r="G414" s="73">
        <v>46088.0</v>
      </c>
      <c r="H414" s="74">
        <v>24.0</v>
      </c>
      <c r="I414" s="75">
        <v>86408.0</v>
      </c>
      <c r="J414" s="76" t="s">
        <v>1631</v>
      </c>
      <c r="K414" s="70" t="s">
        <v>349</v>
      </c>
      <c r="L414" s="70" t="s">
        <v>349</v>
      </c>
      <c r="M414" s="70" t="str">
        <f t="shared" si="3"/>
        <v>100 Days</v>
      </c>
      <c r="N414" s="70" t="str">
        <f>IF($A$3=" "," ", IFERROR( VLOOKUP($A414,'SUPPLIER DATA BASE'!$A$2:$O$936,11,0),""))</f>
        <v>JAIN ADISHWAR HOSIERY WORKS LLP</v>
      </c>
      <c r="O414" s="70" t="str">
        <f>IF($A$3=" "," ", IFERROR( VLOOKUP($A414,'SUPPLIER DATA BASE'!$A$2:$O$936,12,0),""))</f>
        <v>99917644444444</v>
      </c>
      <c r="P414" s="70" t="str">
        <f>IF($A$3=" "," ", IFERROR( VLOOKUP($A414,'SUPPLIER DATA BASE'!$A$2:$O$936,13,0),""))</f>
        <v>HDFC0002063</v>
      </c>
      <c r="Q414" s="77"/>
      <c r="R414" s="73"/>
      <c r="S414" s="77"/>
      <c r="T414" s="70"/>
      <c r="U414" s="78"/>
      <c r="V414" s="70" t="str">
        <f t="shared" si="4"/>
        <v>FY 25-26</v>
      </c>
      <c r="W414" s="23"/>
      <c r="X414" s="23"/>
    </row>
    <row r="415">
      <c r="A415" s="70" t="s">
        <v>495</v>
      </c>
      <c r="B415" s="70" t="str">
        <f>IF($A$3=" "," ", IFERROR( VLOOKUP($A415,'SUPPLIER DATA BASE'!$A$2:$M$936,3,0),""))</f>
        <v>-</v>
      </c>
      <c r="C415" s="70" t="str">
        <f>IF($A$3=" "," ", IFERROR( VLOOKUP($A415,'SUPPLIER DATA BASE'!$A$2:$F$936,6,0),""))</f>
        <v>-</v>
      </c>
      <c r="D415" s="70" t="str">
        <f>IF($A$3=" "," ", IFERROR( VLOOKUP($A415,'SUPPLIER DATA BASE'!$A$2:$G$936,4,0),""))</f>
        <v>-</v>
      </c>
      <c r="E415" s="71" t="str">
        <f>IF($A$3=" "," ", IFERROR( VLOOKUP($A415,'SUPPLIER DATA BASE'!$A$2:$H$936,5,0),""))</f>
        <v>-</v>
      </c>
      <c r="F415" s="72" t="s">
        <v>1632</v>
      </c>
      <c r="G415" s="73">
        <v>46088.0</v>
      </c>
      <c r="H415" s="74">
        <v>36.0</v>
      </c>
      <c r="I415" s="75">
        <v>10912.0</v>
      </c>
      <c r="J415" s="76" t="s">
        <v>1633</v>
      </c>
      <c r="K415" s="70" t="s">
        <v>349</v>
      </c>
      <c r="L415" s="70" t="s">
        <v>349</v>
      </c>
      <c r="M415" s="70" t="str">
        <f t="shared" si="3"/>
        <v>100 Days</v>
      </c>
      <c r="N415" s="70" t="str">
        <f>IF($A$3=" "," ", IFERROR( VLOOKUP($A415,'SUPPLIER DATA BASE'!$A$2:$O$936,11,0),""))</f>
        <v>JAIN ADISHWAR HOSIERY WORKS LLP</v>
      </c>
      <c r="O415" s="70" t="str">
        <f>IF($A$3=" "," ", IFERROR( VLOOKUP($A415,'SUPPLIER DATA BASE'!$A$2:$O$936,12,0),""))</f>
        <v>99917644444444</v>
      </c>
      <c r="P415" s="70" t="str">
        <f>IF($A$3=" "," ", IFERROR( VLOOKUP($A415,'SUPPLIER DATA BASE'!$A$2:$O$936,13,0),""))</f>
        <v>HDFC0002063</v>
      </c>
      <c r="Q415" s="77"/>
      <c r="R415" s="73"/>
      <c r="S415" s="77"/>
      <c r="T415" s="70"/>
      <c r="U415" s="78"/>
      <c r="V415" s="70" t="str">
        <f t="shared" si="4"/>
        <v>FY 25-26</v>
      </c>
      <c r="W415" s="23"/>
      <c r="X415" s="23"/>
    </row>
    <row r="416">
      <c r="A416" s="70" t="s">
        <v>495</v>
      </c>
      <c r="B416" s="70" t="str">
        <f>IF($A$3=" "," ", IFERROR( VLOOKUP($A416,'SUPPLIER DATA BASE'!$A$2:$M$936,3,0),""))</f>
        <v>-</v>
      </c>
      <c r="C416" s="70" t="str">
        <f>IF($A$3=" "," ", IFERROR( VLOOKUP($A416,'SUPPLIER DATA BASE'!$A$2:$F$936,6,0),""))</f>
        <v>-</v>
      </c>
      <c r="D416" s="70" t="str">
        <f>IF($A$3=" "," ", IFERROR( VLOOKUP($A416,'SUPPLIER DATA BASE'!$A$2:$G$936,4,0),""))</f>
        <v>-</v>
      </c>
      <c r="E416" s="71" t="str">
        <f>IF($A$3=" "," ", IFERROR( VLOOKUP($A416,'SUPPLIER DATA BASE'!$A$2:$H$936,5,0),""))</f>
        <v>-</v>
      </c>
      <c r="F416" s="72" t="s">
        <v>1634</v>
      </c>
      <c r="G416" s="73">
        <v>46088.0</v>
      </c>
      <c r="H416" s="74">
        <v>32.0</v>
      </c>
      <c r="I416" s="75">
        <v>9599.0</v>
      </c>
      <c r="J416" s="76" t="s">
        <v>1635</v>
      </c>
      <c r="K416" s="70" t="s">
        <v>349</v>
      </c>
      <c r="L416" s="70" t="s">
        <v>349</v>
      </c>
      <c r="M416" s="70" t="str">
        <f t="shared" si="3"/>
        <v>100 Days</v>
      </c>
      <c r="N416" s="70" t="str">
        <f>IF($A$3=" "," ", IFERROR( VLOOKUP($A416,'SUPPLIER DATA BASE'!$A$2:$O$936,11,0),""))</f>
        <v>JAIN ADISHWAR HOSIERY WORKS LLP</v>
      </c>
      <c r="O416" s="70" t="str">
        <f>IF($A$3=" "," ", IFERROR( VLOOKUP($A416,'SUPPLIER DATA BASE'!$A$2:$O$936,12,0),""))</f>
        <v>99917644444444</v>
      </c>
      <c r="P416" s="70" t="str">
        <f>IF($A$3=" "," ", IFERROR( VLOOKUP($A416,'SUPPLIER DATA BASE'!$A$2:$O$936,13,0),""))</f>
        <v>HDFC0002063</v>
      </c>
      <c r="Q416" s="77"/>
      <c r="R416" s="73"/>
      <c r="S416" s="77"/>
      <c r="T416" s="70"/>
      <c r="U416" s="78"/>
      <c r="V416" s="70" t="str">
        <f t="shared" si="4"/>
        <v>FY 25-26</v>
      </c>
      <c r="W416" s="23"/>
      <c r="X416" s="23"/>
    </row>
    <row r="417">
      <c r="A417" s="70" t="s">
        <v>495</v>
      </c>
      <c r="B417" s="70" t="str">
        <f>IF($A$3=" "," ", IFERROR( VLOOKUP($A417,'SUPPLIER DATA BASE'!$A$2:$M$936,3,0),""))</f>
        <v>-</v>
      </c>
      <c r="C417" s="70" t="str">
        <f>IF($A$3=" "," ", IFERROR( VLOOKUP($A417,'SUPPLIER DATA BASE'!$A$2:$F$936,6,0),""))</f>
        <v>-</v>
      </c>
      <c r="D417" s="70" t="str">
        <f>IF($A$3=" "," ", IFERROR( VLOOKUP($A417,'SUPPLIER DATA BASE'!$A$2:$G$936,4,0),""))</f>
        <v>-</v>
      </c>
      <c r="E417" s="71" t="str">
        <f>IF($A$3=" "," ", IFERROR( VLOOKUP($A417,'SUPPLIER DATA BASE'!$A$2:$H$936,5,0),""))</f>
        <v>-</v>
      </c>
      <c r="F417" s="72" t="s">
        <v>1636</v>
      </c>
      <c r="G417" s="73">
        <v>46088.0</v>
      </c>
      <c r="H417" s="74">
        <v>41.0</v>
      </c>
      <c r="I417" s="75">
        <v>12770.0</v>
      </c>
      <c r="J417" s="76" t="s">
        <v>1637</v>
      </c>
      <c r="K417" s="70" t="s">
        <v>349</v>
      </c>
      <c r="L417" s="70" t="s">
        <v>349</v>
      </c>
      <c r="M417" s="70" t="str">
        <f t="shared" si="3"/>
        <v>100 Days</v>
      </c>
      <c r="N417" s="70" t="str">
        <f>IF($A$3=" "," ", IFERROR( VLOOKUP($A417,'SUPPLIER DATA BASE'!$A$2:$O$936,11,0),""))</f>
        <v>JAIN ADISHWAR HOSIERY WORKS LLP</v>
      </c>
      <c r="O417" s="70" t="str">
        <f>IF($A$3=" "," ", IFERROR( VLOOKUP($A417,'SUPPLIER DATA BASE'!$A$2:$O$936,12,0),""))</f>
        <v>99917644444444</v>
      </c>
      <c r="P417" s="70" t="str">
        <f>IF($A$3=" "," ", IFERROR( VLOOKUP($A417,'SUPPLIER DATA BASE'!$A$2:$O$936,13,0),""))</f>
        <v>HDFC0002063</v>
      </c>
      <c r="Q417" s="77"/>
      <c r="R417" s="73"/>
      <c r="S417" s="77"/>
      <c r="T417" s="70"/>
      <c r="U417" s="78"/>
      <c r="V417" s="70" t="str">
        <f t="shared" si="4"/>
        <v>FY 25-26</v>
      </c>
      <c r="W417" s="23"/>
      <c r="X417" s="23"/>
    </row>
    <row r="418">
      <c r="A418" s="70" t="s">
        <v>495</v>
      </c>
      <c r="B418" s="70" t="str">
        <f>IF($A$3=" "," ", IFERROR( VLOOKUP($A418,'SUPPLIER DATA BASE'!$A$2:$M$936,3,0),""))</f>
        <v>-</v>
      </c>
      <c r="C418" s="70" t="str">
        <f>IF($A$3=" "," ", IFERROR( VLOOKUP($A418,'SUPPLIER DATA BASE'!$A$2:$F$936,6,0),""))</f>
        <v>-</v>
      </c>
      <c r="D418" s="70" t="str">
        <f>IF($A$3=" "," ", IFERROR( VLOOKUP($A418,'SUPPLIER DATA BASE'!$A$2:$G$936,4,0),""))</f>
        <v>-</v>
      </c>
      <c r="E418" s="71" t="str">
        <f>IF($A$3=" "," ", IFERROR( VLOOKUP($A418,'SUPPLIER DATA BASE'!$A$2:$H$936,5,0),""))</f>
        <v>-</v>
      </c>
      <c r="F418" s="72" t="s">
        <v>1638</v>
      </c>
      <c r="G418" s="73">
        <v>46088.0</v>
      </c>
      <c r="H418" s="74">
        <v>111.0</v>
      </c>
      <c r="I418" s="75">
        <v>110618.0</v>
      </c>
      <c r="J418" s="76" t="s">
        <v>1639</v>
      </c>
      <c r="K418" s="70" t="s">
        <v>349</v>
      </c>
      <c r="L418" s="70" t="s">
        <v>349</v>
      </c>
      <c r="M418" s="70" t="str">
        <f t="shared" si="3"/>
        <v>100 Days</v>
      </c>
      <c r="N418" s="70" t="str">
        <f>IF($A$3=" "," ", IFERROR( VLOOKUP($A418,'SUPPLIER DATA BASE'!$A$2:$O$936,11,0),""))</f>
        <v>JAIN ADISHWAR HOSIERY WORKS LLP</v>
      </c>
      <c r="O418" s="70" t="str">
        <f>IF($A$3=" "," ", IFERROR( VLOOKUP($A418,'SUPPLIER DATA BASE'!$A$2:$O$936,12,0),""))</f>
        <v>99917644444444</v>
      </c>
      <c r="P418" s="70" t="str">
        <f>IF($A$3=" "," ", IFERROR( VLOOKUP($A418,'SUPPLIER DATA BASE'!$A$2:$O$936,13,0),""))</f>
        <v>HDFC0002063</v>
      </c>
      <c r="Q418" s="77"/>
      <c r="R418" s="73"/>
      <c r="S418" s="77"/>
      <c r="T418" s="70"/>
      <c r="U418" s="78"/>
      <c r="V418" s="70" t="str">
        <f t="shared" si="4"/>
        <v>FY 25-26</v>
      </c>
      <c r="W418" s="23"/>
      <c r="X418" s="23"/>
    </row>
    <row r="419">
      <c r="A419" s="70" t="s">
        <v>354</v>
      </c>
      <c r="B419" s="70" t="str">
        <f>IF($A$3=" "," ", IFERROR( VLOOKUP($A419,'SUPPLIER DATA BASE'!$A$2:$M$936,3,0),""))</f>
        <v>-</v>
      </c>
      <c r="C419" s="70" t="str">
        <f>IF($A$3=" "," ", IFERROR( VLOOKUP($A419,'SUPPLIER DATA BASE'!$A$2:$F$936,6,0),""))</f>
        <v>-</v>
      </c>
      <c r="D419" s="70" t="str">
        <f>IF($A$3=" "," ", IFERROR( VLOOKUP($A419,'SUPPLIER DATA BASE'!$A$2:$G$936,4,0),""))</f>
        <v>-</v>
      </c>
      <c r="E419" s="71" t="str">
        <f>IF($A$3=" "," ", IFERROR( VLOOKUP($A419,'SUPPLIER DATA BASE'!$A$2:$H$936,5,0),""))</f>
        <v>-</v>
      </c>
      <c r="F419" s="72" t="s">
        <v>1640</v>
      </c>
      <c r="G419" s="73">
        <v>46088.0</v>
      </c>
      <c r="H419" s="74">
        <v>355.0</v>
      </c>
      <c r="I419" s="75">
        <v>438203.66</v>
      </c>
      <c r="J419" s="76" t="s">
        <v>1641</v>
      </c>
      <c r="K419" s="70" t="s">
        <v>349</v>
      </c>
      <c r="L419" s="70" t="s">
        <v>349</v>
      </c>
      <c r="M419" s="70" t="str">
        <f t="shared" si="3"/>
        <v>100 Days</v>
      </c>
      <c r="N419" s="70" t="str">
        <f>IF($A$3=" "," ", IFERROR( VLOOKUP($A419,'SUPPLIER DATA BASE'!$A$2:$O$936,11,0),""))</f>
        <v>-</v>
      </c>
      <c r="O419" s="70" t="str">
        <f>IF($A$3=" "," ", IFERROR( VLOOKUP($A419,'SUPPLIER DATA BASE'!$A$2:$O$936,12,0),""))</f>
        <v>-</v>
      </c>
      <c r="P419" s="70" t="str">
        <f>IF($A$3=" "," ", IFERROR( VLOOKUP($A419,'SUPPLIER DATA BASE'!$A$2:$O$936,13,0),""))</f>
        <v>-</v>
      </c>
      <c r="Q419" s="77"/>
      <c r="R419" s="73"/>
      <c r="S419" s="77"/>
      <c r="T419" s="70"/>
      <c r="U419" s="78"/>
      <c r="V419" s="70" t="str">
        <f t="shared" si="4"/>
        <v>FY 25-26</v>
      </c>
      <c r="W419" s="23"/>
      <c r="X419" s="23"/>
    </row>
    <row r="420">
      <c r="A420" s="70" t="s">
        <v>495</v>
      </c>
      <c r="B420" s="70" t="str">
        <f>IF($A$3=" "," ", IFERROR( VLOOKUP($A420,'SUPPLIER DATA BASE'!$A$2:$M$936,3,0),""))</f>
        <v>-</v>
      </c>
      <c r="C420" s="70" t="str">
        <f>IF($A$3=" "," ", IFERROR( VLOOKUP($A420,'SUPPLIER DATA BASE'!$A$2:$F$936,6,0),""))</f>
        <v>-</v>
      </c>
      <c r="D420" s="70" t="str">
        <f>IF($A$3=" "," ", IFERROR( VLOOKUP($A420,'SUPPLIER DATA BASE'!$A$2:$G$936,4,0),""))</f>
        <v>-</v>
      </c>
      <c r="E420" s="71" t="str">
        <f>IF($A$3=" "," ", IFERROR( VLOOKUP($A420,'SUPPLIER DATA BASE'!$A$2:$H$936,5,0),""))</f>
        <v>-</v>
      </c>
      <c r="F420" s="72" t="s">
        <v>1642</v>
      </c>
      <c r="G420" s="73">
        <v>46088.0</v>
      </c>
      <c r="H420" s="74">
        <v>390.0</v>
      </c>
      <c r="I420" s="75">
        <v>108755.0</v>
      </c>
      <c r="J420" s="76" t="s">
        <v>1643</v>
      </c>
      <c r="K420" s="70" t="s">
        <v>349</v>
      </c>
      <c r="L420" s="70" t="s">
        <v>349</v>
      </c>
      <c r="M420" s="70" t="str">
        <f t="shared" si="3"/>
        <v>100 Days</v>
      </c>
      <c r="N420" s="70" t="str">
        <f>IF($A$3=" "," ", IFERROR( VLOOKUP($A420,'SUPPLIER DATA BASE'!$A$2:$O$936,11,0),""))</f>
        <v>JAIN ADISHWAR HOSIERY WORKS LLP</v>
      </c>
      <c r="O420" s="70" t="str">
        <f>IF($A$3=" "," ", IFERROR( VLOOKUP($A420,'SUPPLIER DATA BASE'!$A$2:$O$936,12,0),""))</f>
        <v>99917644444444</v>
      </c>
      <c r="P420" s="70" t="str">
        <f>IF($A$3=" "," ", IFERROR( VLOOKUP($A420,'SUPPLIER DATA BASE'!$A$2:$O$936,13,0),""))</f>
        <v>HDFC0002063</v>
      </c>
      <c r="Q420" s="77"/>
      <c r="R420" s="73"/>
      <c r="S420" s="77"/>
      <c r="T420" s="70"/>
      <c r="U420" s="78"/>
      <c r="V420" s="70" t="str">
        <f t="shared" si="4"/>
        <v>FY 25-26</v>
      </c>
      <c r="W420" s="23"/>
      <c r="X420" s="23"/>
    </row>
    <row r="421">
      <c r="A421" s="70" t="s">
        <v>495</v>
      </c>
      <c r="B421" s="70" t="str">
        <f>IF($A$3=" "," ", IFERROR( VLOOKUP($A421,'SUPPLIER DATA BASE'!$A$2:$M$936,3,0),""))</f>
        <v>-</v>
      </c>
      <c r="C421" s="70" t="str">
        <f>IF($A$3=" "," ", IFERROR( VLOOKUP($A421,'SUPPLIER DATA BASE'!$A$2:$F$936,6,0),""))</f>
        <v>-</v>
      </c>
      <c r="D421" s="70" t="str">
        <f>IF($A$3=" "," ", IFERROR( VLOOKUP($A421,'SUPPLIER DATA BASE'!$A$2:$G$936,4,0),""))</f>
        <v>-</v>
      </c>
      <c r="E421" s="71" t="str">
        <f>IF($A$3=" "," ", IFERROR( VLOOKUP($A421,'SUPPLIER DATA BASE'!$A$2:$H$936,5,0),""))</f>
        <v>-</v>
      </c>
      <c r="F421" s="72" t="s">
        <v>1644</v>
      </c>
      <c r="G421" s="73">
        <v>46088.0</v>
      </c>
      <c r="H421" s="74">
        <v>328.0</v>
      </c>
      <c r="I421" s="75">
        <v>94052.0</v>
      </c>
      <c r="J421" s="76" t="s">
        <v>1645</v>
      </c>
      <c r="K421" s="70" t="s">
        <v>349</v>
      </c>
      <c r="L421" s="70" t="s">
        <v>349</v>
      </c>
      <c r="M421" s="70" t="str">
        <f t="shared" si="3"/>
        <v>100 Days</v>
      </c>
      <c r="N421" s="70" t="str">
        <f>IF($A$3=" "," ", IFERROR( VLOOKUP($A421,'SUPPLIER DATA BASE'!$A$2:$O$936,11,0),""))</f>
        <v>JAIN ADISHWAR HOSIERY WORKS LLP</v>
      </c>
      <c r="O421" s="70" t="str">
        <f>IF($A$3=" "," ", IFERROR( VLOOKUP($A421,'SUPPLIER DATA BASE'!$A$2:$O$936,12,0),""))</f>
        <v>99917644444444</v>
      </c>
      <c r="P421" s="70" t="str">
        <f>IF($A$3=" "," ", IFERROR( VLOOKUP($A421,'SUPPLIER DATA BASE'!$A$2:$O$936,13,0),""))</f>
        <v>HDFC0002063</v>
      </c>
      <c r="Q421" s="77"/>
      <c r="R421" s="73"/>
      <c r="S421" s="77"/>
      <c r="T421" s="70"/>
      <c r="U421" s="78"/>
      <c r="V421" s="70" t="str">
        <f t="shared" si="4"/>
        <v>FY 25-26</v>
      </c>
      <c r="W421" s="23"/>
      <c r="X421" s="23"/>
    </row>
    <row r="422">
      <c r="A422" s="70" t="s">
        <v>606</v>
      </c>
      <c r="B422" s="70" t="str">
        <f>IF($A$3=" "," ", IFERROR( VLOOKUP($A422,'SUPPLIER DATA BASE'!$A$2:$M$936,3,0),""))</f>
        <v>-</v>
      </c>
      <c r="C422" s="70" t="str">
        <f>IF($A$3=" "," ", IFERROR( VLOOKUP($A422,'SUPPLIER DATA BASE'!$A$2:$F$936,6,0),""))</f>
        <v>-</v>
      </c>
      <c r="D422" s="70" t="str">
        <f>IF($A$3=" "," ", IFERROR( VLOOKUP($A422,'SUPPLIER DATA BASE'!$A$2:$G$936,4,0),""))</f>
        <v>-</v>
      </c>
      <c r="E422" s="71" t="str">
        <f>IF($A$3=" "," ", IFERROR( VLOOKUP($A422,'SUPPLIER DATA BASE'!$A$2:$H$936,5,0),""))</f>
        <v>-</v>
      </c>
      <c r="F422" s="72" t="s">
        <v>1646</v>
      </c>
      <c r="G422" s="73">
        <v>46088.0</v>
      </c>
      <c r="H422" s="74">
        <v>139.0</v>
      </c>
      <c r="I422" s="75">
        <v>45671.0</v>
      </c>
      <c r="J422" s="76" t="s">
        <v>1647</v>
      </c>
      <c r="K422" s="70" t="s">
        <v>349</v>
      </c>
      <c r="L422" s="70" t="s">
        <v>349</v>
      </c>
      <c r="M422" s="70" t="str">
        <f t="shared" si="3"/>
        <v>100 Days</v>
      </c>
      <c r="N422" s="70" t="str">
        <f>IF($A$3=" "," ", IFERROR( VLOOKUP($A422,'SUPPLIER DATA BASE'!$A$2:$O$936,11,0),""))</f>
        <v>P M SONS</v>
      </c>
      <c r="O422" s="70" t="str">
        <f>IF($A$3=" "," ", IFERROR( VLOOKUP($A422,'SUPPLIER DATA BASE'!$A$2:$O$936,12,0),""))</f>
        <v>8084600000325</v>
      </c>
      <c r="P422" s="70" t="str">
        <f>IF($A$3=" "," ", IFERROR( VLOOKUP($A422,'SUPPLIER DATA BASE'!$A$2:$O$936,13,0),""))</f>
        <v>YESB0000080</v>
      </c>
      <c r="Q422" s="77"/>
      <c r="R422" s="73"/>
      <c r="S422" s="77"/>
      <c r="T422" s="70"/>
      <c r="U422" s="78"/>
      <c r="V422" s="70" t="str">
        <f t="shared" si="4"/>
        <v>FY 25-26</v>
      </c>
      <c r="W422" s="23"/>
      <c r="X422" s="23"/>
    </row>
    <row r="423">
      <c r="A423" s="70" t="s">
        <v>723</v>
      </c>
      <c r="B423" s="70" t="str">
        <f>IF($A$3=" "," ", IFERROR( VLOOKUP($A423,'SUPPLIER DATA BASE'!$A$2:$M$936,3,0),""))</f>
        <v>-</v>
      </c>
      <c r="C423" s="70" t="str">
        <f>IF($A$3=" "," ", IFERROR( VLOOKUP($A423,'SUPPLIER DATA BASE'!$A$2:$F$936,6,0),""))</f>
        <v>-</v>
      </c>
      <c r="D423" s="70" t="str">
        <f>IF($A$3=" "," ", IFERROR( VLOOKUP($A423,'SUPPLIER DATA BASE'!$A$2:$G$936,4,0),""))</f>
        <v>-</v>
      </c>
      <c r="E423" s="71" t="str">
        <f>IF($A$3=" "," ", IFERROR( VLOOKUP($A423,'SUPPLIER DATA BASE'!$A$2:$H$936,5,0),""))</f>
        <v>-</v>
      </c>
      <c r="F423" s="72" t="s">
        <v>1648</v>
      </c>
      <c r="G423" s="73">
        <v>46089.0</v>
      </c>
      <c r="H423" s="74">
        <v>78.0</v>
      </c>
      <c r="I423" s="75">
        <v>45184.0</v>
      </c>
      <c r="J423" s="76" t="s">
        <v>1649</v>
      </c>
      <c r="K423" s="70" t="s">
        <v>349</v>
      </c>
      <c r="L423" s="70" t="s">
        <v>349</v>
      </c>
      <c r="M423" s="70" t="str">
        <f t="shared" si="3"/>
        <v>99 Days</v>
      </c>
      <c r="N423" s="70" t="str">
        <f>IF($A$3=" "," ", IFERROR( VLOOKUP($A423,'SUPPLIER DATA BASE'!$A$2:$O$936,11,0),""))</f>
        <v>-</v>
      </c>
      <c r="O423" s="70" t="str">
        <f>IF($A$3=" "," ", IFERROR( VLOOKUP($A423,'SUPPLIER DATA BASE'!$A$2:$O$936,12,0),""))</f>
        <v>-</v>
      </c>
      <c r="P423" s="70" t="str">
        <f>IF($A$3=" "," ", IFERROR( VLOOKUP($A423,'SUPPLIER DATA BASE'!$A$2:$O$936,13,0),""))</f>
        <v>-</v>
      </c>
      <c r="Q423" s="77"/>
      <c r="R423" s="73"/>
      <c r="S423" s="77"/>
      <c r="T423" s="70"/>
      <c r="U423" s="78"/>
      <c r="V423" s="70" t="str">
        <f t="shared" si="4"/>
        <v>FY 25-26</v>
      </c>
      <c r="W423" s="23"/>
      <c r="X423" s="23"/>
    </row>
    <row r="424">
      <c r="A424" s="70" t="s">
        <v>799</v>
      </c>
      <c r="B424" s="70" t="str">
        <f>IF($A$3=" "," ", IFERROR( VLOOKUP($A424,'SUPPLIER DATA BASE'!$A$2:$M$936,3,0),""))</f>
        <v>-</v>
      </c>
      <c r="C424" s="70" t="str">
        <f>IF($A$3=" "," ", IFERROR( VLOOKUP($A424,'SUPPLIER DATA BASE'!$A$2:$F$936,6,0),""))</f>
        <v>-</v>
      </c>
      <c r="D424" s="70" t="str">
        <f>IF($A$3=" "," ", IFERROR( VLOOKUP($A424,'SUPPLIER DATA BASE'!$A$2:$G$936,4,0),""))</f>
        <v>-</v>
      </c>
      <c r="E424" s="71" t="str">
        <f>IF($A$3=" "," ", IFERROR( VLOOKUP($A424,'SUPPLIER DATA BASE'!$A$2:$H$936,5,0),""))</f>
        <v>-</v>
      </c>
      <c r="F424" s="72" t="s">
        <v>1650</v>
      </c>
      <c r="G424" s="73">
        <v>46090.0</v>
      </c>
      <c r="H424" s="74">
        <v>32.0</v>
      </c>
      <c r="I424" s="75">
        <v>57417.56</v>
      </c>
      <c r="J424" s="76" t="s">
        <v>1651</v>
      </c>
      <c r="K424" s="70" t="s">
        <v>349</v>
      </c>
      <c r="L424" s="70" t="s">
        <v>349</v>
      </c>
      <c r="M424" s="70" t="str">
        <f t="shared" si="3"/>
        <v>98 Days</v>
      </c>
      <c r="N424" s="70" t="str">
        <f>IF($A$3=" "," ", IFERROR( VLOOKUP($A424,'SUPPLIER DATA BASE'!$A$2:$O$936,11,0),""))</f>
        <v>VISHAL MARKETING &amp; CO.</v>
      </c>
      <c r="O424" s="70" t="str">
        <f>IF($A$3=" "," ", IFERROR( VLOOKUP($A424,'SUPPLIER DATA BASE'!$A$2:$O$936,12,0),""))</f>
        <v>1091008700001025</v>
      </c>
      <c r="P424" s="70" t="str">
        <f>IF($A$3=" "," ", IFERROR( VLOOKUP($A424,'SUPPLIER DATA BASE'!$A$2:$O$936,13,0),""))</f>
        <v>PUNB0109100</v>
      </c>
      <c r="Q424" s="77"/>
      <c r="R424" s="73"/>
      <c r="S424" s="77"/>
      <c r="T424" s="70"/>
      <c r="U424" s="78"/>
      <c r="V424" s="70" t="str">
        <f t="shared" si="4"/>
        <v>FY 25-26</v>
      </c>
      <c r="W424" s="23"/>
      <c r="X424" s="23"/>
    </row>
    <row r="425">
      <c r="A425" s="70"/>
      <c r="B425" s="70" t="str">
        <f>IF($A$3=" "," ", IFERROR( VLOOKUP($A425,'SUPPLIER DATA BASE'!$A$2:$M$936,3,0),""))</f>
        <v/>
      </c>
      <c r="C425" s="70" t="str">
        <f>IF($A$3=" "," ", IFERROR( VLOOKUP($A425,'SUPPLIER DATA BASE'!$A$2:$F$936,6,0),""))</f>
        <v/>
      </c>
      <c r="D425" s="70" t="str">
        <f>IF($A$3=" "," ", IFERROR( VLOOKUP($A425,'SUPPLIER DATA BASE'!$A$2:$G$936,4,0),""))</f>
        <v/>
      </c>
      <c r="E425" s="71" t="str">
        <f>IF($A$3=" "," ", IFERROR( VLOOKUP($A425,'SUPPLIER DATA BASE'!$A$2:$H$936,5,0),""))</f>
        <v/>
      </c>
      <c r="F425" s="72">
        <v>1019.0</v>
      </c>
      <c r="G425" s="73">
        <v>46090.0</v>
      </c>
      <c r="H425" s="74">
        <v>39.0</v>
      </c>
      <c r="I425" s="75">
        <v>32647.0</v>
      </c>
      <c r="J425" s="76" t="s">
        <v>1652</v>
      </c>
      <c r="K425" s="70" t="s">
        <v>349</v>
      </c>
      <c r="L425" s="70" t="s">
        <v>349</v>
      </c>
      <c r="M425" s="70" t="str">
        <f t="shared" si="3"/>
        <v>98 Days</v>
      </c>
      <c r="N425" s="70" t="str">
        <f>IF($A$3=" "," ", IFERROR( VLOOKUP($A425,'SUPPLIER DATA BASE'!$A$2:$O$936,11,0),""))</f>
        <v/>
      </c>
      <c r="O425" s="70" t="str">
        <f>IF($A$3=" "," ", IFERROR( VLOOKUP($A425,'SUPPLIER DATA BASE'!$A$2:$O$936,12,0),""))</f>
        <v/>
      </c>
      <c r="P425" s="70" t="str">
        <f>IF($A$3=" "," ", IFERROR( VLOOKUP($A425,'SUPPLIER DATA BASE'!$A$2:$O$936,13,0),""))</f>
        <v/>
      </c>
      <c r="Q425" s="77"/>
      <c r="R425" s="73"/>
      <c r="S425" s="77"/>
      <c r="T425" s="70"/>
      <c r="U425" s="78"/>
      <c r="V425" s="70" t="str">
        <f t="shared" si="4"/>
        <v>FY 25-26</v>
      </c>
      <c r="W425" s="23"/>
      <c r="X425" s="23"/>
    </row>
    <row r="426">
      <c r="A426" s="70" t="s">
        <v>606</v>
      </c>
      <c r="B426" s="70" t="str">
        <f>IF($A$3=" "," ", IFERROR( VLOOKUP($A426,'SUPPLIER DATA BASE'!$A$2:$M$936,3,0),""))</f>
        <v>-</v>
      </c>
      <c r="C426" s="70" t="str">
        <f>IF($A$3=" "," ", IFERROR( VLOOKUP($A426,'SUPPLIER DATA BASE'!$A$2:$F$936,6,0),""))</f>
        <v>-</v>
      </c>
      <c r="D426" s="70" t="str">
        <f>IF($A$3=" "," ", IFERROR( VLOOKUP($A426,'SUPPLIER DATA BASE'!$A$2:$G$936,4,0),""))</f>
        <v>-</v>
      </c>
      <c r="E426" s="71" t="str">
        <f>IF($A$3=" "," ", IFERROR( VLOOKUP($A426,'SUPPLIER DATA BASE'!$A$2:$H$936,5,0),""))</f>
        <v>-</v>
      </c>
      <c r="F426" s="72" t="s">
        <v>1653</v>
      </c>
      <c r="G426" s="73">
        <v>46090.0</v>
      </c>
      <c r="H426" s="74">
        <v>52.0</v>
      </c>
      <c r="I426" s="75">
        <v>30588.0</v>
      </c>
      <c r="J426" s="76" t="s">
        <v>1654</v>
      </c>
      <c r="K426" s="70" t="s">
        <v>349</v>
      </c>
      <c r="L426" s="70" t="s">
        <v>349</v>
      </c>
      <c r="M426" s="70" t="str">
        <f t="shared" si="3"/>
        <v>98 Days</v>
      </c>
      <c r="N426" s="70" t="str">
        <f>IF($A$3=" "," ", IFERROR( VLOOKUP($A426,'SUPPLIER DATA BASE'!$A$2:$O$936,11,0),""))</f>
        <v>P M SONS</v>
      </c>
      <c r="O426" s="70" t="str">
        <f>IF($A$3=" "," ", IFERROR( VLOOKUP($A426,'SUPPLIER DATA BASE'!$A$2:$O$936,12,0),""))</f>
        <v>8084600000325</v>
      </c>
      <c r="P426" s="70" t="str">
        <f>IF($A$3=" "," ", IFERROR( VLOOKUP($A426,'SUPPLIER DATA BASE'!$A$2:$O$936,13,0),""))</f>
        <v>YESB0000080</v>
      </c>
      <c r="Q426" s="77"/>
      <c r="R426" s="73"/>
      <c r="S426" s="77"/>
      <c r="T426" s="70"/>
      <c r="U426" s="78"/>
      <c r="V426" s="70" t="str">
        <f t="shared" si="4"/>
        <v>FY 25-26</v>
      </c>
      <c r="W426" s="23"/>
      <c r="X426" s="23"/>
    </row>
    <row r="427">
      <c r="A427" s="70" t="s">
        <v>480</v>
      </c>
      <c r="B427" s="70" t="str">
        <f>IF($A$3=" "," ", IFERROR( VLOOKUP($A427,'SUPPLIER DATA BASE'!$A$2:$M$936,3,0),""))</f>
        <v>-</v>
      </c>
      <c r="C427" s="70" t="str">
        <f>IF($A$3=" "," ", IFERROR( VLOOKUP($A427,'SUPPLIER DATA BASE'!$A$2:$F$936,6,0),""))</f>
        <v>-</v>
      </c>
      <c r="D427" s="70" t="str">
        <f>IF($A$3=" "," ", IFERROR( VLOOKUP($A427,'SUPPLIER DATA BASE'!$A$2:$G$936,4,0),""))</f>
        <v>-</v>
      </c>
      <c r="E427" s="71" t="str">
        <f>IF($A$3=" "," ", IFERROR( VLOOKUP($A427,'SUPPLIER DATA BASE'!$A$2:$H$936,5,0),""))</f>
        <v>-</v>
      </c>
      <c r="F427" s="72" t="s">
        <v>1655</v>
      </c>
      <c r="G427" s="73">
        <v>46090.0</v>
      </c>
      <c r="H427" s="74">
        <v>260.0</v>
      </c>
      <c r="I427" s="75">
        <v>13118.0</v>
      </c>
      <c r="J427" s="76" t="s">
        <v>1656</v>
      </c>
      <c r="K427" s="70" t="s">
        <v>349</v>
      </c>
      <c r="L427" s="70" t="s">
        <v>349</v>
      </c>
      <c r="M427" s="70" t="str">
        <f t="shared" si="3"/>
        <v>98 Days</v>
      </c>
      <c r="N427" s="70" t="str">
        <f>IF($A$3=" "," ", IFERROR( VLOOKUP($A427,'SUPPLIER DATA BASE'!$A$2:$O$936,11,0),""))</f>
        <v>GTN ENGINEERING INDIA LTD</v>
      </c>
      <c r="O427" s="70" t="str">
        <f>IF($A$3=" "," ", IFERROR( VLOOKUP($A427,'SUPPLIER DATA BASE'!$A$2:$O$936,12,0),""))</f>
        <v>4437002100000153</v>
      </c>
      <c r="P427" s="70" t="str">
        <f>IF($A$3=" "," ", IFERROR( VLOOKUP($A427,'SUPPLIER DATA BASE'!$A$2:$O$936,13,0),""))</f>
        <v>PUNB0020700</v>
      </c>
      <c r="Q427" s="77"/>
      <c r="R427" s="73"/>
      <c r="S427" s="77"/>
      <c r="T427" s="70"/>
      <c r="U427" s="78"/>
      <c r="V427" s="70" t="str">
        <f t="shared" si="4"/>
        <v>FY 25-26</v>
      </c>
      <c r="W427" s="23"/>
      <c r="X427" s="23"/>
    </row>
    <row r="428">
      <c r="A428" s="70" t="s">
        <v>480</v>
      </c>
      <c r="B428" s="70" t="str">
        <f>IF($A$3=" "," ", IFERROR( VLOOKUP($A428,'SUPPLIER DATA BASE'!$A$2:$M$936,3,0),""))</f>
        <v>-</v>
      </c>
      <c r="C428" s="70" t="str">
        <f>IF($A$3=" "," ", IFERROR( VLOOKUP($A428,'SUPPLIER DATA BASE'!$A$2:$F$936,6,0),""))</f>
        <v>-</v>
      </c>
      <c r="D428" s="70" t="str">
        <f>IF($A$3=" "," ", IFERROR( VLOOKUP($A428,'SUPPLIER DATA BASE'!$A$2:$G$936,4,0),""))</f>
        <v>-</v>
      </c>
      <c r="E428" s="71" t="str">
        <f>IF($A$3=" "," ", IFERROR( VLOOKUP($A428,'SUPPLIER DATA BASE'!$A$2:$H$936,5,0),""))</f>
        <v>-</v>
      </c>
      <c r="F428" s="72" t="s">
        <v>1657</v>
      </c>
      <c r="G428" s="73">
        <v>46090.0</v>
      </c>
      <c r="H428" s="74">
        <v>175.0</v>
      </c>
      <c r="I428" s="75">
        <v>11051.0</v>
      </c>
      <c r="J428" s="76" t="s">
        <v>1658</v>
      </c>
      <c r="K428" s="70" t="s">
        <v>349</v>
      </c>
      <c r="L428" s="70" t="s">
        <v>349</v>
      </c>
      <c r="M428" s="70" t="str">
        <f t="shared" si="3"/>
        <v>98 Days</v>
      </c>
      <c r="N428" s="70" t="str">
        <f>IF($A$3=" "," ", IFERROR( VLOOKUP($A428,'SUPPLIER DATA BASE'!$A$2:$O$936,11,0),""))</f>
        <v>GTN ENGINEERING INDIA LTD</v>
      </c>
      <c r="O428" s="70" t="str">
        <f>IF($A$3=" "," ", IFERROR( VLOOKUP($A428,'SUPPLIER DATA BASE'!$A$2:$O$936,12,0),""))</f>
        <v>4437002100000153</v>
      </c>
      <c r="P428" s="70" t="str">
        <f>IF($A$3=" "," ", IFERROR( VLOOKUP($A428,'SUPPLIER DATA BASE'!$A$2:$O$936,13,0),""))</f>
        <v>PUNB0020700</v>
      </c>
      <c r="Q428" s="77"/>
      <c r="R428" s="73"/>
      <c r="S428" s="77"/>
      <c r="T428" s="70"/>
      <c r="U428" s="78"/>
      <c r="V428" s="70" t="str">
        <f t="shared" si="4"/>
        <v>FY 25-26</v>
      </c>
      <c r="W428" s="23"/>
      <c r="X428" s="23"/>
    </row>
    <row r="429">
      <c r="A429" s="70" t="s">
        <v>354</v>
      </c>
      <c r="B429" s="70" t="str">
        <f>IF($A$3=" "," ", IFERROR( VLOOKUP($A429,'SUPPLIER DATA BASE'!$A$2:$M$936,3,0),""))</f>
        <v>-</v>
      </c>
      <c r="C429" s="70" t="str">
        <f>IF($A$3=" "," ", IFERROR( VLOOKUP($A429,'SUPPLIER DATA BASE'!$A$2:$F$936,6,0),""))</f>
        <v>-</v>
      </c>
      <c r="D429" s="70" t="str">
        <f>IF($A$3=" "," ", IFERROR( VLOOKUP($A429,'SUPPLIER DATA BASE'!$A$2:$G$936,4,0),""))</f>
        <v>-</v>
      </c>
      <c r="E429" s="71" t="str">
        <f>IF($A$3=" "," ", IFERROR( VLOOKUP($A429,'SUPPLIER DATA BASE'!$A$2:$H$936,5,0),""))</f>
        <v>-</v>
      </c>
      <c r="F429" s="72" t="s">
        <v>1659</v>
      </c>
      <c r="G429" s="73">
        <v>46090.0</v>
      </c>
      <c r="H429" s="74">
        <v>11.0</v>
      </c>
      <c r="I429" s="75">
        <v>12322.45</v>
      </c>
      <c r="J429" s="76" t="s">
        <v>1660</v>
      </c>
      <c r="K429" s="70" t="s">
        <v>349</v>
      </c>
      <c r="L429" s="70" t="s">
        <v>349</v>
      </c>
      <c r="M429" s="70" t="str">
        <f t="shared" si="3"/>
        <v>98 Days</v>
      </c>
      <c r="N429" s="70" t="str">
        <f>IF($A$3=" "," ", IFERROR( VLOOKUP($A429,'SUPPLIER DATA BASE'!$A$2:$O$936,11,0),""))</f>
        <v>-</v>
      </c>
      <c r="O429" s="70" t="str">
        <f>IF($A$3=" "," ", IFERROR( VLOOKUP($A429,'SUPPLIER DATA BASE'!$A$2:$O$936,12,0),""))</f>
        <v>-</v>
      </c>
      <c r="P429" s="70" t="str">
        <f>IF($A$3=" "," ", IFERROR( VLOOKUP($A429,'SUPPLIER DATA BASE'!$A$2:$O$936,13,0),""))</f>
        <v>-</v>
      </c>
      <c r="Q429" s="77"/>
      <c r="R429" s="73"/>
      <c r="S429" s="77"/>
      <c r="T429" s="70"/>
      <c r="U429" s="78"/>
      <c r="V429" s="70" t="str">
        <f t="shared" si="4"/>
        <v>FY 25-26</v>
      </c>
      <c r="W429" s="23"/>
      <c r="X429" s="23"/>
    </row>
    <row r="430">
      <c r="A430" s="70" t="s">
        <v>354</v>
      </c>
      <c r="B430" s="70" t="str">
        <f>IF($A$3=" "," ", IFERROR( VLOOKUP($A430,'SUPPLIER DATA BASE'!$A$2:$M$936,3,0),""))</f>
        <v>-</v>
      </c>
      <c r="C430" s="70" t="str">
        <f>IF($A$3=" "," ", IFERROR( VLOOKUP($A430,'SUPPLIER DATA BASE'!$A$2:$F$936,6,0),""))</f>
        <v>-</v>
      </c>
      <c r="D430" s="70" t="str">
        <f>IF($A$3=" "," ", IFERROR( VLOOKUP($A430,'SUPPLIER DATA BASE'!$A$2:$G$936,4,0),""))</f>
        <v>-</v>
      </c>
      <c r="E430" s="71" t="str">
        <f>IF($A$3=" "," ", IFERROR( VLOOKUP($A430,'SUPPLIER DATA BASE'!$A$2:$H$936,5,0),""))</f>
        <v>-</v>
      </c>
      <c r="F430" s="72" t="s">
        <v>1661</v>
      </c>
      <c r="G430" s="73">
        <v>46090.0</v>
      </c>
      <c r="H430" s="74">
        <v>100.0</v>
      </c>
      <c r="I430" s="75">
        <v>163405.54</v>
      </c>
      <c r="J430" s="76" t="s">
        <v>1662</v>
      </c>
      <c r="K430" s="70" t="s">
        <v>349</v>
      </c>
      <c r="L430" s="70" t="s">
        <v>349</v>
      </c>
      <c r="M430" s="70" t="str">
        <f t="shared" si="3"/>
        <v>98 Days</v>
      </c>
      <c r="N430" s="70" t="str">
        <f>IF($A$3=" "," ", IFERROR( VLOOKUP($A430,'SUPPLIER DATA BASE'!$A$2:$O$936,11,0),""))</f>
        <v>-</v>
      </c>
      <c r="O430" s="70" t="str">
        <f>IF($A$3=" "," ", IFERROR( VLOOKUP($A430,'SUPPLIER DATA BASE'!$A$2:$O$936,12,0),""))</f>
        <v>-</v>
      </c>
      <c r="P430" s="70" t="str">
        <f>IF($A$3=" "," ", IFERROR( VLOOKUP($A430,'SUPPLIER DATA BASE'!$A$2:$O$936,13,0),""))</f>
        <v>-</v>
      </c>
      <c r="Q430" s="77"/>
      <c r="R430" s="73"/>
      <c r="S430" s="77"/>
      <c r="T430" s="70"/>
      <c r="U430" s="78"/>
      <c r="V430" s="70" t="str">
        <f t="shared" si="4"/>
        <v>FY 25-26</v>
      </c>
      <c r="W430" s="23"/>
      <c r="X430" s="23"/>
    </row>
    <row r="431">
      <c r="A431" s="70" t="s">
        <v>354</v>
      </c>
      <c r="B431" s="70" t="str">
        <f>IF($A$3=" "," ", IFERROR( VLOOKUP($A431,'SUPPLIER DATA BASE'!$A$2:$M$936,3,0),""))</f>
        <v>-</v>
      </c>
      <c r="C431" s="70" t="str">
        <f>IF($A$3=" "," ", IFERROR( VLOOKUP($A431,'SUPPLIER DATA BASE'!$A$2:$F$936,6,0),""))</f>
        <v>-</v>
      </c>
      <c r="D431" s="70" t="str">
        <f>IF($A$3=" "," ", IFERROR( VLOOKUP($A431,'SUPPLIER DATA BASE'!$A$2:$G$936,4,0),""))</f>
        <v>-</v>
      </c>
      <c r="E431" s="71" t="str">
        <f>IF($A$3=" "," ", IFERROR( VLOOKUP($A431,'SUPPLIER DATA BASE'!$A$2:$H$936,5,0),""))</f>
        <v>-</v>
      </c>
      <c r="F431" s="72" t="s">
        <v>1663</v>
      </c>
      <c r="G431" s="73">
        <v>46090.0</v>
      </c>
      <c r="H431" s="74">
        <v>1.0</v>
      </c>
      <c r="I431" s="75">
        <v>6804.96</v>
      </c>
      <c r="J431" s="76" t="s">
        <v>1664</v>
      </c>
      <c r="K431" s="70" t="s">
        <v>349</v>
      </c>
      <c r="L431" s="70" t="s">
        <v>349</v>
      </c>
      <c r="M431" s="70" t="str">
        <f t="shared" si="3"/>
        <v>98 Days</v>
      </c>
      <c r="N431" s="70" t="str">
        <f>IF($A$3=" "," ", IFERROR( VLOOKUP($A431,'SUPPLIER DATA BASE'!$A$2:$O$936,11,0),""))</f>
        <v>-</v>
      </c>
      <c r="O431" s="70" t="str">
        <f>IF($A$3=" "," ", IFERROR( VLOOKUP($A431,'SUPPLIER DATA BASE'!$A$2:$O$936,12,0),""))</f>
        <v>-</v>
      </c>
      <c r="P431" s="70" t="str">
        <f>IF($A$3=" "," ", IFERROR( VLOOKUP($A431,'SUPPLIER DATA BASE'!$A$2:$O$936,13,0),""))</f>
        <v>-</v>
      </c>
      <c r="Q431" s="77"/>
      <c r="R431" s="73"/>
      <c r="S431" s="77"/>
      <c r="T431" s="70"/>
      <c r="U431" s="78"/>
      <c r="V431" s="70" t="str">
        <f t="shared" si="4"/>
        <v>FY 25-26</v>
      </c>
      <c r="W431" s="23"/>
      <c r="X431" s="23"/>
    </row>
    <row r="432">
      <c r="A432" s="70" t="s">
        <v>606</v>
      </c>
      <c r="B432" s="70" t="str">
        <f>IF($A$3=" "," ", IFERROR( VLOOKUP($A432,'SUPPLIER DATA BASE'!$A$2:$M$936,3,0),""))</f>
        <v>-</v>
      </c>
      <c r="C432" s="70" t="str">
        <f>IF($A$3=" "," ", IFERROR( VLOOKUP($A432,'SUPPLIER DATA BASE'!$A$2:$F$936,6,0),""))</f>
        <v>-</v>
      </c>
      <c r="D432" s="70" t="str">
        <f>IF($A$3=" "," ", IFERROR( VLOOKUP($A432,'SUPPLIER DATA BASE'!$A$2:$G$936,4,0),""))</f>
        <v>-</v>
      </c>
      <c r="E432" s="71" t="str">
        <f>IF($A$3=" "," ", IFERROR( VLOOKUP($A432,'SUPPLIER DATA BASE'!$A$2:$H$936,5,0),""))</f>
        <v>-</v>
      </c>
      <c r="F432" s="72" t="s">
        <v>1665</v>
      </c>
      <c r="G432" s="73">
        <v>46090.0</v>
      </c>
      <c r="H432" s="74">
        <v>143.0</v>
      </c>
      <c r="I432" s="75">
        <v>174661.0</v>
      </c>
      <c r="J432" s="76" t="s">
        <v>1666</v>
      </c>
      <c r="K432" s="70" t="s">
        <v>349</v>
      </c>
      <c r="L432" s="70" t="s">
        <v>349</v>
      </c>
      <c r="M432" s="70" t="str">
        <f t="shared" si="3"/>
        <v>98 Days</v>
      </c>
      <c r="N432" s="70" t="str">
        <f>IF($A$3=" "," ", IFERROR( VLOOKUP($A432,'SUPPLIER DATA BASE'!$A$2:$O$936,11,0),""))</f>
        <v>P M SONS</v>
      </c>
      <c r="O432" s="70" t="str">
        <f>IF($A$3=" "," ", IFERROR( VLOOKUP($A432,'SUPPLIER DATA BASE'!$A$2:$O$936,12,0),""))</f>
        <v>8084600000325</v>
      </c>
      <c r="P432" s="70" t="str">
        <f>IF($A$3=" "," ", IFERROR( VLOOKUP($A432,'SUPPLIER DATA BASE'!$A$2:$O$936,13,0),""))</f>
        <v>YESB0000080</v>
      </c>
      <c r="Q432" s="77"/>
      <c r="R432" s="73"/>
      <c r="S432" s="77"/>
      <c r="T432" s="70"/>
      <c r="U432" s="78"/>
      <c r="V432" s="70" t="str">
        <f t="shared" si="4"/>
        <v>FY 25-26</v>
      </c>
      <c r="W432" s="23"/>
      <c r="X432" s="23"/>
    </row>
    <row r="433">
      <c r="A433" s="70" t="s">
        <v>575</v>
      </c>
      <c r="B433" s="70" t="str">
        <f>IF($A$3=" "," ", IFERROR( VLOOKUP($A433,'SUPPLIER DATA BASE'!$A$2:$M$936,3,0),""))</f>
        <v>BLACKBERRY</v>
      </c>
      <c r="C433" s="70" t="str">
        <f>IF($A$3=" "," ", IFERROR( VLOOKUP($A433,'SUPPLIER DATA BASE'!$A$2:$F$936,6,0),""))</f>
        <v>-</v>
      </c>
      <c r="D433" s="70" t="str">
        <f>IF($A$3=" "," ", IFERROR( VLOOKUP($A433,'SUPPLIER DATA BASE'!$A$2:$G$936,4,0),""))</f>
        <v>-</v>
      </c>
      <c r="E433" s="71" t="str">
        <f>IF($A$3=" "," ", IFERROR( VLOOKUP($A433,'SUPPLIER DATA BASE'!$A$2:$H$936,5,0),""))</f>
        <v>-</v>
      </c>
      <c r="F433" s="72">
        <v>8.500277677E9</v>
      </c>
      <c r="G433" s="73">
        <v>46090.0</v>
      </c>
      <c r="H433" s="74">
        <v>28.0</v>
      </c>
      <c r="I433" s="75">
        <v>58171.72</v>
      </c>
      <c r="J433" s="76" t="s">
        <v>1667</v>
      </c>
      <c r="K433" s="70" t="s">
        <v>349</v>
      </c>
      <c r="L433" s="70" t="s">
        <v>349</v>
      </c>
      <c r="M433" s="70" t="str">
        <f t="shared" si="3"/>
        <v>98 Days</v>
      </c>
      <c r="N433" s="70" t="str">
        <f>IF($A$3=" "," ", IFERROR( VLOOKUP($A433,'SUPPLIER DATA BASE'!$A$2:$O$936,11,0),""))</f>
        <v>MOHAN CLOTHING COMPANY PVT LTD</v>
      </c>
      <c r="O433" s="70" t="str">
        <f>IF($A$3=" "," ", IFERROR( VLOOKUP($A433,'SUPPLIER DATA BASE'!$A$2:$O$936,12,0),""))</f>
        <v>0710096023</v>
      </c>
      <c r="P433" s="70" t="str">
        <f>IF($A$3=" "," ", IFERROR( VLOOKUP($A433,'SUPPLIER DATA BASE'!$A$2:$O$936,13,0),""))</f>
        <v>CITI0000002</v>
      </c>
      <c r="Q433" s="77"/>
      <c r="R433" s="73"/>
      <c r="S433" s="77"/>
      <c r="T433" s="70"/>
      <c r="U433" s="78"/>
      <c r="V433" s="70" t="str">
        <f t="shared" si="4"/>
        <v>FY 25-26</v>
      </c>
      <c r="W433" s="23"/>
      <c r="X433" s="23"/>
    </row>
    <row r="434">
      <c r="A434" s="70" t="s">
        <v>354</v>
      </c>
      <c r="B434" s="70" t="str">
        <f>IF($A$3=" "," ", IFERROR( VLOOKUP($A434,'SUPPLIER DATA BASE'!$A$2:$M$936,3,0),""))</f>
        <v>-</v>
      </c>
      <c r="C434" s="70" t="str">
        <f>IF($A$3=" "," ", IFERROR( VLOOKUP($A434,'SUPPLIER DATA BASE'!$A$2:$F$936,6,0),""))</f>
        <v>-</v>
      </c>
      <c r="D434" s="70" t="str">
        <f>IF($A$3=" "," ", IFERROR( VLOOKUP($A434,'SUPPLIER DATA BASE'!$A$2:$G$936,4,0),""))</f>
        <v>-</v>
      </c>
      <c r="E434" s="71" t="str">
        <f>IF($A$3=" "," ", IFERROR( VLOOKUP($A434,'SUPPLIER DATA BASE'!$A$2:$H$936,5,0),""))</f>
        <v>-</v>
      </c>
      <c r="F434" s="72" t="s">
        <v>1668</v>
      </c>
      <c r="G434" s="73">
        <v>46090.0</v>
      </c>
      <c r="H434" s="74">
        <v>7.0</v>
      </c>
      <c r="I434" s="75">
        <v>13351.76</v>
      </c>
      <c r="J434" s="76" t="s">
        <v>1669</v>
      </c>
      <c r="K434" s="70" t="s">
        <v>349</v>
      </c>
      <c r="L434" s="70" t="s">
        <v>349</v>
      </c>
      <c r="M434" s="70" t="str">
        <f t="shared" si="3"/>
        <v>98 Days</v>
      </c>
      <c r="N434" s="70" t="str">
        <f>IF($A$3=" "," ", IFERROR( VLOOKUP($A434,'SUPPLIER DATA BASE'!$A$2:$O$936,11,0),""))</f>
        <v>-</v>
      </c>
      <c r="O434" s="70" t="str">
        <f>IF($A$3=" "," ", IFERROR( VLOOKUP($A434,'SUPPLIER DATA BASE'!$A$2:$O$936,12,0),""))</f>
        <v>-</v>
      </c>
      <c r="P434" s="70" t="str">
        <f>IF($A$3=" "," ", IFERROR( VLOOKUP($A434,'SUPPLIER DATA BASE'!$A$2:$O$936,13,0),""))</f>
        <v>-</v>
      </c>
      <c r="Q434" s="77"/>
      <c r="R434" s="73"/>
      <c r="S434" s="77"/>
      <c r="T434" s="70"/>
      <c r="U434" s="78"/>
      <c r="V434" s="70" t="str">
        <f t="shared" si="4"/>
        <v>FY 25-26</v>
      </c>
      <c r="W434" s="23"/>
      <c r="X434" s="23"/>
    </row>
    <row r="435">
      <c r="A435" s="70" t="s">
        <v>354</v>
      </c>
      <c r="B435" s="70" t="str">
        <f>IF($A$3=" "," ", IFERROR( VLOOKUP($A435,'SUPPLIER DATA BASE'!$A$2:$M$936,3,0),""))</f>
        <v>-</v>
      </c>
      <c r="C435" s="70" t="str">
        <f>IF($A$3=" "," ", IFERROR( VLOOKUP($A435,'SUPPLIER DATA BASE'!$A$2:$F$936,6,0),""))</f>
        <v>-</v>
      </c>
      <c r="D435" s="70" t="str">
        <f>IF($A$3=" "," ", IFERROR( VLOOKUP($A435,'SUPPLIER DATA BASE'!$A$2:$G$936,4,0),""))</f>
        <v>-</v>
      </c>
      <c r="E435" s="71" t="str">
        <f>IF($A$3=" "," ", IFERROR( VLOOKUP($A435,'SUPPLIER DATA BASE'!$A$2:$H$936,5,0),""))</f>
        <v>-</v>
      </c>
      <c r="F435" s="72" t="s">
        <v>1670</v>
      </c>
      <c r="G435" s="73">
        <v>46090.0</v>
      </c>
      <c r="H435" s="74">
        <v>1.0</v>
      </c>
      <c r="I435" s="75">
        <v>958.32</v>
      </c>
      <c r="J435" s="76" t="s">
        <v>1671</v>
      </c>
      <c r="K435" s="70" t="s">
        <v>349</v>
      </c>
      <c r="L435" s="73"/>
      <c r="M435" s="70" t="str">
        <f t="shared" si="3"/>
        <v>98 Days</v>
      </c>
      <c r="N435" s="70" t="str">
        <f>IF($A$3=" "," ", IFERROR( VLOOKUP($A435,'SUPPLIER DATA BASE'!$A$2:$O$936,11,0),""))</f>
        <v>-</v>
      </c>
      <c r="O435" s="70" t="str">
        <f>IF($A$3=" "," ", IFERROR( VLOOKUP($A435,'SUPPLIER DATA BASE'!$A$2:$O$936,12,0),""))</f>
        <v>-</v>
      </c>
      <c r="P435" s="70" t="str">
        <f>IF($A$3=" "," ", IFERROR( VLOOKUP($A435,'SUPPLIER DATA BASE'!$A$2:$O$936,13,0),""))</f>
        <v>-</v>
      </c>
      <c r="Q435" s="77"/>
      <c r="R435" s="73"/>
      <c r="S435" s="77"/>
      <c r="T435" s="70"/>
      <c r="U435" s="78"/>
      <c r="V435" s="70" t="str">
        <f t="shared" si="4"/>
        <v>FY 25-26</v>
      </c>
      <c r="W435" s="23"/>
      <c r="X435" s="23"/>
    </row>
    <row r="436">
      <c r="A436" s="70" t="s">
        <v>354</v>
      </c>
      <c r="B436" s="70" t="str">
        <f>IF($A$3=" "," ", IFERROR( VLOOKUP($A436,'SUPPLIER DATA BASE'!$A$2:$M$936,3,0),""))</f>
        <v>-</v>
      </c>
      <c r="C436" s="70" t="str">
        <f>IF($A$3=" "," ", IFERROR( VLOOKUP($A436,'SUPPLIER DATA BASE'!$A$2:$F$936,6,0),""))</f>
        <v>-</v>
      </c>
      <c r="D436" s="70" t="str">
        <f>IF($A$3=" "," ", IFERROR( VLOOKUP($A436,'SUPPLIER DATA BASE'!$A$2:$G$936,4,0),""))</f>
        <v>-</v>
      </c>
      <c r="E436" s="71" t="str">
        <f>IF($A$3=" "," ", IFERROR( VLOOKUP($A436,'SUPPLIER DATA BASE'!$A$2:$H$936,5,0),""))</f>
        <v>-</v>
      </c>
      <c r="F436" s="72" t="s">
        <v>1672</v>
      </c>
      <c r="G436" s="73">
        <v>46090.0</v>
      </c>
      <c r="H436" s="74">
        <v>24.0</v>
      </c>
      <c r="I436" s="75">
        <v>44532.37</v>
      </c>
      <c r="J436" s="76" t="s">
        <v>1673</v>
      </c>
      <c r="K436" s="70" t="s">
        <v>349</v>
      </c>
      <c r="L436" s="73"/>
      <c r="M436" s="70" t="str">
        <f t="shared" si="3"/>
        <v>98 Days</v>
      </c>
      <c r="N436" s="70" t="str">
        <f>IF($A$3=" "," ", IFERROR( VLOOKUP($A436,'SUPPLIER DATA BASE'!$A$2:$O$936,11,0),""))</f>
        <v>-</v>
      </c>
      <c r="O436" s="70" t="str">
        <f>IF($A$3=" "," ", IFERROR( VLOOKUP($A436,'SUPPLIER DATA BASE'!$A$2:$O$936,12,0),""))</f>
        <v>-</v>
      </c>
      <c r="P436" s="70" t="str">
        <f>IF($A$3=" "," ", IFERROR( VLOOKUP($A436,'SUPPLIER DATA BASE'!$A$2:$O$936,13,0),""))</f>
        <v>-</v>
      </c>
      <c r="Q436" s="77"/>
      <c r="R436" s="73"/>
      <c r="S436" s="77"/>
      <c r="T436" s="70"/>
      <c r="U436" s="78"/>
      <c r="V436" s="70" t="str">
        <f t="shared" si="4"/>
        <v>FY 25-26</v>
      </c>
      <c r="W436" s="23"/>
      <c r="X436" s="23"/>
    </row>
    <row r="437">
      <c r="A437" s="70" t="s">
        <v>354</v>
      </c>
      <c r="B437" s="70" t="str">
        <f>IF($A$3=" "," ", IFERROR( VLOOKUP($A437,'SUPPLIER DATA BASE'!$A$2:$M$936,3,0),""))</f>
        <v>-</v>
      </c>
      <c r="C437" s="70" t="str">
        <f>IF($A$3=" "," ", IFERROR( VLOOKUP($A437,'SUPPLIER DATA BASE'!$A$2:$F$936,6,0),""))</f>
        <v>-</v>
      </c>
      <c r="D437" s="70" t="str">
        <f>IF($A$3=" "," ", IFERROR( VLOOKUP($A437,'SUPPLIER DATA BASE'!$A$2:$G$936,4,0),""))</f>
        <v>-</v>
      </c>
      <c r="E437" s="71" t="str">
        <f>IF($A$3=" "," ", IFERROR( VLOOKUP($A437,'SUPPLIER DATA BASE'!$A$2:$H$936,5,0),""))</f>
        <v>-</v>
      </c>
      <c r="F437" s="72" t="s">
        <v>1674</v>
      </c>
      <c r="G437" s="73">
        <v>46090.0</v>
      </c>
      <c r="H437" s="74">
        <v>25.0</v>
      </c>
      <c r="I437" s="75">
        <v>46162.73</v>
      </c>
      <c r="J437" s="76" t="s">
        <v>1675</v>
      </c>
      <c r="K437" s="70" t="s">
        <v>349</v>
      </c>
      <c r="L437" s="73"/>
      <c r="M437" s="70" t="str">
        <f t="shared" si="3"/>
        <v>98 Days</v>
      </c>
      <c r="N437" s="70" t="str">
        <f>IF($A$3=" "," ", IFERROR( VLOOKUP($A437,'SUPPLIER DATA BASE'!$A$2:$O$936,11,0),""))</f>
        <v>-</v>
      </c>
      <c r="O437" s="70" t="str">
        <f>IF($A$3=" "," ", IFERROR( VLOOKUP($A437,'SUPPLIER DATA BASE'!$A$2:$O$936,12,0),""))</f>
        <v>-</v>
      </c>
      <c r="P437" s="70" t="str">
        <f>IF($A$3=" "," ", IFERROR( VLOOKUP($A437,'SUPPLIER DATA BASE'!$A$2:$O$936,13,0),""))</f>
        <v>-</v>
      </c>
      <c r="Q437" s="77"/>
      <c r="R437" s="73"/>
      <c r="S437" s="77"/>
      <c r="T437" s="70"/>
      <c r="U437" s="78"/>
      <c r="V437" s="70" t="str">
        <f t="shared" si="4"/>
        <v>FY 25-26</v>
      </c>
      <c r="W437" s="23"/>
      <c r="X437" s="23"/>
    </row>
    <row r="438">
      <c r="A438" s="70" t="s">
        <v>354</v>
      </c>
      <c r="B438" s="70" t="str">
        <f>IF($A$3=" "," ", IFERROR( VLOOKUP($A438,'SUPPLIER DATA BASE'!$A$2:$M$936,3,0),""))</f>
        <v>-</v>
      </c>
      <c r="C438" s="70" t="str">
        <f>IF($A$3=" "," ", IFERROR( VLOOKUP($A438,'SUPPLIER DATA BASE'!$A$2:$F$936,6,0),""))</f>
        <v>-</v>
      </c>
      <c r="D438" s="70" t="str">
        <f>IF($A$3=" "," ", IFERROR( VLOOKUP($A438,'SUPPLIER DATA BASE'!$A$2:$G$936,4,0),""))</f>
        <v>-</v>
      </c>
      <c r="E438" s="71" t="str">
        <f>IF($A$3=" "," ", IFERROR( VLOOKUP($A438,'SUPPLIER DATA BASE'!$A$2:$H$936,5,0),""))</f>
        <v>-</v>
      </c>
      <c r="F438" s="72" t="s">
        <v>1676</v>
      </c>
      <c r="G438" s="73">
        <v>46090.0</v>
      </c>
      <c r="H438" s="74">
        <v>7.0</v>
      </c>
      <c r="I438" s="75">
        <v>13351.76</v>
      </c>
      <c r="J438" s="76" t="s">
        <v>1677</v>
      </c>
      <c r="K438" s="70" t="s">
        <v>349</v>
      </c>
      <c r="L438" s="73"/>
      <c r="M438" s="70" t="str">
        <f t="shared" si="3"/>
        <v>98 Days</v>
      </c>
      <c r="N438" s="70" t="str">
        <f>IF($A$3=" "," ", IFERROR( VLOOKUP($A438,'SUPPLIER DATA BASE'!$A$2:$O$936,11,0),""))</f>
        <v>-</v>
      </c>
      <c r="O438" s="70" t="str">
        <f>IF($A$3=" "," ", IFERROR( VLOOKUP($A438,'SUPPLIER DATA BASE'!$A$2:$O$936,12,0),""))</f>
        <v>-</v>
      </c>
      <c r="P438" s="70" t="str">
        <f>IF($A$3=" "," ", IFERROR( VLOOKUP($A438,'SUPPLIER DATA BASE'!$A$2:$O$936,13,0),""))</f>
        <v>-</v>
      </c>
      <c r="Q438" s="77"/>
      <c r="R438" s="73"/>
      <c r="S438" s="77"/>
      <c r="T438" s="70"/>
      <c r="U438" s="78"/>
      <c r="V438" s="70" t="str">
        <f t="shared" si="4"/>
        <v>FY 25-26</v>
      </c>
      <c r="W438" s="23"/>
      <c r="X438" s="23"/>
    </row>
    <row r="439">
      <c r="A439" s="70" t="s">
        <v>354</v>
      </c>
      <c r="B439" s="70" t="str">
        <f>IF($A$3=" "," ", IFERROR( VLOOKUP($A439,'SUPPLIER DATA BASE'!$A$2:$M$936,3,0),""))</f>
        <v>-</v>
      </c>
      <c r="C439" s="70" t="str">
        <f>IF($A$3=" "," ", IFERROR( VLOOKUP($A439,'SUPPLIER DATA BASE'!$A$2:$F$936,6,0),""))</f>
        <v>-</v>
      </c>
      <c r="D439" s="70" t="str">
        <f>IF($A$3=" "," ", IFERROR( VLOOKUP($A439,'SUPPLIER DATA BASE'!$A$2:$G$936,4,0),""))</f>
        <v>-</v>
      </c>
      <c r="E439" s="71" t="str">
        <f>IF($A$3=" "," ", IFERROR( VLOOKUP($A439,'SUPPLIER DATA BASE'!$A$2:$H$936,5,0),""))</f>
        <v>-</v>
      </c>
      <c r="F439" s="72" t="s">
        <v>1678</v>
      </c>
      <c r="G439" s="73">
        <v>46090.0</v>
      </c>
      <c r="H439" s="74">
        <v>5.0</v>
      </c>
      <c r="I439" s="75">
        <v>9040.25</v>
      </c>
      <c r="J439" s="76" t="s">
        <v>1679</v>
      </c>
      <c r="K439" s="70" t="s">
        <v>349</v>
      </c>
      <c r="L439" s="73"/>
      <c r="M439" s="70" t="str">
        <f t="shared" si="3"/>
        <v>98 Days</v>
      </c>
      <c r="N439" s="70" t="str">
        <f>IF($A$3=" "," ", IFERROR( VLOOKUP($A439,'SUPPLIER DATA BASE'!$A$2:$O$936,11,0),""))</f>
        <v>-</v>
      </c>
      <c r="O439" s="70" t="str">
        <f>IF($A$3=" "," ", IFERROR( VLOOKUP($A439,'SUPPLIER DATA BASE'!$A$2:$O$936,12,0),""))</f>
        <v>-</v>
      </c>
      <c r="P439" s="70" t="str">
        <f>IF($A$3=" "," ", IFERROR( VLOOKUP($A439,'SUPPLIER DATA BASE'!$A$2:$O$936,13,0),""))</f>
        <v>-</v>
      </c>
      <c r="Q439" s="77"/>
      <c r="R439" s="73"/>
      <c r="S439" s="77"/>
      <c r="T439" s="70"/>
      <c r="U439" s="78"/>
      <c r="V439" s="70" t="str">
        <f t="shared" si="4"/>
        <v>FY 25-26</v>
      </c>
      <c r="W439" s="23"/>
      <c r="X439" s="23"/>
    </row>
    <row r="440">
      <c r="A440" s="70" t="s">
        <v>354</v>
      </c>
      <c r="B440" s="70" t="str">
        <f>IF($A$3=" "," ", IFERROR( VLOOKUP($A440,'SUPPLIER DATA BASE'!$A$2:$M$936,3,0),""))</f>
        <v>-</v>
      </c>
      <c r="C440" s="70" t="str">
        <f>IF($A$3=" "," ", IFERROR( VLOOKUP($A440,'SUPPLIER DATA BASE'!$A$2:$F$936,6,0),""))</f>
        <v>-</v>
      </c>
      <c r="D440" s="70" t="str">
        <f>IF($A$3=" "," ", IFERROR( VLOOKUP($A440,'SUPPLIER DATA BASE'!$A$2:$G$936,4,0),""))</f>
        <v>-</v>
      </c>
      <c r="E440" s="71" t="str">
        <f>IF($A$3=" "," ", IFERROR( VLOOKUP($A440,'SUPPLIER DATA BASE'!$A$2:$H$936,5,0),""))</f>
        <v>-</v>
      </c>
      <c r="F440" s="72" t="s">
        <v>1680</v>
      </c>
      <c r="G440" s="73">
        <v>46090.0</v>
      </c>
      <c r="H440" s="74">
        <v>28.0</v>
      </c>
      <c r="I440" s="75">
        <v>55175.91</v>
      </c>
      <c r="J440" s="76" t="s">
        <v>1681</v>
      </c>
      <c r="K440" s="70" t="s">
        <v>349</v>
      </c>
      <c r="L440" s="73"/>
      <c r="M440" s="70" t="str">
        <f t="shared" si="3"/>
        <v>98 Days</v>
      </c>
      <c r="N440" s="70" t="str">
        <f>IF($A$3=" "," ", IFERROR( VLOOKUP($A440,'SUPPLIER DATA BASE'!$A$2:$O$936,11,0),""))</f>
        <v>-</v>
      </c>
      <c r="O440" s="70" t="str">
        <f>IF($A$3=" "," ", IFERROR( VLOOKUP($A440,'SUPPLIER DATA BASE'!$A$2:$O$936,12,0),""))</f>
        <v>-</v>
      </c>
      <c r="P440" s="70" t="str">
        <f>IF($A$3=" "," ", IFERROR( VLOOKUP($A440,'SUPPLIER DATA BASE'!$A$2:$O$936,13,0),""))</f>
        <v>-</v>
      </c>
      <c r="Q440" s="77"/>
      <c r="R440" s="73"/>
      <c r="S440" s="77"/>
      <c r="T440" s="70"/>
      <c r="U440" s="78"/>
      <c r="V440" s="70" t="str">
        <f t="shared" si="4"/>
        <v>FY 25-26</v>
      </c>
      <c r="W440" s="23"/>
      <c r="X440" s="23"/>
    </row>
    <row r="441">
      <c r="A441" s="70" t="s">
        <v>354</v>
      </c>
      <c r="B441" s="70" t="str">
        <f>IF($A$3=" "," ", IFERROR( VLOOKUP($A441,'SUPPLIER DATA BASE'!$A$2:$M$936,3,0),""))</f>
        <v>-</v>
      </c>
      <c r="C441" s="70" t="str">
        <f>IF($A$3=" "," ", IFERROR( VLOOKUP($A441,'SUPPLIER DATA BASE'!$A$2:$F$936,6,0),""))</f>
        <v>-</v>
      </c>
      <c r="D441" s="70" t="str">
        <f>IF($A$3=" "," ", IFERROR( VLOOKUP($A441,'SUPPLIER DATA BASE'!$A$2:$G$936,4,0),""))</f>
        <v>-</v>
      </c>
      <c r="E441" s="71" t="str">
        <f>IF($A$3=" "," ", IFERROR( VLOOKUP($A441,'SUPPLIER DATA BASE'!$A$2:$H$936,5,0),""))</f>
        <v>-</v>
      </c>
      <c r="F441" s="72" t="s">
        <v>1682</v>
      </c>
      <c r="G441" s="73">
        <v>46090.0</v>
      </c>
      <c r="H441" s="74">
        <v>53.0</v>
      </c>
      <c r="I441" s="75">
        <v>76213.32</v>
      </c>
      <c r="J441" s="76" t="s">
        <v>1683</v>
      </c>
      <c r="K441" s="70" t="s">
        <v>349</v>
      </c>
      <c r="L441" s="73"/>
      <c r="M441" s="70" t="str">
        <f t="shared" si="3"/>
        <v>98 Days</v>
      </c>
      <c r="N441" s="70" t="str">
        <f>IF($A$3=" "," ", IFERROR( VLOOKUP($A441,'SUPPLIER DATA BASE'!$A$2:$O$936,11,0),""))</f>
        <v>-</v>
      </c>
      <c r="O441" s="70" t="str">
        <f>IF($A$3=" "," ", IFERROR( VLOOKUP($A441,'SUPPLIER DATA BASE'!$A$2:$O$936,12,0),""))</f>
        <v>-</v>
      </c>
      <c r="P441" s="70" t="str">
        <f>IF($A$3=" "," ", IFERROR( VLOOKUP($A441,'SUPPLIER DATA BASE'!$A$2:$O$936,13,0),""))</f>
        <v>-</v>
      </c>
      <c r="Q441" s="77"/>
      <c r="R441" s="73"/>
      <c r="S441" s="77"/>
      <c r="T441" s="70"/>
      <c r="U441" s="78"/>
      <c r="V441" s="70" t="str">
        <f t="shared" si="4"/>
        <v>FY 25-26</v>
      </c>
      <c r="W441" s="23"/>
      <c r="X441" s="23"/>
    </row>
    <row r="442">
      <c r="A442" s="70" t="s">
        <v>413</v>
      </c>
      <c r="B442" s="70" t="str">
        <f>IF($A$3=" "," ", IFERROR( VLOOKUP($A442,'SUPPLIER DATA BASE'!$A$2:$M$936,3,0),""))</f>
        <v>KILLER</v>
      </c>
      <c r="C442" s="70" t="str">
        <f>IF($A$3=" "," ", IFERROR( VLOOKUP($A442,'SUPPLIER DATA BASE'!$A$2:$F$936,6,0),""))</f>
        <v>-</v>
      </c>
      <c r="D442" s="70" t="str">
        <f>IF($A$3=" "," ", IFERROR( VLOOKUP($A442,'SUPPLIER DATA BASE'!$A$2:$G$936,4,0),""))</f>
        <v>NO</v>
      </c>
      <c r="E442" s="71" t="str">
        <f>IF($A$3=" "," ", IFERROR( VLOOKUP($A442,'SUPPLIER DATA BASE'!$A$2:$H$936,5,0),""))</f>
        <v>-</v>
      </c>
      <c r="F442" s="72" t="s">
        <v>1684</v>
      </c>
      <c r="G442" s="73">
        <v>46090.0</v>
      </c>
      <c r="H442" s="74">
        <v>223.0</v>
      </c>
      <c r="I442" s="75">
        <v>353835.0</v>
      </c>
      <c r="J442" s="76" t="s">
        <v>1685</v>
      </c>
      <c r="K442" s="70" t="s">
        <v>349</v>
      </c>
      <c r="L442" s="73"/>
      <c r="M442" s="70" t="str">
        <f t="shared" si="3"/>
        <v>98 Days</v>
      </c>
      <c r="N442" s="70" t="str">
        <f>IF($A$3=" "," ", IFERROR( VLOOKUP($A442,'SUPPLIER DATA BASE'!$A$2:$O$936,11,0),""))</f>
        <v>D D SALES CO</v>
      </c>
      <c r="O442" s="70" t="str">
        <f>IF($A$3=" "," ", IFERROR( VLOOKUP($A442,'SUPPLIER DATA BASE'!$A$2:$O$936,12,0),""))</f>
        <v>29205007835</v>
      </c>
      <c r="P442" s="70" t="str">
        <f>IF($A$3=" "," ", IFERROR( VLOOKUP($A442,'SUPPLIER DATA BASE'!$A$2:$O$936,13,0),""))</f>
        <v>ICIC0000292</v>
      </c>
      <c r="Q442" s="77"/>
      <c r="R442" s="73"/>
      <c r="S442" s="77"/>
      <c r="T442" s="70"/>
      <c r="U442" s="78"/>
      <c r="V442" s="70" t="str">
        <f t="shared" si="4"/>
        <v>FY 25-26</v>
      </c>
      <c r="W442" s="23"/>
      <c r="X442" s="23"/>
    </row>
    <row r="443">
      <c r="A443" s="70"/>
      <c r="B443" s="70" t="str">
        <f>IF($A$3=" "," ", IFERROR( VLOOKUP($A443,'SUPPLIER DATA BASE'!$A$2:$M$936,3,0),""))</f>
        <v/>
      </c>
      <c r="C443" s="70" t="str">
        <f>IF($A$3=" "," ", IFERROR( VLOOKUP($A443,'SUPPLIER DATA BASE'!$A$2:$F$936,6,0),""))</f>
        <v/>
      </c>
      <c r="D443" s="70" t="str">
        <f>IF($A$3=" "," ", IFERROR( VLOOKUP($A443,'SUPPLIER DATA BASE'!$A$2:$G$936,4,0),""))</f>
        <v/>
      </c>
      <c r="E443" s="71" t="str">
        <f>IF($A$3=" "," ", IFERROR( VLOOKUP($A443,'SUPPLIER DATA BASE'!$A$2:$H$936,5,0),""))</f>
        <v/>
      </c>
      <c r="F443" s="72" t="s">
        <v>1686</v>
      </c>
      <c r="G443" s="73">
        <v>46090.0</v>
      </c>
      <c r="H443" s="74">
        <v>52.0</v>
      </c>
      <c r="I443" s="75">
        <v>43227.0</v>
      </c>
      <c r="J443" s="76" t="s">
        <v>1687</v>
      </c>
      <c r="K443" s="70" t="s">
        <v>349</v>
      </c>
      <c r="L443" s="73"/>
      <c r="M443" s="70" t="str">
        <f t="shared" si="3"/>
        <v>98 Days</v>
      </c>
      <c r="N443" s="70" t="str">
        <f>IF($A$3=" "," ", IFERROR( VLOOKUP($A443,'SUPPLIER DATA BASE'!$A$2:$O$936,11,0),""))</f>
        <v/>
      </c>
      <c r="O443" s="70" t="str">
        <f>IF($A$3=" "," ", IFERROR( VLOOKUP($A443,'SUPPLIER DATA BASE'!$A$2:$O$936,12,0),""))</f>
        <v/>
      </c>
      <c r="P443" s="70" t="str">
        <f>IF($A$3=" "," ", IFERROR( VLOOKUP($A443,'SUPPLIER DATA BASE'!$A$2:$O$936,13,0),""))</f>
        <v/>
      </c>
      <c r="Q443" s="77"/>
      <c r="R443" s="73"/>
      <c r="S443" s="77"/>
      <c r="T443" s="70"/>
      <c r="U443" s="78"/>
      <c r="V443" s="70" t="str">
        <f t="shared" si="4"/>
        <v>FY 25-26</v>
      </c>
      <c r="W443" s="23"/>
      <c r="X443" s="23"/>
    </row>
    <row r="444">
      <c r="A444" s="70" t="s">
        <v>354</v>
      </c>
      <c r="B444" s="70" t="str">
        <f>IF($A$3=" "," ", IFERROR( VLOOKUP($A444,'SUPPLIER DATA BASE'!$A$2:$M$936,3,0),""))</f>
        <v>-</v>
      </c>
      <c r="C444" s="70" t="str">
        <f>IF($A$3=" "," ", IFERROR( VLOOKUP($A444,'SUPPLIER DATA BASE'!$A$2:$F$936,6,0),""))</f>
        <v>-</v>
      </c>
      <c r="D444" s="70" t="str">
        <f>IF($A$3=" "," ", IFERROR( VLOOKUP($A444,'SUPPLIER DATA BASE'!$A$2:$G$936,4,0),""))</f>
        <v>-</v>
      </c>
      <c r="E444" s="71" t="str">
        <f>IF($A$3=" "," ", IFERROR( VLOOKUP($A444,'SUPPLIER DATA BASE'!$A$2:$H$936,5,0),""))</f>
        <v>-</v>
      </c>
      <c r="F444" s="72" t="s">
        <v>1688</v>
      </c>
      <c r="G444" s="73">
        <v>46090.0</v>
      </c>
      <c r="H444" s="74">
        <v>4.0</v>
      </c>
      <c r="I444" s="75">
        <v>5920.76</v>
      </c>
      <c r="J444" s="76" t="s">
        <v>1689</v>
      </c>
      <c r="K444" s="70" t="s">
        <v>349</v>
      </c>
      <c r="L444" s="73"/>
      <c r="M444" s="70" t="str">
        <f t="shared" si="3"/>
        <v>98 Days</v>
      </c>
      <c r="N444" s="70" t="str">
        <f>IF($A$3=" "," ", IFERROR( VLOOKUP($A444,'SUPPLIER DATA BASE'!$A$2:$O$936,11,0),""))</f>
        <v>-</v>
      </c>
      <c r="O444" s="70" t="str">
        <f>IF($A$3=" "," ", IFERROR( VLOOKUP($A444,'SUPPLIER DATA BASE'!$A$2:$O$936,12,0),""))</f>
        <v>-</v>
      </c>
      <c r="P444" s="70" t="str">
        <f>IF($A$3=" "," ", IFERROR( VLOOKUP($A444,'SUPPLIER DATA BASE'!$A$2:$O$936,13,0),""))</f>
        <v>-</v>
      </c>
      <c r="Q444" s="77"/>
      <c r="R444" s="73"/>
      <c r="S444" s="77"/>
      <c r="T444" s="70"/>
      <c r="U444" s="78"/>
      <c r="V444" s="70" t="str">
        <f t="shared" si="4"/>
        <v>FY 25-26</v>
      </c>
      <c r="W444" s="23"/>
      <c r="X444" s="23"/>
    </row>
    <row r="445">
      <c r="A445" s="70" t="s">
        <v>354</v>
      </c>
      <c r="B445" s="70" t="str">
        <f>IF($A$3=" "," ", IFERROR( VLOOKUP($A445,'SUPPLIER DATA BASE'!$A$2:$M$936,3,0),""))</f>
        <v>-</v>
      </c>
      <c r="C445" s="70" t="str">
        <f>IF($A$3=" "," ", IFERROR( VLOOKUP($A445,'SUPPLIER DATA BASE'!$A$2:$F$936,6,0),""))</f>
        <v>-</v>
      </c>
      <c r="D445" s="70" t="str">
        <f>IF($A$3=" "," ", IFERROR( VLOOKUP($A445,'SUPPLIER DATA BASE'!$A$2:$G$936,4,0),""))</f>
        <v>-</v>
      </c>
      <c r="E445" s="71" t="str">
        <f>IF($A$3=" "," ", IFERROR( VLOOKUP($A445,'SUPPLIER DATA BASE'!$A$2:$H$936,5,0),""))</f>
        <v>-</v>
      </c>
      <c r="F445" s="72" t="s">
        <v>1690</v>
      </c>
      <c r="G445" s="73">
        <v>46090.0</v>
      </c>
      <c r="H445" s="74">
        <v>11.0</v>
      </c>
      <c r="I445" s="75">
        <v>20433.83</v>
      </c>
      <c r="J445" s="76" t="s">
        <v>1691</v>
      </c>
      <c r="K445" s="70" t="s">
        <v>349</v>
      </c>
      <c r="L445" s="73"/>
      <c r="M445" s="70" t="str">
        <f t="shared" si="3"/>
        <v>98 Days</v>
      </c>
      <c r="N445" s="70" t="str">
        <f>IF($A$3=" "," ", IFERROR( VLOOKUP($A445,'SUPPLIER DATA BASE'!$A$2:$O$936,11,0),""))</f>
        <v>-</v>
      </c>
      <c r="O445" s="70" t="str">
        <f>IF($A$3=" "," ", IFERROR( VLOOKUP($A445,'SUPPLIER DATA BASE'!$A$2:$O$936,12,0),""))</f>
        <v>-</v>
      </c>
      <c r="P445" s="70" t="str">
        <f>IF($A$3=" "," ", IFERROR( VLOOKUP($A445,'SUPPLIER DATA BASE'!$A$2:$O$936,13,0),""))</f>
        <v>-</v>
      </c>
      <c r="Q445" s="77"/>
      <c r="R445" s="73"/>
      <c r="S445" s="77"/>
      <c r="T445" s="70"/>
      <c r="U445" s="78"/>
      <c r="V445" s="70" t="str">
        <f t="shared" si="4"/>
        <v>FY 25-26</v>
      </c>
      <c r="W445" s="23"/>
      <c r="X445" s="23"/>
    </row>
    <row r="446">
      <c r="A446" s="70" t="s">
        <v>354</v>
      </c>
      <c r="B446" s="70" t="str">
        <f>IF($A$3=" "," ", IFERROR( VLOOKUP($A446,'SUPPLIER DATA BASE'!$A$2:$M$936,3,0),""))</f>
        <v>-</v>
      </c>
      <c r="C446" s="70" t="str">
        <f>IF($A$3=" "," ", IFERROR( VLOOKUP($A446,'SUPPLIER DATA BASE'!$A$2:$F$936,6,0),""))</f>
        <v>-</v>
      </c>
      <c r="D446" s="70" t="str">
        <f>IF($A$3=" "," ", IFERROR( VLOOKUP($A446,'SUPPLIER DATA BASE'!$A$2:$G$936,4,0),""))</f>
        <v>-</v>
      </c>
      <c r="E446" s="71" t="str">
        <f>IF($A$3=" "," ", IFERROR( VLOOKUP($A446,'SUPPLIER DATA BASE'!$A$2:$H$936,5,0),""))</f>
        <v>-</v>
      </c>
      <c r="F446" s="72" t="s">
        <v>1692</v>
      </c>
      <c r="G446" s="73">
        <v>46090.0</v>
      </c>
      <c r="H446" s="74">
        <v>79.0</v>
      </c>
      <c r="I446" s="75">
        <v>123752.35</v>
      </c>
      <c r="J446" s="76" t="s">
        <v>1693</v>
      </c>
      <c r="K446" s="70" t="s">
        <v>349</v>
      </c>
      <c r="L446" s="73"/>
      <c r="M446" s="70" t="str">
        <f t="shared" si="3"/>
        <v>98 Days</v>
      </c>
      <c r="N446" s="70" t="str">
        <f>IF($A$3=" "," ", IFERROR( VLOOKUP($A446,'SUPPLIER DATA BASE'!$A$2:$O$936,11,0),""))</f>
        <v>-</v>
      </c>
      <c r="O446" s="70" t="str">
        <f>IF($A$3=" "," ", IFERROR( VLOOKUP($A446,'SUPPLIER DATA BASE'!$A$2:$O$936,12,0),""))</f>
        <v>-</v>
      </c>
      <c r="P446" s="70" t="str">
        <f>IF($A$3=" "," ", IFERROR( VLOOKUP($A446,'SUPPLIER DATA BASE'!$A$2:$O$936,13,0),""))</f>
        <v>-</v>
      </c>
      <c r="Q446" s="77"/>
      <c r="R446" s="73"/>
      <c r="S446" s="77"/>
      <c r="T446" s="70"/>
      <c r="U446" s="78"/>
      <c r="V446" s="70" t="str">
        <f t="shared" si="4"/>
        <v>FY 25-26</v>
      </c>
      <c r="W446" s="23"/>
      <c r="X446" s="23"/>
    </row>
    <row r="447">
      <c r="A447" s="70" t="s">
        <v>354</v>
      </c>
      <c r="B447" s="70" t="str">
        <f>IF($A$3=" "," ", IFERROR( VLOOKUP($A447,'SUPPLIER DATA BASE'!$A$2:$M$936,3,0),""))</f>
        <v>-</v>
      </c>
      <c r="C447" s="70" t="str">
        <f>IF($A$3=" "," ", IFERROR( VLOOKUP($A447,'SUPPLIER DATA BASE'!$A$2:$F$936,6,0),""))</f>
        <v>-</v>
      </c>
      <c r="D447" s="70" t="str">
        <f>IF($A$3=" "," ", IFERROR( VLOOKUP($A447,'SUPPLIER DATA BASE'!$A$2:$G$936,4,0),""))</f>
        <v>-</v>
      </c>
      <c r="E447" s="71" t="str">
        <f>IF($A$3=" "," ", IFERROR( VLOOKUP($A447,'SUPPLIER DATA BASE'!$A$2:$H$936,5,0),""))</f>
        <v>-</v>
      </c>
      <c r="F447" s="72" t="s">
        <v>1694</v>
      </c>
      <c r="G447" s="73">
        <v>46090.0</v>
      </c>
      <c r="H447" s="74">
        <v>54.0</v>
      </c>
      <c r="I447" s="75">
        <v>94017.1</v>
      </c>
      <c r="J447" s="76" t="s">
        <v>1695</v>
      </c>
      <c r="K447" s="70" t="s">
        <v>349</v>
      </c>
      <c r="L447" s="73"/>
      <c r="M447" s="70" t="str">
        <f t="shared" si="3"/>
        <v>98 Days</v>
      </c>
      <c r="N447" s="70" t="str">
        <f>IF($A$3=" "," ", IFERROR( VLOOKUP($A447,'SUPPLIER DATA BASE'!$A$2:$O$936,11,0),""))</f>
        <v>-</v>
      </c>
      <c r="O447" s="70" t="str">
        <f>IF($A$3=" "," ", IFERROR( VLOOKUP($A447,'SUPPLIER DATA BASE'!$A$2:$O$936,12,0),""))</f>
        <v>-</v>
      </c>
      <c r="P447" s="70" t="str">
        <f>IF($A$3=" "," ", IFERROR( VLOOKUP($A447,'SUPPLIER DATA BASE'!$A$2:$O$936,13,0),""))</f>
        <v>-</v>
      </c>
      <c r="Q447" s="77"/>
      <c r="R447" s="73"/>
      <c r="S447" s="77"/>
      <c r="T447" s="70"/>
      <c r="U447" s="78"/>
      <c r="V447" s="70" t="str">
        <f t="shared" si="4"/>
        <v>FY 25-26</v>
      </c>
      <c r="W447" s="23"/>
      <c r="X447" s="23"/>
    </row>
    <row r="448">
      <c r="A448" s="70" t="s">
        <v>354</v>
      </c>
      <c r="B448" s="70" t="str">
        <f>IF($A$3=" "," ", IFERROR( VLOOKUP($A448,'SUPPLIER DATA BASE'!$A$2:$M$936,3,0),""))</f>
        <v>-</v>
      </c>
      <c r="C448" s="70" t="str">
        <f>IF($A$3=" "," ", IFERROR( VLOOKUP($A448,'SUPPLIER DATA BASE'!$A$2:$F$936,6,0),""))</f>
        <v>-</v>
      </c>
      <c r="D448" s="70" t="str">
        <f>IF($A$3=" "," ", IFERROR( VLOOKUP($A448,'SUPPLIER DATA BASE'!$A$2:$G$936,4,0),""))</f>
        <v>-</v>
      </c>
      <c r="E448" s="71" t="str">
        <f>IF($A$3=" "," ", IFERROR( VLOOKUP($A448,'SUPPLIER DATA BASE'!$A$2:$H$936,5,0),""))</f>
        <v>-</v>
      </c>
      <c r="F448" s="72" t="s">
        <v>1696</v>
      </c>
      <c r="G448" s="73">
        <v>46090.0</v>
      </c>
      <c r="H448" s="74">
        <v>4.0</v>
      </c>
      <c r="I448" s="75">
        <v>4929.25</v>
      </c>
      <c r="J448" s="76" t="s">
        <v>1697</v>
      </c>
      <c r="K448" s="70" t="s">
        <v>349</v>
      </c>
      <c r="L448" s="73"/>
      <c r="M448" s="70" t="str">
        <f t="shared" si="3"/>
        <v>98 Days</v>
      </c>
      <c r="N448" s="70" t="str">
        <f>IF($A$3=" "," ", IFERROR( VLOOKUP($A448,'SUPPLIER DATA BASE'!$A$2:$O$936,11,0),""))</f>
        <v>-</v>
      </c>
      <c r="O448" s="70" t="str">
        <f>IF($A$3=" "," ", IFERROR( VLOOKUP($A448,'SUPPLIER DATA BASE'!$A$2:$O$936,12,0),""))</f>
        <v>-</v>
      </c>
      <c r="P448" s="70" t="str">
        <f>IF($A$3=" "," ", IFERROR( VLOOKUP($A448,'SUPPLIER DATA BASE'!$A$2:$O$936,13,0),""))</f>
        <v>-</v>
      </c>
      <c r="Q448" s="77"/>
      <c r="R448" s="73"/>
      <c r="S448" s="77"/>
      <c r="T448" s="70"/>
      <c r="U448" s="78"/>
      <c r="V448" s="70" t="str">
        <f t="shared" si="4"/>
        <v>FY 25-26</v>
      </c>
      <c r="W448" s="23"/>
      <c r="X448" s="23"/>
    </row>
    <row r="449">
      <c r="A449" s="70" t="s">
        <v>354</v>
      </c>
      <c r="B449" s="70" t="str">
        <f>IF($A$3=" "," ", IFERROR( VLOOKUP($A449,'SUPPLIER DATA BASE'!$A$2:$M$936,3,0),""))</f>
        <v>-</v>
      </c>
      <c r="C449" s="70" t="str">
        <f>IF($A$3=" "," ", IFERROR( VLOOKUP($A449,'SUPPLIER DATA BASE'!$A$2:$F$936,6,0),""))</f>
        <v>-</v>
      </c>
      <c r="D449" s="70" t="str">
        <f>IF($A$3=" "," ", IFERROR( VLOOKUP($A449,'SUPPLIER DATA BASE'!$A$2:$G$936,4,0),""))</f>
        <v>-</v>
      </c>
      <c r="E449" s="71" t="str">
        <f>IF($A$3=" "," ", IFERROR( VLOOKUP($A449,'SUPPLIER DATA BASE'!$A$2:$H$936,5,0),""))</f>
        <v>-</v>
      </c>
      <c r="F449" s="72" t="s">
        <v>1698</v>
      </c>
      <c r="G449" s="73">
        <v>46090.0</v>
      </c>
      <c r="H449" s="74">
        <v>8.0</v>
      </c>
      <c r="I449" s="75">
        <v>10188.42</v>
      </c>
      <c r="J449" s="76" t="s">
        <v>1699</v>
      </c>
      <c r="K449" s="70" t="s">
        <v>349</v>
      </c>
      <c r="L449" s="73"/>
      <c r="M449" s="70" t="str">
        <f t="shared" si="3"/>
        <v>98 Days</v>
      </c>
      <c r="N449" s="70" t="str">
        <f>IF($A$3=" "," ", IFERROR( VLOOKUP($A449,'SUPPLIER DATA BASE'!$A$2:$O$936,11,0),""))</f>
        <v>-</v>
      </c>
      <c r="O449" s="70" t="str">
        <f>IF($A$3=" "," ", IFERROR( VLOOKUP($A449,'SUPPLIER DATA BASE'!$A$2:$O$936,12,0),""))</f>
        <v>-</v>
      </c>
      <c r="P449" s="70" t="str">
        <f>IF($A$3=" "," ", IFERROR( VLOOKUP($A449,'SUPPLIER DATA BASE'!$A$2:$O$936,13,0),""))</f>
        <v>-</v>
      </c>
      <c r="Q449" s="77"/>
      <c r="R449" s="73"/>
      <c r="S449" s="77"/>
      <c r="T449" s="70"/>
      <c r="U449" s="78"/>
      <c r="V449" s="70" t="str">
        <f t="shared" si="4"/>
        <v>FY 25-26</v>
      </c>
      <c r="W449" s="23"/>
      <c r="X449" s="23"/>
    </row>
    <row r="450">
      <c r="A450" s="70" t="s">
        <v>354</v>
      </c>
      <c r="B450" s="70" t="str">
        <f>IF($A$3=" "," ", IFERROR( VLOOKUP($A450,'SUPPLIER DATA BASE'!$A$2:$M$936,3,0),""))</f>
        <v>-</v>
      </c>
      <c r="C450" s="70" t="str">
        <f>IF($A$3=" "," ", IFERROR( VLOOKUP($A450,'SUPPLIER DATA BASE'!$A$2:$F$936,6,0),""))</f>
        <v>-</v>
      </c>
      <c r="D450" s="70" t="str">
        <f>IF($A$3=" "," ", IFERROR( VLOOKUP($A450,'SUPPLIER DATA BASE'!$A$2:$G$936,4,0),""))</f>
        <v>-</v>
      </c>
      <c r="E450" s="71" t="str">
        <f>IF($A$3=" "," ", IFERROR( VLOOKUP($A450,'SUPPLIER DATA BASE'!$A$2:$H$936,5,0),""))</f>
        <v>-</v>
      </c>
      <c r="F450" s="72" t="s">
        <v>1700</v>
      </c>
      <c r="G450" s="73">
        <v>46090.0</v>
      </c>
      <c r="H450" s="74">
        <v>5.0</v>
      </c>
      <c r="I450" s="88">
        <v>6884.34</v>
      </c>
      <c r="J450" s="76" t="s">
        <v>1701</v>
      </c>
      <c r="K450" s="70" t="s">
        <v>349</v>
      </c>
      <c r="L450" s="73"/>
      <c r="M450" s="70" t="str">
        <f t="shared" si="3"/>
        <v>98 Days</v>
      </c>
      <c r="N450" s="70" t="str">
        <f>IF($A$3=" "," ", IFERROR( VLOOKUP($A450,'SUPPLIER DATA BASE'!$A$2:$O$936,11,0),""))</f>
        <v>-</v>
      </c>
      <c r="O450" s="70" t="str">
        <f>IF($A$3=" "," ", IFERROR( VLOOKUP($A450,'SUPPLIER DATA BASE'!$A$2:$O$936,12,0),""))</f>
        <v>-</v>
      </c>
      <c r="P450" s="70" t="str">
        <f>IF($A$3=" "," ", IFERROR( VLOOKUP($A450,'SUPPLIER DATA BASE'!$A$2:$O$936,13,0),""))</f>
        <v>-</v>
      </c>
      <c r="Q450" s="77"/>
      <c r="R450" s="73"/>
      <c r="S450" s="77"/>
      <c r="T450" s="70"/>
      <c r="U450" s="78"/>
      <c r="V450" s="70" t="str">
        <f t="shared" si="4"/>
        <v>FY 25-26</v>
      </c>
      <c r="W450" s="23"/>
      <c r="X450" s="23"/>
    </row>
    <row r="451">
      <c r="A451" s="70" t="s">
        <v>354</v>
      </c>
      <c r="B451" s="70" t="str">
        <f>IF($A$3=" "," ", IFERROR( VLOOKUP($A451,'SUPPLIER DATA BASE'!$A$2:$M$936,3,0),""))</f>
        <v>-</v>
      </c>
      <c r="C451" s="70" t="str">
        <f>IF($A$3=" "," ", IFERROR( VLOOKUP($A451,'SUPPLIER DATA BASE'!$A$2:$F$936,6,0),""))</f>
        <v>-</v>
      </c>
      <c r="D451" s="70" t="str">
        <f>IF($A$3=" "," ", IFERROR( VLOOKUP($A451,'SUPPLIER DATA BASE'!$A$2:$G$936,4,0),""))</f>
        <v>-</v>
      </c>
      <c r="E451" s="71" t="str">
        <f>IF($A$3=" "," ", IFERROR( VLOOKUP($A451,'SUPPLIER DATA BASE'!$A$2:$H$936,5,0),""))</f>
        <v>-</v>
      </c>
      <c r="F451" s="72" t="s">
        <v>1702</v>
      </c>
      <c r="G451" s="73">
        <v>46090.0</v>
      </c>
      <c r="H451" s="74">
        <v>11.0</v>
      </c>
      <c r="I451" s="88">
        <v>20396.78</v>
      </c>
      <c r="J451" s="76" t="s">
        <v>1703</v>
      </c>
      <c r="K451" s="70" t="s">
        <v>349</v>
      </c>
      <c r="L451" s="73"/>
      <c r="M451" s="70" t="str">
        <f t="shared" si="3"/>
        <v>98 Days</v>
      </c>
      <c r="N451" s="70" t="str">
        <f>IF($A$3=" "," ", IFERROR( VLOOKUP($A451,'SUPPLIER DATA BASE'!$A$2:$O$936,11,0),""))</f>
        <v>-</v>
      </c>
      <c r="O451" s="70" t="str">
        <f>IF($A$3=" "," ", IFERROR( VLOOKUP($A451,'SUPPLIER DATA BASE'!$A$2:$O$936,12,0),""))</f>
        <v>-</v>
      </c>
      <c r="P451" s="70" t="str">
        <f>IF($A$3=" "," ", IFERROR( VLOOKUP($A451,'SUPPLIER DATA BASE'!$A$2:$O$936,13,0),""))</f>
        <v>-</v>
      </c>
      <c r="Q451" s="77"/>
      <c r="R451" s="73"/>
      <c r="S451" s="77"/>
      <c r="T451" s="70"/>
      <c r="U451" s="78"/>
      <c r="V451" s="70" t="str">
        <f t="shared" si="4"/>
        <v>FY 25-26</v>
      </c>
      <c r="W451" s="23"/>
      <c r="X451" s="23"/>
    </row>
    <row r="452">
      <c r="A452" s="70"/>
      <c r="B452" s="70" t="str">
        <f>IF($A$3=" "," ", IFERROR( VLOOKUP($A452,'SUPPLIER DATA BASE'!$A$2:$M$936,3,0),""))</f>
        <v/>
      </c>
      <c r="C452" s="70" t="str">
        <f>IF($A$3=" "," ", IFERROR( VLOOKUP($A452,'SUPPLIER DATA BASE'!$A$2:$F$936,6,0),""))</f>
        <v/>
      </c>
      <c r="D452" s="70" t="str">
        <f>IF($A$3=" "," ", IFERROR( VLOOKUP($A452,'SUPPLIER DATA BASE'!$A$2:$G$936,4,0),""))</f>
        <v/>
      </c>
      <c r="E452" s="71" t="str">
        <f>IF($A$3=" "," ", IFERROR( VLOOKUP($A452,'SUPPLIER DATA BASE'!$A$2:$H$936,5,0),""))</f>
        <v/>
      </c>
      <c r="F452" s="72" t="s">
        <v>1704</v>
      </c>
      <c r="G452" s="73">
        <v>46090.0</v>
      </c>
      <c r="H452" s="74">
        <v>13.0</v>
      </c>
      <c r="I452" s="75">
        <v>29699.0</v>
      </c>
      <c r="J452" s="76" t="s">
        <v>1705</v>
      </c>
      <c r="K452" s="70" t="s">
        <v>349</v>
      </c>
      <c r="L452" s="73"/>
      <c r="M452" s="70" t="str">
        <f t="shared" si="3"/>
        <v>98 Days</v>
      </c>
      <c r="N452" s="70" t="str">
        <f>IF($A$3=" "," ", IFERROR( VLOOKUP($A452,'SUPPLIER DATA BASE'!$A$2:$O$936,11,0),""))</f>
        <v/>
      </c>
      <c r="O452" s="70" t="str">
        <f>IF($A$3=" "," ", IFERROR( VLOOKUP($A452,'SUPPLIER DATA BASE'!$A$2:$O$936,12,0),""))</f>
        <v/>
      </c>
      <c r="P452" s="70" t="str">
        <f>IF($A$3=" "," ", IFERROR( VLOOKUP($A452,'SUPPLIER DATA BASE'!$A$2:$O$936,13,0),""))</f>
        <v/>
      </c>
      <c r="Q452" s="77"/>
      <c r="R452" s="73"/>
      <c r="S452" s="77"/>
      <c r="T452" s="70"/>
      <c r="U452" s="78"/>
      <c r="V452" s="70" t="str">
        <f t="shared" si="4"/>
        <v>FY 25-26</v>
      </c>
      <c r="W452" s="23"/>
      <c r="X452" s="23"/>
    </row>
    <row r="453">
      <c r="A453" s="70" t="s">
        <v>453</v>
      </c>
      <c r="B453" s="70" t="str">
        <f>IF($A$3=" "," ", IFERROR( VLOOKUP($A453,'SUPPLIER DATA BASE'!$A$2:$M$936,3,0),""))</f>
        <v>FS-DEO</v>
      </c>
      <c r="C453" s="70" t="str">
        <f>IF($A$3=" "," ", IFERROR( VLOOKUP($A453,'SUPPLIER DATA BASE'!$A$2:$F$936,6,0),""))</f>
        <v>-</v>
      </c>
      <c r="D453" s="70" t="str">
        <f>IF($A$3=" "," ", IFERROR( VLOOKUP($A453,'SUPPLIER DATA BASE'!$A$2:$G$936,4,0),""))</f>
        <v>-</v>
      </c>
      <c r="E453" s="71" t="str">
        <f>IF($A$3=" "," ", IFERROR( VLOOKUP($A453,'SUPPLIER DATA BASE'!$A$2:$H$936,5,0),""))</f>
        <v>-</v>
      </c>
      <c r="F453" s="72" t="s">
        <v>1706</v>
      </c>
      <c r="G453" s="73">
        <v>46091.0</v>
      </c>
      <c r="H453" s="74">
        <v>985.0</v>
      </c>
      <c r="I453" s="75">
        <v>216430.6</v>
      </c>
      <c r="J453" s="76" t="s">
        <v>1707</v>
      </c>
      <c r="K453" s="70" t="s">
        <v>349</v>
      </c>
      <c r="L453" s="70" t="s">
        <v>349</v>
      </c>
      <c r="M453" s="70" t="str">
        <f t="shared" si="3"/>
        <v>97 Days</v>
      </c>
      <c r="N453" s="70" t="str">
        <f>IF($A$3=" "," ", IFERROR( VLOOKUP($A453,'SUPPLIER DATA BASE'!$A$2:$O$936,11,0),""))</f>
        <v>-</v>
      </c>
      <c r="O453" s="70" t="str">
        <f>IF($A$3=" "," ", IFERROR( VLOOKUP($A453,'SUPPLIER DATA BASE'!$A$2:$O$936,12,0),""))</f>
        <v>-</v>
      </c>
      <c r="P453" s="70" t="str">
        <f>IF($A$3=" "," ", IFERROR( VLOOKUP($A453,'SUPPLIER DATA BASE'!$A$2:$O$936,13,0),""))</f>
        <v>-</v>
      </c>
      <c r="Q453" s="77"/>
      <c r="R453" s="73"/>
      <c r="S453" s="77"/>
      <c r="T453" s="70"/>
      <c r="U453" s="78"/>
      <c r="V453" s="70" t="str">
        <f t="shared" si="4"/>
        <v>FY 25-26</v>
      </c>
      <c r="W453" s="23"/>
      <c r="X453" s="23"/>
    </row>
    <row r="454">
      <c r="A454" s="70" t="s">
        <v>799</v>
      </c>
      <c r="B454" s="70" t="str">
        <f>IF($A$3=" "," ", IFERROR( VLOOKUP($A454,'SUPPLIER DATA BASE'!$A$2:$M$936,3,0),""))</f>
        <v>-</v>
      </c>
      <c r="C454" s="70" t="str">
        <f>IF($A$3=" "," ", IFERROR( VLOOKUP($A454,'SUPPLIER DATA BASE'!$A$2:$F$936,6,0),""))</f>
        <v>-</v>
      </c>
      <c r="D454" s="70" t="str">
        <f>IF($A$3=" "," ", IFERROR( VLOOKUP($A454,'SUPPLIER DATA BASE'!$A$2:$G$936,4,0),""))</f>
        <v>-</v>
      </c>
      <c r="E454" s="71" t="str">
        <f>IF($A$3=" "," ", IFERROR( VLOOKUP($A454,'SUPPLIER DATA BASE'!$A$2:$H$936,5,0),""))</f>
        <v>-</v>
      </c>
      <c r="F454" s="72" t="s">
        <v>1708</v>
      </c>
      <c r="G454" s="73">
        <v>46091.0</v>
      </c>
      <c r="H454" s="74">
        <v>494.0</v>
      </c>
      <c r="I454" s="75">
        <v>655382.0</v>
      </c>
      <c r="J454" s="76" t="s">
        <v>1709</v>
      </c>
      <c r="K454" s="70" t="s">
        <v>349</v>
      </c>
      <c r="L454" s="70" t="s">
        <v>349</v>
      </c>
      <c r="M454" s="70" t="str">
        <f t="shared" si="3"/>
        <v>97 Days</v>
      </c>
      <c r="N454" s="70" t="str">
        <f>IF($A$3=" "," ", IFERROR( VLOOKUP($A454,'SUPPLIER DATA BASE'!$A$2:$O$936,11,0),""))</f>
        <v>VISHAL MARKETING &amp; CO.</v>
      </c>
      <c r="O454" s="70" t="str">
        <f>IF($A$3=" "," ", IFERROR( VLOOKUP($A454,'SUPPLIER DATA BASE'!$A$2:$O$936,12,0),""))</f>
        <v>1091008700001025</v>
      </c>
      <c r="P454" s="70" t="str">
        <f>IF($A$3=" "," ", IFERROR( VLOOKUP($A454,'SUPPLIER DATA BASE'!$A$2:$O$936,13,0),""))</f>
        <v>PUNB0109100</v>
      </c>
      <c r="Q454" s="77"/>
      <c r="R454" s="73"/>
      <c r="S454" s="77"/>
      <c r="T454" s="70"/>
      <c r="U454" s="78"/>
      <c r="V454" s="70" t="str">
        <f t="shared" si="4"/>
        <v>FY 25-26</v>
      </c>
      <c r="W454" s="23"/>
      <c r="X454" s="23"/>
    </row>
    <row r="455">
      <c r="A455" s="70" t="s">
        <v>799</v>
      </c>
      <c r="B455" s="70" t="str">
        <f>IF($A$3=" "," ", IFERROR( VLOOKUP($A455,'SUPPLIER DATA BASE'!$A$2:$M$936,3,0),""))</f>
        <v>-</v>
      </c>
      <c r="C455" s="70" t="str">
        <f>IF($A$3=" "," ", IFERROR( VLOOKUP($A455,'SUPPLIER DATA BASE'!$A$2:$F$936,6,0),""))</f>
        <v>-</v>
      </c>
      <c r="D455" s="70" t="str">
        <f>IF($A$3=" "," ", IFERROR( VLOOKUP($A455,'SUPPLIER DATA BASE'!$A$2:$G$936,4,0),""))</f>
        <v>-</v>
      </c>
      <c r="E455" s="71" t="str">
        <f>IF($A$3=" "," ", IFERROR( VLOOKUP($A455,'SUPPLIER DATA BASE'!$A$2:$H$936,5,0),""))</f>
        <v>-</v>
      </c>
      <c r="F455" s="72" t="s">
        <v>1710</v>
      </c>
      <c r="G455" s="73">
        <v>46091.0</v>
      </c>
      <c r="H455" s="74">
        <v>95.0</v>
      </c>
      <c r="I455" s="75">
        <v>81699.0</v>
      </c>
      <c r="J455" s="76" t="s">
        <v>1711</v>
      </c>
      <c r="K455" s="70" t="s">
        <v>349</v>
      </c>
      <c r="L455" s="70" t="s">
        <v>349</v>
      </c>
      <c r="M455" s="70" t="str">
        <f t="shared" si="3"/>
        <v>97 Days</v>
      </c>
      <c r="N455" s="70" t="str">
        <f>IF($A$3=" "," ", IFERROR( VLOOKUP($A455,'SUPPLIER DATA BASE'!$A$2:$O$936,11,0),""))</f>
        <v>VISHAL MARKETING &amp; CO.</v>
      </c>
      <c r="O455" s="70" t="str">
        <f>IF($A$3=" "," ", IFERROR( VLOOKUP($A455,'SUPPLIER DATA BASE'!$A$2:$O$936,12,0),""))</f>
        <v>1091008700001025</v>
      </c>
      <c r="P455" s="70" t="str">
        <f>IF($A$3=" "," ", IFERROR( VLOOKUP($A455,'SUPPLIER DATA BASE'!$A$2:$O$936,13,0),""))</f>
        <v>PUNB0109100</v>
      </c>
      <c r="Q455" s="77"/>
      <c r="R455" s="73"/>
      <c r="S455" s="77"/>
      <c r="T455" s="70"/>
      <c r="U455" s="78"/>
      <c r="V455" s="70" t="str">
        <f t="shared" si="4"/>
        <v>FY 25-26</v>
      </c>
      <c r="W455" s="23"/>
      <c r="X455" s="23"/>
    </row>
    <row r="456">
      <c r="A456" s="70" t="s">
        <v>743</v>
      </c>
      <c r="B456" s="70" t="str">
        <f>IF($A$3=" "," ", IFERROR( VLOOKUP($A456,'SUPPLIER DATA BASE'!$A$2:$M$936,3,0),""))</f>
        <v>PETTY COAT</v>
      </c>
      <c r="C456" s="70" t="str">
        <f>IF($A$3=" "," ", IFERROR( VLOOKUP($A456,'SUPPLIER DATA BASE'!$A$2:$F$936,6,0),""))</f>
        <v>-</v>
      </c>
      <c r="D456" s="70" t="str">
        <f>IF($A$3=" "," ", IFERROR( VLOOKUP($A456,'SUPPLIER DATA BASE'!$A$2:$G$936,4,0),""))</f>
        <v>-</v>
      </c>
      <c r="E456" s="71" t="str">
        <f>IF($A$3=" "," ", IFERROR( VLOOKUP($A456,'SUPPLIER DATA BASE'!$A$2:$H$936,5,0),""))</f>
        <v>-</v>
      </c>
      <c r="F456" s="72">
        <v>707.0</v>
      </c>
      <c r="G456" s="73">
        <v>46091.0</v>
      </c>
      <c r="H456" s="74">
        <v>412.0</v>
      </c>
      <c r="I456" s="75">
        <v>47699.0</v>
      </c>
      <c r="J456" s="76" t="s">
        <v>1712</v>
      </c>
      <c r="K456" s="70" t="s">
        <v>349</v>
      </c>
      <c r="L456" s="70" t="s">
        <v>349</v>
      </c>
      <c r="M456" s="70" t="str">
        <f t="shared" si="3"/>
        <v>97 Days</v>
      </c>
      <c r="N456" s="70" t="str">
        <f>IF($A$3=" "," ", IFERROR( VLOOKUP($A456,'SUPPLIER DATA BASE'!$A$2:$O$936,11,0),""))</f>
        <v>SRI RADHEY MACHING CENTER</v>
      </c>
      <c r="O456" s="70" t="str">
        <f>IF($A$3=" "," ", IFERROR( VLOOKUP($A456,'SUPPLIER DATA BASE'!$A$2:$O$936,12,0),""))</f>
        <v>3626026563</v>
      </c>
      <c r="P456" s="70" t="str">
        <f>IF($A$3=" "," ", IFERROR( VLOOKUP($A456,'SUPPLIER DATA BASE'!$A$2:$O$936,13,0),""))</f>
        <v>CBIN0281393</v>
      </c>
      <c r="Q456" s="77"/>
      <c r="R456" s="73"/>
      <c r="S456" s="77"/>
      <c r="T456" s="70"/>
      <c r="U456" s="78"/>
      <c r="V456" s="70" t="str">
        <f t="shared" si="4"/>
        <v>FY 25-26</v>
      </c>
      <c r="W456" s="23"/>
      <c r="X456" s="23"/>
    </row>
    <row r="457">
      <c r="A457" s="70" t="s">
        <v>413</v>
      </c>
      <c r="B457" s="70" t="str">
        <f>IF($A$3=" "," ", IFERROR( VLOOKUP($A457,'SUPPLIER DATA BASE'!$A$2:$M$936,3,0),""))</f>
        <v>KILLER</v>
      </c>
      <c r="C457" s="70" t="str">
        <f>IF($A$3=" "," ", IFERROR( VLOOKUP($A457,'SUPPLIER DATA BASE'!$A$2:$F$936,6,0),""))</f>
        <v>-</v>
      </c>
      <c r="D457" s="70" t="str">
        <f>IF($A$3=" "," ", IFERROR( VLOOKUP($A457,'SUPPLIER DATA BASE'!$A$2:$G$936,4,0),""))</f>
        <v>NO</v>
      </c>
      <c r="E457" s="71" t="str">
        <f>IF($A$3=" "," ", IFERROR( VLOOKUP($A457,'SUPPLIER DATA BASE'!$A$2:$H$936,5,0),""))</f>
        <v>-</v>
      </c>
      <c r="F457" s="72" t="s">
        <v>1713</v>
      </c>
      <c r="G457" s="73">
        <v>46091.0</v>
      </c>
      <c r="H457" s="74">
        <v>84.0</v>
      </c>
      <c r="I457" s="75">
        <v>134849.0</v>
      </c>
      <c r="J457" s="76" t="s">
        <v>1714</v>
      </c>
      <c r="K457" s="70" t="s">
        <v>349</v>
      </c>
      <c r="L457" s="70" t="s">
        <v>349</v>
      </c>
      <c r="M457" s="70" t="str">
        <f t="shared" si="3"/>
        <v>97 Days</v>
      </c>
      <c r="N457" s="70" t="str">
        <f>IF($A$3=" "," ", IFERROR( VLOOKUP($A457,'SUPPLIER DATA BASE'!$A$2:$O$936,11,0),""))</f>
        <v>D D SALES CO</v>
      </c>
      <c r="O457" s="70" t="str">
        <f>IF($A$3=" "," ", IFERROR( VLOOKUP($A457,'SUPPLIER DATA BASE'!$A$2:$O$936,12,0),""))</f>
        <v>29205007835</v>
      </c>
      <c r="P457" s="70" t="str">
        <f>IF($A$3=" "," ", IFERROR( VLOOKUP($A457,'SUPPLIER DATA BASE'!$A$2:$O$936,13,0),""))</f>
        <v>ICIC0000292</v>
      </c>
      <c r="Q457" s="77"/>
      <c r="R457" s="73"/>
      <c r="S457" s="77"/>
      <c r="T457" s="70"/>
      <c r="U457" s="78"/>
      <c r="V457" s="70" t="str">
        <f t="shared" si="4"/>
        <v>FY 25-26</v>
      </c>
      <c r="W457" s="23"/>
      <c r="X457" s="23"/>
    </row>
    <row r="458">
      <c r="A458" s="70"/>
      <c r="B458" s="70" t="str">
        <f>IF($A$3=" "," ", IFERROR( VLOOKUP($A458,'SUPPLIER DATA BASE'!$A$2:$M$936,3,0),""))</f>
        <v/>
      </c>
      <c r="C458" s="70" t="str">
        <f>IF($A$3=" "," ", IFERROR( VLOOKUP($A458,'SUPPLIER DATA BASE'!$A$2:$F$936,6,0),""))</f>
        <v/>
      </c>
      <c r="D458" s="70" t="str">
        <f>IF($A$3=" "," ", IFERROR( VLOOKUP($A458,'SUPPLIER DATA BASE'!$A$2:$G$936,4,0),""))</f>
        <v/>
      </c>
      <c r="E458" s="71" t="str">
        <f>IF($A$3=" "," ", IFERROR( VLOOKUP($A458,'SUPPLIER DATA BASE'!$A$2:$H$936,5,0),""))</f>
        <v/>
      </c>
      <c r="F458" s="72">
        <v>1020.0</v>
      </c>
      <c r="G458" s="73">
        <v>46091.0</v>
      </c>
      <c r="H458" s="74">
        <v>116.0</v>
      </c>
      <c r="I458" s="75">
        <v>27531.0</v>
      </c>
      <c r="J458" s="76" t="s">
        <v>1715</v>
      </c>
      <c r="K458" s="70" t="s">
        <v>349</v>
      </c>
      <c r="L458" s="70" t="s">
        <v>349</v>
      </c>
      <c r="M458" s="70" t="str">
        <f t="shared" si="3"/>
        <v>97 Days</v>
      </c>
      <c r="N458" s="70" t="str">
        <f>IF($A$3=" "," ", IFERROR( VLOOKUP($A458,'SUPPLIER DATA BASE'!$A$2:$O$936,11,0),""))</f>
        <v/>
      </c>
      <c r="O458" s="70" t="str">
        <f>IF($A$3=" "," ", IFERROR( VLOOKUP($A458,'SUPPLIER DATA BASE'!$A$2:$O$936,12,0),""))</f>
        <v/>
      </c>
      <c r="P458" s="70" t="str">
        <f>IF($A$3=" "," ", IFERROR( VLOOKUP($A458,'SUPPLIER DATA BASE'!$A$2:$O$936,13,0),""))</f>
        <v/>
      </c>
      <c r="Q458" s="77"/>
      <c r="R458" s="73"/>
      <c r="S458" s="77"/>
      <c r="T458" s="70"/>
      <c r="U458" s="78"/>
      <c r="V458" s="70" t="str">
        <f t="shared" si="4"/>
        <v>FY 25-26</v>
      </c>
      <c r="W458" s="23"/>
      <c r="X458" s="23"/>
    </row>
    <row r="459">
      <c r="A459" s="70" t="s">
        <v>799</v>
      </c>
      <c r="B459" s="70" t="str">
        <f>IF($A$3=" "," ", IFERROR( VLOOKUP($A459,'SUPPLIER DATA BASE'!$A$2:$M$936,3,0),""))</f>
        <v>-</v>
      </c>
      <c r="C459" s="70" t="str">
        <f>IF($A$3=" "," ", IFERROR( VLOOKUP($A459,'SUPPLIER DATA BASE'!$A$2:$F$936,6,0),""))</f>
        <v>-</v>
      </c>
      <c r="D459" s="70" t="str">
        <f>IF($A$3=" "," ", IFERROR( VLOOKUP($A459,'SUPPLIER DATA BASE'!$A$2:$G$936,4,0),""))</f>
        <v>-</v>
      </c>
      <c r="E459" s="71" t="str">
        <f>IF($A$3=" "," ", IFERROR( VLOOKUP($A459,'SUPPLIER DATA BASE'!$A$2:$H$936,5,0),""))</f>
        <v>-</v>
      </c>
      <c r="F459" s="72" t="s">
        <v>1716</v>
      </c>
      <c r="G459" s="73">
        <v>46091.0</v>
      </c>
      <c r="H459" s="74">
        <v>102.0</v>
      </c>
      <c r="I459" s="75">
        <v>200894.0</v>
      </c>
      <c r="J459" s="76" t="s">
        <v>1717</v>
      </c>
      <c r="K459" s="70" t="s">
        <v>349</v>
      </c>
      <c r="L459" s="70" t="s">
        <v>349</v>
      </c>
      <c r="M459" s="70" t="str">
        <f t="shared" si="3"/>
        <v>97 Days</v>
      </c>
      <c r="N459" s="70" t="str">
        <f>IF($A$3=" "," ", IFERROR( VLOOKUP($A459,'SUPPLIER DATA BASE'!$A$2:$O$936,11,0),""))</f>
        <v>VISHAL MARKETING &amp; CO.</v>
      </c>
      <c r="O459" s="70" t="str">
        <f>IF($A$3=" "," ", IFERROR( VLOOKUP($A459,'SUPPLIER DATA BASE'!$A$2:$O$936,12,0),""))</f>
        <v>1091008700001025</v>
      </c>
      <c r="P459" s="70" t="str">
        <f>IF($A$3=" "," ", IFERROR( VLOOKUP($A459,'SUPPLIER DATA BASE'!$A$2:$O$936,13,0),""))</f>
        <v>PUNB0109100</v>
      </c>
      <c r="Q459" s="77"/>
      <c r="R459" s="73"/>
      <c r="S459" s="77"/>
      <c r="T459" s="70"/>
      <c r="U459" s="78"/>
      <c r="V459" s="70" t="str">
        <f t="shared" si="4"/>
        <v>FY 25-26</v>
      </c>
      <c r="W459" s="23"/>
      <c r="X459" s="23"/>
    </row>
    <row r="460">
      <c r="A460" s="70" t="s">
        <v>799</v>
      </c>
      <c r="B460" s="70" t="str">
        <f>IF($A$3=" "," ", IFERROR( VLOOKUP($A460,'SUPPLIER DATA BASE'!$A$2:$M$936,3,0),""))</f>
        <v>-</v>
      </c>
      <c r="C460" s="70" t="str">
        <f>IF($A$3=" "," ", IFERROR( VLOOKUP($A460,'SUPPLIER DATA BASE'!$A$2:$F$936,6,0),""))</f>
        <v>-</v>
      </c>
      <c r="D460" s="70" t="str">
        <f>IF($A$3=" "," ", IFERROR( VLOOKUP($A460,'SUPPLIER DATA BASE'!$A$2:$G$936,4,0),""))</f>
        <v>-</v>
      </c>
      <c r="E460" s="71" t="str">
        <f>IF($A$3=" "," ", IFERROR( VLOOKUP($A460,'SUPPLIER DATA BASE'!$A$2:$H$936,5,0),""))</f>
        <v>-</v>
      </c>
      <c r="F460" s="72" t="s">
        <v>1718</v>
      </c>
      <c r="G460" s="73">
        <v>46091.0</v>
      </c>
      <c r="H460" s="74">
        <v>63.0</v>
      </c>
      <c r="I460" s="75">
        <v>45611.0</v>
      </c>
      <c r="J460" s="76" t="s">
        <v>1719</v>
      </c>
      <c r="K460" s="70" t="s">
        <v>349</v>
      </c>
      <c r="L460" s="70" t="s">
        <v>349</v>
      </c>
      <c r="M460" s="70" t="str">
        <f t="shared" si="3"/>
        <v>97 Days</v>
      </c>
      <c r="N460" s="70" t="str">
        <f>IF($A$3=" "," ", IFERROR( VLOOKUP($A460,'SUPPLIER DATA BASE'!$A$2:$O$936,11,0),""))</f>
        <v>VISHAL MARKETING &amp; CO.</v>
      </c>
      <c r="O460" s="70" t="str">
        <f>IF($A$3=" "," ", IFERROR( VLOOKUP($A460,'SUPPLIER DATA BASE'!$A$2:$O$936,12,0),""))</f>
        <v>1091008700001025</v>
      </c>
      <c r="P460" s="70" t="str">
        <f>IF($A$3=" "," ", IFERROR( VLOOKUP($A460,'SUPPLIER DATA BASE'!$A$2:$O$936,13,0),""))</f>
        <v>PUNB0109100</v>
      </c>
      <c r="Q460" s="77"/>
      <c r="R460" s="73"/>
      <c r="S460" s="77"/>
      <c r="T460" s="70"/>
      <c r="U460" s="78"/>
      <c r="V460" s="70" t="str">
        <f t="shared" si="4"/>
        <v>FY 25-26</v>
      </c>
      <c r="W460" s="23"/>
      <c r="X460" s="23"/>
    </row>
    <row r="461">
      <c r="A461" s="70" t="s">
        <v>799</v>
      </c>
      <c r="B461" s="70" t="str">
        <f>IF($A$3=" "," ", IFERROR( VLOOKUP($A461,'SUPPLIER DATA BASE'!$A$2:$M$936,3,0),""))</f>
        <v>-</v>
      </c>
      <c r="C461" s="70" t="str">
        <f>IF($A$3=" "," ", IFERROR( VLOOKUP($A461,'SUPPLIER DATA BASE'!$A$2:$F$936,6,0),""))</f>
        <v>-</v>
      </c>
      <c r="D461" s="70" t="str">
        <f>IF($A$3=" "," ", IFERROR( VLOOKUP($A461,'SUPPLIER DATA BASE'!$A$2:$G$936,4,0),""))</f>
        <v>-</v>
      </c>
      <c r="E461" s="71" t="str">
        <f>IF($A$3=" "," ", IFERROR( VLOOKUP($A461,'SUPPLIER DATA BASE'!$A$2:$H$936,5,0),""))</f>
        <v>-</v>
      </c>
      <c r="F461" s="72" t="s">
        <v>1720</v>
      </c>
      <c r="G461" s="73">
        <v>46091.0</v>
      </c>
      <c r="H461" s="74">
        <v>57.0</v>
      </c>
      <c r="I461" s="75">
        <v>123856.0</v>
      </c>
      <c r="J461" s="76" t="s">
        <v>1721</v>
      </c>
      <c r="K461" s="70" t="s">
        <v>349</v>
      </c>
      <c r="L461" s="70" t="s">
        <v>349</v>
      </c>
      <c r="M461" s="70" t="str">
        <f t="shared" si="3"/>
        <v>97 Days</v>
      </c>
      <c r="N461" s="70" t="str">
        <f>IF($A$3=" "," ", IFERROR( VLOOKUP($A461,'SUPPLIER DATA BASE'!$A$2:$O$936,11,0),""))</f>
        <v>VISHAL MARKETING &amp; CO.</v>
      </c>
      <c r="O461" s="70" t="str">
        <f>IF($A$3=" "," ", IFERROR( VLOOKUP($A461,'SUPPLIER DATA BASE'!$A$2:$O$936,12,0),""))</f>
        <v>1091008700001025</v>
      </c>
      <c r="P461" s="70" t="str">
        <f>IF($A$3=" "," ", IFERROR( VLOOKUP($A461,'SUPPLIER DATA BASE'!$A$2:$O$936,13,0),""))</f>
        <v>PUNB0109100</v>
      </c>
      <c r="Q461" s="77"/>
      <c r="R461" s="73"/>
      <c r="S461" s="77"/>
      <c r="T461" s="70"/>
      <c r="U461" s="78"/>
      <c r="V461" s="70" t="str">
        <f t="shared" si="4"/>
        <v>FY 25-26</v>
      </c>
      <c r="W461" s="23"/>
      <c r="X461" s="23"/>
    </row>
    <row r="462">
      <c r="A462" s="70" t="s">
        <v>799</v>
      </c>
      <c r="B462" s="70" t="str">
        <f>IF($A$3=" "," ", IFERROR( VLOOKUP($A462,'SUPPLIER DATA BASE'!$A$2:$M$936,3,0),""))</f>
        <v>-</v>
      </c>
      <c r="C462" s="70" t="str">
        <f>IF($A$3=" "," ", IFERROR( VLOOKUP($A462,'SUPPLIER DATA BASE'!$A$2:$F$936,6,0),""))</f>
        <v>-</v>
      </c>
      <c r="D462" s="70" t="str">
        <f>IF($A$3=" "," ", IFERROR( VLOOKUP($A462,'SUPPLIER DATA BASE'!$A$2:$G$936,4,0),""))</f>
        <v>-</v>
      </c>
      <c r="E462" s="71" t="str">
        <f>IF($A$3=" "," ", IFERROR( VLOOKUP($A462,'SUPPLIER DATA BASE'!$A$2:$H$936,5,0),""))</f>
        <v>-</v>
      </c>
      <c r="F462" s="72" t="s">
        <v>1722</v>
      </c>
      <c r="G462" s="73">
        <v>46091.0</v>
      </c>
      <c r="H462" s="74">
        <v>60.0</v>
      </c>
      <c r="I462" s="75">
        <v>129872.0</v>
      </c>
      <c r="J462" s="76" t="s">
        <v>1723</v>
      </c>
      <c r="K462" s="70" t="s">
        <v>349</v>
      </c>
      <c r="L462" s="70" t="s">
        <v>349</v>
      </c>
      <c r="M462" s="70" t="str">
        <f t="shared" si="3"/>
        <v>97 Days</v>
      </c>
      <c r="N462" s="70" t="str">
        <f>IF($A$3=" "," ", IFERROR( VLOOKUP($A462,'SUPPLIER DATA BASE'!$A$2:$O$936,11,0),""))</f>
        <v>VISHAL MARKETING &amp; CO.</v>
      </c>
      <c r="O462" s="70" t="str">
        <f>IF($A$3=" "," ", IFERROR( VLOOKUP($A462,'SUPPLIER DATA BASE'!$A$2:$O$936,12,0),""))</f>
        <v>1091008700001025</v>
      </c>
      <c r="P462" s="70" t="str">
        <f>IF($A$3=" "," ", IFERROR( VLOOKUP($A462,'SUPPLIER DATA BASE'!$A$2:$O$936,13,0),""))</f>
        <v>PUNB0109100</v>
      </c>
      <c r="Q462" s="77"/>
      <c r="R462" s="73"/>
      <c r="S462" s="77"/>
      <c r="T462" s="70"/>
      <c r="U462" s="78"/>
      <c r="V462" s="70" t="str">
        <f t="shared" si="4"/>
        <v>FY 25-26</v>
      </c>
      <c r="W462" s="23"/>
      <c r="X462" s="23"/>
    </row>
    <row r="463">
      <c r="A463" s="70" t="s">
        <v>799</v>
      </c>
      <c r="B463" s="70" t="str">
        <f>IF($A$3=" "," ", IFERROR( VLOOKUP($A463,'SUPPLIER DATA BASE'!$A$2:$M$936,3,0),""))</f>
        <v>-</v>
      </c>
      <c r="C463" s="70" t="str">
        <f>IF($A$3=" "," ", IFERROR( VLOOKUP($A463,'SUPPLIER DATA BASE'!$A$2:$F$936,6,0),""))</f>
        <v>-</v>
      </c>
      <c r="D463" s="70" t="str">
        <f>IF($A$3=" "," ", IFERROR( VLOOKUP($A463,'SUPPLIER DATA BASE'!$A$2:$G$936,4,0),""))</f>
        <v>-</v>
      </c>
      <c r="E463" s="71" t="str">
        <f>IF($A$3=" "," ", IFERROR( VLOOKUP($A463,'SUPPLIER DATA BASE'!$A$2:$H$936,5,0),""))</f>
        <v>-</v>
      </c>
      <c r="F463" s="72" t="s">
        <v>1724</v>
      </c>
      <c r="G463" s="73">
        <v>46091.0</v>
      </c>
      <c r="H463" s="74">
        <v>106.0</v>
      </c>
      <c r="I463" s="75">
        <v>207716.0</v>
      </c>
      <c r="J463" s="76" t="s">
        <v>1725</v>
      </c>
      <c r="K463" s="70" t="s">
        <v>349</v>
      </c>
      <c r="L463" s="70" t="s">
        <v>349</v>
      </c>
      <c r="M463" s="70" t="str">
        <f t="shared" si="3"/>
        <v>97 Days</v>
      </c>
      <c r="N463" s="70" t="str">
        <f>IF($A$3=" "," ", IFERROR( VLOOKUP($A463,'SUPPLIER DATA BASE'!$A$2:$O$936,11,0),""))</f>
        <v>VISHAL MARKETING &amp; CO.</v>
      </c>
      <c r="O463" s="70" t="str">
        <f>IF($A$3=" "," ", IFERROR( VLOOKUP($A463,'SUPPLIER DATA BASE'!$A$2:$O$936,12,0),""))</f>
        <v>1091008700001025</v>
      </c>
      <c r="P463" s="70" t="str">
        <f>IF($A$3=" "," ", IFERROR( VLOOKUP($A463,'SUPPLIER DATA BASE'!$A$2:$O$936,13,0),""))</f>
        <v>PUNB0109100</v>
      </c>
      <c r="Q463" s="77"/>
      <c r="R463" s="73"/>
      <c r="S463" s="77"/>
      <c r="T463" s="70"/>
      <c r="U463" s="78"/>
      <c r="V463" s="70" t="str">
        <f t="shared" si="4"/>
        <v>FY 25-26</v>
      </c>
      <c r="W463" s="23"/>
      <c r="X463" s="23"/>
    </row>
    <row r="464">
      <c r="A464" s="70" t="s">
        <v>354</v>
      </c>
      <c r="B464" s="70" t="str">
        <f>IF($A$3=" "," ", IFERROR( VLOOKUP($A464,'SUPPLIER DATA BASE'!$A$2:$M$936,3,0),""))</f>
        <v>-</v>
      </c>
      <c r="C464" s="70" t="str">
        <f>IF($A$3=" "," ", IFERROR( VLOOKUP($A464,'SUPPLIER DATA BASE'!$A$2:$F$936,6,0),""))</f>
        <v>-</v>
      </c>
      <c r="D464" s="70" t="str">
        <f>IF($A$3=" "," ", IFERROR( VLOOKUP($A464,'SUPPLIER DATA BASE'!$A$2:$G$936,4,0),""))</f>
        <v>-</v>
      </c>
      <c r="E464" s="71" t="str">
        <f>IF($A$3=" "," ", IFERROR( VLOOKUP($A464,'SUPPLIER DATA BASE'!$A$2:$H$936,5,0),""))</f>
        <v>-</v>
      </c>
      <c r="F464" s="72" t="s">
        <v>1726</v>
      </c>
      <c r="G464" s="73">
        <v>46091.0</v>
      </c>
      <c r="H464" s="74">
        <v>17.0</v>
      </c>
      <c r="I464" s="75">
        <v>14784.42</v>
      </c>
      <c r="J464" s="76" t="s">
        <v>1727</v>
      </c>
      <c r="K464" s="70" t="s">
        <v>349</v>
      </c>
      <c r="L464" s="70" t="s">
        <v>349</v>
      </c>
      <c r="M464" s="70" t="str">
        <f t="shared" si="3"/>
        <v>97 Days</v>
      </c>
      <c r="N464" s="70" t="str">
        <f>IF($A$3=" "," ", IFERROR( VLOOKUP($A464,'SUPPLIER DATA BASE'!$A$2:$O$936,11,0),""))</f>
        <v>-</v>
      </c>
      <c r="O464" s="70" t="str">
        <f>IF($A$3=" "," ", IFERROR( VLOOKUP($A464,'SUPPLIER DATA BASE'!$A$2:$O$936,12,0),""))</f>
        <v>-</v>
      </c>
      <c r="P464" s="70" t="str">
        <f>IF($A$3=" "," ", IFERROR( VLOOKUP($A464,'SUPPLIER DATA BASE'!$A$2:$O$936,13,0),""))</f>
        <v>-</v>
      </c>
      <c r="Q464" s="77"/>
      <c r="R464" s="73"/>
      <c r="S464" s="77"/>
      <c r="T464" s="70"/>
      <c r="U464" s="78"/>
      <c r="V464" s="70" t="str">
        <f t="shared" si="4"/>
        <v>FY 25-26</v>
      </c>
      <c r="W464" s="23"/>
      <c r="X464" s="23"/>
    </row>
    <row r="465">
      <c r="A465" s="70" t="s">
        <v>354</v>
      </c>
      <c r="B465" s="70" t="str">
        <f>IF($A$3=" "," ", IFERROR( VLOOKUP($A465,'SUPPLIER DATA BASE'!$A$2:$M$936,3,0),""))</f>
        <v>-</v>
      </c>
      <c r="C465" s="70" t="str">
        <f>IF($A$3=" "," ", IFERROR( VLOOKUP($A465,'SUPPLIER DATA BASE'!$A$2:$F$936,6,0),""))</f>
        <v>-</v>
      </c>
      <c r="D465" s="70" t="str">
        <f>IF($A$3=" "," ", IFERROR( VLOOKUP($A465,'SUPPLIER DATA BASE'!$A$2:$G$936,4,0),""))</f>
        <v>-</v>
      </c>
      <c r="E465" s="71" t="str">
        <f>IF($A$3=" "," ", IFERROR( VLOOKUP($A465,'SUPPLIER DATA BASE'!$A$2:$H$936,5,0),""))</f>
        <v>-</v>
      </c>
      <c r="F465" s="72" t="s">
        <v>1728</v>
      </c>
      <c r="G465" s="73">
        <v>46091.0</v>
      </c>
      <c r="H465" s="74">
        <v>4.0</v>
      </c>
      <c r="I465" s="75">
        <v>9194.96</v>
      </c>
      <c r="J465" s="76" t="s">
        <v>1729</v>
      </c>
      <c r="K465" s="70" t="s">
        <v>349</v>
      </c>
      <c r="L465" s="70" t="s">
        <v>349</v>
      </c>
      <c r="M465" s="70" t="str">
        <f t="shared" si="3"/>
        <v>97 Days</v>
      </c>
      <c r="N465" s="70" t="str">
        <f>IF($A$3=" "," ", IFERROR( VLOOKUP($A465,'SUPPLIER DATA BASE'!$A$2:$O$936,11,0),""))</f>
        <v>-</v>
      </c>
      <c r="O465" s="70" t="str">
        <f>IF($A$3=" "," ", IFERROR( VLOOKUP($A465,'SUPPLIER DATA BASE'!$A$2:$O$936,12,0),""))</f>
        <v>-</v>
      </c>
      <c r="P465" s="70" t="str">
        <f>IF($A$3=" "," ", IFERROR( VLOOKUP($A465,'SUPPLIER DATA BASE'!$A$2:$O$936,13,0),""))</f>
        <v>-</v>
      </c>
      <c r="Q465" s="77"/>
      <c r="R465" s="73"/>
      <c r="S465" s="77"/>
      <c r="T465" s="70"/>
      <c r="U465" s="78"/>
      <c r="V465" s="70" t="str">
        <f t="shared" si="4"/>
        <v>FY 25-26</v>
      </c>
      <c r="W465" s="23"/>
      <c r="X465" s="23"/>
    </row>
    <row r="466">
      <c r="A466" s="70" t="s">
        <v>402</v>
      </c>
      <c r="B466" s="70" t="str">
        <f>IF($A$3=" "," ", IFERROR( VLOOKUP($A466,'SUPPLIER DATA BASE'!$A$2:$M$936,3,0),""))</f>
        <v>KHUSHAL/STATUS QUO</v>
      </c>
      <c r="C466" s="70" t="str">
        <f>IF($A$3=" "," ", IFERROR( VLOOKUP($A466,'SUPPLIER DATA BASE'!$A$2:$F$936,6,0),""))</f>
        <v>-</v>
      </c>
      <c r="D466" s="70" t="str">
        <f>IF($A$3=" "," ", IFERROR( VLOOKUP($A466,'SUPPLIER DATA BASE'!$A$2:$G$936,4,0),""))</f>
        <v>-</v>
      </c>
      <c r="E466" s="71" t="str">
        <f>IF($A$3=" "," ", IFERROR( VLOOKUP($A466,'SUPPLIER DATA BASE'!$A$2:$H$936,5,0),""))</f>
        <v>-</v>
      </c>
      <c r="F466" s="72" t="s">
        <v>1730</v>
      </c>
      <c r="G466" s="73">
        <v>46091.0</v>
      </c>
      <c r="H466" s="74">
        <v>17.0</v>
      </c>
      <c r="I466" s="75">
        <v>52209.0</v>
      </c>
      <c r="J466" s="76" t="s">
        <v>1731</v>
      </c>
      <c r="K466" s="70" t="s">
        <v>349</v>
      </c>
      <c r="L466" s="70" t="s">
        <v>349</v>
      </c>
      <c r="M466" s="70" t="str">
        <f t="shared" si="3"/>
        <v>97 Days</v>
      </c>
      <c r="N466" s="70" t="str">
        <f>IF($A$3=" "," ", IFERROR( VLOOKUP($A466,'SUPPLIER DATA BASE'!$A$2:$O$936,11,0),""))</f>
        <v>D APPAREL</v>
      </c>
      <c r="O466" s="70" t="str">
        <f>IF($A$3=" "," ", IFERROR( VLOOKUP($A466,'SUPPLIER DATA BASE'!$A$2:$O$936,12,0),""))</f>
        <v>722501010050397</v>
      </c>
      <c r="P466" s="70" t="str">
        <f>IF($A$3=" "," ", IFERROR( VLOOKUP($A466,'SUPPLIER DATA BASE'!$A$2:$O$936,13,0),""))</f>
        <v>UBIN0572250</v>
      </c>
      <c r="Q466" s="77"/>
      <c r="R466" s="73"/>
      <c r="S466" s="77"/>
      <c r="T466" s="70"/>
      <c r="U466" s="78"/>
      <c r="V466" s="70" t="str">
        <f t="shared" si="4"/>
        <v>FY 25-26</v>
      </c>
      <c r="W466" s="23"/>
      <c r="X466" s="23"/>
    </row>
    <row r="467">
      <c r="A467" s="70" t="s">
        <v>402</v>
      </c>
      <c r="B467" s="70" t="str">
        <f>IF($A$3=" "," ", IFERROR( VLOOKUP($A467,'SUPPLIER DATA BASE'!$A$2:$M$936,3,0),""))</f>
        <v>KHUSHAL/STATUS QUO</v>
      </c>
      <c r="C467" s="70" t="str">
        <f>IF($A$3=" "," ", IFERROR( VLOOKUP($A467,'SUPPLIER DATA BASE'!$A$2:$F$936,6,0),""))</f>
        <v>-</v>
      </c>
      <c r="D467" s="70" t="str">
        <f>IF($A$3=" "," ", IFERROR( VLOOKUP($A467,'SUPPLIER DATA BASE'!$A$2:$G$936,4,0),""))</f>
        <v>-</v>
      </c>
      <c r="E467" s="71" t="str">
        <f>IF($A$3=" "," ", IFERROR( VLOOKUP($A467,'SUPPLIER DATA BASE'!$A$2:$H$936,5,0),""))</f>
        <v>-</v>
      </c>
      <c r="F467" s="72" t="s">
        <v>1732</v>
      </c>
      <c r="G467" s="73">
        <v>46091.0</v>
      </c>
      <c r="H467" s="74">
        <v>48.0</v>
      </c>
      <c r="I467" s="75">
        <v>48068.0</v>
      </c>
      <c r="J467" s="76" t="s">
        <v>1733</v>
      </c>
      <c r="K467" s="70" t="s">
        <v>349</v>
      </c>
      <c r="L467" s="70" t="s">
        <v>349</v>
      </c>
      <c r="M467" s="70" t="str">
        <f t="shared" si="3"/>
        <v>97 Days</v>
      </c>
      <c r="N467" s="70" t="str">
        <f>IF($A$3=" "," ", IFERROR( VLOOKUP($A467,'SUPPLIER DATA BASE'!$A$2:$O$936,11,0),""))</f>
        <v>D APPAREL</v>
      </c>
      <c r="O467" s="70" t="str">
        <f>IF($A$3=" "," ", IFERROR( VLOOKUP($A467,'SUPPLIER DATA BASE'!$A$2:$O$936,12,0),""))</f>
        <v>722501010050397</v>
      </c>
      <c r="P467" s="70" t="str">
        <f>IF($A$3=" "," ", IFERROR( VLOOKUP($A467,'SUPPLIER DATA BASE'!$A$2:$O$936,13,0),""))</f>
        <v>UBIN0572250</v>
      </c>
      <c r="Q467" s="77"/>
      <c r="R467" s="73"/>
      <c r="S467" s="77"/>
      <c r="T467" s="70"/>
      <c r="U467" s="78"/>
      <c r="V467" s="70" t="str">
        <f t="shared" si="4"/>
        <v>FY 25-26</v>
      </c>
      <c r="W467" s="23"/>
      <c r="X467" s="23"/>
    </row>
    <row r="468">
      <c r="A468" s="70" t="s">
        <v>354</v>
      </c>
      <c r="B468" s="70" t="str">
        <f>IF($A$3=" "," ", IFERROR( VLOOKUP($A468,'SUPPLIER DATA BASE'!$A$2:$M$936,3,0),""))</f>
        <v>-</v>
      </c>
      <c r="C468" s="70" t="str">
        <f>IF($A$3=" "," ", IFERROR( VLOOKUP($A468,'SUPPLIER DATA BASE'!$A$2:$F$936,6,0),""))</f>
        <v>-</v>
      </c>
      <c r="D468" s="70" t="str">
        <f>IF($A$3=" "," ", IFERROR( VLOOKUP($A468,'SUPPLIER DATA BASE'!$A$2:$G$936,4,0),""))</f>
        <v>-</v>
      </c>
      <c r="E468" s="71" t="str">
        <f>IF($A$3=" "," ", IFERROR( VLOOKUP($A468,'SUPPLIER DATA BASE'!$A$2:$H$936,5,0),""))</f>
        <v>-</v>
      </c>
      <c r="F468" s="72" t="s">
        <v>1734</v>
      </c>
      <c r="G468" s="73">
        <v>46091.0</v>
      </c>
      <c r="H468" s="74">
        <v>4.0</v>
      </c>
      <c r="I468" s="75">
        <v>9100.87</v>
      </c>
      <c r="J468" s="76" t="s">
        <v>1735</v>
      </c>
      <c r="K468" s="70" t="s">
        <v>349</v>
      </c>
      <c r="L468" s="70" t="s">
        <v>349</v>
      </c>
      <c r="M468" s="70" t="str">
        <f t="shared" si="3"/>
        <v>97 Days</v>
      </c>
      <c r="N468" s="70" t="str">
        <f>IF($A$3=" "," ", IFERROR( VLOOKUP($A468,'SUPPLIER DATA BASE'!$A$2:$O$936,11,0),""))</f>
        <v>-</v>
      </c>
      <c r="O468" s="70" t="str">
        <f>IF($A$3=" "," ", IFERROR( VLOOKUP($A468,'SUPPLIER DATA BASE'!$A$2:$O$936,12,0),""))</f>
        <v>-</v>
      </c>
      <c r="P468" s="70" t="str">
        <f>IF($A$3=" "," ", IFERROR( VLOOKUP($A468,'SUPPLIER DATA BASE'!$A$2:$O$936,13,0),""))</f>
        <v>-</v>
      </c>
      <c r="Q468" s="77"/>
      <c r="R468" s="73"/>
      <c r="S468" s="77"/>
      <c r="T468" s="70"/>
      <c r="U468" s="78"/>
      <c r="V468" s="70" t="str">
        <f t="shared" si="4"/>
        <v>FY 25-26</v>
      </c>
      <c r="W468" s="23"/>
      <c r="X468" s="23"/>
    </row>
    <row r="469">
      <c r="A469" s="70" t="s">
        <v>709</v>
      </c>
      <c r="B469" s="70" t="str">
        <f>IF($A$3=" "," ", IFERROR( VLOOKUP($A469,'SUPPLIER DATA BASE'!$A$2:$M$936,3,0),""))</f>
        <v>MUFTI</v>
      </c>
      <c r="C469" s="70" t="str">
        <f>IF($A$3=" "," ", IFERROR( VLOOKUP($A469,'SUPPLIER DATA BASE'!$A$2:$F$936,6,0),""))</f>
        <v>-</v>
      </c>
      <c r="D469" s="70" t="str">
        <f>IF($A$3=" "," ", IFERROR( VLOOKUP($A469,'SUPPLIER DATA BASE'!$A$2:$G$936,4,0),""))</f>
        <v>-</v>
      </c>
      <c r="E469" s="71" t="str">
        <f>IF($A$3=" "," ", IFERROR( VLOOKUP($A469,'SUPPLIER DATA BASE'!$A$2:$H$936,5,0),""))</f>
        <v>-</v>
      </c>
      <c r="F469" s="72" t="s">
        <v>1736</v>
      </c>
      <c r="G469" s="73">
        <v>46091.0</v>
      </c>
      <c r="H469" s="74">
        <v>71.0</v>
      </c>
      <c r="I469" s="75">
        <v>122433.0</v>
      </c>
      <c r="J469" s="76" t="s">
        <v>1737</v>
      </c>
      <c r="K469" s="70" t="s">
        <v>349</v>
      </c>
      <c r="L469" s="70" t="s">
        <v>349</v>
      </c>
      <c r="M469" s="70" t="str">
        <f t="shared" si="3"/>
        <v>97 Days</v>
      </c>
      <c r="N469" s="70" t="str">
        <f>IF($A$3=" "," ", IFERROR( VLOOKUP($A469,'SUPPLIER DATA BASE'!$A$2:$O$936,11,0),""))</f>
        <v>SHRING APPARELS</v>
      </c>
      <c r="O469" s="70" t="str">
        <f>IF($A$3=" "," ", IFERROR( VLOOKUP($A469,'SUPPLIER DATA BASE'!$A$2:$O$936,12,0),""))</f>
        <v>50200030713091</v>
      </c>
      <c r="P469" s="70" t="str">
        <f>IF($A$3=" "," ", IFERROR( VLOOKUP($A469,'SUPPLIER DATA BASE'!$A$2:$O$936,13,0),""))</f>
        <v>HDFC0000186</v>
      </c>
      <c r="Q469" s="77"/>
      <c r="R469" s="73"/>
      <c r="S469" s="77"/>
      <c r="T469" s="70"/>
      <c r="U469" s="78"/>
      <c r="V469" s="70" t="str">
        <f t="shared" si="4"/>
        <v>FY 25-26</v>
      </c>
      <c r="W469" s="23"/>
      <c r="X469" s="23"/>
    </row>
    <row r="470">
      <c r="A470" s="70" t="s">
        <v>575</v>
      </c>
      <c r="B470" s="70" t="str">
        <f>IF($A$3=" "," ", IFERROR( VLOOKUP($A470,'SUPPLIER DATA BASE'!$A$2:$M$936,3,0),""))</f>
        <v>BLACKBERRY</v>
      </c>
      <c r="C470" s="70" t="str">
        <f>IF($A$3=" "," ", IFERROR( VLOOKUP($A470,'SUPPLIER DATA BASE'!$A$2:$F$936,6,0),""))</f>
        <v>-</v>
      </c>
      <c r="D470" s="70" t="str">
        <f>IF($A$3=" "," ", IFERROR( VLOOKUP($A470,'SUPPLIER DATA BASE'!$A$2:$G$936,4,0),""))</f>
        <v>-</v>
      </c>
      <c r="E470" s="71" t="str">
        <f>IF($A$3=" "," ", IFERROR( VLOOKUP($A470,'SUPPLIER DATA BASE'!$A$2:$H$936,5,0),""))</f>
        <v>-</v>
      </c>
      <c r="F470" s="72">
        <v>8.500278375E9</v>
      </c>
      <c r="G470" s="73">
        <v>46091.0</v>
      </c>
      <c r="H470" s="74">
        <v>9.0</v>
      </c>
      <c r="I470" s="75">
        <v>41236.2</v>
      </c>
      <c r="J470" s="76" t="s">
        <v>1738</v>
      </c>
      <c r="K470" s="70" t="s">
        <v>349</v>
      </c>
      <c r="L470" s="70" t="s">
        <v>349</v>
      </c>
      <c r="M470" s="70" t="str">
        <f t="shared" si="3"/>
        <v>97 Days</v>
      </c>
      <c r="N470" s="70" t="str">
        <f>IF($A$3=" "," ", IFERROR( VLOOKUP($A470,'SUPPLIER DATA BASE'!$A$2:$O$936,11,0),""))</f>
        <v>MOHAN CLOTHING COMPANY PVT LTD</v>
      </c>
      <c r="O470" s="70" t="str">
        <f>IF($A$3=" "," ", IFERROR( VLOOKUP($A470,'SUPPLIER DATA BASE'!$A$2:$O$936,12,0),""))</f>
        <v>0710096023</v>
      </c>
      <c r="P470" s="70" t="str">
        <f>IF($A$3=" "," ", IFERROR( VLOOKUP($A470,'SUPPLIER DATA BASE'!$A$2:$O$936,13,0),""))</f>
        <v>CITI0000002</v>
      </c>
      <c r="Q470" s="77"/>
      <c r="R470" s="73"/>
      <c r="S470" s="77"/>
      <c r="T470" s="70"/>
      <c r="U470" s="78"/>
      <c r="V470" s="70" t="str">
        <f t="shared" si="4"/>
        <v>FY 25-26</v>
      </c>
      <c r="W470" s="23"/>
      <c r="X470" s="23"/>
    </row>
    <row r="471">
      <c r="A471" s="70" t="s">
        <v>354</v>
      </c>
      <c r="B471" s="70" t="str">
        <f>IF($A$3=" "," ", IFERROR( VLOOKUP($A471,'SUPPLIER DATA BASE'!$A$2:$M$936,3,0),""))</f>
        <v>-</v>
      </c>
      <c r="C471" s="70" t="str">
        <f>IF($A$3=" "," ", IFERROR( VLOOKUP($A471,'SUPPLIER DATA BASE'!$A$2:$F$936,6,0),""))</f>
        <v>-</v>
      </c>
      <c r="D471" s="70" t="str">
        <f>IF($A$3=" "," ", IFERROR( VLOOKUP($A471,'SUPPLIER DATA BASE'!$A$2:$G$936,4,0),""))</f>
        <v>-</v>
      </c>
      <c r="E471" s="71" t="str">
        <f>IF($A$3=" "," ", IFERROR( VLOOKUP($A471,'SUPPLIER DATA BASE'!$A$2:$H$936,5,0),""))</f>
        <v>-</v>
      </c>
      <c r="F471" s="72" t="s">
        <v>1739</v>
      </c>
      <c r="G471" s="73">
        <v>46091.0</v>
      </c>
      <c r="H471" s="74">
        <v>5.0</v>
      </c>
      <c r="I471" s="75">
        <v>11660.72</v>
      </c>
      <c r="J471" s="76" t="s">
        <v>1740</v>
      </c>
      <c r="K471" s="70" t="s">
        <v>349</v>
      </c>
      <c r="L471" s="70" t="s">
        <v>349</v>
      </c>
      <c r="M471" s="70" t="str">
        <f t="shared" si="3"/>
        <v>97 Days</v>
      </c>
      <c r="N471" s="70" t="str">
        <f>IF($A$3=" "," ", IFERROR( VLOOKUP($A471,'SUPPLIER DATA BASE'!$A$2:$O$936,11,0),""))</f>
        <v>-</v>
      </c>
      <c r="O471" s="70" t="str">
        <f>IF($A$3=" "," ", IFERROR( VLOOKUP($A471,'SUPPLIER DATA BASE'!$A$2:$O$936,12,0),""))</f>
        <v>-</v>
      </c>
      <c r="P471" s="70" t="str">
        <f>IF($A$3=" "," ", IFERROR( VLOOKUP($A471,'SUPPLIER DATA BASE'!$A$2:$O$936,13,0),""))</f>
        <v>-</v>
      </c>
      <c r="Q471" s="77"/>
      <c r="R471" s="73"/>
      <c r="S471" s="77"/>
      <c r="T471" s="70"/>
      <c r="U471" s="78"/>
      <c r="V471" s="70" t="str">
        <f t="shared" si="4"/>
        <v>FY 25-26</v>
      </c>
      <c r="W471" s="23"/>
      <c r="X471" s="23"/>
    </row>
    <row r="472">
      <c r="A472" s="70" t="s">
        <v>495</v>
      </c>
      <c r="B472" s="70" t="str">
        <f>IF($A$3=" "," ", IFERROR( VLOOKUP($A472,'SUPPLIER DATA BASE'!$A$2:$M$936,3,0),""))</f>
        <v>-</v>
      </c>
      <c r="C472" s="70" t="str">
        <f>IF($A$3=" "," ", IFERROR( VLOOKUP($A472,'SUPPLIER DATA BASE'!$A$2:$F$936,6,0),""))</f>
        <v>-</v>
      </c>
      <c r="D472" s="70" t="str">
        <f>IF($A$3=" "," ", IFERROR( VLOOKUP($A472,'SUPPLIER DATA BASE'!$A$2:$G$936,4,0),""))</f>
        <v>-</v>
      </c>
      <c r="E472" s="71" t="str">
        <f>IF($A$3=" "," ", IFERROR( VLOOKUP($A472,'SUPPLIER DATA BASE'!$A$2:$H$936,5,0),""))</f>
        <v>-</v>
      </c>
      <c r="F472" s="72" t="s">
        <v>1741</v>
      </c>
      <c r="G472" s="73">
        <v>46091.0</v>
      </c>
      <c r="H472" s="74">
        <v>98.0</v>
      </c>
      <c r="I472" s="75">
        <v>108064.0</v>
      </c>
      <c r="J472" s="76" t="s">
        <v>1742</v>
      </c>
      <c r="K472" s="70" t="s">
        <v>349</v>
      </c>
      <c r="L472" s="70" t="s">
        <v>349</v>
      </c>
      <c r="M472" s="70" t="str">
        <f t="shared" si="3"/>
        <v>97 Days</v>
      </c>
      <c r="N472" s="70" t="str">
        <f>IF($A$3=" "," ", IFERROR( VLOOKUP($A472,'SUPPLIER DATA BASE'!$A$2:$O$936,11,0),""))</f>
        <v>JAIN ADISHWAR HOSIERY WORKS LLP</v>
      </c>
      <c r="O472" s="70" t="str">
        <f>IF($A$3=" "," ", IFERROR( VLOOKUP($A472,'SUPPLIER DATA BASE'!$A$2:$O$936,12,0),""))</f>
        <v>99917644444444</v>
      </c>
      <c r="P472" s="70" t="str">
        <f>IF($A$3=" "," ", IFERROR( VLOOKUP($A472,'SUPPLIER DATA BASE'!$A$2:$O$936,13,0),""))</f>
        <v>HDFC0002063</v>
      </c>
      <c r="Q472" s="77"/>
      <c r="R472" s="73"/>
      <c r="S472" s="77"/>
      <c r="T472" s="70"/>
      <c r="U472" s="78"/>
      <c r="V472" s="70" t="str">
        <f t="shared" si="4"/>
        <v>FY 25-26</v>
      </c>
      <c r="W472" s="23"/>
      <c r="X472" s="23"/>
    </row>
    <row r="473">
      <c r="A473" s="70" t="s">
        <v>354</v>
      </c>
      <c r="B473" s="70" t="str">
        <f>IF($A$3=" "," ", IFERROR( VLOOKUP($A473,'SUPPLIER DATA BASE'!$A$2:$M$936,3,0),""))</f>
        <v>-</v>
      </c>
      <c r="C473" s="70" t="str">
        <f>IF($A$3=" "," ", IFERROR( VLOOKUP($A473,'SUPPLIER DATA BASE'!$A$2:$F$936,6,0),""))</f>
        <v>-</v>
      </c>
      <c r="D473" s="70" t="str">
        <f>IF($A$3=" "," ", IFERROR( VLOOKUP($A473,'SUPPLIER DATA BASE'!$A$2:$G$936,4,0),""))</f>
        <v>-</v>
      </c>
      <c r="E473" s="71" t="str">
        <f>IF($A$3=" "," ", IFERROR( VLOOKUP($A473,'SUPPLIER DATA BASE'!$A$2:$H$936,5,0),""))</f>
        <v>-</v>
      </c>
      <c r="F473" s="72" t="s">
        <v>1743</v>
      </c>
      <c r="G473" s="73">
        <v>46091.0</v>
      </c>
      <c r="H473" s="74">
        <v>13.0</v>
      </c>
      <c r="I473" s="75">
        <v>24143.12</v>
      </c>
      <c r="J473" s="76" t="s">
        <v>1744</v>
      </c>
      <c r="K473" s="70" t="s">
        <v>349</v>
      </c>
      <c r="L473" s="73"/>
      <c r="M473" s="70" t="str">
        <f t="shared" si="3"/>
        <v>97 Days</v>
      </c>
      <c r="N473" s="70" t="str">
        <f>IF($A$3=" "," ", IFERROR( VLOOKUP($A473,'SUPPLIER DATA BASE'!$A$2:$O$936,11,0),""))</f>
        <v>-</v>
      </c>
      <c r="O473" s="70" t="str">
        <f>IF($A$3=" "," ", IFERROR( VLOOKUP($A473,'SUPPLIER DATA BASE'!$A$2:$O$936,12,0),""))</f>
        <v>-</v>
      </c>
      <c r="P473" s="70" t="str">
        <f>IF($A$3=" "," ", IFERROR( VLOOKUP($A473,'SUPPLIER DATA BASE'!$A$2:$O$936,13,0),""))</f>
        <v>-</v>
      </c>
      <c r="Q473" s="77"/>
      <c r="R473" s="73"/>
      <c r="S473" s="77"/>
      <c r="T473" s="70"/>
      <c r="U473" s="78"/>
      <c r="V473" s="70" t="str">
        <f t="shared" si="4"/>
        <v>FY 25-26</v>
      </c>
      <c r="W473" s="23"/>
      <c r="X473" s="23"/>
    </row>
    <row r="474">
      <c r="A474" s="70" t="s">
        <v>354</v>
      </c>
      <c r="B474" s="70" t="str">
        <f>IF($A$3=" "," ", IFERROR( VLOOKUP($A474,'SUPPLIER DATA BASE'!$A$2:$M$936,3,0),""))</f>
        <v>-</v>
      </c>
      <c r="C474" s="70" t="str">
        <f>IF($A$3=" "," ", IFERROR( VLOOKUP($A474,'SUPPLIER DATA BASE'!$A$2:$F$936,6,0),""))</f>
        <v>-</v>
      </c>
      <c r="D474" s="70" t="str">
        <f>IF($A$3=" "," ", IFERROR( VLOOKUP($A474,'SUPPLIER DATA BASE'!$A$2:$G$936,4,0),""))</f>
        <v>-</v>
      </c>
      <c r="E474" s="71" t="str">
        <f>IF($A$3=" "," ", IFERROR( VLOOKUP($A474,'SUPPLIER DATA BASE'!$A$2:$H$936,5,0),""))</f>
        <v>-</v>
      </c>
      <c r="F474" s="72" t="s">
        <v>1745</v>
      </c>
      <c r="G474" s="73">
        <v>46091.0</v>
      </c>
      <c r="H474" s="74">
        <v>14.0</v>
      </c>
      <c r="I474" s="75">
        <v>25986.48</v>
      </c>
      <c r="J474" s="76" t="s">
        <v>1746</v>
      </c>
      <c r="K474" s="70" t="s">
        <v>349</v>
      </c>
      <c r="L474" s="73"/>
      <c r="M474" s="70" t="str">
        <f t="shared" si="3"/>
        <v>97 Days</v>
      </c>
      <c r="N474" s="70" t="str">
        <f>IF($A$3=" "," ", IFERROR( VLOOKUP($A474,'SUPPLIER DATA BASE'!$A$2:$O$936,11,0),""))</f>
        <v>-</v>
      </c>
      <c r="O474" s="70" t="str">
        <f>IF($A$3=" "," ", IFERROR( VLOOKUP($A474,'SUPPLIER DATA BASE'!$A$2:$O$936,12,0),""))</f>
        <v>-</v>
      </c>
      <c r="P474" s="70" t="str">
        <f>IF($A$3=" "," ", IFERROR( VLOOKUP($A474,'SUPPLIER DATA BASE'!$A$2:$O$936,13,0),""))</f>
        <v>-</v>
      </c>
      <c r="Q474" s="77"/>
      <c r="R474" s="73"/>
      <c r="S474" s="77"/>
      <c r="T474" s="70"/>
      <c r="U474" s="78"/>
      <c r="V474" s="70" t="str">
        <f t="shared" si="4"/>
        <v>FY 25-26</v>
      </c>
      <c r="W474" s="23"/>
      <c r="X474" s="23"/>
    </row>
    <row r="475">
      <c r="A475" s="70" t="s">
        <v>354</v>
      </c>
      <c r="B475" s="70" t="str">
        <f>IF($A$3=" "," ", IFERROR( VLOOKUP($A475,'SUPPLIER DATA BASE'!$A$2:$M$936,3,0),""))</f>
        <v>-</v>
      </c>
      <c r="C475" s="70" t="str">
        <f>IF($A$3=" "," ", IFERROR( VLOOKUP($A475,'SUPPLIER DATA BASE'!$A$2:$F$936,6,0),""))</f>
        <v>-</v>
      </c>
      <c r="D475" s="70" t="str">
        <f>IF($A$3=" "," ", IFERROR( VLOOKUP($A475,'SUPPLIER DATA BASE'!$A$2:$G$936,4,0),""))</f>
        <v>-</v>
      </c>
      <c r="E475" s="71" t="str">
        <f>IF($A$3=" "," ", IFERROR( VLOOKUP($A475,'SUPPLIER DATA BASE'!$A$2:$H$936,5,0),""))</f>
        <v>-</v>
      </c>
      <c r="F475" s="72" t="s">
        <v>1747</v>
      </c>
      <c r="G475" s="73">
        <v>46091.0</v>
      </c>
      <c r="H475" s="74">
        <v>6.0</v>
      </c>
      <c r="I475" s="75">
        <v>11105.32</v>
      </c>
      <c r="J475" s="76" t="s">
        <v>1748</v>
      </c>
      <c r="K475" s="70" t="s">
        <v>349</v>
      </c>
      <c r="L475" s="73"/>
      <c r="M475" s="70" t="str">
        <f t="shared" si="3"/>
        <v>97 Days</v>
      </c>
      <c r="N475" s="70" t="str">
        <f>IF($A$3=" "," ", IFERROR( VLOOKUP($A475,'SUPPLIER DATA BASE'!$A$2:$O$936,11,0),""))</f>
        <v>-</v>
      </c>
      <c r="O475" s="70" t="str">
        <f>IF($A$3=" "," ", IFERROR( VLOOKUP($A475,'SUPPLIER DATA BASE'!$A$2:$O$936,12,0),""))</f>
        <v>-</v>
      </c>
      <c r="P475" s="70" t="str">
        <f>IF($A$3=" "," ", IFERROR( VLOOKUP($A475,'SUPPLIER DATA BASE'!$A$2:$O$936,13,0),""))</f>
        <v>-</v>
      </c>
      <c r="Q475" s="77"/>
      <c r="R475" s="73"/>
      <c r="S475" s="77"/>
      <c r="T475" s="70"/>
      <c r="U475" s="78"/>
      <c r="V475" s="70" t="str">
        <f t="shared" si="4"/>
        <v>FY 25-26</v>
      </c>
      <c r="W475" s="23"/>
      <c r="X475" s="23"/>
    </row>
    <row r="476">
      <c r="A476" s="70" t="s">
        <v>354</v>
      </c>
      <c r="B476" s="70" t="str">
        <f>IF($A$3=" "," ", IFERROR( VLOOKUP($A476,'SUPPLIER DATA BASE'!$A$2:$M$936,3,0),""))</f>
        <v>-</v>
      </c>
      <c r="C476" s="70" t="str">
        <f>IF($A$3=" "," ", IFERROR( VLOOKUP($A476,'SUPPLIER DATA BASE'!$A$2:$F$936,6,0),""))</f>
        <v>-</v>
      </c>
      <c r="D476" s="70" t="str">
        <f>IF($A$3=" "," ", IFERROR( VLOOKUP($A476,'SUPPLIER DATA BASE'!$A$2:$G$936,4,0),""))</f>
        <v>-</v>
      </c>
      <c r="E476" s="71" t="str">
        <f>IF($A$3=" "," ", IFERROR( VLOOKUP($A476,'SUPPLIER DATA BASE'!$A$2:$H$936,5,0),""))</f>
        <v>-</v>
      </c>
      <c r="F476" s="72" t="s">
        <v>1749</v>
      </c>
      <c r="G476" s="73">
        <v>46091.0</v>
      </c>
      <c r="H476" s="74">
        <v>60.0</v>
      </c>
      <c r="I476" s="75">
        <v>94386.24</v>
      </c>
      <c r="J476" s="76" t="s">
        <v>1750</v>
      </c>
      <c r="K476" s="70" t="s">
        <v>349</v>
      </c>
      <c r="L476" s="73"/>
      <c r="M476" s="70" t="str">
        <f t="shared" si="3"/>
        <v>97 Days</v>
      </c>
      <c r="N476" s="70" t="str">
        <f>IF($A$3=" "," ", IFERROR( VLOOKUP($A476,'SUPPLIER DATA BASE'!$A$2:$O$936,11,0),""))</f>
        <v>-</v>
      </c>
      <c r="O476" s="70" t="str">
        <f>IF($A$3=" "," ", IFERROR( VLOOKUP($A476,'SUPPLIER DATA BASE'!$A$2:$O$936,12,0),""))</f>
        <v>-</v>
      </c>
      <c r="P476" s="70" t="str">
        <f>IF($A$3=" "," ", IFERROR( VLOOKUP($A476,'SUPPLIER DATA BASE'!$A$2:$O$936,13,0),""))</f>
        <v>-</v>
      </c>
      <c r="Q476" s="77"/>
      <c r="R476" s="73"/>
      <c r="S476" s="77"/>
      <c r="T476" s="70"/>
      <c r="U476" s="78"/>
      <c r="V476" s="70" t="str">
        <f t="shared" si="4"/>
        <v>FY 25-26</v>
      </c>
      <c r="W476" s="23"/>
      <c r="X476" s="23"/>
    </row>
    <row r="477">
      <c r="A477" s="70" t="s">
        <v>354</v>
      </c>
      <c r="B477" s="70" t="str">
        <f>IF($A$3=" "," ", IFERROR( VLOOKUP($A477,'SUPPLIER DATA BASE'!$A$2:$M$936,3,0),""))</f>
        <v>-</v>
      </c>
      <c r="C477" s="70" t="str">
        <f>IF($A$3=" "," ", IFERROR( VLOOKUP($A477,'SUPPLIER DATA BASE'!$A$2:$F$936,6,0),""))</f>
        <v>-</v>
      </c>
      <c r="D477" s="70" t="str">
        <f>IF($A$3=" "," ", IFERROR( VLOOKUP($A477,'SUPPLIER DATA BASE'!$A$2:$G$936,4,0),""))</f>
        <v>-</v>
      </c>
      <c r="E477" s="71" t="str">
        <f>IF($A$3=" "," ", IFERROR( VLOOKUP($A477,'SUPPLIER DATA BASE'!$A$2:$H$936,5,0),""))</f>
        <v>-</v>
      </c>
      <c r="F477" s="72" t="s">
        <v>1751</v>
      </c>
      <c r="G477" s="73">
        <v>46091.0</v>
      </c>
      <c r="H477" s="74">
        <v>11.0</v>
      </c>
      <c r="I477" s="75">
        <v>20433.83</v>
      </c>
      <c r="J477" s="76" t="s">
        <v>1752</v>
      </c>
      <c r="K477" s="70" t="s">
        <v>349</v>
      </c>
      <c r="L477" s="73"/>
      <c r="M477" s="70" t="str">
        <f t="shared" si="3"/>
        <v>97 Days</v>
      </c>
      <c r="N477" s="70" t="str">
        <f>IF($A$3=" "," ", IFERROR( VLOOKUP($A477,'SUPPLIER DATA BASE'!$A$2:$O$936,11,0),""))</f>
        <v>-</v>
      </c>
      <c r="O477" s="70" t="str">
        <f>IF($A$3=" "," ", IFERROR( VLOOKUP($A477,'SUPPLIER DATA BASE'!$A$2:$O$936,12,0),""))</f>
        <v>-</v>
      </c>
      <c r="P477" s="70" t="str">
        <f>IF($A$3=" "," ", IFERROR( VLOOKUP($A477,'SUPPLIER DATA BASE'!$A$2:$O$936,13,0),""))</f>
        <v>-</v>
      </c>
      <c r="Q477" s="77"/>
      <c r="R477" s="73"/>
      <c r="S477" s="77"/>
      <c r="T477" s="70"/>
      <c r="U477" s="78"/>
      <c r="V477" s="70" t="str">
        <f t="shared" si="4"/>
        <v>FY 25-26</v>
      </c>
      <c r="W477" s="23"/>
      <c r="X477" s="23"/>
    </row>
    <row r="478">
      <c r="A478" s="70" t="s">
        <v>657</v>
      </c>
      <c r="B478" s="70" t="str">
        <f>IF($A$3=" "," ", IFERROR( VLOOKUP($A478,'SUPPLIER DATA BASE'!$A$2:$M$936,3,0),""))</f>
        <v>-</v>
      </c>
      <c r="C478" s="70" t="str">
        <f>IF($A$3=" "," ", IFERROR( VLOOKUP($A478,'SUPPLIER DATA BASE'!$A$2:$F$936,6,0),""))</f>
        <v>RTC</v>
      </c>
      <c r="D478" s="70" t="str">
        <f>IF($A$3=" "," ", IFERROR( VLOOKUP($A478,'SUPPLIER DATA BASE'!$A$2:$G$936,4,0),""))</f>
        <v>-</v>
      </c>
      <c r="E478" s="71" t="str">
        <f>IF($A$3=" "," ", IFERROR( VLOOKUP($A478,'SUPPLIER DATA BASE'!$A$2:$H$936,5,0),""))</f>
        <v>-</v>
      </c>
      <c r="F478" s="72" t="s">
        <v>1753</v>
      </c>
      <c r="G478" s="73">
        <v>46091.0</v>
      </c>
      <c r="H478" s="74">
        <v>157.0</v>
      </c>
      <c r="I478" s="75">
        <v>67534.0</v>
      </c>
      <c r="J478" s="76" t="s">
        <v>1754</v>
      </c>
      <c r="K478" s="70" t="s">
        <v>349</v>
      </c>
      <c r="L478" s="73"/>
      <c r="M478" s="70" t="str">
        <f t="shared" si="3"/>
        <v>97 Days</v>
      </c>
      <c r="N478" s="70" t="str">
        <f>IF($A$3=" "," ", IFERROR( VLOOKUP($A478,'SUPPLIER DATA BASE'!$A$2:$O$936,11,0),""))</f>
        <v>RTC Garmentex India Pvgt LTd</v>
      </c>
      <c r="O478" s="70" t="str">
        <f>IF($A$3=" "," ", IFERROR( VLOOKUP($A478,'SUPPLIER DATA BASE'!$A$2:$O$936,12,0),""))</f>
        <v>112605502571</v>
      </c>
      <c r="P478" s="70" t="str">
        <f>IF($A$3=" "," ", IFERROR( VLOOKUP($A478,'SUPPLIER DATA BASE'!$A$2:$O$936,13,0),""))</f>
        <v>ICIC0001126</v>
      </c>
      <c r="Q478" s="77"/>
      <c r="R478" s="73"/>
      <c r="S478" s="77"/>
      <c r="T478" s="70"/>
      <c r="U478" s="78"/>
      <c r="V478" s="70" t="str">
        <f t="shared" si="4"/>
        <v>FY 25-26</v>
      </c>
      <c r="W478" s="23"/>
      <c r="X478" s="23"/>
    </row>
    <row r="479">
      <c r="A479" s="70" t="s">
        <v>699</v>
      </c>
      <c r="B479" s="70" t="str">
        <f>IF($A$3=" "," ", IFERROR( VLOOKUP($A479,'SUPPLIER DATA BASE'!$A$2:$M$936,3,0),""))</f>
        <v>-</v>
      </c>
      <c r="C479" s="70" t="str">
        <f>IF($A$3=" "," ", IFERROR( VLOOKUP($A479,'SUPPLIER DATA BASE'!$A$2:$F$936,6,0),""))</f>
        <v>RTC</v>
      </c>
      <c r="D479" s="70" t="str">
        <f>IF($A$3=" "," ", IFERROR( VLOOKUP($A479,'SUPPLIER DATA BASE'!$A$2:$G$936,4,0),""))</f>
        <v>-</v>
      </c>
      <c r="E479" s="71" t="str">
        <f>IF($A$3=" "," ", IFERROR( VLOOKUP($A479,'SUPPLIER DATA BASE'!$A$2:$H$936,5,0),""))</f>
        <v>-</v>
      </c>
      <c r="F479" s="72" t="s">
        <v>1755</v>
      </c>
      <c r="G479" s="73">
        <v>46091.0</v>
      </c>
      <c r="H479" s="74">
        <v>49.0</v>
      </c>
      <c r="I479" s="75">
        <v>32085.0</v>
      </c>
      <c r="J479" s="76" t="s">
        <v>1756</v>
      </c>
      <c r="K479" s="70" t="s">
        <v>349</v>
      </c>
      <c r="L479" s="73"/>
      <c r="M479" s="70" t="str">
        <f t="shared" si="3"/>
        <v>97 Days</v>
      </c>
      <c r="N479" s="70" t="str">
        <f>IF($A$3=" "," ", IFERROR( VLOOKUP($A479,'SUPPLIER DATA BASE'!$A$2:$O$936,11,0),""))</f>
        <v>RTC Garmentex India Pvgt LTd</v>
      </c>
      <c r="O479" s="70" t="str">
        <f>IF($A$3=" "," ", IFERROR( VLOOKUP($A479,'SUPPLIER DATA BASE'!$A$2:$O$936,12,0),""))</f>
        <v>112605502571</v>
      </c>
      <c r="P479" s="70" t="str">
        <f>IF($A$3=" "," ", IFERROR( VLOOKUP($A479,'SUPPLIER DATA BASE'!$A$2:$O$936,13,0),""))</f>
        <v>ICIC0001126</v>
      </c>
      <c r="Q479" s="77"/>
      <c r="R479" s="73"/>
      <c r="S479" s="77"/>
      <c r="T479" s="70"/>
      <c r="U479" s="78"/>
      <c r="V479" s="70" t="str">
        <f t="shared" si="4"/>
        <v>FY 25-26</v>
      </c>
      <c r="W479" s="23"/>
      <c r="X479" s="23"/>
    </row>
    <row r="480">
      <c r="A480" s="70" t="s">
        <v>354</v>
      </c>
      <c r="B480" s="70" t="str">
        <f>IF($A$3=" "," ", IFERROR( VLOOKUP($A480,'SUPPLIER DATA BASE'!$A$2:$M$936,3,0),""))</f>
        <v>-</v>
      </c>
      <c r="C480" s="70" t="str">
        <f>IF($A$3=" "," ", IFERROR( VLOOKUP($A480,'SUPPLIER DATA BASE'!$A$2:$F$936,6,0),""))</f>
        <v>-</v>
      </c>
      <c r="D480" s="70" t="str">
        <f>IF($A$3=" "," ", IFERROR( VLOOKUP($A480,'SUPPLIER DATA BASE'!$A$2:$G$936,4,0),""))</f>
        <v>-</v>
      </c>
      <c r="E480" s="71" t="str">
        <f>IF($A$3=" "," ", IFERROR( VLOOKUP($A480,'SUPPLIER DATA BASE'!$A$2:$H$936,5,0),""))</f>
        <v>-</v>
      </c>
      <c r="F480" s="72" t="s">
        <v>1757</v>
      </c>
      <c r="G480" s="73">
        <v>46091.0</v>
      </c>
      <c r="H480" s="74">
        <v>15.0</v>
      </c>
      <c r="I480" s="75">
        <v>31289.38</v>
      </c>
      <c r="J480" s="76" t="s">
        <v>1758</v>
      </c>
      <c r="K480" s="70" t="s">
        <v>349</v>
      </c>
      <c r="L480" s="73"/>
      <c r="M480" s="70" t="str">
        <f t="shared" si="3"/>
        <v>97 Days</v>
      </c>
      <c r="N480" s="70" t="str">
        <f>IF($A$3=" "," ", IFERROR( VLOOKUP($A480,'SUPPLIER DATA BASE'!$A$2:$O$936,11,0),""))</f>
        <v>-</v>
      </c>
      <c r="O480" s="70" t="str">
        <f>IF($A$3=" "," ", IFERROR( VLOOKUP($A480,'SUPPLIER DATA BASE'!$A$2:$O$936,12,0),""))</f>
        <v>-</v>
      </c>
      <c r="P480" s="70" t="str">
        <f>IF($A$3=" "," ", IFERROR( VLOOKUP($A480,'SUPPLIER DATA BASE'!$A$2:$O$936,13,0),""))</f>
        <v>-</v>
      </c>
      <c r="Q480" s="77"/>
      <c r="R480" s="73"/>
      <c r="S480" s="77"/>
      <c r="T480" s="70"/>
      <c r="U480" s="78"/>
      <c r="V480" s="70" t="str">
        <f t="shared" si="4"/>
        <v>FY 25-26</v>
      </c>
      <c r="W480" s="23"/>
      <c r="X480" s="23"/>
    </row>
    <row r="481">
      <c r="A481" s="70" t="s">
        <v>354</v>
      </c>
      <c r="B481" s="70" t="str">
        <f>IF($A$3=" "," ", IFERROR( VLOOKUP($A481,'SUPPLIER DATA BASE'!$A$2:$M$936,3,0),""))</f>
        <v>-</v>
      </c>
      <c r="C481" s="70" t="str">
        <f>IF($A$3=" "," ", IFERROR( VLOOKUP($A481,'SUPPLIER DATA BASE'!$A$2:$F$936,6,0),""))</f>
        <v>-</v>
      </c>
      <c r="D481" s="70" t="str">
        <f>IF($A$3=" "," ", IFERROR( VLOOKUP($A481,'SUPPLIER DATA BASE'!$A$2:$G$936,4,0),""))</f>
        <v>-</v>
      </c>
      <c r="E481" s="71" t="str">
        <f>IF($A$3=" "," ", IFERROR( VLOOKUP($A481,'SUPPLIER DATA BASE'!$A$2:$H$936,5,0),""))</f>
        <v>-</v>
      </c>
      <c r="F481" s="72" t="s">
        <v>1759</v>
      </c>
      <c r="G481" s="73">
        <v>46091.0</v>
      </c>
      <c r="H481" s="74">
        <v>91.0</v>
      </c>
      <c r="I481" s="75">
        <v>155263.38</v>
      </c>
      <c r="J481" s="76" t="s">
        <v>1760</v>
      </c>
      <c r="K481" s="70" t="s">
        <v>349</v>
      </c>
      <c r="L481" s="73"/>
      <c r="M481" s="70" t="str">
        <f t="shared" si="3"/>
        <v>97 Days</v>
      </c>
      <c r="N481" s="70" t="str">
        <f>IF($A$3=" "," ", IFERROR( VLOOKUP($A481,'SUPPLIER DATA BASE'!$A$2:$O$936,11,0),""))</f>
        <v>-</v>
      </c>
      <c r="O481" s="70" t="str">
        <f>IF($A$3=" "," ", IFERROR( VLOOKUP($A481,'SUPPLIER DATA BASE'!$A$2:$O$936,12,0),""))</f>
        <v>-</v>
      </c>
      <c r="P481" s="70" t="str">
        <f>IF($A$3=" "," ", IFERROR( VLOOKUP($A481,'SUPPLIER DATA BASE'!$A$2:$O$936,13,0),""))</f>
        <v>-</v>
      </c>
      <c r="Q481" s="77"/>
      <c r="R481" s="73"/>
      <c r="S481" s="77"/>
      <c r="T481" s="70"/>
      <c r="U481" s="78"/>
      <c r="V481" s="70" t="str">
        <f t="shared" si="4"/>
        <v>FY 25-26</v>
      </c>
      <c r="W481" s="23"/>
      <c r="X481" s="23"/>
    </row>
    <row r="482">
      <c r="A482" s="70" t="s">
        <v>354</v>
      </c>
      <c r="B482" s="70" t="str">
        <f>IF($A$3=" "," ", IFERROR( VLOOKUP($A482,'SUPPLIER DATA BASE'!$A$2:$M$936,3,0),""))</f>
        <v>-</v>
      </c>
      <c r="C482" s="70" t="str">
        <f>IF($A$3=" "," ", IFERROR( VLOOKUP($A482,'SUPPLIER DATA BASE'!$A$2:$F$936,6,0),""))</f>
        <v>-</v>
      </c>
      <c r="D482" s="70" t="str">
        <f>IF($A$3=" "," ", IFERROR( VLOOKUP($A482,'SUPPLIER DATA BASE'!$A$2:$G$936,4,0),""))</f>
        <v>-</v>
      </c>
      <c r="E482" s="71" t="str">
        <f>IF($A$3=" "," ", IFERROR( VLOOKUP($A482,'SUPPLIER DATA BASE'!$A$2:$H$936,5,0),""))</f>
        <v>-</v>
      </c>
      <c r="F482" s="72" t="s">
        <v>1761</v>
      </c>
      <c r="G482" s="73">
        <v>46091.0</v>
      </c>
      <c r="H482" s="74">
        <v>14.0</v>
      </c>
      <c r="I482" s="75">
        <v>25986.48</v>
      </c>
      <c r="J482" s="76" t="s">
        <v>1762</v>
      </c>
      <c r="K482" s="70" t="s">
        <v>349</v>
      </c>
      <c r="L482" s="73"/>
      <c r="M482" s="70" t="str">
        <f t="shared" si="3"/>
        <v>97 Days</v>
      </c>
      <c r="N482" s="70" t="str">
        <f>IF($A$3=" "," ", IFERROR( VLOOKUP($A482,'SUPPLIER DATA BASE'!$A$2:$O$936,11,0),""))</f>
        <v>-</v>
      </c>
      <c r="O482" s="70" t="str">
        <f>IF($A$3=" "," ", IFERROR( VLOOKUP($A482,'SUPPLIER DATA BASE'!$A$2:$O$936,12,0),""))</f>
        <v>-</v>
      </c>
      <c r="P482" s="70" t="str">
        <f>IF($A$3=" "," ", IFERROR( VLOOKUP($A482,'SUPPLIER DATA BASE'!$A$2:$O$936,13,0),""))</f>
        <v>-</v>
      </c>
      <c r="Q482" s="77"/>
      <c r="R482" s="73"/>
      <c r="S482" s="77"/>
      <c r="T482" s="70"/>
      <c r="U482" s="78"/>
      <c r="V482" s="70" t="str">
        <f t="shared" si="4"/>
        <v>FY 25-26</v>
      </c>
      <c r="W482" s="23"/>
      <c r="X482" s="23"/>
    </row>
    <row r="483">
      <c r="A483" s="70" t="s">
        <v>406</v>
      </c>
      <c r="B483" s="70" t="str">
        <f>IF($A$3=" "," ", IFERROR( VLOOKUP($A483,'SUPPLIER DATA BASE'!$A$2:$M$936,3,0),""))</f>
        <v>SWEET DREAMS</v>
      </c>
      <c r="C483" s="70" t="str">
        <f>IF($A$3=" "," ", IFERROR( VLOOKUP($A483,'SUPPLIER DATA BASE'!$A$2:$F$936,6,0),""))</f>
        <v>-</v>
      </c>
      <c r="D483" s="70" t="str">
        <f>IF($A$3=" "," ", IFERROR( VLOOKUP($A483,'SUPPLIER DATA BASE'!$A$2:$G$936,4,0),""))</f>
        <v>NO</v>
      </c>
      <c r="E483" s="71" t="str">
        <f>IF($A$3=" "," ", IFERROR( VLOOKUP($A483,'SUPPLIER DATA BASE'!$A$2:$H$936,5,0),""))</f>
        <v>-</v>
      </c>
      <c r="F483" s="72" t="s">
        <v>1763</v>
      </c>
      <c r="G483" s="73">
        <v>46092.0</v>
      </c>
      <c r="H483" s="74">
        <v>42.0</v>
      </c>
      <c r="I483" s="75">
        <v>36509.0</v>
      </c>
      <c r="J483" s="76" t="s">
        <v>1764</v>
      </c>
      <c r="K483" s="70" t="s">
        <v>349</v>
      </c>
      <c r="L483" s="70" t="s">
        <v>349</v>
      </c>
      <c r="M483" s="70" t="str">
        <f t="shared" si="3"/>
        <v>96 Days</v>
      </c>
      <c r="N483" s="70" t="str">
        <f>IF($A$3=" "," ", IFERROR( VLOOKUP($A483,'SUPPLIER DATA BASE'!$A$2:$O$936,11,0),""))</f>
        <v>D D APPARELS</v>
      </c>
      <c r="O483" s="70" t="str">
        <f>IF($A$3=" "," ", IFERROR( VLOOKUP($A483,'SUPPLIER DATA BASE'!$A$2:$O$936,12,0),""))</f>
        <v>029205007835</v>
      </c>
      <c r="P483" s="70" t="str">
        <f>IF($A$3=" "," ", IFERROR( VLOOKUP($A483,'SUPPLIER DATA BASE'!$A$2:$O$936,13,0),""))</f>
        <v>ICIC0000292</v>
      </c>
      <c r="Q483" s="77"/>
      <c r="R483" s="73"/>
      <c r="S483" s="77"/>
      <c r="T483" s="70"/>
      <c r="U483" s="78"/>
      <c r="V483" s="70" t="str">
        <f t="shared" si="4"/>
        <v>FY 25-26</v>
      </c>
      <c r="W483" s="23"/>
      <c r="X483" s="23"/>
    </row>
    <row r="484">
      <c r="A484" s="70" t="s">
        <v>402</v>
      </c>
      <c r="B484" s="70" t="str">
        <f>IF($A$3=" "," ", IFERROR( VLOOKUP($A484,'SUPPLIER DATA BASE'!$A$2:$M$936,3,0),""))</f>
        <v>KHUSHAL/STATUS QUO</v>
      </c>
      <c r="C484" s="70" t="str">
        <f>IF($A$3=" "," ", IFERROR( VLOOKUP($A484,'SUPPLIER DATA BASE'!$A$2:$F$936,6,0),""))</f>
        <v>-</v>
      </c>
      <c r="D484" s="70" t="str">
        <f>IF($A$3=" "," ", IFERROR( VLOOKUP($A484,'SUPPLIER DATA BASE'!$A$2:$G$936,4,0),""))</f>
        <v>-</v>
      </c>
      <c r="E484" s="71" t="str">
        <f>IF($A$3=" "," ", IFERROR( VLOOKUP($A484,'SUPPLIER DATA BASE'!$A$2:$H$936,5,0),""))</f>
        <v>-</v>
      </c>
      <c r="F484" s="72" t="s">
        <v>1765</v>
      </c>
      <c r="G484" s="73">
        <v>46092.0</v>
      </c>
      <c r="H484" s="74">
        <v>38.0</v>
      </c>
      <c r="I484" s="75">
        <v>37921.0</v>
      </c>
      <c r="J484" s="76" t="s">
        <v>1766</v>
      </c>
      <c r="K484" s="70" t="s">
        <v>349</v>
      </c>
      <c r="L484" s="70" t="s">
        <v>349</v>
      </c>
      <c r="M484" s="70" t="str">
        <f t="shared" si="3"/>
        <v>96 Days</v>
      </c>
      <c r="N484" s="70" t="str">
        <f>IF($A$3=" "," ", IFERROR( VLOOKUP($A484,'SUPPLIER DATA BASE'!$A$2:$O$936,11,0),""))</f>
        <v>D APPAREL</v>
      </c>
      <c r="O484" s="70" t="str">
        <f>IF($A$3=" "," ", IFERROR( VLOOKUP($A484,'SUPPLIER DATA BASE'!$A$2:$O$936,12,0),""))</f>
        <v>722501010050397</v>
      </c>
      <c r="P484" s="70" t="str">
        <f>IF($A$3=" "," ", IFERROR( VLOOKUP($A484,'SUPPLIER DATA BASE'!$A$2:$O$936,13,0),""))</f>
        <v>UBIN0572250</v>
      </c>
      <c r="Q484" s="77"/>
      <c r="R484" s="73"/>
      <c r="S484" s="77"/>
      <c r="T484" s="70"/>
      <c r="U484" s="78"/>
      <c r="V484" s="70" t="str">
        <f t="shared" si="4"/>
        <v>FY 25-26</v>
      </c>
      <c r="W484" s="23"/>
      <c r="X484" s="23"/>
    </row>
    <row r="485">
      <c r="A485" s="70" t="s">
        <v>413</v>
      </c>
      <c r="B485" s="70" t="str">
        <f>IF($A$3=" "," ", IFERROR( VLOOKUP($A485,'SUPPLIER DATA BASE'!$A$2:$M$936,3,0),""))</f>
        <v>KILLER</v>
      </c>
      <c r="C485" s="70" t="str">
        <f>IF($A$3=" "," ", IFERROR( VLOOKUP($A485,'SUPPLIER DATA BASE'!$A$2:$F$936,6,0),""))</f>
        <v>-</v>
      </c>
      <c r="D485" s="70" t="str">
        <f>IF($A$3=" "," ", IFERROR( VLOOKUP($A485,'SUPPLIER DATA BASE'!$A$2:$G$936,4,0),""))</f>
        <v>NO</v>
      </c>
      <c r="E485" s="71" t="str">
        <f>IF($A$3=" "," ", IFERROR( VLOOKUP($A485,'SUPPLIER DATA BASE'!$A$2:$H$936,5,0),""))</f>
        <v>-</v>
      </c>
      <c r="F485" s="72" t="s">
        <v>1767</v>
      </c>
      <c r="G485" s="73">
        <v>46092.0</v>
      </c>
      <c r="H485" s="74">
        <v>2.0</v>
      </c>
      <c r="I485" s="75">
        <v>2.0</v>
      </c>
      <c r="J485" s="76" t="s">
        <v>1768</v>
      </c>
      <c r="K485" s="70" t="s">
        <v>349</v>
      </c>
      <c r="L485" s="70" t="s">
        <v>349</v>
      </c>
      <c r="M485" s="70" t="str">
        <f t="shared" si="3"/>
        <v>96 Days</v>
      </c>
      <c r="N485" s="70" t="str">
        <f>IF($A$3=" "," ", IFERROR( VLOOKUP($A485,'SUPPLIER DATA BASE'!$A$2:$O$936,11,0),""))</f>
        <v>D D SALES CO</v>
      </c>
      <c r="O485" s="70" t="str">
        <f>IF($A$3=" "," ", IFERROR( VLOOKUP($A485,'SUPPLIER DATA BASE'!$A$2:$O$936,12,0),""))</f>
        <v>29205007835</v>
      </c>
      <c r="P485" s="70" t="str">
        <f>IF($A$3=" "," ", IFERROR( VLOOKUP($A485,'SUPPLIER DATA BASE'!$A$2:$O$936,13,0),""))</f>
        <v>ICIC0000292</v>
      </c>
      <c r="Q485" s="77"/>
      <c r="R485" s="73"/>
      <c r="S485" s="77"/>
      <c r="T485" s="70"/>
      <c r="U485" s="78"/>
      <c r="V485" s="70" t="str">
        <f t="shared" si="4"/>
        <v>FY 25-26</v>
      </c>
      <c r="W485" s="23"/>
      <c r="X485" s="23"/>
    </row>
    <row r="486">
      <c r="A486" s="70" t="s">
        <v>413</v>
      </c>
      <c r="B486" s="70" t="str">
        <f>IF($A$3=" "," ", IFERROR( VLOOKUP($A486,'SUPPLIER DATA BASE'!$A$2:$M$936,3,0),""))</f>
        <v>KILLER</v>
      </c>
      <c r="C486" s="70" t="str">
        <f>IF($A$3=" "," ", IFERROR( VLOOKUP($A486,'SUPPLIER DATA BASE'!$A$2:$F$936,6,0),""))</f>
        <v>-</v>
      </c>
      <c r="D486" s="70" t="str">
        <f>IF($A$3=" "," ", IFERROR( VLOOKUP($A486,'SUPPLIER DATA BASE'!$A$2:$G$936,4,0),""))</f>
        <v>NO</v>
      </c>
      <c r="E486" s="71" t="str">
        <f>IF($A$3=" "," ", IFERROR( VLOOKUP($A486,'SUPPLIER DATA BASE'!$A$2:$H$936,5,0),""))</f>
        <v>-</v>
      </c>
      <c r="F486" s="72" t="s">
        <v>1769</v>
      </c>
      <c r="G486" s="73">
        <v>46092.0</v>
      </c>
      <c r="H486" s="74">
        <v>121.0</v>
      </c>
      <c r="I486" s="75">
        <v>194843.0</v>
      </c>
      <c r="J486" s="76" t="s">
        <v>1770</v>
      </c>
      <c r="K486" s="70" t="s">
        <v>349</v>
      </c>
      <c r="L486" s="70" t="s">
        <v>349</v>
      </c>
      <c r="M486" s="70" t="str">
        <f t="shared" si="3"/>
        <v>96 Days</v>
      </c>
      <c r="N486" s="70" t="str">
        <f>IF($A$3=" "," ", IFERROR( VLOOKUP($A486,'SUPPLIER DATA BASE'!$A$2:$O$936,11,0),""))</f>
        <v>D D SALES CO</v>
      </c>
      <c r="O486" s="70" t="str">
        <f>IF($A$3=" "," ", IFERROR( VLOOKUP($A486,'SUPPLIER DATA BASE'!$A$2:$O$936,12,0),""))</f>
        <v>29205007835</v>
      </c>
      <c r="P486" s="70" t="str">
        <f>IF($A$3=" "," ", IFERROR( VLOOKUP($A486,'SUPPLIER DATA BASE'!$A$2:$O$936,13,0),""))</f>
        <v>ICIC0000292</v>
      </c>
      <c r="Q486" s="77"/>
      <c r="R486" s="73"/>
      <c r="S486" s="77"/>
      <c r="T486" s="70"/>
      <c r="U486" s="78"/>
      <c r="V486" s="70" t="str">
        <f t="shared" si="4"/>
        <v>FY 25-26</v>
      </c>
      <c r="W486" s="23"/>
      <c r="X486" s="23"/>
    </row>
    <row r="487">
      <c r="A487" s="70" t="s">
        <v>495</v>
      </c>
      <c r="B487" s="70" t="str">
        <f>IF($A$3=" "," ", IFERROR( VLOOKUP($A487,'SUPPLIER DATA BASE'!$A$2:$M$936,3,0),""))</f>
        <v>-</v>
      </c>
      <c r="C487" s="70" t="str">
        <f>IF($A$3=" "," ", IFERROR( VLOOKUP($A487,'SUPPLIER DATA BASE'!$A$2:$F$936,6,0),""))</f>
        <v>-</v>
      </c>
      <c r="D487" s="70" t="str">
        <f>IF($A$3=" "," ", IFERROR( VLOOKUP($A487,'SUPPLIER DATA BASE'!$A$2:$G$936,4,0),""))</f>
        <v>-</v>
      </c>
      <c r="E487" s="71" t="str">
        <f>IF($A$3=" "," ", IFERROR( VLOOKUP($A487,'SUPPLIER DATA BASE'!$A$2:$H$936,5,0),""))</f>
        <v>-</v>
      </c>
      <c r="F487" s="72" t="s">
        <v>1771</v>
      </c>
      <c r="G487" s="73">
        <v>46092.0</v>
      </c>
      <c r="H487" s="74">
        <v>118.0</v>
      </c>
      <c r="I487" s="75">
        <v>259114.0</v>
      </c>
      <c r="J487" s="76" t="s">
        <v>1772</v>
      </c>
      <c r="K487" s="70" t="s">
        <v>349</v>
      </c>
      <c r="L487" s="70" t="s">
        <v>349</v>
      </c>
      <c r="M487" s="70" t="str">
        <f t="shared" si="3"/>
        <v>96 Days</v>
      </c>
      <c r="N487" s="70" t="str">
        <f>IF($A$3=" "," ", IFERROR( VLOOKUP($A487,'SUPPLIER DATA BASE'!$A$2:$O$936,11,0),""))</f>
        <v>JAIN ADISHWAR HOSIERY WORKS LLP</v>
      </c>
      <c r="O487" s="70" t="str">
        <f>IF($A$3=" "," ", IFERROR( VLOOKUP($A487,'SUPPLIER DATA BASE'!$A$2:$O$936,12,0),""))</f>
        <v>99917644444444</v>
      </c>
      <c r="P487" s="70" t="str">
        <f>IF($A$3=" "," ", IFERROR( VLOOKUP($A487,'SUPPLIER DATA BASE'!$A$2:$O$936,13,0),""))</f>
        <v>HDFC0002063</v>
      </c>
      <c r="Q487" s="77"/>
      <c r="R487" s="73"/>
      <c r="S487" s="77"/>
      <c r="T487" s="70"/>
      <c r="U487" s="78"/>
      <c r="V487" s="70" t="str">
        <f t="shared" si="4"/>
        <v>FY 25-26</v>
      </c>
      <c r="W487" s="23"/>
      <c r="X487" s="23"/>
    </row>
    <row r="488">
      <c r="A488" s="70" t="s">
        <v>799</v>
      </c>
      <c r="B488" s="70" t="str">
        <f>IF($A$3=" "," ", IFERROR( VLOOKUP($A488,'SUPPLIER DATA BASE'!$A$2:$M$936,3,0),""))</f>
        <v>-</v>
      </c>
      <c r="C488" s="70" t="str">
        <f>IF($A$3=" "," ", IFERROR( VLOOKUP($A488,'SUPPLIER DATA BASE'!$A$2:$F$936,6,0),""))</f>
        <v>-</v>
      </c>
      <c r="D488" s="70" t="str">
        <f>IF($A$3=" "," ", IFERROR( VLOOKUP($A488,'SUPPLIER DATA BASE'!$A$2:$G$936,4,0),""))</f>
        <v>-</v>
      </c>
      <c r="E488" s="71" t="str">
        <f>IF($A$3=" "," ", IFERROR( VLOOKUP($A488,'SUPPLIER DATA BASE'!$A$2:$H$936,5,0),""))</f>
        <v>-</v>
      </c>
      <c r="F488" s="72" t="s">
        <v>1773</v>
      </c>
      <c r="G488" s="73">
        <v>46092.0</v>
      </c>
      <c r="H488" s="74">
        <v>295.0</v>
      </c>
      <c r="I488" s="75">
        <v>516931.76</v>
      </c>
      <c r="J488" s="76" t="s">
        <v>1774</v>
      </c>
      <c r="K488" s="70" t="s">
        <v>349</v>
      </c>
      <c r="L488" s="70" t="s">
        <v>349</v>
      </c>
      <c r="M488" s="70" t="str">
        <f t="shared" si="3"/>
        <v>96 Days</v>
      </c>
      <c r="N488" s="70" t="str">
        <f>IF($A$3=" "," ", IFERROR( VLOOKUP($A488,'SUPPLIER DATA BASE'!$A$2:$O$936,11,0),""))</f>
        <v>VISHAL MARKETING &amp; CO.</v>
      </c>
      <c r="O488" s="70" t="str">
        <f>IF($A$3=" "," ", IFERROR( VLOOKUP($A488,'SUPPLIER DATA BASE'!$A$2:$O$936,12,0),""))</f>
        <v>1091008700001025</v>
      </c>
      <c r="P488" s="70" t="str">
        <f>IF($A$3=" "," ", IFERROR( VLOOKUP($A488,'SUPPLIER DATA BASE'!$A$2:$O$936,13,0),""))</f>
        <v>PUNB0109100</v>
      </c>
      <c r="Q488" s="77"/>
      <c r="R488" s="73"/>
      <c r="S488" s="77"/>
      <c r="T488" s="70"/>
      <c r="U488" s="78"/>
      <c r="V488" s="70" t="str">
        <f t="shared" si="4"/>
        <v>FY 25-26</v>
      </c>
      <c r="W488" s="23"/>
      <c r="X488" s="23"/>
    </row>
    <row r="489">
      <c r="A489" s="70" t="s">
        <v>495</v>
      </c>
      <c r="B489" s="70" t="str">
        <f>IF($A$3=" "," ", IFERROR( VLOOKUP($A489,'SUPPLIER DATA BASE'!$A$2:$M$936,3,0),""))</f>
        <v>-</v>
      </c>
      <c r="C489" s="70" t="str">
        <f>IF($A$3=" "," ", IFERROR( VLOOKUP($A489,'SUPPLIER DATA BASE'!$A$2:$F$936,6,0),""))</f>
        <v>-</v>
      </c>
      <c r="D489" s="70" t="str">
        <f>IF($A$3=" "," ", IFERROR( VLOOKUP($A489,'SUPPLIER DATA BASE'!$A$2:$G$936,4,0),""))</f>
        <v>-</v>
      </c>
      <c r="E489" s="71" t="str">
        <f>IF($A$3=" "," ", IFERROR( VLOOKUP($A489,'SUPPLIER DATA BASE'!$A$2:$H$936,5,0),""))</f>
        <v>-</v>
      </c>
      <c r="F489" s="72" t="s">
        <v>1775</v>
      </c>
      <c r="G489" s="73">
        <v>46092.0</v>
      </c>
      <c r="H489" s="74">
        <v>50.0</v>
      </c>
      <c r="I489" s="75">
        <v>94326.0</v>
      </c>
      <c r="J489" s="76" t="s">
        <v>1776</v>
      </c>
      <c r="K489" s="70" t="s">
        <v>349</v>
      </c>
      <c r="L489" s="70" t="s">
        <v>349</v>
      </c>
      <c r="M489" s="70" t="str">
        <f t="shared" si="3"/>
        <v>96 Days</v>
      </c>
      <c r="N489" s="70" t="str">
        <f>IF($A$3=" "," ", IFERROR( VLOOKUP($A489,'SUPPLIER DATA BASE'!$A$2:$O$936,11,0),""))</f>
        <v>JAIN ADISHWAR HOSIERY WORKS LLP</v>
      </c>
      <c r="O489" s="70" t="str">
        <f>IF($A$3=" "," ", IFERROR( VLOOKUP($A489,'SUPPLIER DATA BASE'!$A$2:$O$936,12,0),""))</f>
        <v>99917644444444</v>
      </c>
      <c r="P489" s="70" t="str">
        <f>IF($A$3=" "," ", IFERROR( VLOOKUP($A489,'SUPPLIER DATA BASE'!$A$2:$O$936,13,0),""))</f>
        <v>HDFC0002063</v>
      </c>
      <c r="Q489" s="77"/>
      <c r="R489" s="73"/>
      <c r="S489" s="77"/>
      <c r="T489" s="70"/>
      <c r="U489" s="78"/>
      <c r="V489" s="70" t="str">
        <f t="shared" si="4"/>
        <v>FY 25-26</v>
      </c>
      <c r="W489" s="23"/>
      <c r="X489" s="23"/>
    </row>
    <row r="490">
      <c r="A490" s="70" t="s">
        <v>495</v>
      </c>
      <c r="B490" s="70" t="str">
        <f>IF($A$3=" "," ", IFERROR( VLOOKUP($A490,'SUPPLIER DATA BASE'!$A$2:$M$936,3,0),""))</f>
        <v>-</v>
      </c>
      <c r="C490" s="70" t="str">
        <f>IF($A$3=" "," ", IFERROR( VLOOKUP($A490,'SUPPLIER DATA BASE'!$A$2:$F$936,6,0),""))</f>
        <v>-</v>
      </c>
      <c r="D490" s="70" t="str">
        <f>IF($A$3=" "," ", IFERROR( VLOOKUP($A490,'SUPPLIER DATA BASE'!$A$2:$G$936,4,0),""))</f>
        <v>-</v>
      </c>
      <c r="E490" s="71" t="str">
        <f>IF($A$3=" "," ", IFERROR( VLOOKUP($A490,'SUPPLIER DATA BASE'!$A$2:$H$936,5,0),""))</f>
        <v>-</v>
      </c>
      <c r="F490" s="72" t="s">
        <v>1777</v>
      </c>
      <c r="G490" s="73">
        <v>46092.0</v>
      </c>
      <c r="H490" s="74">
        <v>144.0</v>
      </c>
      <c r="I490" s="75">
        <v>296483.0</v>
      </c>
      <c r="J490" s="76" t="s">
        <v>1778</v>
      </c>
      <c r="K490" s="70" t="s">
        <v>349</v>
      </c>
      <c r="L490" s="70" t="s">
        <v>349</v>
      </c>
      <c r="M490" s="70" t="str">
        <f t="shared" si="3"/>
        <v>96 Days</v>
      </c>
      <c r="N490" s="70" t="str">
        <f>IF($A$3=" "," ", IFERROR( VLOOKUP($A490,'SUPPLIER DATA BASE'!$A$2:$O$936,11,0),""))</f>
        <v>JAIN ADISHWAR HOSIERY WORKS LLP</v>
      </c>
      <c r="O490" s="70" t="str">
        <f>IF($A$3=" "," ", IFERROR( VLOOKUP($A490,'SUPPLIER DATA BASE'!$A$2:$O$936,12,0),""))</f>
        <v>99917644444444</v>
      </c>
      <c r="P490" s="70" t="str">
        <f>IF($A$3=" "," ", IFERROR( VLOOKUP($A490,'SUPPLIER DATA BASE'!$A$2:$O$936,13,0),""))</f>
        <v>HDFC0002063</v>
      </c>
      <c r="Q490" s="77"/>
      <c r="R490" s="73"/>
      <c r="S490" s="77"/>
      <c r="T490" s="70"/>
      <c r="U490" s="78"/>
      <c r="V490" s="70" t="str">
        <f t="shared" si="4"/>
        <v>FY 25-26</v>
      </c>
      <c r="W490" s="23"/>
      <c r="X490" s="23"/>
    </row>
    <row r="491">
      <c r="A491" s="70" t="s">
        <v>799</v>
      </c>
      <c r="B491" s="70" t="str">
        <f>IF($A$3=" "," ", IFERROR( VLOOKUP($A491,'SUPPLIER DATA BASE'!$A$2:$M$936,3,0),""))</f>
        <v>-</v>
      </c>
      <c r="C491" s="70" t="str">
        <f>IF($A$3=" "," ", IFERROR( VLOOKUP($A491,'SUPPLIER DATA BASE'!$A$2:$F$936,6,0),""))</f>
        <v>-</v>
      </c>
      <c r="D491" s="70" t="str">
        <f>IF($A$3=" "," ", IFERROR( VLOOKUP($A491,'SUPPLIER DATA BASE'!$A$2:$G$936,4,0),""))</f>
        <v>-</v>
      </c>
      <c r="E491" s="71" t="str">
        <f>IF($A$3=" "," ", IFERROR( VLOOKUP($A491,'SUPPLIER DATA BASE'!$A$2:$H$936,5,0),""))</f>
        <v>-</v>
      </c>
      <c r="F491" s="72" t="s">
        <v>1779</v>
      </c>
      <c r="G491" s="73">
        <v>46092.0</v>
      </c>
      <c r="H491" s="74">
        <v>190.0</v>
      </c>
      <c r="I491" s="75">
        <v>346786.0</v>
      </c>
      <c r="J491" s="76" t="s">
        <v>1780</v>
      </c>
      <c r="K491" s="70" t="s">
        <v>349</v>
      </c>
      <c r="L491" s="70" t="s">
        <v>349</v>
      </c>
      <c r="M491" s="70" t="str">
        <f t="shared" si="3"/>
        <v>96 Days</v>
      </c>
      <c r="N491" s="70" t="str">
        <f>IF($A$3=" "," ", IFERROR( VLOOKUP($A491,'SUPPLIER DATA BASE'!$A$2:$O$936,11,0),""))</f>
        <v>VISHAL MARKETING &amp; CO.</v>
      </c>
      <c r="O491" s="70" t="str">
        <f>IF($A$3=" "," ", IFERROR( VLOOKUP($A491,'SUPPLIER DATA BASE'!$A$2:$O$936,12,0),""))</f>
        <v>1091008700001025</v>
      </c>
      <c r="P491" s="70" t="str">
        <f>IF($A$3=" "," ", IFERROR( VLOOKUP($A491,'SUPPLIER DATA BASE'!$A$2:$O$936,13,0),""))</f>
        <v>PUNB0109100</v>
      </c>
      <c r="Q491" s="77"/>
      <c r="R491" s="73"/>
      <c r="S491" s="77"/>
      <c r="T491" s="70"/>
      <c r="U491" s="78"/>
      <c r="V491" s="70" t="str">
        <f t="shared" si="4"/>
        <v>FY 25-26</v>
      </c>
      <c r="W491" s="23"/>
      <c r="X491" s="23"/>
    </row>
    <row r="492">
      <c r="A492" s="70" t="s">
        <v>799</v>
      </c>
      <c r="B492" s="70" t="str">
        <f>IF($A$3=" "," ", IFERROR( VLOOKUP($A492,'SUPPLIER DATA BASE'!$A$2:$M$936,3,0),""))</f>
        <v>-</v>
      </c>
      <c r="C492" s="70" t="str">
        <f>IF($A$3=" "," ", IFERROR( VLOOKUP($A492,'SUPPLIER DATA BASE'!$A$2:$F$936,6,0),""))</f>
        <v>-</v>
      </c>
      <c r="D492" s="70" t="str">
        <f>IF($A$3=" "," ", IFERROR( VLOOKUP($A492,'SUPPLIER DATA BASE'!$A$2:$G$936,4,0),""))</f>
        <v>-</v>
      </c>
      <c r="E492" s="71" t="str">
        <f>IF($A$3=" "," ", IFERROR( VLOOKUP($A492,'SUPPLIER DATA BASE'!$A$2:$H$936,5,0),""))</f>
        <v>-</v>
      </c>
      <c r="F492" s="72" t="s">
        <v>1781</v>
      </c>
      <c r="G492" s="73">
        <v>46092.0</v>
      </c>
      <c r="H492" s="74">
        <v>138.0</v>
      </c>
      <c r="I492" s="75">
        <v>249558.0</v>
      </c>
      <c r="J492" s="76" t="s">
        <v>1782</v>
      </c>
      <c r="K492" s="70" t="s">
        <v>349</v>
      </c>
      <c r="L492" s="70" t="s">
        <v>349</v>
      </c>
      <c r="M492" s="70" t="str">
        <f t="shared" si="3"/>
        <v>96 Days</v>
      </c>
      <c r="N492" s="70" t="str">
        <f>IF($A$3=" "," ", IFERROR( VLOOKUP($A492,'SUPPLIER DATA BASE'!$A$2:$O$936,11,0),""))</f>
        <v>VISHAL MARKETING &amp; CO.</v>
      </c>
      <c r="O492" s="70" t="str">
        <f>IF($A$3=" "," ", IFERROR( VLOOKUP($A492,'SUPPLIER DATA BASE'!$A$2:$O$936,12,0),""))</f>
        <v>1091008700001025</v>
      </c>
      <c r="P492" s="70" t="str">
        <f>IF($A$3=" "," ", IFERROR( VLOOKUP($A492,'SUPPLIER DATA BASE'!$A$2:$O$936,13,0),""))</f>
        <v>PUNB0109100</v>
      </c>
      <c r="Q492" s="77"/>
      <c r="R492" s="73"/>
      <c r="S492" s="77"/>
      <c r="T492" s="70"/>
      <c r="U492" s="78"/>
      <c r="V492" s="70" t="str">
        <f t="shared" si="4"/>
        <v>FY 25-26</v>
      </c>
      <c r="W492" s="23"/>
      <c r="X492" s="23"/>
    </row>
    <row r="493">
      <c r="A493" s="70" t="s">
        <v>799</v>
      </c>
      <c r="B493" s="70" t="str">
        <f>IF($A$3=" "," ", IFERROR( VLOOKUP($A493,'SUPPLIER DATA BASE'!$A$2:$M$936,3,0),""))</f>
        <v>-</v>
      </c>
      <c r="C493" s="70" t="str">
        <f>IF($A$3=" "," ", IFERROR( VLOOKUP($A493,'SUPPLIER DATA BASE'!$A$2:$F$936,6,0),""))</f>
        <v>-</v>
      </c>
      <c r="D493" s="70" t="str">
        <f>IF($A$3=" "," ", IFERROR( VLOOKUP($A493,'SUPPLIER DATA BASE'!$A$2:$G$936,4,0),""))</f>
        <v>-</v>
      </c>
      <c r="E493" s="71" t="str">
        <f>IF($A$3=" "," ", IFERROR( VLOOKUP($A493,'SUPPLIER DATA BASE'!$A$2:$H$936,5,0),""))</f>
        <v>-</v>
      </c>
      <c r="F493" s="72" t="s">
        <v>1783</v>
      </c>
      <c r="G493" s="73">
        <v>46092.0</v>
      </c>
      <c r="H493" s="74">
        <v>40.0</v>
      </c>
      <c r="I493" s="75">
        <v>66065.0</v>
      </c>
      <c r="J493" s="76" t="s">
        <v>1784</v>
      </c>
      <c r="K493" s="70" t="s">
        <v>349</v>
      </c>
      <c r="L493" s="70" t="s">
        <v>349</v>
      </c>
      <c r="M493" s="70" t="str">
        <f t="shared" si="3"/>
        <v>96 Days</v>
      </c>
      <c r="N493" s="70" t="str">
        <f>IF($A$3=" "," ", IFERROR( VLOOKUP($A493,'SUPPLIER DATA BASE'!$A$2:$O$936,11,0),""))</f>
        <v>VISHAL MARKETING &amp; CO.</v>
      </c>
      <c r="O493" s="70" t="str">
        <f>IF($A$3=" "," ", IFERROR( VLOOKUP($A493,'SUPPLIER DATA BASE'!$A$2:$O$936,12,0),""))</f>
        <v>1091008700001025</v>
      </c>
      <c r="P493" s="70" t="str">
        <f>IF($A$3=" "," ", IFERROR( VLOOKUP($A493,'SUPPLIER DATA BASE'!$A$2:$O$936,13,0),""))</f>
        <v>PUNB0109100</v>
      </c>
      <c r="Q493" s="77"/>
      <c r="R493" s="73"/>
      <c r="S493" s="77"/>
      <c r="T493" s="70"/>
      <c r="U493" s="78"/>
      <c r="V493" s="70" t="str">
        <f t="shared" si="4"/>
        <v>FY 25-26</v>
      </c>
      <c r="W493" s="23"/>
      <c r="X493" s="23"/>
    </row>
    <row r="494">
      <c r="A494" s="70" t="s">
        <v>354</v>
      </c>
      <c r="B494" s="70" t="str">
        <f>IF($A$3=" "," ", IFERROR( VLOOKUP($A494,'SUPPLIER DATA BASE'!$A$2:$M$936,3,0),""))</f>
        <v>-</v>
      </c>
      <c r="C494" s="70" t="str">
        <f>IF($A$3=" "," ", IFERROR( VLOOKUP($A494,'SUPPLIER DATA BASE'!$A$2:$F$936,6,0),""))</f>
        <v>-</v>
      </c>
      <c r="D494" s="70" t="str">
        <f>IF($A$3=" "," ", IFERROR( VLOOKUP($A494,'SUPPLIER DATA BASE'!$A$2:$G$936,4,0),""))</f>
        <v>-</v>
      </c>
      <c r="E494" s="71" t="str">
        <f>IF($A$3=" "," ", IFERROR( VLOOKUP($A494,'SUPPLIER DATA BASE'!$A$2:$H$936,5,0),""))</f>
        <v>-</v>
      </c>
      <c r="F494" s="72" t="s">
        <v>1785</v>
      </c>
      <c r="G494" s="73">
        <v>46092.0</v>
      </c>
      <c r="H494" s="74">
        <v>10.0</v>
      </c>
      <c r="I494" s="75">
        <v>4208.2</v>
      </c>
      <c r="J494" s="76" t="s">
        <v>1786</v>
      </c>
      <c r="K494" s="70" t="s">
        <v>349</v>
      </c>
      <c r="L494" s="70" t="s">
        <v>349</v>
      </c>
      <c r="M494" s="70" t="str">
        <f t="shared" si="3"/>
        <v>96 Days</v>
      </c>
      <c r="N494" s="70" t="str">
        <f>IF($A$3=" "," ", IFERROR( VLOOKUP($A494,'SUPPLIER DATA BASE'!$A$2:$O$936,11,0),""))</f>
        <v>-</v>
      </c>
      <c r="O494" s="70" t="str">
        <f>IF($A$3=" "," ", IFERROR( VLOOKUP($A494,'SUPPLIER DATA BASE'!$A$2:$O$936,12,0),""))</f>
        <v>-</v>
      </c>
      <c r="P494" s="70" t="str">
        <f>IF($A$3=" "," ", IFERROR( VLOOKUP($A494,'SUPPLIER DATA BASE'!$A$2:$O$936,13,0),""))</f>
        <v>-</v>
      </c>
      <c r="Q494" s="77"/>
      <c r="R494" s="73"/>
      <c r="S494" s="77"/>
      <c r="T494" s="70"/>
      <c r="U494" s="78"/>
      <c r="V494" s="70" t="str">
        <f t="shared" si="4"/>
        <v>FY 25-26</v>
      </c>
      <c r="W494" s="23"/>
      <c r="X494" s="23"/>
    </row>
    <row r="495">
      <c r="A495" s="70" t="s">
        <v>413</v>
      </c>
      <c r="B495" s="70" t="str">
        <f>IF($A$3=" "," ", IFERROR( VLOOKUP($A495,'SUPPLIER DATA BASE'!$A$2:$M$936,3,0),""))</f>
        <v>KILLER</v>
      </c>
      <c r="C495" s="70" t="str">
        <f>IF($A$3=" "," ", IFERROR( VLOOKUP($A495,'SUPPLIER DATA BASE'!$A$2:$F$936,6,0),""))</f>
        <v>-</v>
      </c>
      <c r="D495" s="70" t="str">
        <f>IF($A$3=" "," ", IFERROR( VLOOKUP($A495,'SUPPLIER DATA BASE'!$A$2:$G$936,4,0),""))</f>
        <v>NO</v>
      </c>
      <c r="E495" s="71" t="str">
        <f>IF($A$3=" "," ", IFERROR( VLOOKUP($A495,'SUPPLIER DATA BASE'!$A$2:$H$936,5,0),""))</f>
        <v>-</v>
      </c>
      <c r="F495" s="72" t="s">
        <v>1787</v>
      </c>
      <c r="G495" s="73">
        <v>46092.0</v>
      </c>
      <c r="H495" s="74">
        <v>61.0</v>
      </c>
      <c r="I495" s="75">
        <v>98048.0</v>
      </c>
      <c r="J495" s="76" t="s">
        <v>1788</v>
      </c>
      <c r="K495" s="70" t="s">
        <v>349</v>
      </c>
      <c r="L495" s="70" t="s">
        <v>349</v>
      </c>
      <c r="M495" s="70" t="str">
        <f t="shared" si="3"/>
        <v>96 Days</v>
      </c>
      <c r="N495" s="70" t="str">
        <f>IF($A$3=" "," ", IFERROR( VLOOKUP($A495,'SUPPLIER DATA BASE'!$A$2:$O$936,11,0),""))</f>
        <v>D D SALES CO</v>
      </c>
      <c r="O495" s="70" t="str">
        <f>IF($A$3=" "," ", IFERROR( VLOOKUP($A495,'SUPPLIER DATA BASE'!$A$2:$O$936,12,0),""))</f>
        <v>29205007835</v>
      </c>
      <c r="P495" s="70" t="str">
        <f>IF($A$3=" "," ", IFERROR( VLOOKUP($A495,'SUPPLIER DATA BASE'!$A$2:$O$936,13,0),""))</f>
        <v>ICIC0000292</v>
      </c>
      <c r="Q495" s="77"/>
      <c r="R495" s="73"/>
      <c r="S495" s="77"/>
      <c r="T495" s="70"/>
      <c r="U495" s="78"/>
      <c r="V495" s="70" t="str">
        <f t="shared" si="4"/>
        <v>FY 25-26</v>
      </c>
      <c r="W495" s="23"/>
      <c r="X495" s="23"/>
    </row>
    <row r="496">
      <c r="A496" s="70"/>
      <c r="B496" s="70" t="str">
        <f>IF($A$3=" "," ", IFERROR( VLOOKUP($A496,'SUPPLIER DATA BASE'!$A$2:$M$936,3,0),""))</f>
        <v/>
      </c>
      <c r="C496" s="70" t="str">
        <f>IF($A$3=" "," ", IFERROR( VLOOKUP($A496,'SUPPLIER DATA BASE'!$A$2:$F$936,6,0),""))</f>
        <v/>
      </c>
      <c r="D496" s="70" t="str">
        <f>IF($A$3=" "," ", IFERROR( VLOOKUP($A496,'SUPPLIER DATA BASE'!$A$2:$G$936,4,0),""))</f>
        <v/>
      </c>
      <c r="E496" s="71" t="str">
        <f>IF($A$3=" "," ", IFERROR( VLOOKUP($A496,'SUPPLIER DATA BASE'!$A$2:$H$936,5,0),""))</f>
        <v/>
      </c>
      <c r="F496" s="72" t="s">
        <v>1789</v>
      </c>
      <c r="G496" s="73">
        <v>46092.0</v>
      </c>
      <c r="H496" s="74">
        <v>24.0</v>
      </c>
      <c r="I496" s="75">
        <v>20430.0</v>
      </c>
      <c r="J496" s="76" t="s">
        <v>1790</v>
      </c>
      <c r="K496" s="70" t="s">
        <v>349</v>
      </c>
      <c r="L496" s="70" t="s">
        <v>349</v>
      </c>
      <c r="M496" s="70" t="str">
        <f t="shared" si="3"/>
        <v>96 Days</v>
      </c>
      <c r="N496" s="70" t="str">
        <f>IF($A$3=" "," ", IFERROR( VLOOKUP($A496,'SUPPLIER DATA BASE'!$A$2:$O$936,11,0),""))</f>
        <v/>
      </c>
      <c r="O496" s="70" t="str">
        <f>IF($A$3=" "," ", IFERROR( VLOOKUP($A496,'SUPPLIER DATA BASE'!$A$2:$O$936,12,0),""))</f>
        <v/>
      </c>
      <c r="P496" s="70" t="str">
        <f>IF($A$3=" "," ", IFERROR( VLOOKUP($A496,'SUPPLIER DATA BASE'!$A$2:$O$936,13,0),""))</f>
        <v/>
      </c>
      <c r="Q496" s="77"/>
      <c r="R496" s="73"/>
      <c r="S496" s="77"/>
      <c r="T496" s="70"/>
      <c r="U496" s="78"/>
      <c r="V496" s="70" t="str">
        <f t="shared" si="4"/>
        <v>FY 25-26</v>
      </c>
      <c r="W496" s="23"/>
      <c r="X496" s="23"/>
    </row>
    <row r="497">
      <c r="A497" s="70"/>
      <c r="B497" s="70" t="str">
        <f>IF($A$3=" "," ", IFERROR( VLOOKUP($A497,'SUPPLIER DATA BASE'!$A$2:$M$936,3,0),""))</f>
        <v/>
      </c>
      <c r="C497" s="70" t="str">
        <f>IF($A$3=" "," ", IFERROR( VLOOKUP($A497,'SUPPLIER DATA BASE'!$A$2:$F$936,6,0),""))</f>
        <v/>
      </c>
      <c r="D497" s="70" t="str">
        <f>IF($A$3=" "," ", IFERROR( VLOOKUP($A497,'SUPPLIER DATA BASE'!$A$2:$G$936,4,0),""))</f>
        <v/>
      </c>
      <c r="E497" s="71" t="str">
        <f>IF($A$3=" "," ", IFERROR( VLOOKUP($A497,'SUPPLIER DATA BASE'!$A$2:$H$936,5,0),""))</f>
        <v/>
      </c>
      <c r="F497" s="72" t="s">
        <v>1791</v>
      </c>
      <c r="G497" s="73">
        <v>46092.0</v>
      </c>
      <c r="H497" s="74">
        <v>55.0</v>
      </c>
      <c r="I497" s="75">
        <v>40012.0</v>
      </c>
      <c r="J497" s="76" t="s">
        <v>1792</v>
      </c>
      <c r="K497" s="70" t="s">
        <v>349</v>
      </c>
      <c r="L497" s="70" t="s">
        <v>349</v>
      </c>
      <c r="M497" s="70" t="str">
        <f t="shared" si="3"/>
        <v>96 Days</v>
      </c>
      <c r="N497" s="70" t="str">
        <f>IF($A$3=" "," ", IFERROR( VLOOKUP($A497,'SUPPLIER DATA BASE'!$A$2:$O$936,11,0),""))</f>
        <v/>
      </c>
      <c r="O497" s="70" t="str">
        <f>IF($A$3=" "," ", IFERROR( VLOOKUP($A497,'SUPPLIER DATA BASE'!$A$2:$O$936,12,0),""))</f>
        <v/>
      </c>
      <c r="P497" s="70" t="str">
        <f>IF($A$3=" "," ", IFERROR( VLOOKUP($A497,'SUPPLIER DATA BASE'!$A$2:$O$936,13,0),""))</f>
        <v/>
      </c>
      <c r="Q497" s="77"/>
      <c r="R497" s="73"/>
      <c r="S497" s="77"/>
      <c r="T497" s="70"/>
      <c r="U497" s="78"/>
      <c r="V497" s="70" t="str">
        <f t="shared" si="4"/>
        <v>FY 25-26</v>
      </c>
      <c r="W497" s="23"/>
      <c r="X497" s="23"/>
    </row>
    <row r="498">
      <c r="A498" s="70" t="s">
        <v>354</v>
      </c>
      <c r="B498" s="70" t="str">
        <f>IF($A$3=" "," ", IFERROR( VLOOKUP($A498,'SUPPLIER DATA BASE'!$A$2:$M$936,3,0),""))</f>
        <v>-</v>
      </c>
      <c r="C498" s="70" t="str">
        <f>IF($A$3=" "," ", IFERROR( VLOOKUP($A498,'SUPPLIER DATA BASE'!$A$2:$F$936,6,0),""))</f>
        <v>-</v>
      </c>
      <c r="D498" s="70" t="str">
        <f>IF($A$3=" "," ", IFERROR( VLOOKUP($A498,'SUPPLIER DATA BASE'!$A$2:$G$936,4,0),""))</f>
        <v>-</v>
      </c>
      <c r="E498" s="71" t="str">
        <f>IF($A$3=" "," ", IFERROR( VLOOKUP($A498,'SUPPLIER DATA BASE'!$A$2:$H$936,5,0),""))</f>
        <v>-</v>
      </c>
      <c r="F498" s="72" t="s">
        <v>1793</v>
      </c>
      <c r="G498" s="73">
        <v>46092.0</v>
      </c>
      <c r="H498" s="74">
        <v>6.0</v>
      </c>
      <c r="I498" s="75">
        <v>7434.7</v>
      </c>
      <c r="J498" s="76" t="s">
        <v>1794</v>
      </c>
      <c r="K498" s="70" t="s">
        <v>349</v>
      </c>
      <c r="L498" s="70" t="s">
        <v>349</v>
      </c>
      <c r="M498" s="70" t="str">
        <f t="shared" si="3"/>
        <v>96 Days</v>
      </c>
      <c r="N498" s="70" t="str">
        <f>IF($A$3=" "," ", IFERROR( VLOOKUP($A498,'SUPPLIER DATA BASE'!$A$2:$O$936,11,0),""))</f>
        <v>-</v>
      </c>
      <c r="O498" s="70" t="str">
        <f>IF($A$3=" "," ", IFERROR( VLOOKUP($A498,'SUPPLIER DATA BASE'!$A$2:$O$936,12,0),""))</f>
        <v>-</v>
      </c>
      <c r="P498" s="70" t="str">
        <f>IF($A$3=" "," ", IFERROR( VLOOKUP($A498,'SUPPLIER DATA BASE'!$A$2:$O$936,13,0),""))</f>
        <v>-</v>
      </c>
      <c r="Q498" s="77"/>
      <c r="R498" s="73"/>
      <c r="S498" s="77"/>
      <c r="T498" s="70"/>
      <c r="U498" s="78"/>
      <c r="V498" s="70" t="str">
        <f t="shared" si="4"/>
        <v>FY 25-26</v>
      </c>
      <c r="W498" s="23"/>
      <c r="X498" s="23"/>
    </row>
    <row r="499">
      <c r="A499" s="70" t="s">
        <v>354</v>
      </c>
      <c r="B499" s="70" t="str">
        <f>IF($A$3=" "," ", IFERROR( VLOOKUP($A499,'SUPPLIER DATA BASE'!$A$2:$M$936,3,0),""))</f>
        <v>-</v>
      </c>
      <c r="C499" s="70" t="str">
        <f>IF($A$3=" "," ", IFERROR( VLOOKUP($A499,'SUPPLIER DATA BASE'!$A$2:$F$936,6,0),""))</f>
        <v>-</v>
      </c>
      <c r="D499" s="70" t="str">
        <f>IF($A$3=" "," ", IFERROR( VLOOKUP($A499,'SUPPLIER DATA BASE'!$A$2:$G$936,4,0),""))</f>
        <v>-</v>
      </c>
      <c r="E499" s="71" t="str">
        <f>IF($A$3=" "," ", IFERROR( VLOOKUP($A499,'SUPPLIER DATA BASE'!$A$2:$H$936,5,0),""))</f>
        <v>-</v>
      </c>
      <c r="F499" s="72" t="s">
        <v>1795</v>
      </c>
      <c r="G499" s="73">
        <v>46092.0</v>
      </c>
      <c r="H499" s="74">
        <v>6.0</v>
      </c>
      <c r="I499" s="75">
        <v>7296.92</v>
      </c>
      <c r="J499" s="76" t="s">
        <v>1796</v>
      </c>
      <c r="K499" s="70" t="s">
        <v>349</v>
      </c>
      <c r="L499" s="70" t="s">
        <v>349</v>
      </c>
      <c r="M499" s="70" t="str">
        <f t="shared" si="3"/>
        <v>96 Days</v>
      </c>
      <c r="N499" s="70" t="str">
        <f>IF($A$3=" "," ", IFERROR( VLOOKUP($A499,'SUPPLIER DATA BASE'!$A$2:$O$936,11,0),""))</f>
        <v>-</v>
      </c>
      <c r="O499" s="70" t="str">
        <f>IF($A$3=" "," ", IFERROR( VLOOKUP($A499,'SUPPLIER DATA BASE'!$A$2:$O$936,12,0),""))</f>
        <v>-</v>
      </c>
      <c r="P499" s="70" t="str">
        <f>IF($A$3=" "," ", IFERROR( VLOOKUP($A499,'SUPPLIER DATA BASE'!$A$2:$O$936,13,0),""))</f>
        <v>-</v>
      </c>
      <c r="Q499" s="77"/>
      <c r="R499" s="73"/>
      <c r="S499" s="77"/>
      <c r="T499" s="70"/>
      <c r="U499" s="78"/>
      <c r="V499" s="70" t="str">
        <f t="shared" si="4"/>
        <v>FY 25-26</v>
      </c>
      <c r="W499" s="23"/>
      <c r="X499" s="23"/>
    </row>
    <row r="500">
      <c r="A500" s="70" t="s">
        <v>354</v>
      </c>
      <c r="B500" s="70" t="str">
        <f>IF($A$3=" "," ", IFERROR( VLOOKUP($A500,'SUPPLIER DATA BASE'!$A$2:$M$936,3,0),""))</f>
        <v>-</v>
      </c>
      <c r="C500" s="70" t="str">
        <f>IF($A$3=" "," ", IFERROR( VLOOKUP($A500,'SUPPLIER DATA BASE'!$A$2:$F$936,6,0),""))</f>
        <v>-</v>
      </c>
      <c r="D500" s="70" t="str">
        <f>IF($A$3=" "," ", IFERROR( VLOOKUP($A500,'SUPPLIER DATA BASE'!$A$2:$G$936,4,0),""))</f>
        <v>-</v>
      </c>
      <c r="E500" s="71" t="str">
        <f>IF($A$3=" "," ", IFERROR( VLOOKUP($A500,'SUPPLIER DATA BASE'!$A$2:$H$936,5,0),""))</f>
        <v>-</v>
      </c>
      <c r="F500" s="72" t="s">
        <v>1797</v>
      </c>
      <c r="G500" s="73">
        <v>46092.0</v>
      </c>
      <c r="H500" s="74">
        <v>7.0</v>
      </c>
      <c r="I500" s="75">
        <v>12384.53</v>
      </c>
      <c r="J500" s="76" t="s">
        <v>1798</v>
      </c>
      <c r="K500" s="70" t="s">
        <v>349</v>
      </c>
      <c r="L500" s="70" t="s">
        <v>349</v>
      </c>
      <c r="M500" s="70" t="str">
        <f t="shared" si="3"/>
        <v>96 Days</v>
      </c>
      <c r="N500" s="70" t="str">
        <f>IF($A$3=" "," ", IFERROR( VLOOKUP($A500,'SUPPLIER DATA BASE'!$A$2:$O$936,11,0),""))</f>
        <v>-</v>
      </c>
      <c r="O500" s="70" t="str">
        <f>IF($A$3=" "," ", IFERROR( VLOOKUP($A500,'SUPPLIER DATA BASE'!$A$2:$O$936,12,0),""))</f>
        <v>-</v>
      </c>
      <c r="P500" s="70" t="str">
        <f>IF($A$3=" "," ", IFERROR( VLOOKUP($A500,'SUPPLIER DATA BASE'!$A$2:$O$936,13,0),""))</f>
        <v>-</v>
      </c>
      <c r="Q500" s="77"/>
      <c r="R500" s="73"/>
      <c r="S500" s="77"/>
      <c r="T500" s="70"/>
      <c r="U500" s="78"/>
      <c r="V500" s="70" t="str">
        <f t="shared" si="4"/>
        <v>FY 25-26</v>
      </c>
      <c r="W500" s="23"/>
      <c r="X500" s="23"/>
    </row>
    <row r="501">
      <c r="A501" s="70" t="s">
        <v>354</v>
      </c>
      <c r="B501" s="70" t="str">
        <f>IF($A$3=" "," ", IFERROR( VLOOKUP($A501,'SUPPLIER DATA BASE'!$A$2:$M$936,3,0),""))</f>
        <v>-</v>
      </c>
      <c r="C501" s="70" t="str">
        <f>IF($A$3=" "," ", IFERROR( VLOOKUP($A501,'SUPPLIER DATA BASE'!$A$2:$F$936,6,0),""))</f>
        <v>-</v>
      </c>
      <c r="D501" s="70" t="str">
        <f>IF($A$3=" "," ", IFERROR( VLOOKUP($A501,'SUPPLIER DATA BASE'!$A$2:$G$936,4,0),""))</f>
        <v>-</v>
      </c>
      <c r="E501" s="71" t="str">
        <f>IF($A$3=" "," ", IFERROR( VLOOKUP($A501,'SUPPLIER DATA BASE'!$A$2:$H$936,5,0),""))</f>
        <v>-</v>
      </c>
      <c r="F501" s="72" t="s">
        <v>1799</v>
      </c>
      <c r="G501" s="73">
        <v>46092.0</v>
      </c>
      <c r="H501" s="74">
        <v>6.0</v>
      </c>
      <c r="I501" s="75">
        <v>11665.22</v>
      </c>
      <c r="J501" s="76" t="s">
        <v>1800</v>
      </c>
      <c r="K501" s="70" t="s">
        <v>349</v>
      </c>
      <c r="L501" s="70" t="s">
        <v>349</v>
      </c>
      <c r="M501" s="70" t="str">
        <f t="shared" si="3"/>
        <v>96 Days</v>
      </c>
      <c r="N501" s="70" t="str">
        <f>IF($A$3=" "," ", IFERROR( VLOOKUP($A501,'SUPPLIER DATA BASE'!$A$2:$O$936,11,0),""))</f>
        <v>-</v>
      </c>
      <c r="O501" s="70" t="str">
        <f>IF($A$3=" "," ", IFERROR( VLOOKUP($A501,'SUPPLIER DATA BASE'!$A$2:$O$936,12,0),""))</f>
        <v>-</v>
      </c>
      <c r="P501" s="70" t="str">
        <f>IF($A$3=" "," ", IFERROR( VLOOKUP($A501,'SUPPLIER DATA BASE'!$A$2:$O$936,13,0),""))</f>
        <v>-</v>
      </c>
      <c r="Q501" s="77"/>
      <c r="R501" s="73"/>
      <c r="S501" s="77"/>
      <c r="T501" s="70"/>
      <c r="U501" s="78"/>
      <c r="V501" s="70" t="str">
        <f t="shared" si="4"/>
        <v>FY 25-26</v>
      </c>
      <c r="W501" s="23"/>
      <c r="X501" s="23"/>
    </row>
    <row r="502">
      <c r="A502" s="70" t="s">
        <v>354</v>
      </c>
      <c r="B502" s="70" t="str">
        <f>IF($A$3=" "," ", IFERROR( VLOOKUP($A502,'SUPPLIER DATA BASE'!$A$2:$M$936,3,0),""))</f>
        <v>-</v>
      </c>
      <c r="C502" s="70" t="str">
        <f>IF($A$3=" "," ", IFERROR( VLOOKUP($A502,'SUPPLIER DATA BASE'!$A$2:$F$936,6,0),""))</f>
        <v>-</v>
      </c>
      <c r="D502" s="70" t="str">
        <f>IF($A$3=" "," ", IFERROR( VLOOKUP($A502,'SUPPLIER DATA BASE'!$A$2:$G$936,4,0),""))</f>
        <v>-</v>
      </c>
      <c r="E502" s="71" t="str">
        <f>IF($A$3=" "," ", IFERROR( VLOOKUP($A502,'SUPPLIER DATA BASE'!$A$2:$H$936,5,0),""))</f>
        <v>-</v>
      </c>
      <c r="F502" s="72" t="s">
        <v>1801</v>
      </c>
      <c r="G502" s="73">
        <v>46092.0</v>
      </c>
      <c r="H502" s="74">
        <v>13.0</v>
      </c>
      <c r="I502" s="75">
        <v>15335.09</v>
      </c>
      <c r="J502" s="76" t="s">
        <v>1802</v>
      </c>
      <c r="K502" s="70" t="s">
        <v>349</v>
      </c>
      <c r="L502" s="73"/>
      <c r="M502" s="70" t="str">
        <f t="shared" si="3"/>
        <v>96 Days</v>
      </c>
      <c r="N502" s="70" t="str">
        <f>IF($A$3=" "," ", IFERROR( VLOOKUP($A502,'SUPPLIER DATA BASE'!$A$2:$O$936,11,0),""))</f>
        <v>-</v>
      </c>
      <c r="O502" s="70" t="str">
        <f>IF($A$3=" "," ", IFERROR( VLOOKUP($A502,'SUPPLIER DATA BASE'!$A$2:$O$936,12,0),""))</f>
        <v>-</v>
      </c>
      <c r="P502" s="70" t="str">
        <f>IF($A$3=" "," ", IFERROR( VLOOKUP($A502,'SUPPLIER DATA BASE'!$A$2:$O$936,13,0),""))</f>
        <v>-</v>
      </c>
      <c r="Q502" s="77"/>
      <c r="R502" s="73"/>
      <c r="S502" s="77"/>
      <c r="T502" s="70"/>
      <c r="U502" s="78"/>
      <c r="V502" s="70" t="str">
        <f t="shared" si="4"/>
        <v>FY 25-26</v>
      </c>
      <c r="W502" s="23"/>
      <c r="X502" s="23"/>
    </row>
    <row r="503">
      <c r="A503" s="70" t="s">
        <v>677</v>
      </c>
      <c r="B503" s="70" t="str">
        <f>IF($A$3=" "," ", IFERROR( VLOOKUP($A503,'SUPPLIER DATA BASE'!$A$2:$M$936,3,0),""))</f>
        <v>-</v>
      </c>
      <c r="C503" s="70" t="str">
        <f>IF($A$3=" "," ", IFERROR( VLOOKUP($A503,'SUPPLIER DATA BASE'!$A$2:$F$936,6,0),""))</f>
        <v>-</v>
      </c>
      <c r="D503" s="70" t="str">
        <f>IF($A$3=" "," ", IFERROR( VLOOKUP($A503,'SUPPLIER DATA BASE'!$A$2:$G$936,4,0),""))</f>
        <v>-</v>
      </c>
      <c r="E503" s="71" t="str">
        <f>IF($A$3=" "," ", IFERROR( VLOOKUP($A503,'SUPPLIER DATA BASE'!$A$2:$H$936,5,0),""))</f>
        <v>-</v>
      </c>
      <c r="F503" s="72" t="s">
        <v>1803</v>
      </c>
      <c r="G503" s="73">
        <v>46092.0</v>
      </c>
      <c r="H503" s="74">
        <v>56.0</v>
      </c>
      <c r="I503" s="75">
        <v>82743.0</v>
      </c>
      <c r="J503" s="76" t="s">
        <v>1804</v>
      </c>
      <c r="K503" s="70" t="s">
        <v>349</v>
      </c>
      <c r="L503" s="73"/>
      <c r="M503" s="70" t="str">
        <f t="shared" si="3"/>
        <v>96 Days</v>
      </c>
      <c r="N503" s="70" t="str">
        <f>IF($A$3=" "," ", IFERROR( VLOOKUP($A503,'SUPPLIER DATA BASE'!$A$2:$O$936,11,0),""))</f>
        <v>SARAOGI SUPER SALES PVT LTD</v>
      </c>
      <c r="O503" s="70" t="str">
        <f>IF($A$3=" "," ", IFERROR( VLOOKUP($A503,'SUPPLIER DATA BASE'!$A$2:$O$936,12,0),""))</f>
        <v>SASUSP011006</v>
      </c>
      <c r="P503" s="70" t="str">
        <f>IF($A$3=" "," ", IFERROR( VLOOKUP($A503,'SUPPLIER DATA BASE'!$A$2:$O$936,13,0),""))</f>
        <v>ICIC0000106</v>
      </c>
      <c r="Q503" s="77"/>
      <c r="R503" s="73"/>
      <c r="S503" s="77"/>
      <c r="T503" s="70"/>
      <c r="U503" s="78"/>
      <c r="V503" s="70" t="str">
        <f t="shared" si="4"/>
        <v>FY 25-26</v>
      </c>
      <c r="W503" s="23"/>
      <c r="X503" s="23"/>
    </row>
    <row r="504">
      <c r="A504" s="70" t="s">
        <v>677</v>
      </c>
      <c r="B504" s="70" t="str">
        <f>IF($A$3=" "," ", IFERROR( VLOOKUP($A504,'SUPPLIER DATA BASE'!$A$2:$M$936,3,0),""))</f>
        <v>-</v>
      </c>
      <c r="C504" s="70" t="str">
        <f>IF($A$3=" "," ", IFERROR( VLOOKUP($A504,'SUPPLIER DATA BASE'!$A$2:$F$936,6,0),""))</f>
        <v>-</v>
      </c>
      <c r="D504" s="70" t="str">
        <f>IF($A$3=" "," ", IFERROR( VLOOKUP($A504,'SUPPLIER DATA BASE'!$A$2:$G$936,4,0),""))</f>
        <v>-</v>
      </c>
      <c r="E504" s="71" t="str">
        <f>IF($A$3=" "," ", IFERROR( VLOOKUP($A504,'SUPPLIER DATA BASE'!$A$2:$H$936,5,0),""))</f>
        <v>-</v>
      </c>
      <c r="F504" s="72" t="s">
        <v>1805</v>
      </c>
      <c r="G504" s="73">
        <v>46092.0</v>
      </c>
      <c r="H504" s="74">
        <v>268.0</v>
      </c>
      <c r="I504" s="75">
        <v>133158.0</v>
      </c>
      <c r="J504" s="76" t="s">
        <v>1806</v>
      </c>
      <c r="K504" s="70" t="s">
        <v>349</v>
      </c>
      <c r="L504" s="73"/>
      <c r="M504" s="70" t="str">
        <f t="shared" si="3"/>
        <v>96 Days</v>
      </c>
      <c r="N504" s="70" t="str">
        <f>IF($A$3=" "," ", IFERROR( VLOOKUP($A504,'SUPPLIER DATA BASE'!$A$2:$O$936,11,0),""))</f>
        <v>SARAOGI SUPER SALES PVT LTD</v>
      </c>
      <c r="O504" s="70" t="str">
        <f>IF($A$3=" "," ", IFERROR( VLOOKUP($A504,'SUPPLIER DATA BASE'!$A$2:$O$936,12,0),""))</f>
        <v>SASUSP011006</v>
      </c>
      <c r="P504" s="70" t="str">
        <f>IF($A$3=" "," ", IFERROR( VLOOKUP($A504,'SUPPLIER DATA BASE'!$A$2:$O$936,13,0),""))</f>
        <v>ICIC0000106</v>
      </c>
      <c r="Q504" s="77"/>
      <c r="R504" s="73"/>
      <c r="S504" s="77"/>
      <c r="T504" s="70"/>
      <c r="U504" s="78"/>
      <c r="V504" s="70" t="str">
        <f t="shared" si="4"/>
        <v>FY 25-26</v>
      </c>
      <c r="W504" s="23"/>
      <c r="X504" s="23"/>
    </row>
    <row r="505">
      <c r="A505" s="70" t="s">
        <v>354</v>
      </c>
      <c r="B505" s="70" t="str">
        <f>IF($A$3=" "," ", IFERROR( VLOOKUP($A505,'SUPPLIER DATA BASE'!$A$2:$M$936,3,0),""))</f>
        <v>-</v>
      </c>
      <c r="C505" s="70" t="str">
        <f>IF($A$3=" "," ", IFERROR( VLOOKUP($A505,'SUPPLIER DATA BASE'!$A$2:$F$936,6,0),""))</f>
        <v>-</v>
      </c>
      <c r="D505" s="70" t="str">
        <f>IF($A$3=" "," ", IFERROR( VLOOKUP($A505,'SUPPLIER DATA BASE'!$A$2:$G$936,4,0),""))</f>
        <v>-</v>
      </c>
      <c r="E505" s="71" t="str">
        <f>IF($A$3=" "," ", IFERROR( VLOOKUP($A505,'SUPPLIER DATA BASE'!$A$2:$H$936,5,0),""))</f>
        <v>-</v>
      </c>
      <c r="F505" s="72" t="s">
        <v>1807</v>
      </c>
      <c r="G505" s="73">
        <v>46092.0</v>
      </c>
      <c r="H505" s="74">
        <v>12.0</v>
      </c>
      <c r="I505" s="75">
        <v>21271.19</v>
      </c>
      <c r="J505" s="76" t="s">
        <v>1808</v>
      </c>
      <c r="K505" s="70" t="s">
        <v>349</v>
      </c>
      <c r="L505" s="73"/>
      <c r="M505" s="70" t="str">
        <f t="shared" si="3"/>
        <v>96 Days</v>
      </c>
      <c r="N505" s="70" t="str">
        <f>IF($A$3=" "," ", IFERROR( VLOOKUP($A505,'SUPPLIER DATA BASE'!$A$2:$O$936,11,0),""))</f>
        <v>-</v>
      </c>
      <c r="O505" s="70" t="str">
        <f>IF($A$3=" "," ", IFERROR( VLOOKUP($A505,'SUPPLIER DATA BASE'!$A$2:$O$936,12,0),""))</f>
        <v>-</v>
      </c>
      <c r="P505" s="70" t="str">
        <f>IF($A$3=" "," ", IFERROR( VLOOKUP($A505,'SUPPLIER DATA BASE'!$A$2:$O$936,13,0),""))</f>
        <v>-</v>
      </c>
      <c r="Q505" s="77"/>
      <c r="R505" s="73"/>
      <c r="S505" s="77"/>
      <c r="T505" s="70"/>
      <c r="U505" s="78"/>
      <c r="V505" s="70" t="str">
        <f t="shared" si="4"/>
        <v>FY 25-26</v>
      </c>
      <c r="W505" s="23"/>
      <c r="X505" s="23"/>
    </row>
    <row r="506">
      <c r="A506" s="70" t="s">
        <v>354</v>
      </c>
      <c r="B506" s="70" t="str">
        <f>IF($A$3=" "," ", IFERROR( VLOOKUP($A506,'SUPPLIER DATA BASE'!$A$2:$M$936,3,0),""))</f>
        <v>-</v>
      </c>
      <c r="C506" s="70" t="str">
        <f>IF($A$3=" "," ", IFERROR( VLOOKUP($A506,'SUPPLIER DATA BASE'!$A$2:$F$936,6,0),""))</f>
        <v>-</v>
      </c>
      <c r="D506" s="70" t="str">
        <f>IF($A$3=" "," ", IFERROR( VLOOKUP($A506,'SUPPLIER DATA BASE'!$A$2:$G$936,4,0),""))</f>
        <v>-</v>
      </c>
      <c r="E506" s="71" t="str">
        <f>IF($A$3=" "," ", IFERROR( VLOOKUP($A506,'SUPPLIER DATA BASE'!$A$2:$H$936,5,0),""))</f>
        <v>-</v>
      </c>
      <c r="F506" s="72" t="s">
        <v>1809</v>
      </c>
      <c r="G506" s="73">
        <v>46092.0</v>
      </c>
      <c r="H506" s="74">
        <v>6.0</v>
      </c>
      <c r="I506" s="75">
        <v>14024.4</v>
      </c>
      <c r="J506" s="76" t="s">
        <v>1810</v>
      </c>
      <c r="K506" s="70" t="s">
        <v>349</v>
      </c>
      <c r="L506" s="73"/>
      <c r="M506" s="70" t="str">
        <f t="shared" si="3"/>
        <v>96 Days</v>
      </c>
      <c r="N506" s="70" t="str">
        <f>IF($A$3=" "," ", IFERROR( VLOOKUP($A506,'SUPPLIER DATA BASE'!$A$2:$O$936,11,0),""))</f>
        <v>-</v>
      </c>
      <c r="O506" s="70" t="str">
        <f>IF($A$3=" "," ", IFERROR( VLOOKUP($A506,'SUPPLIER DATA BASE'!$A$2:$O$936,12,0),""))</f>
        <v>-</v>
      </c>
      <c r="P506" s="70" t="str">
        <f>IF($A$3=" "," ", IFERROR( VLOOKUP($A506,'SUPPLIER DATA BASE'!$A$2:$O$936,13,0),""))</f>
        <v>-</v>
      </c>
      <c r="Q506" s="77"/>
      <c r="R506" s="73"/>
      <c r="S506" s="77"/>
      <c r="T506" s="70"/>
      <c r="U506" s="78"/>
      <c r="V506" s="70" t="str">
        <f t="shared" si="4"/>
        <v>FY 25-26</v>
      </c>
      <c r="W506" s="23"/>
      <c r="X506" s="23"/>
    </row>
    <row r="507">
      <c r="A507" s="70" t="s">
        <v>354</v>
      </c>
      <c r="B507" s="70" t="str">
        <f>IF($A$3=" "," ", IFERROR( VLOOKUP($A507,'SUPPLIER DATA BASE'!$A$2:$M$936,3,0),""))</f>
        <v>-</v>
      </c>
      <c r="C507" s="70" t="str">
        <f>IF($A$3=" "," ", IFERROR( VLOOKUP($A507,'SUPPLIER DATA BASE'!$A$2:$F$936,6,0),""))</f>
        <v>-</v>
      </c>
      <c r="D507" s="70" t="str">
        <f>IF($A$3=" "," ", IFERROR( VLOOKUP($A507,'SUPPLIER DATA BASE'!$A$2:$G$936,4,0),""))</f>
        <v>-</v>
      </c>
      <c r="E507" s="71" t="str">
        <f>IF($A$3=" "," ", IFERROR( VLOOKUP($A507,'SUPPLIER DATA BASE'!$A$2:$H$936,5,0),""))</f>
        <v>-</v>
      </c>
      <c r="F507" s="72" t="s">
        <v>1811</v>
      </c>
      <c r="G507" s="73">
        <v>46092.0</v>
      </c>
      <c r="H507" s="74">
        <v>7.0</v>
      </c>
      <c r="I507" s="75">
        <v>12048.8</v>
      </c>
      <c r="J507" s="76" t="s">
        <v>1812</v>
      </c>
      <c r="K507" s="70" t="s">
        <v>349</v>
      </c>
      <c r="L507" s="73"/>
      <c r="M507" s="70" t="str">
        <f t="shared" si="3"/>
        <v>96 Days</v>
      </c>
      <c r="N507" s="70" t="str">
        <f>IF($A$3=" "," ", IFERROR( VLOOKUP($A507,'SUPPLIER DATA BASE'!$A$2:$O$936,11,0),""))</f>
        <v>-</v>
      </c>
      <c r="O507" s="70" t="str">
        <f>IF($A$3=" "," ", IFERROR( VLOOKUP($A507,'SUPPLIER DATA BASE'!$A$2:$O$936,12,0),""))</f>
        <v>-</v>
      </c>
      <c r="P507" s="70" t="str">
        <f>IF($A$3=" "," ", IFERROR( VLOOKUP($A507,'SUPPLIER DATA BASE'!$A$2:$O$936,13,0),""))</f>
        <v>-</v>
      </c>
      <c r="Q507" s="77"/>
      <c r="R507" s="73"/>
      <c r="S507" s="77"/>
      <c r="T507" s="70"/>
      <c r="U507" s="78"/>
      <c r="V507" s="70" t="str">
        <f t="shared" si="4"/>
        <v>FY 25-26</v>
      </c>
      <c r="W507" s="23"/>
      <c r="X507" s="23"/>
    </row>
    <row r="508">
      <c r="A508" s="70" t="s">
        <v>406</v>
      </c>
      <c r="B508" s="70" t="str">
        <f>IF($A$3=" "," ", IFERROR( VLOOKUP($A508,'SUPPLIER DATA BASE'!$A$2:$M$936,3,0),""))</f>
        <v>SWEET DREAMS</v>
      </c>
      <c r="C508" s="70" t="str">
        <f>IF($A$3=" "," ", IFERROR( VLOOKUP($A508,'SUPPLIER DATA BASE'!$A$2:$F$936,6,0),""))</f>
        <v>-</v>
      </c>
      <c r="D508" s="70" t="str">
        <f>IF($A$3=" "," ", IFERROR( VLOOKUP($A508,'SUPPLIER DATA BASE'!$A$2:$G$936,4,0),""))</f>
        <v>NO</v>
      </c>
      <c r="E508" s="71" t="str">
        <f>IF($A$3=" "," ", IFERROR( VLOOKUP($A508,'SUPPLIER DATA BASE'!$A$2:$H$936,5,0),""))</f>
        <v>-</v>
      </c>
      <c r="F508" s="72" t="s">
        <v>1813</v>
      </c>
      <c r="G508" s="73">
        <v>46092.0</v>
      </c>
      <c r="H508" s="74">
        <v>42.0</v>
      </c>
      <c r="I508" s="75">
        <v>35246.0</v>
      </c>
      <c r="J508" s="76" t="s">
        <v>1814</v>
      </c>
      <c r="K508" s="70" t="s">
        <v>349</v>
      </c>
      <c r="L508" s="73"/>
      <c r="M508" s="70" t="str">
        <f t="shared" si="3"/>
        <v>96 Days</v>
      </c>
      <c r="N508" s="70" t="str">
        <f>IF($A$3=" "," ", IFERROR( VLOOKUP($A508,'SUPPLIER DATA BASE'!$A$2:$O$936,11,0),""))</f>
        <v>D D APPARELS</v>
      </c>
      <c r="O508" s="70" t="str">
        <f>IF($A$3=" "," ", IFERROR( VLOOKUP($A508,'SUPPLIER DATA BASE'!$A$2:$O$936,12,0),""))</f>
        <v>029205007835</v>
      </c>
      <c r="P508" s="70" t="str">
        <f>IF($A$3=" "," ", IFERROR( VLOOKUP($A508,'SUPPLIER DATA BASE'!$A$2:$O$936,13,0),""))</f>
        <v>ICIC0000292</v>
      </c>
      <c r="Q508" s="77"/>
      <c r="R508" s="73"/>
      <c r="S508" s="77"/>
      <c r="T508" s="70"/>
      <c r="U508" s="78"/>
      <c r="V508" s="70" t="str">
        <f t="shared" si="4"/>
        <v>FY 25-26</v>
      </c>
      <c r="W508" s="23"/>
      <c r="X508" s="23"/>
    </row>
    <row r="509">
      <c r="A509" s="70"/>
      <c r="B509" s="70" t="str">
        <f>IF($A$3=" "," ", IFERROR( VLOOKUP($A509,'SUPPLIER DATA BASE'!$A$2:$M$936,3,0),""))</f>
        <v/>
      </c>
      <c r="C509" s="70" t="str">
        <f>IF($A$3=" "," ", IFERROR( VLOOKUP($A509,'SUPPLIER DATA BASE'!$A$2:$F$936,6,0),""))</f>
        <v/>
      </c>
      <c r="D509" s="70" t="str">
        <f>IF($A$3=" "," ", IFERROR( VLOOKUP($A509,'SUPPLIER DATA BASE'!$A$2:$G$936,4,0),""))</f>
        <v/>
      </c>
      <c r="E509" s="71" t="str">
        <f>IF($A$3=" "," ", IFERROR( VLOOKUP($A509,'SUPPLIER DATA BASE'!$A$2:$H$936,5,0),""))</f>
        <v/>
      </c>
      <c r="F509" s="72" t="s">
        <v>1815</v>
      </c>
      <c r="G509" s="73">
        <v>46092.0</v>
      </c>
      <c r="H509" s="74">
        <v>9.0</v>
      </c>
      <c r="I509" s="75">
        <v>22633.0</v>
      </c>
      <c r="J509" s="76" t="s">
        <v>1816</v>
      </c>
      <c r="K509" s="70" t="s">
        <v>349</v>
      </c>
      <c r="L509" s="73"/>
      <c r="M509" s="70" t="str">
        <f t="shared" si="3"/>
        <v>96 Days</v>
      </c>
      <c r="N509" s="70" t="str">
        <f>IF($A$3=" "," ", IFERROR( VLOOKUP($A509,'SUPPLIER DATA BASE'!$A$2:$O$936,11,0),""))</f>
        <v/>
      </c>
      <c r="O509" s="70" t="str">
        <f>IF($A$3=" "," ", IFERROR( VLOOKUP($A509,'SUPPLIER DATA BASE'!$A$2:$O$936,12,0),""))</f>
        <v/>
      </c>
      <c r="P509" s="70" t="str">
        <f>IF($A$3=" "," ", IFERROR( VLOOKUP($A509,'SUPPLIER DATA BASE'!$A$2:$O$936,13,0),""))</f>
        <v/>
      </c>
      <c r="Q509" s="77"/>
      <c r="R509" s="73"/>
      <c r="S509" s="77"/>
      <c r="T509" s="70"/>
      <c r="U509" s="78"/>
      <c r="V509" s="70" t="str">
        <f t="shared" si="4"/>
        <v>FY 25-26</v>
      </c>
      <c r="W509" s="23"/>
      <c r="X509" s="23"/>
    </row>
    <row r="510">
      <c r="A510" s="70" t="s">
        <v>354</v>
      </c>
      <c r="B510" s="70" t="str">
        <f>IF($A$3=" "," ", IFERROR( VLOOKUP($A510,'SUPPLIER DATA BASE'!$A$2:$M$936,3,0),""))</f>
        <v>-</v>
      </c>
      <c r="C510" s="70" t="str">
        <f>IF($A$3=" "," ", IFERROR( VLOOKUP($A510,'SUPPLIER DATA BASE'!$A$2:$F$936,6,0),""))</f>
        <v>-</v>
      </c>
      <c r="D510" s="70" t="str">
        <f>IF($A$3=" "," ", IFERROR( VLOOKUP($A510,'SUPPLIER DATA BASE'!$A$2:$G$936,4,0),""))</f>
        <v>-</v>
      </c>
      <c r="E510" s="71" t="str">
        <f>IF($A$3=" "," ", IFERROR( VLOOKUP($A510,'SUPPLIER DATA BASE'!$A$2:$H$936,5,0),""))</f>
        <v>-</v>
      </c>
      <c r="F510" s="72" t="s">
        <v>1817</v>
      </c>
      <c r="G510" s="73">
        <v>46092.0</v>
      </c>
      <c r="H510" s="74">
        <v>6.0</v>
      </c>
      <c r="I510" s="75">
        <v>7296.92</v>
      </c>
      <c r="J510" s="76" t="s">
        <v>1818</v>
      </c>
      <c r="K510" s="70" t="s">
        <v>349</v>
      </c>
      <c r="L510" s="73"/>
      <c r="M510" s="70" t="str">
        <f t="shared" si="3"/>
        <v>96 Days</v>
      </c>
      <c r="N510" s="70" t="str">
        <f>IF($A$3=" "," ", IFERROR( VLOOKUP($A510,'SUPPLIER DATA BASE'!$A$2:$O$936,11,0),""))</f>
        <v>-</v>
      </c>
      <c r="O510" s="70" t="str">
        <f>IF($A$3=" "," ", IFERROR( VLOOKUP($A510,'SUPPLIER DATA BASE'!$A$2:$O$936,12,0),""))</f>
        <v>-</v>
      </c>
      <c r="P510" s="70" t="str">
        <f>IF($A$3=" "," ", IFERROR( VLOOKUP($A510,'SUPPLIER DATA BASE'!$A$2:$O$936,13,0),""))</f>
        <v>-</v>
      </c>
      <c r="Q510" s="77"/>
      <c r="R510" s="73"/>
      <c r="S510" s="77"/>
      <c r="T510" s="70"/>
      <c r="U510" s="78"/>
      <c r="V510" s="70" t="str">
        <f t="shared" si="4"/>
        <v>FY 25-26</v>
      </c>
      <c r="W510" s="23"/>
      <c r="X510" s="23"/>
    </row>
    <row r="511">
      <c r="A511" s="70" t="s">
        <v>354</v>
      </c>
      <c r="B511" s="70" t="str">
        <f>IF($A$3=" "," ", IFERROR( VLOOKUP($A511,'SUPPLIER DATA BASE'!$A$2:$M$936,3,0),""))</f>
        <v>-</v>
      </c>
      <c r="C511" s="70" t="str">
        <f>IF($A$3=" "," ", IFERROR( VLOOKUP($A511,'SUPPLIER DATA BASE'!$A$2:$F$936,6,0),""))</f>
        <v>-</v>
      </c>
      <c r="D511" s="70" t="str">
        <f>IF($A$3=" "," ", IFERROR( VLOOKUP($A511,'SUPPLIER DATA BASE'!$A$2:$G$936,4,0),""))</f>
        <v>-</v>
      </c>
      <c r="E511" s="71" t="str">
        <f>IF($A$3=" "," ", IFERROR( VLOOKUP($A511,'SUPPLIER DATA BASE'!$A$2:$H$936,5,0),""))</f>
        <v>-</v>
      </c>
      <c r="F511" s="72" t="s">
        <v>1819</v>
      </c>
      <c r="G511" s="73">
        <v>46093.0</v>
      </c>
      <c r="H511" s="74">
        <v>17.0</v>
      </c>
      <c r="I511" s="75">
        <v>36877.49</v>
      </c>
      <c r="J511" s="76" t="s">
        <v>1820</v>
      </c>
      <c r="K511" s="70" t="s">
        <v>349</v>
      </c>
      <c r="L511" s="70" t="s">
        <v>349</v>
      </c>
      <c r="M511" s="70" t="str">
        <f t="shared" si="3"/>
        <v>95 Days</v>
      </c>
      <c r="N511" s="70" t="str">
        <f>IF($A$3=" "," ", IFERROR( VLOOKUP($A511,'SUPPLIER DATA BASE'!$A$2:$O$936,11,0),""))</f>
        <v>-</v>
      </c>
      <c r="O511" s="70" t="str">
        <f>IF($A$3=" "," ", IFERROR( VLOOKUP($A511,'SUPPLIER DATA BASE'!$A$2:$O$936,12,0),""))</f>
        <v>-</v>
      </c>
      <c r="P511" s="70" t="str">
        <f>IF($A$3=" "," ", IFERROR( VLOOKUP($A511,'SUPPLIER DATA BASE'!$A$2:$O$936,13,0),""))</f>
        <v>-</v>
      </c>
      <c r="Q511" s="77"/>
      <c r="R511" s="73"/>
      <c r="S511" s="77"/>
      <c r="T511" s="70"/>
      <c r="U511" s="78"/>
      <c r="V511" s="70" t="str">
        <f t="shared" si="4"/>
        <v>FY 25-26</v>
      </c>
      <c r="W511" s="23"/>
      <c r="X511" s="23"/>
    </row>
    <row r="512">
      <c r="A512" s="70" t="s">
        <v>799</v>
      </c>
      <c r="B512" s="70" t="str">
        <f>IF($A$3=" "," ", IFERROR( VLOOKUP($A512,'SUPPLIER DATA BASE'!$A$2:$M$936,3,0),""))</f>
        <v>-</v>
      </c>
      <c r="C512" s="70" t="str">
        <f>IF($A$3=" "," ", IFERROR( VLOOKUP($A512,'SUPPLIER DATA BASE'!$A$2:$F$936,6,0),""))</f>
        <v>-</v>
      </c>
      <c r="D512" s="70" t="str">
        <f>IF($A$3=" "," ", IFERROR( VLOOKUP($A512,'SUPPLIER DATA BASE'!$A$2:$G$936,4,0),""))</f>
        <v>-</v>
      </c>
      <c r="E512" s="71" t="str">
        <f>IF($A$3=" "," ", IFERROR( VLOOKUP($A512,'SUPPLIER DATA BASE'!$A$2:$H$936,5,0),""))</f>
        <v>-</v>
      </c>
      <c r="F512" s="72" t="s">
        <v>1821</v>
      </c>
      <c r="G512" s="73">
        <v>46093.0</v>
      </c>
      <c r="H512" s="74">
        <v>295.0</v>
      </c>
      <c r="I512" s="75">
        <v>545463.0</v>
      </c>
      <c r="J512" s="76" t="s">
        <v>1822</v>
      </c>
      <c r="K512" s="70" t="s">
        <v>349</v>
      </c>
      <c r="L512" s="70" t="s">
        <v>349</v>
      </c>
      <c r="M512" s="70" t="str">
        <f t="shared" si="3"/>
        <v>95 Days</v>
      </c>
      <c r="N512" s="70" t="str">
        <f>IF($A$3=" "," ", IFERROR( VLOOKUP($A512,'SUPPLIER DATA BASE'!$A$2:$O$936,11,0),""))</f>
        <v>VISHAL MARKETING &amp; CO.</v>
      </c>
      <c r="O512" s="70" t="str">
        <f>IF($A$3=" "," ", IFERROR( VLOOKUP($A512,'SUPPLIER DATA BASE'!$A$2:$O$936,12,0),""))</f>
        <v>1091008700001025</v>
      </c>
      <c r="P512" s="70" t="str">
        <f>IF($A$3=" "," ", IFERROR( VLOOKUP($A512,'SUPPLIER DATA BASE'!$A$2:$O$936,13,0),""))</f>
        <v>PUNB0109100</v>
      </c>
      <c r="Q512" s="77"/>
      <c r="R512" s="73"/>
      <c r="S512" s="77"/>
      <c r="T512" s="70"/>
      <c r="U512" s="78"/>
      <c r="V512" s="70" t="str">
        <f t="shared" si="4"/>
        <v>FY 25-26</v>
      </c>
      <c r="W512" s="23"/>
      <c r="X512" s="23"/>
    </row>
    <row r="513">
      <c r="A513" s="70" t="s">
        <v>795</v>
      </c>
      <c r="B513" s="70" t="str">
        <f>IF($A$3=" "," ", IFERROR( VLOOKUP($A513,'SUPPLIER DATA BASE'!$A$2:$M$936,3,0),""))</f>
        <v>BANJARAN</v>
      </c>
      <c r="C513" s="70" t="str">
        <f>IF($A$3=" "," ", IFERROR( VLOOKUP($A513,'SUPPLIER DATA BASE'!$A$2:$F$936,6,0),""))</f>
        <v>NEPOLIAN</v>
      </c>
      <c r="D513" s="70" t="str">
        <f>IF($A$3=" "," ", IFERROR( VLOOKUP($A513,'SUPPLIER DATA BASE'!$A$2:$G$936,4,0),""))</f>
        <v>-</v>
      </c>
      <c r="E513" s="71" t="str">
        <f>IF($A$3=" "," ", IFERROR( VLOOKUP($A513,'SUPPLIER DATA BASE'!$A$2:$H$936,5,0),""))</f>
        <v>-</v>
      </c>
      <c r="F513" s="72" t="s">
        <v>1823</v>
      </c>
      <c r="G513" s="73">
        <v>46093.0</v>
      </c>
      <c r="H513" s="74">
        <v>368.0</v>
      </c>
      <c r="I513" s="75">
        <v>533500.0</v>
      </c>
      <c r="J513" s="76" t="s">
        <v>1824</v>
      </c>
      <c r="K513" s="70" t="s">
        <v>349</v>
      </c>
      <c r="L513" s="70" t="s">
        <v>349</v>
      </c>
      <c r="M513" s="70" t="str">
        <f t="shared" si="3"/>
        <v>95 Days</v>
      </c>
      <c r="N513" s="70" t="str">
        <f>IF($A$3=" "," ", IFERROR( VLOOKUP($A513,'SUPPLIER DATA BASE'!$A$2:$O$936,11,0),""))</f>
        <v>VINAYAK EMPORIUM PVT LIMITED</v>
      </c>
      <c r="O513" s="70" t="str">
        <f>IF($A$3=" "," ", IFERROR( VLOOKUP($A513,'SUPPLIER DATA BASE'!$A$2:$O$936,12,0),""))</f>
        <v>2192790001113</v>
      </c>
      <c r="P513" s="70" t="str">
        <f>IF($A$3=" "," ", IFERROR( VLOOKUP($A513,'SUPPLIER DATA BASE'!$A$2:$O$936,13,0),""))</f>
        <v>HDFC0000219</v>
      </c>
      <c r="Q513" s="77">
        <v>92812.0</v>
      </c>
      <c r="R513" s="73">
        <v>46131.0</v>
      </c>
      <c r="S513" s="77"/>
      <c r="T513" s="70"/>
      <c r="U513" s="84" t="s">
        <v>1825</v>
      </c>
      <c r="V513" s="70" t="str">
        <f t="shared" si="4"/>
        <v>FY 25-26</v>
      </c>
      <c r="W513" s="23"/>
      <c r="X513" s="23"/>
    </row>
    <row r="514">
      <c r="A514" s="70" t="s">
        <v>402</v>
      </c>
      <c r="B514" s="70" t="str">
        <f>IF($A$3=" "," ", IFERROR( VLOOKUP($A514,'SUPPLIER DATA BASE'!$A$2:$M$936,3,0),""))</f>
        <v>KHUSHAL/STATUS QUO</v>
      </c>
      <c r="C514" s="70" t="str">
        <f>IF($A$3=" "," ", IFERROR( VLOOKUP($A514,'SUPPLIER DATA BASE'!$A$2:$F$936,6,0),""))</f>
        <v>-</v>
      </c>
      <c r="D514" s="70" t="str">
        <f>IF($A$3=" "," ", IFERROR( VLOOKUP($A514,'SUPPLIER DATA BASE'!$A$2:$G$936,4,0),""))</f>
        <v>-</v>
      </c>
      <c r="E514" s="71" t="str">
        <f>IF($A$3=" "," ", IFERROR( VLOOKUP($A514,'SUPPLIER DATA BASE'!$A$2:$H$936,5,0),""))</f>
        <v>-</v>
      </c>
      <c r="F514" s="72" t="s">
        <v>1826</v>
      </c>
      <c r="G514" s="73">
        <v>46093.0</v>
      </c>
      <c r="H514" s="74">
        <v>87.0</v>
      </c>
      <c r="I514" s="75">
        <v>87421.0</v>
      </c>
      <c r="J514" s="76" t="s">
        <v>1827</v>
      </c>
      <c r="K514" s="70" t="s">
        <v>349</v>
      </c>
      <c r="L514" s="70" t="s">
        <v>349</v>
      </c>
      <c r="M514" s="70" t="str">
        <f t="shared" si="3"/>
        <v>95 Days</v>
      </c>
      <c r="N514" s="70" t="str">
        <f>IF($A$3=" "," ", IFERROR( VLOOKUP($A514,'SUPPLIER DATA BASE'!$A$2:$O$936,11,0),""))</f>
        <v>D APPAREL</v>
      </c>
      <c r="O514" s="70" t="str">
        <f>IF($A$3=" "," ", IFERROR( VLOOKUP($A514,'SUPPLIER DATA BASE'!$A$2:$O$936,12,0),""))</f>
        <v>722501010050397</v>
      </c>
      <c r="P514" s="70" t="str">
        <f>IF($A$3=" "," ", IFERROR( VLOOKUP($A514,'SUPPLIER DATA BASE'!$A$2:$O$936,13,0),""))</f>
        <v>UBIN0572250</v>
      </c>
      <c r="Q514" s="77"/>
      <c r="R514" s="73"/>
      <c r="S514" s="77"/>
      <c r="T514" s="70"/>
      <c r="U514" s="78"/>
      <c r="V514" s="70" t="str">
        <f t="shared" si="4"/>
        <v>FY 25-26</v>
      </c>
      <c r="W514" s="23"/>
      <c r="X514" s="23"/>
    </row>
    <row r="515">
      <c r="A515" s="70"/>
      <c r="B515" s="70" t="str">
        <f>IF($A$3=" "," ", IFERROR( VLOOKUP($A515,'SUPPLIER DATA BASE'!$A$2:$M$936,3,0),""))</f>
        <v/>
      </c>
      <c r="C515" s="70" t="str">
        <f>IF($A$3=" "," ", IFERROR( VLOOKUP($A515,'SUPPLIER DATA BASE'!$A$2:$F$936,6,0),""))</f>
        <v/>
      </c>
      <c r="D515" s="70" t="str">
        <f>IF($A$3=" "," ", IFERROR( VLOOKUP($A515,'SUPPLIER DATA BASE'!$A$2:$G$936,4,0),""))</f>
        <v/>
      </c>
      <c r="E515" s="71" t="str">
        <f>IF($A$3=" "," ", IFERROR( VLOOKUP($A515,'SUPPLIER DATA BASE'!$A$2:$H$936,5,0),""))</f>
        <v/>
      </c>
      <c r="F515" s="72" t="s">
        <v>1706</v>
      </c>
      <c r="G515" s="73">
        <v>46093.0</v>
      </c>
      <c r="H515" s="74">
        <v>110.0</v>
      </c>
      <c r="I515" s="75">
        <v>120290.0</v>
      </c>
      <c r="J515" s="76" t="s">
        <v>1828</v>
      </c>
      <c r="K515" s="70" t="s">
        <v>349</v>
      </c>
      <c r="L515" s="70" t="s">
        <v>349</v>
      </c>
      <c r="M515" s="70" t="str">
        <f t="shared" si="3"/>
        <v>95 Days</v>
      </c>
      <c r="N515" s="70" t="str">
        <f>IF($A$3=" "," ", IFERROR( VLOOKUP($A515,'SUPPLIER DATA BASE'!$A$2:$O$936,11,0),""))</f>
        <v/>
      </c>
      <c r="O515" s="70" t="str">
        <f>IF($A$3=" "," ", IFERROR( VLOOKUP($A515,'SUPPLIER DATA BASE'!$A$2:$O$936,12,0),""))</f>
        <v/>
      </c>
      <c r="P515" s="70" t="str">
        <f>IF($A$3=" "," ", IFERROR( VLOOKUP($A515,'SUPPLIER DATA BASE'!$A$2:$O$936,13,0),""))</f>
        <v/>
      </c>
      <c r="Q515" s="77"/>
      <c r="R515" s="73"/>
      <c r="S515" s="77"/>
      <c r="T515" s="70"/>
      <c r="U515" s="78"/>
      <c r="V515" s="70" t="str">
        <f t="shared" si="4"/>
        <v>FY 25-26</v>
      </c>
      <c r="W515" s="23"/>
      <c r="X515" s="23"/>
    </row>
    <row r="516">
      <c r="A516" s="70" t="s">
        <v>795</v>
      </c>
      <c r="B516" s="70" t="str">
        <f>IF($A$3=" "," ", IFERROR( VLOOKUP($A516,'SUPPLIER DATA BASE'!$A$2:$M$936,3,0),""))</f>
        <v>BANJARAN</v>
      </c>
      <c r="C516" s="70" t="str">
        <f>IF($A$3=" "," ", IFERROR( VLOOKUP($A516,'SUPPLIER DATA BASE'!$A$2:$F$936,6,0),""))</f>
        <v>NEPOLIAN</v>
      </c>
      <c r="D516" s="70" t="str">
        <f>IF($A$3=" "," ", IFERROR( VLOOKUP($A516,'SUPPLIER DATA BASE'!$A$2:$G$936,4,0),""))</f>
        <v>-</v>
      </c>
      <c r="E516" s="71" t="str">
        <f>IF($A$3=" "," ", IFERROR( VLOOKUP($A516,'SUPPLIER DATA BASE'!$A$2:$H$936,5,0),""))</f>
        <v>-</v>
      </c>
      <c r="F516" s="72" t="s">
        <v>1829</v>
      </c>
      <c r="G516" s="73">
        <v>46093.0</v>
      </c>
      <c r="H516" s="74">
        <v>365.0</v>
      </c>
      <c r="I516" s="75">
        <v>528945.0</v>
      </c>
      <c r="J516" s="76" t="s">
        <v>1830</v>
      </c>
      <c r="K516" s="70" t="s">
        <v>349</v>
      </c>
      <c r="L516" s="70" t="s">
        <v>349</v>
      </c>
      <c r="M516" s="70" t="str">
        <f t="shared" si="3"/>
        <v>95 Days</v>
      </c>
      <c r="N516" s="70" t="str">
        <f>IF($A$3=" "," ", IFERROR( VLOOKUP($A516,'SUPPLIER DATA BASE'!$A$2:$O$936,11,0),""))</f>
        <v>VINAYAK EMPORIUM PVT LIMITED</v>
      </c>
      <c r="O516" s="70" t="str">
        <f>IF($A$3=" "," ", IFERROR( VLOOKUP($A516,'SUPPLIER DATA BASE'!$A$2:$O$936,12,0),""))</f>
        <v>2192790001113</v>
      </c>
      <c r="P516" s="70" t="str">
        <f>IF($A$3=" "," ", IFERROR( VLOOKUP($A516,'SUPPLIER DATA BASE'!$A$2:$O$936,13,0),""))</f>
        <v>HDFC0000219</v>
      </c>
      <c r="Q516" s="77">
        <v>67314.0</v>
      </c>
      <c r="R516" s="73">
        <v>46131.0</v>
      </c>
      <c r="S516" s="77"/>
      <c r="T516" s="70"/>
      <c r="U516" s="84" t="s">
        <v>1825</v>
      </c>
      <c r="V516" s="70" t="str">
        <f t="shared" si="4"/>
        <v>FY 25-26</v>
      </c>
      <c r="W516" s="23"/>
      <c r="X516" s="23"/>
    </row>
    <row r="517">
      <c r="A517" s="70" t="s">
        <v>354</v>
      </c>
      <c r="B517" s="70" t="str">
        <f>IF($A$3=" "," ", IFERROR( VLOOKUP($A517,'SUPPLIER DATA BASE'!$A$2:$M$936,3,0),""))</f>
        <v>-</v>
      </c>
      <c r="C517" s="70" t="str">
        <f>IF($A$3=" "," ", IFERROR( VLOOKUP($A517,'SUPPLIER DATA BASE'!$A$2:$F$936,6,0),""))</f>
        <v>-</v>
      </c>
      <c r="D517" s="70" t="str">
        <f>IF($A$3=" "," ", IFERROR( VLOOKUP($A517,'SUPPLIER DATA BASE'!$A$2:$G$936,4,0),""))</f>
        <v>-</v>
      </c>
      <c r="E517" s="71" t="str">
        <f>IF($A$3=" "," ", IFERROR( VLOOKUP($A517,'SUPPLIER DATA BASE'!$A$2:$H$936,5,0),""))</f>
        <v>-</v>
      </c>
      <c r="F517" s="72" t="s">
        <v>1831</v>
      </c>
      <c r="G517" s="73">
        <v>46093.0</v>
      </c>
      <c r="H517" s="74">
        <v>16.0</v>
      </c>
      <c r="I517" s="75">
        <v>36053.38</v>
      </c>
      <c r="J517" s="76" t="s">
        <v>1832</v>
      </c>
      <c r="K517" s="70" t="s">
        <v>349</v>
      </c>
      <c r="L517" s="70" t="s">
        <v>349</v>
      </c>
      <c r="M517" s="70" t="str">
        <f t="shared" si="3"/>
        <v>95 Days</v>
      </c>
      <c r="N517" s="70" t="str">
        <f>IF($A$3=" "," ", IFERROR( VLOOKUP($A517,'SUPPLIER DATA BASE'!$A$2:$O$936,11,0),""))</f>
        <v>-</v>
      </c>
      <c r="O517" s="70" t="str">
        <f>IF($A$3=" "," ", IFERROR( VLOOKUP($A517,'SUPPLIER DATA BASE'!$A$2:$O$936,12,0),""))</f>
        <v>-</v>
      </c>
      <c r="P517" s="70" t="str">
        <f>IF($A$3=" "," ", IFERROR( VLOOKUP($A517,'SUPPLIER DATA BASE'!$A$2:$O$936,13,0),""))</f>
        <v>-</v>
      </c>
      <c r="Q517" s="77"/>
      <c r="R517" s="73"/>
      <c r="S517" s="77"/>
      <c r="T517" s="70"/>
      <c r="U517" s="78"/>
      <c r="V517" s="70" t="str">
        <f t="shared" si="4"/>
        <v>FY 25-26</v>
      </c>
      <c r="W517" s="23"/>
      <c r="X517" s="23"/>
    </row>
    <row r="518">
      <c r="A518" s="70" t="s">
        <v>354</v>
      </c>
      <c r="B518" s="70" t="str">
        <f>IF($A$3=" "," ", IFERROR( VLOOKUP($A518,'SUPPLIER DATA BASE'!$A$2:$M$936,3,0),""))</f>
        <v>-</v>
      </c>
      <c r="C518" s="70" t="str">
        <f>IF($A$3=" "," ", IFERROR( VLOOKUP($A518,'SUPPLIER DATA BASE'!$A$2:$F$936,6,0),""))</f>
        <v>-</v>
      </c>
      <c r="D518" s="70" t="str">
        <f>IF($A$3=" "," ", IFERROR( VLOOKUP($A518,'SUPPLIER DATA BASE'!$A$2:$G$936,4,0),""))</f>
        <v>-</v>
      </c>
      <c r="E518" s="71" t="str">
        <f>IF($A$3=" "," ", IFERROR( VLOOKUP($A518,'SUPPLIER DATA BASE'!$A$2:$H$936,5,0),""))</f>
        <v>-</v>
      </c>
      <c r="F518" s="72" t="s">
        <v>1833</v>
      </c>
      <c r="G518" s="73">
        <v>46093.0</v>
      </c>
      <c r="H518" s="74">
        <v>15.0</v>
      </c>
      <c r="I518" s="75">
        <v>25818.92</v>
      </c>
      <c r="J518" s="76" t="s">
        <v>1834</v>
      </c>
      <c r="K518" s="70" t="s">
        <v>349</v>
      </c>
      <c r="L518" s="73"/>
      <c r="M518" s="70" t="str">
        <f t="shared" si="3"/>
        <v>95 Days</v>
      </c>
      <c r="N518" s="70" t="str">
        <f>IF($A$3=" "," ", IFERROR( VLOOKUP($A518,'SUPPLIER DATA BASE'!$A$2:$O$936,11,0),""))</f>
        <v>-</v>
      </c>
      <c r="O518" s="70" t="str">
        <f>IF($A$3=" "," ", IFERROR( VLOOKUP($A518,'SUPPLIER DATA BASE'!$A$2:$O$936,12,0),""))</f>
        <v>-</v>
      </c>
      <c r="P518" s="70" t="str">
        <f>IF($A$3=" "," ", IFERROR( VLOOKUP($A518,'SUPPLIER DATA BASE'!$A$2:$O$936,13,0),""))</f>
        <v>-</v>
      </c>
      <c r="Q518" s="77"/>
      <c r="R518" s="73"/>
      <c r="S518" s="77"/>
      <c r="T518" s="70"/>
      <c r="U518" s="78"/>
      <c r="V518" s="70" t="str">
        <f t="shared" si="4"/>
        <v>FY 25-26</v>
      </c>
      <c r="W518" s="23"/>
      <c r="X518" s="23"/>
    </row>
    <row r="519">
      <c r="A519" s="70" t="s">
        <v>354</v>
      </c>
      <c r="B519" s="70" t="str">
        <f>IF($A$3=" "," ", IFERROR( VLOOKUP($A519,'SUPPLIER DATA BASE'!$A$2:$M$936,3,0),""))</f>
        <v>-</v>
      </c>
      <c r="C519" s="70" t="str">
        <f>IF($A$3=" "," ", IFERROR( VLOOKUP($A519,'SUPPLIER DATA BASE'!$A$2:$F$936,6,0),""))</f>
        <v>-</v>
      </c>
      <c r="D519" s="70" t="str">
        <f>IF($A$3=" "," ", IFERROR( VLOOKUP($A519,'SUPPLIER DATA BASE'!$A$2:$G$936,4,0),""))</f>
        <v>-</v>
      </c>
      <c r="E519" s="71" t="str">
        <f>IF($A$3=" "," ", IFERROR( VLOOKUP($A519,'SUPPLIER DATA BASE'!$A$2:$H$936,5,0),""))</f>
        <v>-</v>
      </c>
      <c r="F519" s="72" t="s">
        <v>1835</v>
      </c>
      <c r="G519" s="73">
        <v>46093.0</v>
      </c>
      <c r="H519" s="74">
        <v>19.0</v>
      </c>
      <c r="I519" s="75">
        <v>37243.72</v>
      </c>
      <c r="J519" s="76" t="s">
        <v>1836</v>
      </c>
      <c r="K519" s="70" t="s">
        <v>349</v>
      </c>
      <c r="L519" s="73"/>
      <c r="M519" s="70" t="str">
        <f t="shared" si="3"/>
        <v>95 Days</v>
      </c>
      <c r="N519" s="70" t="str">
        <f>IF($A$3=" "," ", IFERROR( VLOOKUP($A519,'SUPPLIER DATA BASE'!$A$2:$O$936,11,0),""))</f>
        <v>-</v>
      </c>
      <c r="O519" s="70" t="str">
        <f>IF($A$3=" "," ", IFERROR( VLOOKUP($A519,'SUPPLIER DATA BASE'!$A$2:$O$936,12,0),""))</f>
        <v>-</v>
      </c>
      <c r="P519" s="70" t="str">
        <f>IF($A$3=" "," ", IFERROR( VLOOKUP($A519,'SUPPLIER DATA BASE'!$A$2:$O$936,13,0),""))</f>
        <v>-</v>
      </c>
      <c r="Q519" s="77"/>
      <c r="R519" s="73"/>
      <c r="S519" s="77"/>
      <c r="T519" s="70"/>
      <c r="U519" s="78"/>
      <c r="V519" s="70" t="str">
        <f t="shared" si="4"/>
        <v>FY 25-26</v>
      </c>
      <c r="W519" s="23"/>
      <c r="X519" s="23"/>
    </row>
    <row r="520">
      <c r="A520" s="70" t="s">
        <v>354</v>
      </c>
      <c r="B520" s="70" t="str">
        <f>IF($A$3=" "," ", IFERROR( VLOOKUP($A520,'SUPPLIER DATA BASE'!$A$2:$M$936,3,0),""))</f>
        <v>-</v>
      </c>
      <c r="C520" s="70" t="str">
        <f>IF($A$3=" "," ", IFERROR( VLOOKUP($A520,'SUPPLIER DATA BASE'!$A$2:$F$936,6,0),""))</f>
        <v>-</v>
      </c>
      <c r="D520" s="70" t="str">
        <f>IF($A$3=" "," ", IFERROR( VLOOKUP($A520,'SUPPLIER DATA BASE'!$A$2:$G$936,4,0),""))</f>
        <v>-</v>
      </c>
      <c r="E520" s="71" t="str">
        <f>IF($A$3=" "," ", IFERROR( VLOOKUP($A520,'SUPPLIER DATA BASE'!$A$2:$H$936,5,0),""))</f>
        <v>-</v>
      </c>
      <c r="F520" s="72" t="s">
        <v>1837</v>
      </c>
      <c r="G520" s="73">
        <v>46093.0</v>
      </c>
      <c r="H520" s="74">
        <v>17.0</v>
      </c>
      <c r="I520" s="75">
        <v>36814.44</v>
      </c>
      <c r="J520" s="76" t="s">
        <v>1838</v>
      </c>
      <c r="K520" s="70" t="s">
        <v>349</v>
      </c>
      <c r="L520" s="73"/>
      <c r="M520" s="70" t="str">
        <f t="shared" si="3"/>
        <v>95 Days</v>
      </c>
      <c r="N520" s="70" t="str">
        <f>IF($A$3=" "," ", IFERROR( VLOOKUP($A520,'SUPPLIER DATA BASE'!$A$2:$O$936,11,0),""))</f>
        <v>-</v>
      </c>
      <c r="O520" s="70" t="str">
        <f>IF($A$3=" "," ", IFERROR( VLOOKUP($A520,'SUPPLIER DATA BASE'!$A$2:$O$936,12,0),""))</f>
        <v>-</v>
      </c>
      <c r="P520" s="70" t="str">
        <f>IF($A$3=" "," ", IFERROR( VLOOKUP($A520,'SUPPLIER DATA BASE'!$A$2:$O$936,13,0),""))</f>
        <v>-</v>
      </c>
      <c r="Q520" s="77"/>
      <c r="R520" s="73"/>
      <c r="S520" s="77"/>
      <c r="T520" s="70"/>
      <c r="U520" s="78"/>
      <c r="V520" s="70" t="str">
        <f t="shared" si="4"/>
        <v>FY 25-26</v>
      </c>
      <c r="W520" s="23"/>
      <c r="X520" s="23"/>
    </row>
    <row r="521">
      <c r="A521" s="70" t="s">
        <v>354</v>
      </c>
      <c r="B521" s="70" t="str">
        <f>IF($A$3=" "," ", IFERROR( VLOOKUP($A521,'SUPPLIER DATA BASE'!$A$2:$M$936,3,0),""))</f>
        <v>-</v>
      </c>
      <c r="C521" s="70" t="str">
        <f>IF($A$3=" "," ", IFERROR( VLOOKUP($A521,'SUPPLIER DATA BASE'!$A$2:$F$936,6,0),""))</f>
        <v>-</v>
      </c>
      <c r="D521" s="70" t="str">
        <f>IF($A$3=" "," ", IFERROR( VLOOKUP($A521,'SUPPLIER DATA BASE'!$A$2:$G$936,4,0),""))</f>
        <v>-</v>
      </c>
      <c r="E521" s="71" t="str">
        <f>IF($A$3=" "," ", IFERROR( VLOOKUP($A521,'SUPPLIER DATA BASE'!$A$2:$H$936,5,0),""))</f>
        <v>-</v>
      </c>
      <c r="F521" s="72" t="s">
        <v>1839</v>
      </c>
      <c r="G521" s="73">
        <v>46093.0</v>
      </c>
      <c r="H521" s="74">
        <v>2.0</v>
      </c>
      <c r="I521" s="75">
        <v>2190.62</v>
      </c>
      <c r="J521" s="76" t="s">
        <v>1840</v>
      </c>
      <c r="K521" s="70" t="s">
        <v>349</v>
      </c>
      <c r="L521" s="73"/>
      <c r="M521" s="70" t="str">
        <f t="shared" si="3"/>
        <v>95 Days</v>
      </c>
      <c r="N521" s="70" t="str">
        <f>IF($A$3=" "," ", IFERROR( VLOOKUP($A521,'SUPPLIER DATA BASE'!$A$2:$O$936,11,0),""))</f>
        <v>-</v>
      </c>
      <c r="O521" s="70" t="str">
        <f>IF($A$3=" "," ", IFERROR( VLOOKUP($A521,'SUPPLIER DATA BASE'!$A$2:$O$936,12,0),""))</f>
        <v>-</v>
      </c>
      <c r="P521" s="70" t="str">
        <f>IF($A$3=" "," ", IFERROR( VLOOKUP($A521,'SUPPLIER DATA BASE'!$A$2:$O$936,13,0),""))</f>
        <v>-</v>
      </c>
      <c r="Q521" s="77"/>
      <c r="R521" s="73"/>
      <c r="S521" s="77"/>
      <c r="T521" s="70"/>
      <c r="U521" s="78"/>
      <c r="V521" s="70" t="str">
        <f t="shared" si="4"/>
        <v>FY 25-26</v>
      </c>
      <c r="W521" s="23"/>
      <c r="X521" s="23"/>
    </row>
    <row r="522">
      <c r="A522" s="70" t="s">
        <v>575</v>
      </c>
      <c r="B522" s="70" t="str">
        <f>IF($A$3=" "," ", IFERROR( VLOOKUP($A522,'SUPPLIER DATA BASE'!$A$2:$M$936,3,0),""))</f>
        <v>BLACKBERRY</v>
      </c>
      <c r="C522" s="70" t="str">
        <f>IF($A$3=" "," ", IFERROR( VLOOKUP($A522,'SUPPLIER DATA BASE'!$A$2:$F$936,6,0),""))</f>
        <v>-</v>
      </c>
      <c r="D522" s="70" t="str">
        <f>IF($A$3=" "," ", IFERROR( VLOOKUP($A522,'SUPPLIER DATA BASE'!$A$2:$G$936,4,0),""))</f>
        <v>-</v>
      </c>
      <c r="E522" s="71" t="str">
        <f>IF($A$3=" "," ", IFERROR( VLOOKUP($A522,'SUPPLIER DATA BASE'!$A$2:$H$936,5,0),""))</f>
        <v>-</v>
      </c>
      <c r="F522" s="72">
        <v>8.500279719E9</v>
      </c>
      <c r="G522" s="73">
        <v>46093.0</v>
      </c>
      <c r="H522" s="74">
        <v>50.0</v>
      </c>
      <c r="I522" s="75">
        <v>97876.65</v>
      </c>
      <c r="J522" s="76" t="s">
        <v>1841</v>
      </c>
      <c r="K522" s="70" t="s">
        <v>349</v>
      </c>
      <c r="L522" s="73"/>
      <c r="M522" s="70" t="str">
        <f t="shared" si="3"/>
        <v>95 Days</v>
      </c>
      <c r="N522" s="70" t="str">
        <f>IF($A$3=" "," ", IFERROR( VLOOKUP($A522,'SUPPLIER DATA BASE'!$A$2:$O$936,11,0),""))</f>
        <v>MOHAN CLOTHING COMPANY PVT LTD</v>
      </c>
      <c r="O522" s="70" t="str">
        <f>IF($A$3=" "," ", IFERROR( VLOOKUP($A522,'SUPPLIER DATA BASE'!$A$2:$O$936,12,0),""))</f>
        <v>0710096023</v>
      </c>
      <c r="P522" s="70" t="str">
        <f>IF($A$3=" "," ", IFERROR( VLOOKUP($A522,'SUPPLIER DATA BASE'!$A$2:$O$936,13,0),""))</f>
        <v>CITI0000002</v>
      </c>
      <c r="Q522" s="77"/>
      <c r="R522" s="73"/>
      <c r="S522" s="77"/>
      <c r="T522" s="70"/>
      <c r="U522" s="78"/>
      <c r="V522" s="70" t="str">
        <f t="shared" si="4"/>
        <v>FY 25-26</v>
      </c>
      <c r="W522" s="23"/>
      <c r="X522" s="23"/>
    </row>
    <row r="523">
      <c r="A523" s="70" t="s">
        <v>506</v>
      </c>
      <c r="B523" s="70" t="str">
        <f>IF($A$3=" "," ", IFERROR( VLOOKUP($A523,'SUPPLIER DATA BASE'!$A$2:$M$936,3,0),""))</f>
        <v>-</v>
      </c>
      <c r="C523" s="70" t="str">
        <f>IF($A$3=" "," ", IFERROR( VLOOKUP($A523,'SUPPLIER DATA BASE'!$A$2:$F$936,6,0),""))</f>
        <v>SURYAM TEXTILE AGENCY</v>
      </c>
      <c r="D523" s="70" t="str">
        <f>IF($A$3=" "," ", IFERROR( VLOOKUP($A523,'SUPPLIER DATA BASE'!$A$2:$G$936,4,0),""))</f>
        <v>-</v>
      </c>
      <c r="E523" s="71" t="str">
        <f>IF($A$3=" "," ", IFERROR( VLOOKUP($A523,'SUPPLIER DATA BASE'!$A$2:$H$936,5,0),""))</f>
        <v>-</v>
      </c>
      <c r="F523" s="72" t="s">
        <v>1842</v>
      </c>
      <c r="G523" s="73">
        <v>46094.0</v>
      </c>
      <c r="H523" s="74">
        <v>42.0</v>
      </c>
      <c r="I523" s="75">
        <v>113978.0</v>
      </c>
      <c r="J523" s="76" t="s">
        <v>1843</v>
      </c>
      <c r="K523" s="70" t="s">
        <v>349</v>
      </c>
      <c r="L523" s="70" t="s">
        <v>349</v>
      </c>
      <c r="M523" s="70" t="str">
        <f t="shared" si="3"/>
        <v>94 Days</v>
      </c>
      <c r="N523" s="70" t="str">
        <f>IF($A$3=" "," ", IFERROR( VLOOKUP($A523,'SUPPLIER DATA BASE'!$A$2:$O$936,11,0),""))</f>
        <v>JAY AMBEY TEXTILE</v>
      </c>
      <c r="O523" s="70" t="str">
        <f>IF($A$3=" "," ", IFERROR( VLOOKUP($A523,'SUPPLIER DATA BASE'!$A$2:$O$936,12,0),""))</f>
        <v>9725605738</v>
      </c>
      <c r="P523" s="70" t="str">
        <f>IF($A$3=" "," ", IFERROR( VLOOKUP($A523,'SUPPLIER DATA BASE'!$A$2:$O$936,13,0),""))</f>
        <v>KKBK0002847</v>
      </c>
      <c r="Q523" s="77"/>
      <c r="R523" s="73"/>
      <c r="S523" s="77"/>
      <c r="T523" s="70"/>
      <c r="U523" s="78"/>
      <c r="V523" s="70" t="str">
        <f t="shared" si="4"/>
        <v>FY 25-26</v>
      </c>
      <c r="W523" s="23"/>
      <c r="X523" s="23"/>
    </row>
    <row r="524">
      <c r="A524" s="70" t="s">
        <v>798</v>
      </c>
      <c r="B524" s="70" t="str">
        <f>IF($A$3=" "," ", IFERROR( VLOOKUP($A524,'SUPPLIER DATA BASE'!$A$2:$M$936,3,0),""))</f>
        <v>-</v>
      </c>
      <c r="C524" s="70" t="str">
        <f>IF($A$3=" "," ", IFERROR( VLOOKUP($A524,'SUPPLIER DATA BASE'!$A$2:$F$936,6,0),""))</f>
        <v>-</v>
      </c>
      <c r="D524" s="70" t="str">
        <f>IF($A$3=" "," ", IFERROR( VLOOKUP($A524,'SUPPLIER DATA BASE'!$A$2:$G$936,4,0),""))</f>
        <v>-</v>
      </c>
      <c r="E524" s="71" t="str">
        <f>IF($A$3=" "," ", IFERROR( VLOOKUP($A524,'SUPPLIER DATA BASE'!$A$2:$H$936,5,0),""))</f>
        <v>-</v>
      </c>
      <c r="F524" s="72">
        <v>2.576109809E9</v>
      </c>
      <c r="G524" s="73">
        <v>46094.0</v>
      </c>
      <c r="H524" s="74">
        <v>250.0</v>
      </c>
      <c r="I524" s="75">
        <v>249751.0</v>
      </c>
      <c r="J524" s="76" t="s">
        <v>1844</v>
      </c>
      <c r="K524" s="70" t="s">
        <v>349</v>
      </c>
      <c r="L524" s="70" t="s">
        <v>349</v>
      </c>
      <c r="M524" s="70" t="str">
        <f t="shared" si="3"/>
        <v>94 Days</v>
      </c>
      <c r="N524" s="70" t="str">
        <f>IF($A$3=" "," ", IFERROR( VLOOKUP($A524,'SUPPLIER DATA BASE'!$A$2:$O$936,11,0),""))</f>
        <v>-</v>
      </c>
      <c r="O524" s="70" t="str">
        <f>IF($A$3=" "," ", IFERROR( VLOOKUP($A524,'SUPPLIER DATA BASE'!$A$2:$O$936,12,0),""))</f>
        <v>-</v>
      </c>
      <c r="P524" s="70" t="str">
        <f>IF($A$3=" "," ", IFERROR( VLOOKUP($A524,'SUPPLIER DATA BASE'!$A$2:$O$936,13,0),""))</f>
        <v>-</v>
      </c>
      <c r="Q524" s="77"/>
      <c r="R524" s="73"/>
      <c r="S524" s="77"/>
      <c r="T524" s="70"/>
      <c r="U524" s="78"/>
      <c r="V524" s="70" t="str">
        <f t="shared" si="4"/>
        <v>FY 25-26</v>
      </c>
      <c r="W524" s="23"/>
      <c r="X524" s="23"/>
    </row>
    <row r="525">
      <c r="A525" s="70" t="s">
        <v>798</v>
      </c>
      <c r="B525" s="70" t="str">
        <f>IF($A$3=" "," ", IFERROR( VLOOKUP($A525,'SUPPLIER DATA BASE'!$A$2:$M$936,3,0),""))</f>
        <v>-</v>
      </c>
      <c r="C525" s="70" t="str">
        <f>IF($A$3=" "," ", IFERROR( VLOOKUP($A525,'SUPPLIER DATA BASE'!$A$2:$F$936,6,0),""))</f>
        <v>-</v>
      </c>
      <c r="D525" s="70" t="str">
        <f>IF($A$3=" "," ", IFERROR( VLOOKUP($A525,'SUPPLIER DATA BASE'!$A$2:$G$936,4,0),""))</f>
        <v>-</v>
      </c>
      <c r="E525" s="71" t="str">
        <f>IF($A$3=" "," ", IFERROR( VLOOKUP($A525,'SUPPLIER DATA BASE'!$A$2:$H$936,5,0),""))</f>
        <v>-</v>
      </c>
      <c r="F525" s="72">
        <v>2.57610981E9</v>
      </c>
      <c r="G525" s="73">
        <v>46094.0</v>
      </c>
      <c r="H525" s="74">
        <v>150.0</v>
      </c>
      <c r="I525" s="75">
        <v>149850.0</v>
      </c>
      <c r="J525" s="76" t="s">
        <v>1845</v>
      </c>
      <c r="K525" s="70" t="s">
        <v>349</v>
      </c>
      <c r="L525" s="70" t="s">
        <v>349</v>
      </c>
      <c r="M525" s="70" t="str">
        <f t="shared" si="3"/>
        <v>94 Days</v>
      </c>
      <c r="N525" s="70" t="str">
        <f>IF($A$3=" "," ", IFERROR( VLOOKUP($A525,'SUPPLIER DATA BASE'!$A$2:$O$936,11,0),""))</f>
        <v>-</v>
      </c>
      <c r="O525" s="70" t="str">
        <f>IF($A$3=" "," ", IFERROR( VLOOKUP($A525,'SUPPLIER DATA BASE'!$A$2:$O$936,12,0),""))</f>
        <v>-</v>
      </c>
      <c r="P525" s="70" t="str">
        <f>IF($A$3=" "," ", IFERROR( VLOOKUP($A525,'SUPPLIER DATA BASE'!$A$2:$O$936,13,0),""))</f>
        <v>-</v>
      </c>
      <c r="Q525" s="77"/>
      <c r="R525" s="73"/>
      <c r="S525" s="77"/>
      <c r="T525" s="70"/>
      <c r="U525" s="78"/>
      <c r="V525" s="70" t="str">
        <f t="shared" si="4"/>
        <v>FY 25-26</v>
      </c>
      <c r="W525" s="23"/>
      <c r="X525" s="23"/>
    </row>
    <row r="526">
      <c r="A526" s="70" t="s">
        <v>541</v>
      </c>
      <c r="B526" s="70" t="str">
        <f>IF($A$3=" "," ", IFERROR( VLOOKUP($A526,'SUPPLIER DATA BASE'!$A$2:$M$936,3,0),""))</f>
        <v>TWILLS</v>
      </c>
      <c r="C526" s="70" t="str">
        <f>IF($A$3=" "," ", IFERROR( VLOOKUP($A526,'SUPPLIER DATA BASE'!$A$2:$F$936,6,0),""))</f>
        <v>-</v>
      </c>
      <c r="D526" s="70" t="str">
        <f>IF($A$3=" "," ", IFERROR( VLOOKUP($A526,'SUPPLIER DATA BASE'!$A$2:$G$936,4,0),""))</f>
        <v>-</v>
      </c>
      <c r="E526" s="71" t="str">
        <f>IF($A$3=" "," ", IFERROR( VLOOKUP($A526,'SUPPLIER DATA BASE'!$A$2:$H$936,5,0),""))</f>
        <v>-</v>
      </c>
      <c r="F526" s="72" t="s">
        <v>1846</v>
      </c>
      <c r="G526" s="73">
        <v>46094.0</v>
      </c>
      <c r="H526" s="74">
        <v>7.0</v>
      </c>
      <c r="I526" s="75">
        <v>24585.0</v>
      </c>
      <c r="J526" s="76" t="s">
        <v>1847</v>
      </c>
      <c r="K526" s="70" t="s">
        <v>349</v>
      </c>
      <c r="L526" s="70" t="s">
        <v>349</v>
      </c>
      <c r="M526" s="70" t="str">
        <f t="shared" si="3"/>
        <v>94 Days</v>
      </c>
      <c r="N526" s="70" t="str">
        <f>IF($A$3=" "," ", IFERROR( VLOOKUP($A526,'SUPPLIER DATA BASE'!$A$2:$O$936,11,0),""))</f>
        <v>M. N. GARMENTS</v>
      </c>
      <c r="O526" s="70" t="str">
        <f>IF($A$3=" "," ", IFERROR( VLOOKUP($A526,'SUPPLIER DATA BASE'!$A$2:$O$936,12,0),""))</f>
        <v>50200058436598</v>
      </c>
      <c r="P526" s="70" t="str">
        <f>IF($A$3=" "," ", IFERROR( VLOOKUP($A526,'SUPPLIER DATA BASE'!$A$2:$O$936,13,0),""))</f>
        <v>HDFC0001470</v>
      </c>
      <c r="Q526" s="77"/>
      <c r="R526" s="73"/>
      <c r="S526" s="77"/>
      <c r="T526" s="70"/>
      <c r="U526" s="78"/>
      <c r="V526" s="70" t="str">
        <f t="shared" si="4"/>
        <v>FY 25-26</v>
      </c>
      <c r="W526" s="23"/>
      <c r="X526" s="23"/>
    </row>
    <row r="527">
      <c r="A527" s="70" t="s">
        <v>756</v>
      </c>
      <c r="B527" s="70" t="str">
        <f>IF($A$3=" "," ", IFERROR( VLOOKUP($A527,'SUPPLIER DATA BASE'!$A$2:$M$936,3,0),""))</f>
        <v>JOCKEY</v>
      </c>
      <c r="C527" s="70" t="str">
        <f>IF($A$3=" "," ", IFERROR( VLOOKUP($A527,'SUPPLIER DATA BASE'!$A$2:$F$936,6,0),""))</f>
        <v>DIRECT</v>
      </c>
      <c r="D527" s="70">
        <f>IF($A$3=" "," ", IFERROR( VLOOKUP($A527,'SUPPLIER DATA BASE'!$A$2:$G$936,4,0),""))</f>
        <v>15</v>
      </c>
      <c r="E527" s="71">
        <f>IF($A$3=" "," ", IFERROR( VLOOKUP($A527,'SUPPLIER DATA BASE'!$A$2:$H$936,5,0),""))</f>
        <v>0.02</v>
      </c>
      <c r="F527" s="72" t="s">
        <v>1848</v>
      </c>
      <c r="G527" s="73">
        <v>46094.0</v>
      </c>
      <c r="H527" s="74">
        <v>20.0</v>
      </c>
      <c r="I527" s="75">
        <v>4423.0</v>
      </c>
      <c r="J527" s="76" t="s">
        <v>1849</v>
      </c>
      <c r="K527" s="70" t="s">
        <v>349</v>
      </c>
      <c r="L527" s="70" t="s">
        <v>349</v>
      </c>
      <c r="M527" s="70" t="str">
        <f t="shared" si="3"/>
        <v>94 Days</v>
      </c>
      <c r="N527" s="70" t="str">
        <f>IF($A$3=" "," ", IFERROR( VLOOKUP($A527,'SUPPLIER DATA BASE'!$A$2:$O$936,11,0),""))</f>
        <v>-</v>
      </c>
      <c r="O527" s="70" t="str">
        <f>IF($A$3=" "," ", IFERROR( VLOOKUP($A527,'SUPPLIER DATA BASE'!$A$2:$O$936,12,0),""))</f>
        <v>-</v>
      </c>
      <c r="P527" s="70" t="str">
        <f>IF($A$3=" "," ", IFERROR( VLOOKUP($A527,'SUPPLIER DATA BASE'!$A$2:$O$936,13,0),""))</f>
        <v>-</v>
      </c>
      <c r="Q527" s="77"/>
      <c r="R527" s="73"/>
      <c r="S527" s="77"/>
      <c r="T527" s="70"/>
      <c r="U527" s="78"/>
      <c r="V527" s="70" t="str">
        <f t="shared" si="4"/>
        <v>FY 25-26</v>
      </c>
      <c r="W527" s="23"/>
      <c r="X527" s="23"/>
    </row>
    <row r="528">
      <c r="A528" s="70" t="s">
        <v>756</v>
      </c>
      <c r="B528" s="70" t="str">
        <f>IF($A$3=" "," ", IFERROR( VLOOKUP($A528,'SUPPLIER DATA BASE'!$A$2:$M$936,3,0),""))</f>
        <v>JOCKEY</v>
      </c>
      <c r="C528" s="70" t="str">
        <f>IF($A$3=" "," ", IFERROR( VLOOKUP($A528,'SUPPLIER DATA BASE'!$A$2:$F$936,6,0),""))</f>
        <v>DIRECT</v>
      </c>
      <c r="D528" s="70">
        <f>IF($A$3=" "," ", IFERROR( VLOOKUP($A528,'SUPPLIER DATA BASE'!$A$2:$G$936,4,0),""))</f>
        <v>15</v>
      </c>
      <c r="E528" s="71">
        <f>IF($A$3=" "," ", IFERROR( VLOOKUP($A528,'SUPPLIER DATA BASE'!$A$2:$H$936,5,0),""))</f>
        <v>0.02</v>
      </c>
      <c r="F528" s="72" t="s">
        <v>1850</v>
      </c>
      <c r="G528" s="73">
        <v>46094.0</v>
      </c>
      <c r="H528" s="74">
        <v>60.0</v>
      </c>
      <c r="I528" s="75">
        <v>6930.0</v>
      </c>
      <c r="J528" s="76" t="s">
        <v>1851</v>
      </c>
      <c r="K528" s="70" t="s">
        <v>349</v>
      </c>
      <c r="L528" s="70" t="s">
        <v>349</v>
      </c>
      <c r="M528" s="70" t="str">
        <f t="shared" si="3"/>
        <v>94 Days</v>
      </c>
      <c r="N528" s="70" t="str">
        <f>IF($A$3=" "," ", IFERROR( VLOOKUP($A528,'SUPPLIER DATA BASE'!$A$2:$O$936,11,0),""))</f>
        <v>-</v>
      </c>
      <c r="O528" s="70" t="str">
        <f>IF($A$3=" "," ", IFERROR( VLOOKUP($A528,'SUPPLIER DATA BASE'!$A$2:$O$936,12,0),""))</f>
        <v>-</v>
      </c>
      <c r="P528" s="70" t="str">
        <f>IF($A$3=" "," ", IFERROR( VLOOKUP($A528,'SUPPLIER DATA BASE'!$A$2:$O$936,13,0),""))</f>
        <v>-</v>
      </c>
      <c r="Q528" s="77"/>
      <c r="R528" s="73"/>
      <c r="S528" s="77"/>
      <c r="T528" s="70"/>
      <c r="U528" s="78"/>
      <c r="V528" s="70" t="str">
        <f t="shared" si="4"/>
        <v>FY 25-26</v>
      </c>
      <c r="W528" s="23"/>
      <c r="X528" s="23"/>
    </row>
    <row r="529">
      <c r="A529" s="70" t="s">
        <v>756</v>
      </c>
      <c r="B529" s="70" t="str">
        <f>IF($A$3=" "," ", IFERROR( VLOOKUP($A529,'SUPPLIER DATA BASE'!$A$2:$M$936,3,0),""))</f>
        <v>JOCKEY</v>
      </c>
      <c r="C529" s="70" t="str">
        <f>IF($A$3=" "," ", IFERROR( VLOOKUP($A529,'SUPPLIER DATA BASE'!$A$2:$F$936,6,0),""))</f>
        <v>DIRECT</v>
      </c>
      <c r="D529" s="70">
        <f>IF($A$3=" "," ", IFERROR( VLOOKUP($A529,'SUPPLIER DATA BASE'!$A$2:$G$936,4,0),""))</f>
        <v>15</v>
      </c>
      <c r="E529" s="71">
        <f>IF($A$3=" "," ", IFERROR( VLOOKUP($A529,'SUPPLIER DATA BASE'!$A$2:$H$936,5,0),""))</f>
        <v>0.02</v>
      </c>
      <c r="F529" s="72" t="s">
        <v>1852</v>
      </c>
      <c r="G529" s="73">
        <v>46094.0</v>
      </c>
      <c r="H529" s="74">
        <v>40.0</v>
      </c>
      <c r="I529" s="75">
        <v>10920.0</v>
      </c>
      <c r="J529" s="76" t="s">
        <v>1853</v>
      </c>
      <c r="K529" s="70" t="s">
        <v>349</v>
      </c>
      <c r="L529" s="70" t="s">
        <v>349</v>
      </c>
      <c r="M529" s="70" t="str">
        <f t="shared" si="3"/>
        <v>94 Days</v>
      </c>
      <c r="N529" s="70" t="str">
        <f>IF($A$3=" "," ", IFERROR( VLOOKUP($A529,'SUPPLIER DATA BASE'!$A$2:$O$936,11,0),""))</f>
        <v>-</v>
      </c>
      <c r="O529" s="70" t="str">
        <f>IF($A$3=" "," ", IFERROR( VLOOKUP($A529,'SUPPLIER DATA BASE'!$A$2:$O$936,12,0),""))</f>
        <v>-</v>
      </c>
      <c r="P529" s="70" t="str">
        <f>IF($A$3=" "," ", IFERROR( VLOOKUP($A529,'SUPPLIER DATA BASE'!$A$2:$O$936,13,0),""))</f>
        <v>-</v>
      </c>
      <c r="Q529" s="77"/>
      <c r="R529" s="73"/>
      <c r="S529" s="77"/>
      <c r="T529" s="70"/>
      <c r="U529" s="78"/>
      <c r="V529" s="70" t="str">
        <f t="shared" si="4"/>
        <v>FY 25-26</v>
      </c>
      <c r="W529" s="23"/>
      <c r="X529" s="23"/>
    </row>
    <row r="530">
      <c r="A530" s="70" t="s">
        <v>798</v>
      </c>
      <c r="B530" s="70" t="str">
        <f>IF($A$3=" "," ", IFERROR( VLOOKUP($A530,'SUPPLIER DATA BASE'!$A$2:$M$936,3,0),""))</f>
        <v>-</v>
      </c>
      <c r="C530" s="70" t="str">
        <f>IF($A$3=" "," ", IFERROR( VLOOKUP($A530,'SUPPLIER DATA BASE'!$A$2:$F$936,6,0),""))</f>
        <v>-</v>
      </c>
      <c r="D530" s="70" t="str">
        <f>IF($A$3=" "," ", IFERROR( VLOOKUP($A530,'SUPPLIER DATA BASE'!$A$2:$G$936,4,0),""))</f>
        <v>-</v>
      </c>
      <c r="E530" s="71" t="str">
        <f>IF($A$3=" "," ", IFERROR( VLOOKUP($A530,'SUPPLIER DATA BASE'!$A$2:$H$936,5,0),""))</f>
        <v>-</v>
      </c>
      <c r="F530" s="72">
        <v>2.526103686E9</v>
      </c>
      <c r="G530" s="73">
        <v>46094.0</v>
      </c>
      <c r="H530" s="74">
        <v>125.0</v>
      </c>
      <c r="I530" s="75">
        <v>158125.0</v>
      </c>
      <c r="J530" s="76" t="s">
        <v>1854</v>
      </c>
      <c r="K530" s="70" t="s">
        <v>349</v>
      </c>
      <c r="L530" s="70" t="s">
        <v>349</v>
      </c>
      <c r="M530" s="70" t="str">
        <f t="shared" si="3"/>
        <v>94 Days</v>
      </c>
      <c r="N530" s="70" t="str">
        <f>IF($A$3=" "," ", IFERROR( VLOOKUP($A530,'SUPPLIER DATA BASE'!$A$2:$O$936,11,0),""))</f>
        <v>-</v>
      </c>
      <c r="O530" s="70" t="str">
        <f>IF($A$3=" "," ", IFERROR( VLOOKUP($A530,'SUPPLIER DATA BASE'!$A$2:$O$936,12,0),""))</f>
        <v>-</v>
      </c>
      <c r="P530" s="70" t="str">
        <f>IF($A$3=" "," ", IFERROR( VLOOKUP($A530,'SUPPLIER DATA BASE'!$A$2:$O$936,13,0),""))</f>
        <v>-</v>
      </c>
      <c r="Q530" s="77"/>
      <c r="R530" s="73"/>
      <c r="S530" s="77"/>
      <c r="T530" s="70"/>
      <c r="U530" s="78"/>
      <c r="V530" s="70" t="str">
        <f t="shared" si="4"/>
        <v>FY 25-26</v>
      </c>
      <c r="W530" s="23"/>
      <c r="X530" s="23"/>
    </row>
    <row r="531">
      <c r="A531" s="70" t="s">
        <v>354</v>
      </c>
      <c r="B531" s="70" t="str">
        <f>IF($A$3=" "," ", IFERROR( VLOOKUP($A531,'SUPPLIER DATA BASE'!$A$2:$M$936,3,0),""))</f>
        <v>-</v>
      </c>
      <c r="C531" s="70" t="str">
        <f>IF($A$3=" "," ", IFERROR( VLOOKUP($A531,'SUPPLIER DATA BASE'!$A$2:$F$936,6,0),""))</f>
        <v>-</v>
      </c>
      <c r="D531" s="70" t="str">
        <f>IF($A$3=" "," ", IFERROR( VLOOKUP($A531,'SUPPLIER DATA BASE'!$A$2:$G$936,4,0),""))</f>
        <v>-</v>
      </c>
      <c r="E531" s="71" t="str">
        <f>IF($A$3=" "," ", IFERROR( VLOOKUP($A531,'SUPPLIER DATA BASE'!$A$2:$H$936,5,0),""))</f>
        <v>-</v>
      </c>
      <c r="F531" s="72" t="s">
        <v>1855</v>
      </c>
      <c r="G531" s="73">
        <v>46094.0</v>
      </c>
      <c r="H531" s="74">
        <v>10.0</v>
      </c>
      <c r="I531" s="75">
        <v>9446.18</v>
      </c>
      <c r="J531" s="76" t="s">
        <v>1856</v>
      </c>
      <c r="K531" s="70" t="s">
        <v>349</v>
      </c>
      <c r="L531" s="73"/>
      <c r="M531" s="70" t="str">
        <f t="shared" si="3"/>
        <v>94 Days</v>
      </c>
      <c r="N531" s="70" t="str">
        <f>IF($A$3=" "," ", IFERROR( VLOOKUP($A531,'SUPPLIER DATA BASE'!$A$2:$O$936,11,0),""))</f>
        <v>-</v>
      </c>
      <c r="O531" s="70" t="str">
        <f>IF($A$3=" "," ", IFERROR( VLOOKUP($A531,'SUPPLIER DATA BASE'!$A$2:$O$936,12,0),""))</f>
        <v>-</v>
      </c>
      <c r="P531" s="70" t="str">
        <f>IF($A$3=" "," ", IFERROR( VLOOKUP($A531,'SUPPLIER DATA BASE'!$A$2:$O$936,13,0),""))</f>
        <v>-</v>
      </c>
      <c r="Q531" s="77"/>
      <c r="R531" s="73"/>
      <c r="S531" s="77"/>
      <c r="T531" s="70"/>
      <c r="U531" s="78"/>
      <c r="V531" s="70" t="str">
        <f t="shared" si="4"/>
        <v>FY 25-26</v>
      </c>
      <c r="W531" s="23"/>
      <c r="X531" s="23"/>
    </row>
    <row r="532">
      <c r="A532" s="70" t="s">
        <v>354</v>
      </c>
      <c r="B532" s="70" t="str">
        <f>IF($A$3=" "," ", IFERROR( VLOOKUP($A532,'SUPPLIER DATA BASE'!$A$2:$M$936,3,0),""))</f>
        <v>-</v>
      </c>
      <c r="C532" s="70" t="str">
        <f>IF($A$3=" "," ", IFERROR( VLOOKUP($A532,'SUPPLIER DATA BASE'!$A$2:$F$936,6,0),""))</f>
        <v>-</v>
      </c>
      <c r="D532" s="70" t="str">
        <f>IF($A$3=" "," ", IFERROR( VLOOKUP($A532,'SUPPLIER DATA BASE'!$A$2:$G$936,4,0),""))</f>
        <v>-</v>
      </c>
      <c r="E532" s="71" t="str">
        <f>IF($A$3=" "," ", IFERROR( VLOOKUP($A532,'SUPPLIER DATA BASE'!$A$2:$H$936,5,0),""))</f>
        <v>-</v>
      </c>
      <c r="F532" s="72" t="s">
        <v>1857</v>
      </c>
      <c r="G532" s="73">
        <v>46094.0</v>
      </c>
      <c r="H532" s="74">
        <v>3.0</v>
      </c>
      <c r="I532" s="75">
        <v>7265.28</v>
      </c>
      <c r="J532" s="76" t="s">
        <v>1858</v>
      </c>
      <c r="K532" s="70" t="s">
        <v>349</v>
      </c>
      <c r="L532" s="73"/>
      <c r="M532" s="70" t="str">
        <f t="shared" si="3"/>
        <v>94 Days</v>
      </c>
      <c r="N532" s="70" t="str">
        <f>IF($A$3=" "," ", IFERROR( VLOOKUP($A532,'SUPPLIER DATA BASE'!$A$2:$O$936,11,0),""))</f>
        <v>-</v>
      </c>
      <c r="O532" s="70" t="str">
        <f>IF($A$3=" "," ", IFERROR( VLOOKUP($A532,'SUPPLIER DATA BASE'!$A$2:$O$936,12,0),""))</f>
        <v>-</v>
      </c>
      <c r="P532" s="70" t="str">
        <f>IF($A$3=" "," ", IFERROR( VLOOKUP($A532,'SUPPLIER DATA BASE'!$A$2:$O$936,13,0),""))</f>
        <v>-</v>
      </c>
      <c r="Q532" s="77"/>
      <c r="R532" s="73"/>
      <c r="S532" s="77"/>
      <c r="T532" s="70"/>
      <c r="U532" s="78"/>
      <c r="V532" s="70" t="str">
        <f t="shared" si="4"/>
        <v>FY 25-26</v>
      </c>
      <c r="W532" s="23"/>
      <c r="X532" s="23"/>
    </row>
    <row r="533">
      <c r="A533" s="70" t="s">
        <v>354</v>
      </c>
      <c r="B533" s="70" t="str">
        <f>IF($A$3=" "," ", IFERROR( VLOOKUP($A533,'SUPPLIER DATA BASE'!$A$2:$M$936,3,0),""))</f>
        <v>-</v>
      </c>
      <c r="C533" s="70" t="str">
        <f>IF($A$3=" "," ", IFERROR( VLOOKUP($A533,'SUPPLIER DATA BASE'!$A$2:$F$936,6,0),""))</f>
        <v>-</v>
      </c>
      <c r="D533" s="70" t="str">
        <f>IF($A$3=" "," ", IFERROR( VLOOKUP($A533,'SUPPLIER DATA BASE'!$A$2:$G$936,4,0),""))</f>
        <v>-</v>
      </c>
      <c r="E533" s="71" t="str">
        <f>IF($A$3=" "," ", IFERROR( VLOOKUP($A533,'SUPPLIER DATA BASE'!$A$2:$H$936,5,0),""))</f>
        <v>-</v>
      </c>
      <c r="F533" s="72" t="s">
        <v>1859</v>
      </c>
      <c r="G533" s="73">
        <v>46094.0</v>
      </c>
      <c r="H533" s="74">
        <v>3.0</v>
      </c>
      <c r="I533" s="75">
        <v>19734.65</v>
      </c>
      <c r="J533" s="76" t="s">
        <v>1860</v>
      </c>
      <c r="K533" s="70" t="s">
        <v>349</v>
      </c>
      <c r="L533" s="73"/>
      <c r="M533" s="70" t="str">
        <f t="shared" si="3"/>
        <v>94 Days</v>
      </c>
      <c r="N533" s="70" t="str">
        <f>IF($A$3=" "," ", IFERROR( VLOOKUP($A533,'SUPPLIER DATA BASE'!$A$2:$O$936,11,0),""))</f>
        <v>-</v>
      </c>
      <c r="O533" s="70" t="str">
        <f>IF($A$3=" "," ", IFERROR( VLOOKUP($A533,'SUPPLIER DATA BASE'!$A$2:$O$936,12,0),""))</f>
        <v>-</v>
      </c>
      <c r="P533" s="70" t="str">
        <f>IF($A$3=" "," ", IFERROR( VLOOKUP($A533,'SUPPLIER DATA BASE'!$A$2:$O$936,13,0),""))</f>
        <v>-</v>
      </c>
      <c r="Q533" s="77"/>
      <c r="R533" s="73"/>
      <c r="S533" s="77"/>
      <c r="T533" s="70"/>
      <c r="U533" s="78"/>
      <c r="V533" s="70" t="str">
        <f t="shared" si="4"/>
        <v>FY 25-26</v>
      </c>
      <c r="W533" s="23"/>
      <c r="X533" s="23"/>
    </row>
    <row r="534">
      <c r="A534" s="70" t="s">
        <v>354</v>
      </c>
      <c r="B534" s="70" t="str">
        <f>IF($A$3=" "," ", IFERROR( VLOOKUP($A534,'SUPPLIER DATA BASE'!$A$2:$M$936,3,0),""))</f>
        <v>-</v>
      </c>
      <c r="C534" s="70" t="str">
        <f>IF($A$3=" "," ", IFERROR( VLOOKUP($A534,'SUPPLIER DATA BASE'!$A$2:$F$936,6,0),""))</f>
        <v>-</v>
      </c>
      <c r="D534" s="70" t="str">
        <f>IF($A$3=" "," ", IFERROR( VLOOKUP($A534,'SUPPLIER DATA BASE'!$A$2:$G$936,4,0),""))</f>
        <v>-</v>
      </c>
      <c r="E534" s="71" t="str">
        <f>IF($A$3=" "," ", IFERROR( VLOOKUP($A534,'SUPPLIER DATA BASE'!$A$2:$H$936,5,0),""))</f>
        <v>-</v>
      </c>
      <c r="F534" s="72" t="s">
        <v>1861</v>
      </c>
      <c r="G534" s="73">
        <v>46094.0</v>
      </c>
      <c r="H534" s="74">
        <v>12.0</v>
      </c>
      <c r="I534" s="75">
        <v>120143.08</v>
      </c>
      <c r="J534" s="76" t="s">
        <v>1862</v>
      </c>
      <c r="K534" s="70" t="s">
        <v>349</v>
      </c>
      <c r="L534" s="73"/>
      <c r="M534" s="70" t="str">
        <f t="shared" si="3"/>
        <v>94 Days</v>
      </c>
      <c r="N534" s="70" t="str">
        <f>IF($A$3=" "," ", IFERROR( VLOOKUP($A534,'SUPPLIER DATA BASE'!$A$2:$O$936,11,0),""))</f>
        <v>-</v>
      </c>
      <c r="O534" s="70" t="str">
        <f>IF($A$3=" "," ", IFERROR( VLOOKUP($A534,'SUPPLIER DATA BASE'!$A$2:$O$936,12,0),""))</f>
        <v>-</v>
      </c>
      <c r="P534" s="70" t="str">
        <f>IF($A$3=" "," ", IFERROR( VLOOKUP($A534,'SUPPLIER DATA BASE'!$A$2:$O$936,13,0),""))</f>
        <v>-</v>
      </c>
      <c r="Q534" s="77"/>
      <c r="R534" s="73"/>
      <c r="S534" s="77"/>
      <c r="T534" s="70"/>
      <c r="U534" s="78"/>
      <c r="V534" s="70" t="str">
        <f t="shared" si="4"/>
        <v>FY 25-26</v>
      </c>
      <c r="W534" s="23"/>
      <c r="X534" s="23"/>
    </row>
    <row r="535">
      <c r="A535" s="70" t="s">
        <v>354</v>
      </c>
      <c r="B535" s="70" t="str">
        <f>IF($A$3=" "," ", IFERROR( VLOOKUP($A535,'SUPPLIER DATA BASE'!$A$2:$M$936,3,0),""))</f>
        <v>-</v>
      </c>
      <c r="C535" s="70" t="str">
        <f>IF($A$3=" "," ", IFERROR( VLOOKUP($A535,'SUPPLIER DATA BASE'!$A$2:$F$936,6,0),""))</f>
        <v>-</v>
      </c>
      <c r="D535" s="70" t="str">
        <f>IF($A$3=" "," ", IFERROR( VLOOKUP($A535,'SUPPLIER DATA BASE'!$A$2:$G$936,4,0),""))</f>
        <v>-</v>
      </c>
      <c r="E535" s="71" t="str">
        <f>IF($A$3=" "," ", IFERROR( VLOOKUP($A535,'SUPPLIER DATA BASE'!$A$2:$H$936,5,0),""))</f>
        <v>-</v>
      </c>
      <c r="F535" s="72" t="s">
        <v>1863</v>
      </c>
      <c r="G535" s="73">
        <v>46094.0</v>
      </c>
      <c r="H535" s="74">
        <v>3.0</v>
      </c>
      <c r="I535" s="75">
        <v>11226.84</v>
      </c>
      <c r="J535" s="76" t="s">
        <v>1864</v>
      </c>
      <c r="K535" s="70" t="s">
        <v>349</v>
      </c>
      <c r="L535" s="73"/>
      <c r="M535" s="70" t="str">
        <f t="shared" si="3"/>
        <v>94 Days</v>
      </c>
      <c r="N535" s="70" t="str">
        <f>IF($A$3=" "," ", IFERROR( VLOOKUP($A535,'SUPPLIER DATA BASE'!$A$2:$O$936,11,0),""))</f>
        <v>-</v>
      </c>
      <c r="O535" s="70" t="str">
        <f>IF($A$3=" "," ", IFERROR( VLOOKUP($A535,'SUPPLIER DATA BASE'!$A$2:$O$936,12,0),""))</f>
        <v>-</v>
      </c>
      <c r="P535" s="70" t="str">
        <f>IF($A$3=" "," ", IFERROR( VLOOKUP($A535,'SUPPLIER DATA BASE'!$A$2:$O$936,13,0),""))</f>
        <v>-</v>
      </c>
      <c r="Q535" s="77"/>
      <c r="R535" s="73"/>
      <c r="S535" s="77"/>
      <c r="T535" s="70"/>
      <c r="U535" s="78"/>
      <c r="V535" s="70" t="str">
        <f t="shared" si="4"/>
        <v>FY 25-26</v>
      </c>
      <c r="W535" s="23"/>
      <c r="X535" s="23"/>
    </row>
    <row r="536">
      <c r="A536" s="70" t="s">
        <v>354</v>
      </c>
      <c r="B536" s="70" t="str">
        <f>IF($A$3=" "," ", IFERROR( VLOOKUP($A536,'SUPPLIER DATA BASE'!$A$2:$M$936,3,0),""))</f>
        <v>-</v>
      </c>
      <c r="C536" s="70" t="str">
        <f>IF($A$3=" "," ", IFERROR( VLOOKUP($A536,'SUPPLIER DATA BASE'!$A$2:$F$936,6,0),""))</f>
        <v>-</v>
      </c>
      <c r="D536" s="70" t="str">
        <f>IF($A$3=" "," ", IFERROR( VLOOKUP($A536,'SUPPLIER DATA BASE'!$A$2:$G$936,4,0),""))</f>
        <v>-</v>
      </c>
      <c r="E536" s="71" t="str">
        <f>IF($A$3=" "," ", IFERROR( VLOOKUP($A536,'SUPPLIER DATA BASE'!$A$2:$H$936,5,0),""))</f>
        <v>-</v>
      </c>
      <c r="F536" s="72" t="s">
        <v>1865</v>
      </c>
      <c r="G536" s="73">
        <v>46094.0</v>
      </c>
      <c r="H536" s="74">
        <v>48.0</v>
      </c>
      <c r="I536" s="75">
        <v>62233.68</v>
      </c>
      <c r="J536" s="76" t="s">
        <v>1866</v>
      </c>
      <c r="K536" s="70" t="s">
        <v>349</v>
      </c>
      <c r="L536" s="73"/>
      <c r="M536" s="70" t="str">
        <f t="shared" si="3"/>
        <v>94 Days</v>
      </c>
      <c r="N536" s="70" t="str">
        <f>IF($A$3=" "," ", IFERROR( VLOOKUP($A536,'SUPPLIER DATA BASE'!$A$2:$O$936,11,0),""))</f>
        <v>-</v>
      </c>
      <c r="O536" s="70" t="str">
        <f>IF($A$3=" "," ", IFERROR( VLOOKUP($A536,'SUPPLIER DATA BASE'!$A$2:$O$936,12,0),""))</f>
        <v>-</v>
      </c>
      <c r="P536" s="70" t="str">
        <f>IF($A$3=" "," ", IFERROR( VLOOKUP($A536,'SUPPLIER DATA BASE'!$A$2:$O$936,13,0),""))</f>
        <v>-</v>
      </c>
      <c r="Q536" s="77"/>
      <c r="R536" s="73"/>
      <c r="S536" s="77"/>
      <c r="T536" s="70"/>
      <c r="U536" s="78"/>
      <c r="V536" s="70" t="str">
        <f t="shared" si="4"/>
        <v>FY 25-26</v>
      </c>
      <c r="W536" s="23"/>
      <c r="X536" s="23"/>
    </row>
    <row r="537">
      <c r="A537" s="70" t="s">
        <v>354</v>
      </c>
      <c r="B537" s="70" t="str">
        <f>IF($A$3=" "," ", IFERROR( VLOOKUP($A537,'SUPPLIER DATA BASE'!$A$2:$M$936,3,0),""))</f>
        <v>-</v>
      </c>
      <c r="C537" s="70" t="str">
        <f>IF($A$3=" "," ", IFERROR( VLOOKUP($A537,'SUPPLIER DATA BASE'!$A$2:$F$936,6,0),""))</f>
        <v>-</v>
      </c>
      <c r="D537" s="70" t="str">
        <f>IF($A$3=" "," ", IFERROR( VLOOKUP($A537,'SUPPLIER DATA BASE'!$A$2:$G$936,4,0),""))</f>
        <v>-</v>
      </c>
      <c r="E537" s="71" t="str">
        <f>IF($A$3=" "," ", IFERROR( VLOOKUP($A537,'SUPPLIER DATA BASE'!$A$2:$H$936,5,0),""))</f>
        <v>-</v>
      </c>
      <c r="F537" s="72" t="s">
        <v>1867</v>
      </c>
      <c r="G537" s="73">
        <v>46094.0</v>
      </c>
      <c r="H537" s="74">
        <v>2.0</v>
      </c>
      <c r="I537" s="75">
        <v>2464.64</v>
      </c>
      <c r="J537" s="76" t="s">
        <v>1868</v>
      </c>
      <c r="K537" s="70" t="s">
        <v>349</v>
      </c>
      <c r="L537" s="73"/>
      <c r="M537" s="70" t="str">
        <f t="shared" si="3"/>
        <v>94 Days</v>
      </c>
      <c r="N537" s="70" t="str">
        <f>IF($A$3=" "," ", IFERROR( VLOOKUP($A537,'SUPPLIER DATA BASE'!$A$2:$O$936,11,0),""))</f>
        <v>-</v>
      </c>
      <c r="O537" s="70" t="str">
        <f>IF($A$3=" "," ", IFERROR( VLOOKUP($A537,'SUPPLIER DATA BASE'!$A$2:$O$936,12,0),""))</f>
        <v>-</v>
      </c>
      <c r="P537" s="70" t="str">
        <f>IF($A$3=" "," ", IFERROR( VLOOKUP($A537,'SUPPLIER DATA BASE'!$A$2:$O$936,13,0),""))</f>
        <v>-</v>
      </c>
      <c r="Q537" s="77"/>
      <c r="R537" s="73"/>
      <c r="S537" s="77"/>
      <c r="T537" s="70"/>
      <c r="U537" s="78"/>
      <c r="V537" s="70" t="str">
        <f t="shared" si="4"/>
        <v>FY 25-26</v>
      </c>
      <c r="W537" s="23"/>
      <c r="X537" s="23"/>
    </row>
    <row r="538">
      <c r="A538" s="70" t="s">
        <v>354</v>
      </c>
      <c r="B538" s="70" t="str">
        <f>IF($A$3=" "," ", IFERROR( VLOOKUP($A538,'SUPPLIER DATA BASE'!$A$2:$M$936,3,0),""))</f>
        <v>-</v>
      </c>
      <c r="C538" s="70" t="str">
        <f>IF($A$3=" "," ", IFERROR( VLOOKUP($A538,'SUPPLIER DATA BASE'!$A$2:$F$936,6,0),""))</f>
        <v>-</v>
      </c>
      <c r="D538" s="70" t="str">
        <f>IF($A$3=" "," ", IFERROR( VLOOKUP($A538,'SUPPLIER DATA BASE'!$A$2:$G$936,4,0),""))</f>
        <v>-</v>
      </c>
      <c r="E538" s="71" t="str">
        <f>IF($A$3=" "," ", IFERROR( VLOOKUP($A538,'SUPPLIER DATA BASE'!$A$2:$H$936,5,0),""))</f>
        <v>-</v>
      </c>
      <c r="F538" s="72" t="s">
        <v>1869</v>
      </c>
      <c r="G538" s="73">
        <v>46094.0</v>
      </c>
      <c r="H538" s="74">
        <v>2.0</v>
      </c>
      <c r="I538" s="75">
        <v>2738.62</v>
      </c>
      <c r="J538" s="76" t="s">
        <v>1870</v>
      </c>
      <c r="K538" s="70" t="s">
        <v>349</v>
      </c>
      <c r="L538" s="73"/>
      <c r="M538" s="70" t="str">
        <f t="shared" si="3"/>
        <v>94 Days</v>
      </c>
      <c r="N538" s="70" t="str">
        <f>IF($A$3=" "," ", IFERROR( VLOOKUP($A538,'SUPPLIER DATA BASE'!$A$2:$O$936,11,0),""))</f>
        <v>-</v>
      </c>
      <c r="O538" s="70" t="str">
        <f>IF($A$3=" "," ", IFERROR( VLOOKUP($A538,'SUPPLIER DATA BASE'!$A$2:$O$936,12,0),""))</f>
        <v>-</v>
      </c>
      <c r="P538" s="70" t="str">
        <f>IF($A$3=" "," ", IFERROR( VLOOKUP($A538,'SUPPLIER DATA BASE'!$A$2:$O$936,13,0),""))</f>
        <v>-</v>
      </c>
      <c r="Q538" s="77"/>
      <c r="R538" s="73"/>
      <c r="S538" s="77"/>
      <c r="T538" s="70"/>
      <c r="U538" s="78"/>
      <c r="V538" s="70" t="str">
        <f t="shared" si="4"/>
        <v>FY 25-26</v>
      </c>
      <c r="W538" s="23"/>
      <c r="X538" s="23"/>
    </row>
    <row r="539">
      <c r="A539" s="70" t="s">
        <v>354</v>
      </c>
      <c r="B539" s="70" t="str">
        <f>IF($A$3=" "," ", IFERROR( VLOOKUP($A539,'SUPPLIER DATA BASE'!$A$2:$M$936,3,0),""))</f>
        <v>-</v>
      </c>
      <c r="C539" s="70" t="str">
        <f>IF($A$3=" "," ", IFERROR( VLOOKUP($A539,'SUPPLIER DATA BASE'!$A$2:$F$936,6,0),""))</f>
        <v>-</v>
      </c>
      <c r="D539" s="70" t="str">
        <f>IF($A$3=" "," ", IFERROR( VLOOKUP($A539,'SUPPLIER DATA BASE'!$A$2:$G$936,4,0),""))</f>
        <v>-</v>
      </c>
      <c r="E539" s="71" t="str">
        <f>IF($A$3=" "," ", IFERROR( VLOOKUP($A539,'SUPPLIER DATA BASE'!$A$2:$H$936,5,0),""))</f>
        <v>-</v>
      </c>
      <c r="F539" s="72" t="s">
        <v>1871</v>
      </c>
      <c r="G539" s="73">
        <v>46094.0</v>
      </c>
      <c r="H539" s="74">
        <v>66.0</v>
      </c>
      <c r="I539" s="75">
        <v>77565.35</v>
      </c>
      <c r="J539" s="76" t="s">
        <v>1872</v>
      </c>
      <c r="K539" s="70" t="s">
        <v>349</v>
      </c>
      <c r="L539" s="73"/>
      <c r="M539" s="70" t="str">
        <f t="shared" si="3"/>
        <v>94 Days</v>
      </c>
      <c r="N539" s="70" t="str">
        <f>IF($A$3=" "," ", IFERROR( VLOOKUP($A539,'SUPPLIER DATA BASE'!$A$2:$O$936,11,0),""))</f>
        <v>-</v>
      </c>
      <c r="O539" s="70" t="str">
        <f>IF($A$3=" "," ", IFERROR( VLOOKUP($A539,'SUPPLIER DATA BASE'!$A$2:$O$936,12,0),""))</f>
        <v>-</v>
      </c>
      <c r="P539" s="70" t="str">
        <f>IF($A$3=" "," ", IFERROR( VLOOKUP($A539,'SUPPLIER DATA BASE'!$A$2:$O$936,13,0),""))</f>
        <v>-</v>
      </c>
      <c r="Q539" s="77"/>
      <c r="R539" s="73"/>
      <c r="S539" s="77"/>
      <c r="T539" s="70"/>
      <c r="U539" s="78"/>
      <c r="V539" s="70" t="str">
        <f t="shared" si="4"/>
        <v>FY 25-26</v>
      </c>
      <c r="W539" s="23"/>
      <c r="X539" s="23"/>
    </row>
    <row r="540">
      <c r="A540" s="70" t="s">
        <v>354</v>
      </c>
      <c r="B540" s="70" t="str">
        <f>IF($A$3=" "," ", IFERROR( VLOOKUP($A540,'SUPPLIER DATA BASE'!$A$2:$M$936,3,0),""))</f>
        <v>-</v>
      </c>
      <c r="C540" s="70" t="str">
        <f>IF($A$3=" "," ", IFERROR( VLOOKUP($A540,'SUPPLIER DATA BASE'!$A$2:$F$936,6,0),""))</f>
        <v>-</v>
      </c>
      <c r="D540" s="70" t="str">
        <f>IF($A$3=" "," ", IFERROR( VLOOKUP($A540,'SUPPLIER DATA BASE'!$A$2:$G$936,4,0),""))</f>
        <v>-</v>
      </c>
      <c r="E540" s="71" t="str">
        <f>IF($A$3=" "," ", IFERROR( VLOOKUP($A540,'SUPPLIER DATA BASE'!$A$2:$H$936,5,0),""))</f>
        <v>-</v>
      </c>
      <c r="F540" s="72" t="s">
        <v>1873</v>
      </c>
      <c r="G540" s="73">
        <v>46094.0</v>
      </c>
      <c r="H540" s="74">
        <v>147.0</v>
      </c>
      <c r="I540" s="75">
        <v>190123.86</v>
      </c>
      <c r="J540" s="76" t="s">
        <v>1874</v>
      </c>
      <c r="K540" s="70" t="s">
        <v>349</v>
      </c>
      <c r="L540" s="73"/>
      <c r="M540" s="70" t="str">
        <f t="shared" si="3"/>
        <v>94 Days</v>
      </c>
      <c r="N540" s="70" t="str">
        <f>IF($A$3=" "," ", IFERROR( VLOOKUP($A540,'SUPPLIER DATA BASE'!$A$2:$O$936,11,0),""))</f>
        <v>-</v>
      </c>
      <c r="O540" s="70" t="str">
        <f>IF($A$3=" "," ", IFERROR( VLOOKUP($A540,'SUPPLIER DATA BASE'!$A$2:$O$936,12,0),""))</f>
        <v>-</v>
      </c>
      <c r="P540" s="70" t="str">
        <f>IF($A$3=" "," ", IFERROR( VLOOKUP($A540,'SUPPLIER DATA BASE'!$A$2:$O$936,13,0),""))</f>
        <v>-</v>
      </c>
      <c r="Q540" s="77"/>
      <c r="R540" s="73"/>
      <c r="S540" s="77"/>
      <c r="T540" s="70"/>
      <c r="U540" s="78"/>
      <c r="V540" s="70" t="str">
        <f t="shared" si="4"/>
        <v>FY 25-26</v>
      </c>
      <c r="W540" s="23"/>
      <c r="X540" s="23"/>
    </row>
    <row r="541">
      <c r="A541" s="70" t="s">
        <v>366</v>
      </c>
      <c r="B541" s="70" t="str">
        <f>IF($A$3=" "," ", IFERROR( VLOOKUP($A541,'SUPPLIER DATA BASE'!$A$2:$M$936,3,0),""))</f>
        <v>-</v>
      </c>
      <c r="C541" s="70" t="str">
        <f>IF($A$3=" "," ", IFERROR( VLOOKUP($A541,'SUPPLIER DATA BASE'!$A$2:$F$936,6,0),""))</f>
        <v>-</v>
      </c>
      <c r="D541" s="70" t="str">
        <f>IF($A$3=" "," ", IFERROR( VLOOKUP($A541,'SUPPLIER DATA BASE'!$A$2:$G$936,4,0),""))</f>
        <v>-</v>
      </c>
      <c r="E541" s="71" t="str">
        <f>IF($A$3=" "," ", IFERROR( VLOOKUP($A541,'SUPPLIER DATA BASE'!$A$2:$H$936,5,0),""))</f>
        <v>-</v>
      </c>
      <c r="F541" s="72" t="s">
        <v>1875</v>
      </c>
      <c r="G541" s="73">
        <v>46094.0</v>
      </c>
      <c r="H541" s="74">
        <v>78.0</v>
      </c>
      <c r="I541" s="75">
        <v>19785.0</v>
      </c>
      <c r="J541" s="76" t="s">
        <v>1876</v>
      </c>
      <c r="K541" s="70" t="s">
        <v>349</v>
      </c>
      <c r="L541" s="73"/>
      <c r="M541" s="70" t="str">
        <f t="shared" si="3"/>
        <v>94 Days</v>
      </c>
      <c r="N541" s="70" t="str">
        <f>IF($A$3=" "," ", IFERROR( VLOOKUP($A541,'SUPPLIER DATA BASE'!$A$2:$O$936,11,0),""))</f>
        <v>-</v>
      </c>
      <c r="O541" s="70" t="str">
        <f>IF($A$3=" "," ", IFERROR( VLOOKUP($A541,'SUPPLIER DATA BASE'!$A$2:$O$936,12,0),""))</f>
        <v>-</v>
      </c>
      <c r="P541" s="70" t="str">
        <f>IF($A$3=" "," ", IFERROR( VLOOKUP($A541,'SUPPLIER DATA BASE'!$A$2:$O$936,13,0),""))</f>
        <v>-</v>
      </c>
      <c r="Q541" s="77"/>
      <c r="R541" s="73"/>
      <c r="S541" s="77"/>
      <c r="T541" s="70"/>
      <c r="U541" s="78"/>
      <c r="V541" s="70" t="str">
        <f t="shared" si="4"/>
        <v>FY 25-26</v>
      </c>
      <c r="W541" s="23"/>
      <c r="X541" s="23"/>
    </row>
    <row r="542">
      <c r="A542" s="70" t="s">
        <v>366</v>
      </c>
      <c r="B542" s="70" t="str">
        <f>IF($A$3=" "," ", IFERROR( VLOOKUP($A542,'SUPPLIER DATA BASE'!$A$2:$M$936,3,0),""))</f>
        <v>-</v>
      </c>
      <c r="C542" s="70" t="str">
        <f>IF($A$3=" "," ", IFERROR( VLOOKUP($A542,'SUPPLIER DATA BASE'!$A$2:$F$936,6,0),""))</f>
        <v>-</v>
      </c>
      <c r="D542" s="70" t="str">
        <f>IF($A$3=" "," ", IFERROR( VLOOKUP($A542,'SUPPLIER DATA BASE'!$A$2:$G$936,4,0),""))</f>
        <v>-</v>
      </c>
      <c r="E542" s="71" t="str">
        <f>IF($A$3=" "," ", IFERROR( VLOOKUP($A542,'SUPPLIER DATA BASE'!$A$2:$H$936,5,0),""))</f>
        <v>-</v>
      </c>
      <c r="F542" s="72" t="s">
        <v>1877</v>
      </c>
      <c r="G542" s="73">
        <v>46094.0</v>
      </c>
      <c r="H542" s="74">
        <v>119.0</v>
      </c>
      <c r="I542" s="75">
        <v>22665.0</v>
      </c>
      <c r="J542" s="76" t="s">
        <v>1878</v>
      </c>
      <c r="K542" s="70" t="s">
        <v>349</v>
      </c>
      <c r="L542" s="73"/>
      <c r="M542" s="70" t="str">
        <f t="shared" si="3"/>
        <v>94 Days</v>
      </c>
      <c r="N542" s="70" t="str">
        <f>IF($A$3=" "," ", IFERROR( VLOOKUP($A542,'SUPPLIER DATA BASE'!$A$2:$O$936,11,0),""))</f>
        <v>-</v>
      </c>
      <c r="O542" s="70" t="str">
        <f>IF($A$3=" "," ", IFERROR( VLOOKUP($A542,'SUPPLIER DATA BASE'!$A$2:$O$936,12,0),""))</f>
        <v>-</v>
      </c>
      <c r="P542" s="70" t="str">
        <f>IF($A$3=" "," ", IFERROR( VLOOKUP($A542,'SUPPLIER DATA BASE'!$A$2:$O$936,13,0),""))</f>
        <v>-</v>
      </c>
      <c r="Q542" s="77"/>
      <c r="R542" s="73"/>
      <c r="S542" s="77"/>
      <c r="T542" s="70"/>
      <c r="U542" s="78"/>
      <c r="V542" s="70" t="str">
        <f t="shared" si="4"/>
        <v>FY 25-26</v>
      </c>
      <c r="W542" s="23"/>
      <c r="X542" s="23"/>
    </row>
    <row r="543">
      <c r="A543" s="70" t="s">
        <v>813</v>
      </c>
      <c r="B543" s="70" t="str">
        <f>IF($A$3=" "," ", IFERROR( VLOOKUP($A543,'SUPPLIER DATA BASE'!$A$2:$M$936,3,0),""))</f>
        <v>-</v>
      </c>
      <c r="C543" s="70" t="str">
        <f>IF($A$3=" "," ", IFERROR( VLOOKUP($A543,'SUPPLIER DATA BASE'!$A$2:$F$936,6,0),""))</f>
        <v>SUNRISE AGENCY</v>
      </c>
      <c r="D543" s="70">
        <f>IF($A$3=" "," ", IFERROR( VLOOKUP($A543,'SUPPLIER DATA BASE'!$A$2:$G$936,4,0),""))</f>
        <v>60</v>
      </c>
      <c r="E543" s="71" t="str">
        <f>IF($A$3=" "," ", IFERROR( VLOOKUP($A543,'SUPPLIER DATA BASE'!$A$2:$H$936,5,0),""))</f>
        <v>NET</v>
      </c>
      <c r="F543" s="72">
        <v>3576.0</v>
      </c>
      <c r="G543" s="73">
        <v>46094.0</v>
      </c>
      <c r="H543" s="74">
        <v>4.0</v>
      </c>
      <c r="I543" s="75">
        <v>4599.0</v>
      </c>
      <c r="J543" s="76" t="s">
        <v>1879</v>
      </c>
      <c r="K543" s="70" t="s">
        <v>349</v>
      </c>
      <c r="L543" s="73"/>
      <c r="M543" s="70" t="str">
        <f t="shared" si="3"/>
        <v>94 Days</v>
      </c>
      <c r="N543" s="70" t="str">
        <f>IF($A$3=" "," ", IFERROR( VLOOKUP($A543,'SUPPLIER DATA BASE'!$A$2:$O$936,11,0),""))</f>
        <v>KEVIN ENTERPRISE</v>
      </c>
      <c r="O543" s="70" t="str">
        <f>IF($A$3=" "," ", IFERROR( VLOOKUP($A543,'SUPPLIER DATA BASE'!$A$2:$O$936,12,0),""))</f>
        <v>89700200003263</v>
      </c>
      <c r="P543" s="70" t="str">
        <f>IF($A$3=" "," ", IFERROR( VLOOKUP($A543,'SUPPLIER DATA BASE'!$A$2:$O$936,13,0),""))</f>
        <v>BARB0VJBAND</v>
      </c>
      <c r="Q543" s="77"/>
      <c r="R543" s="73"/>
      <c r="S543" s="77"/>
      <c r="T543" s="70"/>
      <c r="U543" s="78"/>
      <c r="V543" s="70" t="str">
        <f t="shared" si="4"/>
        <v>FY 25-26</v>
      </c>
      <c r="W543" s="23"/>
      <c r="X543" s="23"/>
    </row>
    <row r="544">
      <c r="A544" s="70" t="s">
        <v>709</v>
      </c>
      <c r="B544" s="70" t="str">
        <f>IF($A$3=" "," ", IFERROR( VLOOKUP($A544,'SUPPLIER DATA BASE'!$A$2:$M$936,3,0),""))</f>
        <v>MUFTI</v>
      </c>
      <c r="C544" s="70" t="str">
        <f>IF($A$3=" "," ", IFERROR( VLOOKUP($A544,'SUPPLIER DATA BASE'!$A$2:$F$936,6,0),""))</f>
        <v>-</v>
      </c>
      <c r="D544" s="70" t="str">
        <f>IF($A$3=" "," ", IFERROR( VLOOKUP($A544,'SUPPLIER DATA BASE'!$A$2:$G$936,4,0),""))</f>
        <v>-</v>
      </c>
      <c r="E544" s="71" t="str">
        <f>IF($A$3=" "," ", IFERROR( VLOOKUP($A544,'SUPPLIER DATA BASE'!$A$2:$H$936,5,0),""))</f>
        <v>-</v>
      </c>
      <c r="F544" s="72" t="s">
        <v>1880</v>
      </c>
      <c r="G544" s="73">
        <v>46094.0</v>
      </c>
      <c r="H544" s="74">
        <v>44.0</v>
      </c>
      <c r="I544" s="75">
        <v>113635.0</v>
      </c>
      <c r="J544" s="76" t="s">
        <v>1881</v>
      </c>
      <c r="K544" s="70" t="s">
        <v>349</v>
      </c>
      <c r="L544" s="73"/>
      <c r="M544" s="70" t="str">
        <f t="shared" si="3"/>
        <v>94 Days</v>
      </c>
      <c r="N544" s="70" t="str">
        <f>IF($A$3=" "," ", IFERROR( VLOOKUP($A544,'SUPPLIER DATA BASE'!$A$2:$O$936,11,0),""))</f>
        <v>SHRING APPARELS</v>
      </c>
      <c r="O544" s="70" t="str">
        <f>IF($A$3=" "," ", IFERROR( VLOOKUP($A544,'SUPPLIER DATA BASE'!$A$2:$O$936,12,0),""))</f>
        <v>50200030713091</v>
      </c>
      <c r="P544" s="70" t="str">
        <f>IF($A$3=" "," ", IFERROR( VLOOKUP($A544,'SUPPLIER DATA BASE'!$A$2:$O$936,13,0),""))</f>
        <v>HDFC0000186</v>
      </c>
      <c r="Q544" s="77"/>
      <c r="R544" s="73"/>
      <c r="S544" s="77"/>
      <c r="T544" s="70"/>
      <c r="U544" s="78"/>
      <c r="V544" s="70" t="str">
        <f t="shared" si="4"/>
        <v>FY 25-26</v>
      </c>
      <c r="W544" s="23"/>
      <c r="X544" s="23"/>
    </row>
    <row r="545">
      <c r="A545" s="70" t="s">
        <v>717</v>
      </c>
      <c r="B545" s="70" t="str">
        <f>IF($A$3=" "," ", IFERROR( VLOOKUP($A545,'SUPPLIER DATA BASE'!$A$2:$M$936,3,0),""))</f>
        <v>MINELLI</v>
      </c>
      <c r="C545" s="70" t="str">
        <f>IF($A$3=" "," ", IFERROR( VLOOKUP($A545,'SUPPLIER DATA BASE'!$A$2:$F$936,6,0),""))</f>
        <v>-</v>
      </c>
      <c r="D545" s="70">
        <f>IF($A$3=" "," ", IFERROR( VLOOKUP($A545,'SUPPLIER DATA BASE'!$A$2:$G$936,4,0),""))</f>
        <v>45</v>
      </c>
      <c r="E545" s="71">
        <f>IF($A$3=" "," ", IFERROR( VLOOKUP($A545,'SUPPLIER DATA BASE'!$A$2:$H$936,5,0),""))</f>
        <v>0.1</v>
      </c>
      <c r="F545" s="72" t="s">
        <v>1882</v>
      </c>
      <c r="G545" s="73">
        <v>46094.0</v>
      </c>
      <c r="H545" s="74">
        <v>53.0</v>
      </c>
      <c r="I545" s="75">
        <v>49513.0</v>
      </c>
      <c r="J545" s="76" t="s">
        <v>1883</v>
      </c>
      <c r="K545" s="70" t="s">
        <v>349</v>
      </c>
      <c r="L545" s="73"/>
      <c r="M545" s="70" t="str">
        <f t="shared" si="3"/>
        <v>94 Days</v>
      </c>
      <c r="N545" s="70" t="str">
        <f>IF($A$3=" "," ", IFERROR( VLOOKUP($A545,'SUPPLIER DATA BASE'!$A$2:$O$936,11,0),""))</f>
        <v>SHUBH SHRI CLOTHING PVT LTD</v>
      </c>
      <c r="O545" s="70" t="str">
        <f>IF($A$3=" "," ", IFERROR( VLOOKUP($A545,'SUPPLIER DATA BASE'!$A$2:$O$936,12,0),""))</f>
        <v>002225010000006</v>
      </c>
      <c r="P545" s="70" t="str">
        <f>IF($A$3=" "," ", IFERROR( VLOOKUP($A545,'SUPPLIER DATA BASE'!$A$2:$O$936,13,0),""))</f>
        <v>UBIN0900222</v>
      </c>
      <c r="Q545" s="77"/>
      <c r="R545" s="73"/>
      <c r="S545" s="77"/>
      <c r="T545" s="70"/>
      <c r="U545" s="78"/>
      <c r="V545" s="70" t="str">
        <f t="shared" si="4"/>
        <v>FY 25-26</v>
      </c>
      <c r="W545" s="23"/>
      <c r="X545" s="23"/>
    </row>
    <row r="546">
      <c r="A546" s="70" t="s">
        <v>690</v>
      </c>
      <c r="B546" s="70" t="str">
        <f>IF($A$3=" "," ", IFERROR( VLOOKUP($A546,'SUPPLIER DATA BASE'!$A$2:$M$936,3,0),""))</f>
        <v>-</v>
      </c>
      <c r="C546" s="70" t="str">
        <f>IF($A$3=" "," ", IFERROR( VLOOKUP($A546,'SUPPLIER DATA BASE'!$A$2:$F$936,6,0),""))</f>
        <v>-</v>
      </c>
      <c r="D546" s="70" t="str">
        <f>IF($A$3=" "," ", IFERROR( VLOOKUP($A546,'SUPPLIER DATA BASE'!$A$2:$G$936,4,0),""))</f>
        <v>-</v>
      </c>
      <c r="E546" s="71" t="str">
        <f>IF($A$3=" "," ", IFERROR( VLOOKUP($A546,'SUPPLIER DATA BASE'!$A$2:$H$936,5,0),""))</f>
        <v>-</v>
      </c>
      <c r="F546" s="72">
        <v>8540.0</v>
      </c>
      <c r="G546" s="73">
        <v>46095.0</v>
      </c>
      <c r="H546" s="74">
        <v>19.0</v>
      </c>
      <c r="I546" s="75">
        <v>67835.0</v>
      </c>
      <c r="J546" s="76" t="s">
        <v>1884</v>
      </c>
      <c r="K546" s="70" t="s">
        <v>349</v>
      </c>
      <c r="L546" s="70" t="s">
        <v>349</v>
      </c>
      <c r="M546" s="70" t="str">
        <f t="shared" si="3"/>
        <v>93 Days</v>
      </c>
      <c r="N546" s="70" t="str">
        <f>IF($A$3=" "," ", IFERROR( VLOOKUP($A546,'SUPPLIER DATA BASE'!$A$2:$O$936,11,0),""))</f>
        <v>-</v>
      </c>
      <c r="O546" s="70" t="str">
        <f>IF($A$3=" "," ", IFERROR( VLOOKUP($A546,'SUPPLIER DATA BASE'!$A$2:$O$936,12,0),""))</f>
        <v>-</v>
      </c>
      <c r="P546" s="70" t="str">
        <f>IF($A$3=" "," ", IFERROR( VLOOKUP($A546,'SUPPLIER DATA BASE'!$A$2:$O$936,13,0),""))</f>
        <v>-</v>
      </c>
      <c r="Q546" s="77"/>
      <c r="R546" s="73"/>
      <c r="S546" s="77"/>
      <c r="T546" s="70"/>
      <c r="U546" s="78"/>
      <c r="V546" s="70" t="str">
        <f t="shared" si="4"/>
        <v>FY 25-26</v>
      </c>
      <c r="W546" s="23"/>
      <c r="X546" s="23"/>
    </row>
    <row r="547">
      <c r="A547" s="70" t="s">
        <v>663</v>
      </c>
      <c r="B547" s="70" t="str">
        <f>IF($A$3=" "," ", IFERROR( VLOOKUP($A547,'SUPPLIER DATA BASE'!$A$2:$M$936,3,0),""))</f>
        <v>-</v>
      </c>
      <c r="C547" s="70" t="str">
        <f>IF($A$3=" "," ", IFERROR( VLOOKUP($A547,'SUPPLIER DATA BASE'!$A$2:$F$936,6,0),""))</f>
        <v>-</v>
      </c>
      <c r="D547" s="70" t="str">
        <f>IF($A$3=" "," ", IFERROR( VLOOKUP($A547,'SUPPLIER DATA BASE'!$A$2:$G$936,4,0),""))</f>
        <v>-</v>
      </c>
      <c r="E547" s="71" t="str">
        <f>IF($A$3=" "," ", IFERROR( VLOOKUP($A547,'SUPPLIER DATA BASE'!$A$2:$H$936,5,0),""))</f>
        <v>-</v>
      </c>
      <c r="F547" s="72" t="s">
        <v>1885</v>
      </c>
      <c r="G547" s="73">
        <v>46095.0</v>
      </c>
      <c r="H547" s="74">
        <v>90.0</v>
      </c>
      <c r="I547" s="75">
        <v>68947.0</v>
      </c>
      <c r="J547" s="76" t="s">
        <v>1886</v>
      </c>
      <c r="K547" s="70" t="s">
        <v>349</v>
      </c>
      <c r="L547" s="70" t="s">
        <v>349</v>
      </c>
      <c r="M547" s="70" t="str">
        <f t="shared" si="3"/>
        <v>93 Days</v>
      </c>
      <c r="N547" s="70" t="str">
        <f>IF($A$3=" "," ", IFERROR( VLOOKUP($A547,'SUPPLIER DATA BASE'!$A$2:$O$936,11,0),""))</f>
        <v>-</v>
      </c>
      <c r="O547" s="70" t="str">
        <f>IF($A$3=" "," ", IFERROR( VLOOKUP($A547,'SUPPLIER DATA BASE'!$A$2:$O$936,12,0),""))</f>
        <v>-</v>
      </c>
      <c r="P547" s="70" t="str">
        <f>IF($A$3=" "," ", IFERROR( VLOOKUP($A547,'SUPPLIER DATA BASE'!$A$2:$O$936,13,0),""))</f>
        <v>-</v>
      </c>
      <c r="Q547" s="77"/>
      <c r="R547" s="73"/>
      <c r="S547" s="77"/>
      <c r="T547" s="70"/>
      <c r="U547" s="78"/>
      <c r="V547" s="70" t="str">
        <f t="shared" si="4"/>
        <v>FY 25-26</v>
      </c>
      <c r="W547" s="23"/>
      <c r="X547" s="23"/>
    </row>
    <row r="548">
      <c r="A548" s="70" t="s">
        <v>799</v>
      </c>
      <c r="B548" s="70" t="str">
        <f>IF($A$3=" "," ", IFERROR( VLOOKUP($A548,'SUPPLIER DATA BASE'!$A$2:$M$936,3,0),""))</f>
        <v>-</v>
      </c>
      <c r="C548" s="70" t="str">
        <f>IF($A$3=" "," ", IFERROR( VLOOKUP($A548,'SUPPLIER DATA BASE'!$A$2:$F$936,6,0),""))</f>
        <v>-</v>
      </c>
      <c r="D548" s="70" t="str">
        <f>IF($A$3=" "," ", IFERROR( VLOOKUP($A548,'SUPPLIER DATA BASE'!$A$2:$G$936,4,0),""))</f>
        <v>-</v>
      </c>
      <c r="E548" s="71" t="str">
        <f>IF($A$3=" "," ", IFERROR( VLOOKUP($A548,'SUPPLIER DATA BASE'!$A$2:$H$936,5,0),""))</f>
        <v>-</v>
      </c>
      <c r="F548" s="72" t="s">
        <v>1887</v>
      </c>
      <c r="G548" s="73">
        <v>46095.0</v>
      </c>
      <c r="H548" s="74">
        <v>39.0</v>
      </c>
      <c r="I548" s="75">
        <v>70859.0</v>
      </c>
      <c r="J548" s="76" t="s">
        <v>1888</v>
      </c>
      <c r="K548" s="70" t="s">
        <v>349</v>
      </c>
      <c r="L548" s="70" t="s">
        <v>349</v>
      </c>
      <c r="M548" s="70" t="str">
        <f t="shared" si="3"/>
        <v>93 Days</v>
      </c>
      <c r="N548" s="70" t="str">
        <f>IF($A$3=" "," ", IFERROR( VLOOKUP($A548,'SUPPLIER DATA BASE'!$A$2:$O$936,11,0),""))</f>
        <v>VISHAL MARKETING &amp; CO.</v>
      </c>
      <c r="O548" s="70" t="str">
        <f>IF($A$3=" "," ", IFERROR( VLOOKUP($A548,'SUPPLIER DATA BASE'!$A$2:$O$936,12,0),""))</f>
        <v>1091008700001025</v>
      </c>
      <c r="P548" s="70" t="str">
        <f>IF($A$3=" "," ", IFERROR( VLOOKUP($A548,'SUPPLIER DATA BASE'!$A$2:$O$936,13,0),""))</f>
        <v>PUNB0109100</v>
      </c>
      <c r="Q548" s="77"/>
      <c r="R548" s="73"/>
      <c r="S548" s="77"/>
      <c r="T548" s="70"/>
      <c r="U548" s="78"/>
      <c r="V548" s="70" t="str">
        <f t="shared" si="4"/>
        <v>FY 25-26</v>
      </c>
      <c r="W548" s="23"/>
      <c r="X548" s="23"/>
    </row>
    <row r="549">
      <c r="A549" s="70" t="s">
        <v>799</v>
      </c>
      <c r="B549" s="70" t="str">
        <f>IF($A$3=" "," ", IFERROR( VLOOKUP($A549,'SUPPLIER DATA BASE'!$A$2:$M$936,3,0),""))</f>
        <v>-</v>
      </c>
      <c r="C549" s="70" t="str">
        <f>IF($A$3=" "," ", IFERROR( VLOOKUP($A549,'SUPPLIER DATA BASE'!$A$2:$F$936,6,0),""))</f>
        <v>-</v>
      </c>
      <c r="D549" s="70" t="str">
        <f>IF($A$3=" "," ", IFERROR( VLOOKUP($A549,'SUPPLIER DATA BASE'!$A$2:$G$936,4,0),""))</f>
        <v>-</v>
      </c>
      <c r="E549" s="71" t="str">
        <f>IF($A$3=" "," ", IFERROR( VLOOKUP($A549,'SUPPLIER DATA BASE'!$A$2:$H$936,5,0),""))</f>
        <v>-</v>
      </c>
      <c r="F549" s="72" t="s">
        <v>1889</v>
      </c>
      <c r="G549" s="73">
        <v>46095.0</v>
      </c>
      <c r="H549" s="74">
        <v>45.0</v>
      </c>
      <c r="I549" s="75">
        <v>80947.0</v>
      </c>
      <c r="J549" s="76" t="s">
        <v>1890</v>
      </c>
      <c r="K549" s="70" t="s">
        <v>349</v>
      </c>
      <c r="L549" s="70" t="s">
        <v>349</v>
      </c>
      <c r="M549" s="70" t="str">
        <f t="shared" si="3"/>
        <v>93 Days</v>
      </c>
      <c r="N549" s="70" t="str">
        <f>IF($A$3=" "," ", IFERROR( VLOOKUP($A549,'SUPPLIER DATA BASE'!$A$2:$O$936,11,0),""))</f>
        <v>VISHAL MARKETING &amp; CO.</v>
      </c>
      <c r="O549" s="70" t="str">
        <f>IF($A$3=" "," ", IFERROR( VLOOKUP($A549,'SUPPLIER DATA BASE'!$A$2:$O$936,12,0),""))</f>
        <v>1091008700001025</v>
      </c>
      <c r="P549" s="70" t="str">
        <f>IF($A$3=" "," ", IFERROR( VLOOKUP($A549,'SUPPLIER DATA BASE'!$A$2:$O$936,13,0),""))</f>
        <v>PUNB0109100</v>
      </c>
      <c r="Q549" s="77"/>
      <c r="R549" s="73"/>
      <c r="S549" s="77"/>
      <c r="T549" s="70"/>
      <c r="U549" s="78"/>
      <c r="V549" s="70" t="str">
        <f t="shared" si="4"/>
        <v>FY 25-26</v>
      </c>
      <c r="W549" s="23"/>
      <c r="X549" s="23"/>
    </row>
    <row r="550">
      <c r="A550" s="70" t="s">
        <v>799</v>
      </c>
      <c r="B550" s="70" t="str">
        <f>IF($A$3=" "," ", IFERROR( VLOOKUP($A550,'SUPPLIER DATA BASE'!$A$2:$M$936,3,0),""))</f>
        <v>-</v>
      </c>
      <c r="C550" s="70" t="str">
        <f>IF($A$3=" "," ", IFERROR( VLOOKUP($A550,'SUPPLIER DATA BASE'!$A$2:$F$936,6,0),""))</f>
        <v>-</v>
      </c>
      <c r="D550" s="70" t="str">
        <f>IF($A$3=" "," ", IFERROR( VLOOKUP($A550,'SUPPLIER DATA BASE'!$A$2:$G$936,4,0),""))</f>
        <v>-</v>
      </c>
      <c r="E550" s="71" t="str">
        <f>IF($A$3=" "," ", IFERROR( VLOOKUP($A550,'SUPPLIER DATA BASE'!$A$2:$H$936,5,0),""))</f>
        <v>-</v>
      </c>
      <c r="F550" s="72" t="s">
        <v>1891</v>
      </c>
      <c r="G550" s="73">
        <v>46095.0</v>
      </c>
      <c r="H550" s="74">
        <v>34.0</v>
      </c>
      <c r="I550" s="75">
        <v>61267.0</v>
      </c>
      <c r="J550" s="76" t="s">
        <v>1892</v>
      </c>
      <c r="K550" s="70" t="s">
        <v>349</v>
      </c>
      <c r="L550" s="70" t="s">
        <v>349</v>
      </c>
      <c r="M550" s="70" t="str">
        <f t="shared" si="3"/>
        <v>93 Days</v>
      </c>
      <c r="N550" s="70" t="str">
        <f>IF($A$3=" "," ", IFERROR( VLOOKUP($A550,'SUPPLIER DATA BASE'!$A$2:$O$936,11,0),""))</f>
        <v>VISHAL MARKETING &amp; CO.</v>
      </c>
      <c r="O550" s="70" t="str">
        <f>IF($A$3=" "," ", IFERROR( VLOOKUP($A550,'SUPPLIER DATA BASE'!$A$2:$O$936,12,0),""))</f>
        <v>1091008700001025</v>
      </c>
      <c r="P550" s="70" t="str">
        <f>IF($A$3=" "," ", IFERROR( VLOOKUP($A550,'SUPPLIER DATA BASE'!$A$2:$O$936,13,0),""))</f>
        <v>PUNB0109100</v>
      </c>
      <c r="Q550" s="77"/>
      <c r="R550" s="73"/>
      <c r="S550" s="77"/>
      <c r="T550" s="70"/>
      <c r="U550" s="78"/>
      <c r="V550" s="70" t="str">
        <f t="shared" si="4"/>
        <v>FY 25-26</v>
      </c>
      <c r="W550" s="23"/>
      <c r="X550" s="23"/>
    </row>
    <row r="551">
      <c r="A551" s="70" t="s">
        <v>799</v>
      </c>
      <c r="B551" s="70" t="str">
        <f>IF($A$3=" "," ", IFERROR( VLOOKUP($A551,'SUPPLIER DATA BASE'!$A$2:$M$936,3,0),""))</f>
        <v>-</v>
      </c>
      <c r="C551" s="70" t="str">
        <f>IF($A$3=" "," ", IFERROR( VLOOKUP($A551,'SUPPLIER DATA BASE'!$A$2:$F$936,6,0),""))</f>
        <v>-</v>
      </c>
      <c r="D551" s="70" t="str">
        <f>IF($A$3=" "," ", IFERROR( VLOOKUP($A551,'SUPPLIER DATA BASE'!$A$2:$G$936,4,0),""))</f>
        <v>-</v>
      </c>
      <c r="E551" s="71" t="str">
        <f>IF($A$3=" "," ", IFERROR( VLOOKUP($A551,'SUPPLIER DATA BASE'!$A$2:$H$936,5,0),""))</f>
        <v>-</v>
      </c>
      <c r="F551" s="72" t="s">
        <v>1893</v>
      </c>
      <c r="G551" s="73">
        <v>46095.0</v>
      </c>
      <c r="H551" s="74">
        <v>30.0</v>
      </c>
      <c r="I551" s="75">
        <v>47281.0</v>
      </c>
      <c r="J551" s="76" t="s">
        <v>1894</v>
      </c>
      <c r="K551" s="70" t="s">
        <v>349</v>
      </c>
      <c r="L551" s="70" t="s">
        <v>349</v>
      </c>
      <c r="M551" s="70" t="str">
        <f t="shared" si="3"/>
        <v>93 Days</v>
      </c>
      <c r="N551" s="70" t="str">
        <f>IF($A$3=" "," ", IFERROR( VLOOKUP($A551,'SUPPLIER DATA BASE'!$A$2:$O$936,11,0),""))</f>
        <v>VISHAL MARKETING &amp; CO.</v>
      </c>
      <c r="O551" s="70" t="str">
        <f>IF($A$3=" "," ", IFERROR( VLOOKUP($A551,'SUPPLIER DATA BASE'!$A$2:$O$936,12,0),""))</f>
        <v>1091008700001025</v>
      </c>
      <c r="P551" s="70" t="str">
        <f>IF($A$3=" "," ", IFERROR( VLOOKUP($A551,'SUPPLIER DATA BASE'!$A$2:$O$936,13,0),""))</f>
        <v>PUNB0109100</v>
      </c>
      <c r="Q551" s="77"/>
      <c r="R551" s="73"/>
      <c r="S551" s="77"/>
      <c r="T551" s="70"/>
      <c r="U551" s="78"/>
      <c r="V551" s="70" t="str">
        <f t="shared" si="4"/>
        <v>FY 25-26</v>
      </c>
      <c r="W551" s="23"/>
      <c r="X551" s="23"/>
    </row>
    <row r="552">
      <c r="A552" s="70" t="s">
        <v>495</v>
      </c>
      <c r="B552" s="70" t="str">
        <f>IF($A$3=" "," ", IFERROR( VLOOKUP($A552,'SUPPLIER DATA BASE'!$A$2:$M$936,3,0),""))</f>
        <v>-</v>
      </c>
      <c r="C552" s="70" t="str">
        <f>IF($A$3=" "," ", IFERROR( VLOOKUP($A552,'SUPPLIER DATA BASE'!$A$2:$F$936,6,0),""))</f>
        <v>-</v>
      </c>
      <c r="D552" s="70" t="str">
        <f>IF($A$3=" "," ", IFERROR( VLOOKUP($A552,'SUPPLIER DATA BASE'!$A$2:$G$936,4,0),""))</f>
        <v>-</v>
      </c>
      <c r="E552" s="71" t="str">
        <f>IF($A$3=" "," ", IFERROR( VLOOKUP($A552,'SUPPLIER DATA BASE'!$A$2:$H$936,5,0),""))</f>
        <v>-</v>
      </c>
      <c r="F552" s="72" t="s">
        <v>1895</v>
      </c>
      <c r="G552" s="73">
        <v>46095.0</v>
      </c>
      <c r="H552" s="74">
        <v>45.0</v>
      </c>
      <c r="I552" s="75">
        <v>48294.0</v>
      </c>
      <c r="J552" s="76" t="s">
        <v>1896</v>
      </c>
      <c r="K552" s="70" t="s">
        <v>349</v>
      </c>
      <c r="L552" s="70" t="s">
        <v>349</v>
      </c>
      <c r="M552" s="70" t="str">
        <f t="shared" si="3"/>
        <v>93 Days</v>
      </c>
      <c r="N552" s="70" t="str">
        <f>IF($A$3=" "," ", IFERROR( VLOOKUP($A552,'SUPPLIER DATA BASE'!$A$2:$O$936,11,0),""))</f>
        <v>JAIN ADISHWAR HOSIERY WORKS LLP</v>
      </c>
      <c r="O552" s="70" t="str">
        <f>IF($A$3=" "," ", IFERROR( VLOOKUP($A552,'SUPPLIER DATA BASE'!$A$2:$O$936,12,0),""))</f>
        <v>99917644444444</v>
      </c>
      <c r="P552" s="70" t="str">
        <f>IF($A$3=" "," ", IFERROR( VLOOKUP($A552,'SUPPLIER DATA BASE'!$A$2:$O$936,13,0),""))</f>
        <v>HDFC0002063</v>
      </c>
      <c r="Q552" s="77"/>
      <c r="R552" s="73"/>
      <c r="S552" s="77"/>
      <c r="T552" s="70"/>
      <c r="U552" s="78"/>
      <c r="V552" s="70" t="str">
        <f t="shared" si="4"/>
        <v>FY 25-26</v>
      </c>
      <c r="W552" s="23"/>
      <c r="X552" s="23"/>
    </row>
    <row r="553">
      <c r="A553" s="70" t="s">
        <v>685</v>
      </c>
      <c r="B553" s="70" t="str">
        <f>IF($A$3=" "," ", IFERROR( VLOOKUP($A553,'SUPPLIER DATA BASE'!$A$2:$M$936,3,0),""))</f>
        <v>RUH</v>
      </c>
      <c r="C553" s="70" t="str">
        <f>IF($A$3=" "," ", IFERROR( VLOOKUP($A553,'SUPPLIER DATA BASE'!$A$2:$F$936,6,0),""))</f>
        <v>NEPOLIAN</v>
      </c>
      <c r="D553" s="70">
        <f>IF($A$3=" "," ", IFERROR( VLOOKUP($A553,'SUPPLIER DATA BASE'!$A$2:$G$936,4,0),""))</f>
        <v>60</v>
      </c>
      <c r="E553" s="71">
        <f>IF($A$3=" "," ", IFERROR( VLOOKUP($A553,'SUPPLIER DATA BASE'!$A$2:$H$936,5,0),""))</f>
        <v>0.05</v>
      </c>
      <c r="F553" s="72" t="s">
        <v>1897</v>
      </c>
      <c r="G553" s="73">
        <v>46095.0</v>
      </c>
      <c r="H553" s="74">
        <v>14.0</v>
      </c>
      <c r="I553" s="75">
        <v>27226.0</v>
      </c>
      <c r="J553" s="76" t="s">
        <v>1898</v>
      </c>
      <c r="K553" s="70" t="s">
        <v>349</v>
      </c>
      <c r="L553" s="70" t="s">
        <v>349</v>
      </c>
      <c r="M553" s="70" t="str">
        <f t="shared" si="3"/>
        <v>93 Days</v>
      </c>
      <c r="N553" s="70" t="str">
        <f>IF($A$3=" "," ", IFERROR( VLOOKUP($A553,'SUPPLIER DATA BASE'!$A$2:$O$936,11,0),""))</f>
        <v>SHREE BALAJI</v>
      </c>
      <c r="O553" s="70" t="str">
        <f>IF($A$3=" "," ", IFERROR( VLOOKUP($A553,'SUPPLIER DATA BASE'!$A$2:$O$936,12,0),""))</f>
        <v>3845084693</v>
      </c>
      <c r="P553" s="70" t="str">
        <f>IF($A$3=" "," ", IFERROR( VLOOKUP($A553,'SUPPLIER DATA BASE'!$A$2:$O$936,13,0),""))</f>
        <v>KKBK0006605</v>
      </c>
      <c r="Q553" s="77"/>
      <c r="R553" s="73"/>
      <c r="S553" s="77"/>
      <c r="T553" s="70"/>
      <c r="U553" s="78"/>
      <c r="V553" s="70" t="str">
        <f t="shared" si="4"/>
        <v>FY 25-26</v>
      </c>
      <c r="W553" s="23"/>
      <c r="X553" s="23"/>
    </row>
    <row r="554">
      <c r="A554" s="70" t="s">
        <v>484</v>
      </c>
      <c r="B554" s="70" t="str">
        <f>IF($A$3=" "," ", IFERROR( VLOOKUP($A554,'SUPPLIER DATA BASE'!$A$2:$M$936,3,0),""))</f>
        <v>HYPHEN</v>
      </c>
      <c r="C554" s="70" t="str">
        <f>IF($A$3=" "," ", IFERROR( VLOOKUP($A554,'SUPPLIER DATA BASE'!$A$2:$F$936,6,0),""))</f>
        <v>-</v>
      </c>
      <c r="D554" s="70" t="str">
        <f>IF($A$3=" "," ", IFERROR( VLOOKUP($A554,'SUPPLIER DATA BASE'!$A$2:$G$936,4,0),""))</f>
        <v>-</v>
      </c>
      <c r="E554" s="71" t="str">
        <f>IF($A$3=" "," ", IFERROR( VLOOKUP($A554,'SUPPLIER DATA BASE'!$A$2:$H$936,5,0),""))</f>
        <v>-</v>
      </c>
      <c r="F554" s="72" t="s">
        <v>1899</v>
      </c>
      <c r="G554" s="73">
        <v>46095.0</v>
      </c>
      <c r="H554" s="74">
        <v>8.0</v>
      </c>
      <c r="I554" s="75">
        <v>22181.0</v>
      </c>
      <c r="J554" s="76" t="s">
        <v>1900</v>
      </c>
      <c r="K554" s="70" t="s">
        <v>349</v>
      </c>
      <c r="L554" s="73"/>
      <c r="M554" s="70" t="str">
        <f t="shared" si="3"/>
        <v>93 Days</v>
      </c>
      <c r="N554" s="70" t="str">
        <f>IF($A$3=" "," ", IFERROR( VLOOKUP($A554,'SUPPLIER DATA BASE'!$A$2:$O$936,11,0),""))</f>
        <v>HYPHEN GARMENTS PVT. LTD.</v>
      </c>
      <c r="O554" s="70" t="str">
        <f>IF($A$3=" "," ", IFERROR( VLOOKUP($A554,'SUPPLIER DATA BASE'!$A$2:$O$936,12,0),""))</f>
        <v>0303261100828</v>
      </c>
      <c r="P554" s="70" t="str">
        <f>IF($A$3=" "," ", IFERROR( VLOOKUP($A554,'SUPPLIER DATA BASE'!$A$2:$O$936,13,0),""))</f>
        <v>CNRB0000303</v>
      </c>
      <c r="Q554" s="77"/>
      <c r="R554" s="73"/>
      <c r="S554" s="77"/>
      <c r="T554" s="70"/>
      <c r="U554" s="78"/>
      <c r="V554" s="70" t="str">
        <f t="shared" si="4"/>
        <v>FY 25-26</v>
      </c>
      <c r="W554" s="23"/>
      <c r="X554" s="23"/>
    </row>
    <row r="555">
      <c r="A555" s="70" t="s">
        <v>430</v>
      </c>
      <c r="B555" s="70" t="str">
        <f>IF($A$3=" "," ", IFERROR( VLOOKUP($A555,'SUPPLIER DATA BASE'!$A$2:$M$936,3,0),""))</f>
        <v>-</v>
      </c>
      <c r="C555" s="70" t="str">
        <f>IF($A$3=" "," ", IFERROR( VLOOKUP($A555,'SUPPLIER DATA BASE'!$A$2:$F$936,6,0),""))</f>
        <v>-</v>
      </c>
      <c r="D555" s="70">
        <f>IF($A$3=" "," ", IFERROR( VLOOKUP($A555,'SUPPLIER DATA BASE'!$A$2:$G$936,4,0),""))</f>
        <v>30</v>
      </c>
      <c r="E555" s="71">
        <f>IF($A$3=" "," ", IFERROR( VLOOKUP($A555,'SUPPLIER DATA BASE'!$A$2:$H$936,5,0),""))</f>
        <v>0.05</v>
      </c>
      <c r="F555" s="72">
        <v>937.0</v>
      </c>
      <c r="G555" s="73">
        <v>46095.0</v>
      </c>
      <c r="H555" s="74">
        <v>19.0</v>
      </c>
      <c r="I555" s="75">
        <v>40701.0</v>
      </c>
      <c r="J555" s="76" t="s">
        <v>1901</v>
      </c>
      <c r="K555" s="70" t="s">
        <v>349</v>
      </c>
      <c r="L555" s="73"/>
      <c r="M555" s="70" t="str">
        <f t="shared" si="3"/>
        <v>93 Days</v>
      </c>
      <c r="N555" s="70" t="str">
        <f>IF($A$3=" "," ", IFERROR( VLOOKUP($A555,'SUPPLIER DATA BASE'!$A$2:$O$936,11,0),""))</f>
        <v>DIYA CREATION</v>
      </c>
      <c r="O555" s="70" t="str">
        <f>IF($A$3=" "," ", IFERROR( VLOOKUP($A555,'SUPPLIER DATA BASE'!$A$2:$O$936,12,0),""))</f>
        <v>199502000000874</v>
      </c>
      <c r="P555" s="70" t="str">
        <f>IF($A$3=" "," ", IFERROR( VLOOKUP($A555,'SUPPLIER DATA BASE'!$A$2:$O$936,13,0),""))</f>
        <v>IOBA0001995</v>
      </c>
      <c r="Q555" s="77">
        <v>40701.0</v>
      </c>
      <c r="R555" s="73">
        <v>46187.0</v>
      </c>
      <c r="S555" s="77"/>
      <c r="T555" s="70"/>
      <c r="U555" s="84" t="s">
        <v>1320</v>
      </c>
      <c r="V555" s="89" t="s">
        <v>1902</v>
      </c>
      <c r="W555" s="23"/>
      <c r="X555" s="23"/>
    </row>
    <row r="556">
      <c r="A556" s="70"/>
      <c r="B556" s="70" t="str">
        <f>IF($A$3=" "," ", IFERROR( VLOOKUP($A556,'SUPPLIER DATA BASE'!$A$2:$M$936,3,0),""))</f>
        <v/>
      </c>
      <c r="C556" s="70" t="str">
        <f>IF($A$3=" "," ", IFERROR( VLOOKUP($A556,'SUPPLIER DATA BASE'!$A$2:$F$936,6,0),""))</f>
        <v/>
      </c>
      <c r="D556" s="70" t="str">
        <f>IF($A$3=" "," ", IFERROR( VLOOKUP($A556,'SUPPLIER DATA BASE'!$A$2:$G$936,4,0),""))</f>
        <v/>
      </c>
      <c r="E556" s="71" t="str">
        <f>IF($A$3=" "," ", IFERROR( VLOOKUP($A556,'SUPPLIER DATA BASE'!$A$2:$H$936,5,0),""))</f>
        <v/>
      </c>
      <c r="F556" s="72" t="s">
        <v>1903</v>
      </c>
      <c r="G556" s="73">
        <v>46096.0</v>
      </c>
      <c r="H556" s="74">
        <v>125.0</v>
      </c>
      <c r="I556" s="75">
        <v>175000.0</v>
      </c>
      <c r="J556" s="76" t="s">
        <v>1904</v>
      </c>
      <c r="K556" s="70" t="s">
        <v>349</v>
      </c>
      <c r="L556" s="70" t="s">
        <v>349</v>
      </c>
      <c r="M556" s="70" t="str">
        <f t="shared" si="3"/>
        <v>92 Days</v>
      </c>
      <c r="N556" s="70" t="str">
        <f>IF($A$3=" "," ", IFERROR( VLOOKUP($A556,'SUPPLIER DATA BASE'!$A$2:$O$936,11,0),""))</f>
        <v/>
      </c>
      <c r="O556" s="70" t="str">
        <f>IF($A$3=" "," ", IFERROR( VLOOKUP($A556,'SUPPLIER DATA BASE'!$A$2:$O$936,12,0),""))</f>
        <v/>
      </c>
      <c r="P556" s="70" t="str">
        <f>IF($A$3=" "," ", IFERROR( VLOOKUP($A556,'SUPPLIER DATA BASE'!$A$2:$O$936,13,0),""))</f>
        <v/>
      </c>
      <c r="Q556" s="77"/>
      <c r="R556" s="73"/>
      <c r="S556" s="77"/>
      <c r="T556" s="70"/>
      <c r="U556" s="78"/>
      <c r="V556" s="70" t="str">
        <f t="shared" ref="V556:V1994" si="6">IF(G556="","", IF(AND(G556&gt;=DATE(2024,4,1),G556&lt;=DATE(2025,3,31)),"FY 24-25", IF(AND(G556&gt;=DATE(2025,4,1),G556&lt;=DATE(2026,3,31)),"FY 25-26",IF(AND(G556&gt;=DATE(2026,4,1),G556&lt;=DATE(2027,3,31)),"FY 26-27",""))))</f>
        <v>FY 25-26</v>
      </c>
      <c r="W556" s="23"/>
      <c r="X556" s="23"/>
    </row>
    <row r="557">
      <c r="A557" s="70" t="s">
        <v>749</v>
      </c>
      <c r="B557" s="70" t="str">
        <f>IF($A$3=" "," ", IFERROR( VLOOKUP($A557,'SUPPLIER DATA BASE'!$A$2:$M$936,3,0),""))</f>
        <v>VAN HEUSEN</v>
      </c>
      <c r="C557" s="70" t="str">
        <f>IF($A$3=" "," ", IFERROR( VLOOKUP($A557,'SUPPLIER DATA BASE'!$A$2:$F$936,6,0),""))</f>
        <v>-</v>
      </c>
      <c r="D557" s="70" t="str">
        <f>IF($A$3=" "," ", IFERROR( VLOOKUP($A557,'SUPPLIER DATA BASE'!$A$2:$G$936,4,0),""))</f>
        <v>-</v>
      </c>
      <c r="E557" s="71" t="str">
        <f>IF($A$3=" "," ", IFERROR( VLOOKUP($A557,'SUPPLIER DATA BASE'!$A$2:$H$936,5,0),""))</f>
        <v>-</v>
      </c>
      <c r="F557" s="72" t="s">
        <v>1905</v>
      </c>
      <c r="G557" s="73">
        <v>46096.0</v>
      </c>
      <c r="H557" s="74">
        <v>66.0</v>
      </c>
      <c r="I557" s="75">
        <v>21878.0</v>
      </c>
      <c r="J557" s="76" t="s">
        <v>1906</v>
      </c>
      <c r="K557" s="70"/>
      <c r="L557" s="73"/>
      <c r="M557" s="70" t="str">
        <f t="shared" si="3"/>
        <v>92 Days</v>
      </c>
      <c r="N557" s="70" t="str">
        <f>IF($A$3=" "," ", IFERROR( VLOOKUP($A557,'SUPPLIER DATA BASE'!$A$2:$O$936,11,0),""))</f>
        <v>SUSHILA ENTERPRISES</v>
      </c>
      <c r="O557" s="70" t="str">
        <f>IF($A$3=" "," ", IFERROR( VLOOKUP($A557,'SUPPLIER DATA BASE'!$A$2:$O$936,12,0),""))</f>
        <v>747805000665</v>
      </c>
      <c r="P557" s="70" t="str">
        <f>IF($A$3=" "," ", IFERROR( VLOOKUP($A557,'SUPPLIER DATA BASE'!$A$2:$O$936,13,0),""))</f>
        <v>ICIC0007478</v>
      </c>
      <c r="Q557" s="77"/>
      <c r="R557" s="73"/>
      <c r="S557" s="77"/>
      <c r="T557" s="70"/>
      <c r="U557" s="78"/>
      <c r="V557" s="70" t="str">
        <f t="shared" si="6"/>
        <v>FY 25-26</v>
      </c>
      <c r="W557" s="23"/>
      <c r="X557" s="23"/>
    </row>
    <row r="558">
      <c r="A558" s="70" t="s">
        <v>354</v>
      </c>
      <c r="B558" s="70" t="str">
        <f>IF($A$3=" "," ", IFERROR( VLOOKUP($A558,'SUPPLIER DATA BASE'!$A$2:$M$936,3,0),""))</f>
        <v>-</v>
      </c>
      <c r="C558" s="70" t="str">
        <f>IF($A$3=" "," ", IFERROR( VLOOKUP($A558,'SUPPLIER DATA BASE'!$A$2:$F$936,6,0),""))</f>
        <v>-</v>
      </c>
      <c r="D558" s="70" t="str">
        <f>IF($A$3=" "," ", IFERROR( VLOOKUP($A558,'SUPPLIER DATA BASE'!$A$2:$G$936,4,0),""))</f>
        <v>-</v>
      </c>
      <c r="E558" s="71" t="str">
        <f>IF($A$3=" "," ", IFERROR( VLOOKUP($A558,'SUPPLIER DATA BASE'!$A$2:$H$936,5,0),""))</f>
        <v>-</v>
      </c>
      <c r="F558" s="72" t="s">
        <v>1907</v>
      </c>
      <c r="G558" s="73">
        <v>46097.0</v>
      </c>
      <c r="H558" s="74">
        <v>1.0</v>
      </c>
      <c r="I558" s="75">
        <v>1369.31</v>
      </c>
      <c r="J558" s="76" t="s">
        <v>1908</v>
      </c>
      <c r="K558" s="70" t="s">
        <v>349</v>
      </c>
      <c r="L558" s="70" t="s">
        <v>349</v>
      </c>
      <c r="M558" s="70" t="str">
        <f t="shared" si="3"/>
        <v>91 Days</v>
      </c>
      <c r="N558" s="70" t="str">
        <f>IF($A$3=" "," ", IFERROR( VLOOKUP($A558,'SUPPLIER DATA BASE'!$A$2:$O$936,11,0),""))</f>
        <v>-</v>
      </c>
      <c r="O558" s="70" t="str">
        <f>IF($A$3=" "," ", IFERROR( VLOOKUP($A558,'SUPPLIER DATA BASE'!$A$2:$O$936,12,0),""))</f>
        <v>-</v>
      </c>
      <c r="P558" s="70" t="str">
        <f>IF($A$3=" "," ", IFERROR( VLOOKUP($A558,'SUPPLIER DATA BASE'!$A$2:$O$936,13,0),""))</f>
        <v>-</v>
      </c>
      <c r="Q558" s="77"/>
      <c r="R558" s="73"/>
      <c r="S558" s="77"/>
      <c r="T558" s="70"/>
      <c r="U558" s="78"/>
      <c r="V558" s="70" t="str">
        <f t="shared" si="6"/>
        <v>FY 25-26</v>
      </c>
      <c r="W558" s="23"/>
      <c r="X558" s="23"/>
    </row>
    <row r="559">
      <c r="A559" s="70" t="s">
        <v>354</v>
      </c>
      <c r="B559" s="70" t="str">
        <f>IF($A$3=" "," ", IFERROR( VLOOKUP($A559,'SUPPLIER DATA BASE'!$A$2:$M$936,3,0),""))</f>
        <v>-</v>
      </c>
      <c r="C559" s="70" t="str">
        <f>IF($A$3=" "," ", IFERROR( VLOOKUP($A559,'SUPPLIER DATA BASE'!$A$2:$F$936,6,0),""))</f>
        <v>-</v>
      </c>
      <c r="D559" s="70" t="str">
        <f>IF($A$3=" "," ", IFERROR( VLOOKUP($A559,'SUPPLIER DATA BASE'!$A$2:$G$936,4,0),""))</f>
        <v>-</v>
      </c>
      <c r="E559" s="71" t="str">
        <f>IF($A$3=" "," ", IFERROR( VLOOKUP($A559,'SUPPLIER DATA BASE'!$A$2:$H$936,5,0),""))</f>
        <v>-</v>
      </c>
      <c r="F559" s="72" t="s">
        <v>1909</v>
      </c>
      <c r="G559" s="73">
        <v>46097.0</v>
      </c>
      <c r="H559" s="74">
        <v>1.0</v>
      </c>
      <c r="I559" s="75">
        <v>1232.31</v>
      </c>
      <c r="J559" s="76" t="s">
        <v>1910</v>
      </c>
      <c r="K559" s="70" t="s">
        <v>349</v>
      </c>
      <c r="L559" s="70" t="s">
        <v>349</v>
      </c>
      <c r="M559" s="70" t="str">
        <f t="shared" si="3"/>
        <v>91 Days</v>
      </c>
      <c r="N559" s="70" t="str">
        <f>IF($A$3=" "," ", IFERROR( VLOOKUP($A559,'SUPPLIER DATA BASE'!$A$2:$O$936,11,0),""))</f>
        <v>-</v>
      </c>
      <c r="O559" s="70" t="str">
        <f>IF($A$3=" "," ", IFERROR( VLOOKUP($A559,'SUPPLIER DATA BASE'!$A$2:$O$936,12,0),""))</f>
        <v>-</v>
      </c>
      <c r="P559" s="70" t="str">
        <f>IF($A$3=" "," ", IFERROR( VLOOKUP($A559,'SUPPLIER DATA BASE'!$A$2:$O$936,13,0),""))</f>
        <v>-</v>
      </c>
      <c r="Q559" s="77"/>
      <c r="R559" s="73"/>
      <c r="S559" s="77"/>
      <c r="T559" s="70"/>
      <c r="U559" s="78"/>
      <c r="V559" s="70" t="str">
        <f t="shared" si="6"/>
        <v>FY 25-26</v>
      </c>
      <c r="W559" s="23"/>
      <c r="X559" s="23"/>
    </row>
    <row r="560">
      <c r="A560" s="70" t="s">
        <v>821</v>
      </c>
      <c r="B560" s="70" t="str">
        <f>IF($A$3=" "," ", IFERROR( VLOOKUP($A560,'SUPPLIER DATA BASE'!$A$2:$M$936,3,0),""))</f>
        <v>NIRZARI/RAASHI</v>
      </c>
      <c r="C560" s="70" t="str">
        <f>IF($A$3=" "," ", IFERROR( VLOOKUP($A560,'SUPPLIER DATA BASE'!$A$2:$F$936,6,0),""))</f>
        <v>SUNRISE AGENCY</v>
      </c>
      <c r="D560" s="70">
        <f>IF($A$3=" "," ", IFERROR( VLOOKUP($A560,'SUPPLIER DATA BASE'!$A$2:$G$936,4,0),""))</f>
        <v>30</v>
      </c>
      <c r="E560" s="71">
        <f>IF($A$3=" "," ", IFERROR( VLOOKUP($A560,'SUPPLIER DATA BASE'!$A$2:$H$936,5,0),""))</f>
        <v>0.03</v>
      </c>
      <c r="F560" s="72" t="s">
        <v>1911</v>
      </c>
      <c r="G560" s="73">
        <v>46097.0</v>
      </c>
      <c r="H560" s="74">
        <v>5.0</v>
      </c>
      <c r="I560" s="75">
        <v>8899.0</v>
      </c>
      <c r="J560" s="76" t="s">
        <v>1912</v>
      </c>
      <c r="K560" s="70" t="s">
        <v>349</v>
      </c>
      <c r="L560" s="70" t="s">
        <v>349</v>
      </c>
      <c r="M560" s="70" t="str">
        <f t="shared" si="3"/>
        <v>91 Days</v>
      </c>
      <c r="N560" s="70" t="str">
        <f>IF($A$3=" "," ", IFERROR( VLOOKUP($A560,'SUPPLIER DATA BASE'!$A$2:$O$936,11,0),""))</f>
        <v>RAASHI</v>
      </c>
      <c r="O560" s="70" t="str">
        <f>IF($A$3=" "," ", IFERROR( VLOOKUP($A560,'SUPPLIER DATA BASE'!$A$2:$O$936,12,0),""))</f>
        <v>7511957908</v>
      </c>
      <c r="P560" s="70" t="str">
        <f>IF($A$3=" "," ", IFERROR( VLOOKUP($A560,'SUPPLIER DATA BASE'!$A$2:$O$936,13,0),""))</f>
        <v>KKBK 0001376</v>
      </c>
      <c r="Q560" s="77"/>
      <c r="R560" s="73"/>
      <c r="S560" s="77"/>
      <c r="T560" s="70"/>
      <c r="U560" s="78"/>
      <c r="V560" s="70" t="str">
        <f t="shared" si="6"/>
        <v>FY 25-26</v>
      </c>
      <c r="W560" s="23"/>
      <c r="X560" s="23"/>
    </row>
    <row r="561">
      <c r="A561" s="70" t="s">
        <v>677</v>
      </c>
      <c r="B561" s="70" t="str">
        <f>IF($A$3=" "," ", IFERROR( VLOOKUP($A561,'SUPPLIER DATA BASE'!$A$2:$M$936,3,0),""))</f>
        <v>-</v>
      </c>
      <c r="C561" s="70" t="str">
        <f>IF($A$3=" "," ", IFERROR( VLOOKUP($A561,'SUPPLIER DATA BASE'!$A$2:$F$936,6,0),""))</f>
        <v>-</v>
      </c>
      <c r="D561" s="70" t="str">
        <f>IF($A$3=" "," ", IFERROR( VLOOKUP($A561,'SUPPLIER DATA BASE'!$A$2:$G$936,4,0),""))</f>
        <v>-</v>
      </c>
      <c r="E561" s="71" t="str">
        <f>IF($A$3=" "," ", IFERROR( VLOOKUP($A561,'SUPPLIER DATA BASE'!$A$2:$H$936,5,0),""))</f>
        <v>-</v>
      </c>
      <c r="F561" s="72" t="s">
        <v>1913</v>
      </c>
      <c r="G561" s="73">
        <v>46097.0</v>
      </c>
      <c r="H561" s="74">
        <v>114.0</v>
      </c>
      <c r="I561" s="75">
        <v>124380.0</v>
      </c>
      <c r="J561" s="76" t="s">
        <v>1914</v>
      </c>
      <c r="K561" s="70" t="s">
        <v>349</v>
      </c>
      <c r="L561" s="70" t="s">
        <v>349</v>
      </c>
      <c r="M561" s="70" t="str">
        <f t="shared" si="3"/>
        <v>91 Days</v>
      </c>
      <c r="N561" s="70" t="str">
        <f>IF($A$3=" "," ", IFERROR( VLOOKUP($A561,'SUPPLIER DATA BASE'!$A$2:$O$936,11,0),""))</f>
        <v>SARAOGI SUPER SALES PVT LTD</v>
      </c>
      <c r="O561" s="70" t="str">
        <f>IF($A$3=" "," ", IFERROR( VLOOKUP($A561,'SUPPLIER DATA BASE'!$A$2:$O$936,12,0),""))</f>
        <v>SASUSP011006</v>
      </c>
      <c r="P561" s="70" t="str">
        <f>IF($A$3=" "," ", IFERROR( VLOOKUP($A561,'SUPPLIER DATA BASE'!$A$2:$O$936,13,0),""))</f>
        <v>ICIC0000106</v>
      </c>
      <c r="Q561" s="77"/>
      <c r="R561" s="73"/>
      <c r="S561" s="77"/>
      <c r="T561" s="70"/>
      <c r="U561" s="78"/>
      <c r="V561" s="70" t="str">
        <f t="shared" si="6"/>
        <v>FY 25-26</v>
      </c>
      <c r="W561" s="23"/>
      <c r="X561" s="23"/>
    </row>
    <row r="562">
      <c r="A562" s="70" t="s">
        <v>799</v>
      </c>
      <c r="B562" s="70" t="str">
        <f>IF($A$3=" "," ", IFERROR( VLOOKUP($A562,'SUPPLIER DATA BASE'!$A$2:$M$936,3,0),""))</f>
        <v>-</v>
      </c>
      <c r="C562" s="70" t="str">
        <f>IF($A$3=" "," ", IFERROR( VLOOKUP($A562,'SUPPLIER DATA BASE'!$A$2:$F$936,6,0),""))</f>
        <v>-</v>
      </c>
      <c r="D562" s="70" t="str">
        <f>IF($A$3=" "," ", IFERROR( VLOOKUP($A562,'SUPPLIER DATA BASE'!$A$2:$G$936,4,0),""))</f>
        <v>-</v>
      </c>
      <c r="E562" s="71" t="str">
        <f>IF($A$3=" "," ", IFERROR( VLOOKUP($A562,'SUPPLIER DATA BASE'!$A$2:$H$936,5,0),""))</f>
        <v>-</v>
      </c>
      <c r="F562" s="72" t="s">
        <v>1915</v>
      </c>
      <c r="G562" s="73">
        <v>46097.0</v>
      </c>
      <c r="H562" s="74">
        <v>32.0</v>
      </c>
      <c r="I562" s="75">
        <v>60479.0</v>
      </c>
      <c r="J562" s="76" t="s">
        <v>1916</v>
      </c>
      <c r="K562" s="70" t="s">
        <v>349</v>
      </c>
      <c r="L562" s="70" t="s">
        <v>349</v>
      </c>
      <c r="M562" s="70" t="str">
        <f t="shared" si="3"/>
        <v>91 Days</v>
      </c>
      <c r="N562" s="70" t="str">
        <f>IF($A$3=" "," ", IFERROR( VLOOKUP($A562,'SUPPLIER DATA BASE'!$A$2:$O$936,11,0),""))</f>
        <v>VISHAL MARKETING &amp; CO.</v>
      </c>
      <c r="O562" s="70" t="str">
        <f>IF($A$3=" "," ", IFERROR( VLOOKUP($A562,'SUPPLIER DATA BASE'!$A$2:$O$936,12,0),""))</f>
        <v>1091008700001025</v>
      </c>
      <c r="P562" s="70" t="str">
        <f>IF($A$3=" "," ", IFERROR( VLOOKUP($A562,'SUPPLIER DATA BASE'!$A$2:$O$936,13,0),""))</f>
        <v>PUNB0109100</v>
      </c>
      <c r="Q562" s="77"/>
      <c r="R562" s="73"/>
      <c r="S562" s="77"/>
      <c r="T562" s="70"/>
      <c r="U562" s="78"/>
      <c r="V562" s="70" t="str">
        <f t="shared" si="6"/>
        <v>FY 25-26</v>
      </c>
      <c r="W562" s="23"/>
      <c r="X562" s="23"/>
    </row>
    <row r="563">
      <c r="A563" s="70" t="s">
        <v>799</v>
      </c>
      <c r="B563" s="70" t="str">
        <f>IF($A$3=" "," ", IFERROR( VLOOKUP($A563,'SUPPLIER DATA BASE'!$A$2:$M$936,3,0),""))</f>
        <v>-</v>
      </c>
      <c r="C563" s="70" t="str">
        <f>IF($A$3=" "," ", IFERROR( VLOOKUP($A563,'SUPPLIER DATA BASE'!$A$2:$F$936,6,0),""))</f>
        <v>-</v>
      </c>
      <c r="D563" s="70" t="str">
        <f>IF($A$3=" "," ", IFERROR( VLOOKUP($A563,'SUPPLIER DATA BASE'!$A$2:$G$936,4,0),""))</f>
        <v>-</v>
      </c>
      <c r="E563" s="71" t="str">
        <f>IF($A$3=" "," ", IFERROR( VLOOKUP($A563,'SUPPLIER DATA BASE'!$A$2:$H$936,5,0),""))</f>
        <v>-</v>
      </c>
      <c r="F563" s="72" t="s">
        <v>1917</v>
      </c>
      <c r="G563" s="73">
        <v>46097.0</v>
      </c>
      <c r="H563" s="74">
        <v>43.0</v>
      </c>
      <c r="I563" s="75">
        <v>59368.0</v>
      </c>
      <c r="J563" s="76" t="s">
        <v>1918</v>
      </c>
      <c r="K563" s="70" t="s">
        <v>349</v>
      </c>
      <c r="L563" s="70" t="s">
        <v>349</v>
      </c>
      <c r="M563" s="70" t="str">
        <f t="shared" si="3"/>
        <v>91 Days</v>
      </c>
      <c r="N563" s="70" t="str">
        <f>IF($A$3=" "," ", IFERROR( VLOOKUP($A563,'SUPPLIER DATA BASE'!$A$2:$O$936,11,0),""))</f>
        <v>VISHAL MARKETING &amp; CO.</v>
      </c>
      <c r="O563" s="70" t="str">
        <f>IF($A$3=" "," ", IFERROR( VLOOKUP($A563,'SUPPLIER DATA BASE'!$A$2:$O$936,12,0),""))</f>
        <v>1091008700001025</v>
      </c>
      <c r="P563" s="70" t="str">
        <f>IF($A$3=" "," ", IFERROR( VLOOKUP($A563,'SUPPLIER DATA BASE'!$A$2:$O$936,13,0),""))</f>
        <v>PUNB0109100</v>
      </c>
      <c r="Q563" s="77"/>
      <c r="R563" s="73"/>
      <c r="S563" s="77"/>
      <c r="T563" s="70"/>
      <c r="U563" s="78"/>
      <c r="V563" s="70" t="str">
        <f t="shared" si="6"/>
        <v>FY 25-26</v>
      </c>
      <c r="W563" s="23"/>
      <c r="X563" s="23"/>
    </row>
    <row r="564">
      <c r="A564" s="70" t="s">
        <v>575</v>
      </c>
      <c r="B564" s="70" t="str">
        <f>IF($A$3=" "," ", IFERROR( VLOOKUP($A564,'SUPPLIER DATA BASE'!$A$2:$M$936,3,0),""))</f>
        <v>BLACKBERRY</v>
      </c>
      <c r="C564" s="70" t="str">
        <f>IF($A$3=" "," ", IFERROR( VLOOKUP($A564,'SUPPLIER DATA BASE'!$A$2:$F$936,6,0),""))</f>
        <v>-</v>
      </c>
      <c r="D564" s="70" t="str">
        <f>IF($A$3=" "," ", IFERROR( VLOOKUP($A564,'SUPPLIER DATA BASE'!$A$2:$G$936,4,0),""))</f>
        <v>-</v>
      </c>
      <c r="E564" s="71" t="str">
        <f>IF($A$3=" "," ", IFERROR( VLOOKUP($A564,'SUPPLIER DATA BASE'!$A$2:$H$936,5,0),""))</f>
        <v>-</v>
      </c>
      <c r="F564" s="72">
        <v>8.500282683E9</v>
      </c>
      <c r="G564" s="73">
        <v>46097.0</v>
      </c>
      <c r="H564" s="74">
        <v>31.0</v>
      </c>
      <c r="I564" s="75">
        <v>61290.22</v>
      </c>
      <c r="J564" s="76" t="s">
        <v>1919</v>
      </c>
      <c r="K564" s="70" t="s">
        <v>349</v>
      </c>
      <c r="L564" s="70" t="s">
        <v>349</v>
      </c>
      <c r="M564" s="70" t="str">
        <f t="shared" si="3"/>
        <v>91 Days</v>
      </c>
      <c r="N564" s="70" t="str">
        <f>IF($A$3=" "," ", IFERROR( VLOOKUP($A564,'SUPPLIER DATA BASE'!$A$2:$O$936,11,0),""))</f>
        <v>MOHAN CLOTHING COMPANY PVT LTD</v>
      </c>
      <c r="O564" s="70" t="str">
        <f>IF($A$3=" "," ", IFERROR( VLOOKUP($A564,'SUPPLIER DATA BASE'!$A$2:$O$936,12,0),""))</f>
        <v>0710096023</v>
      </c>
      <c r="P564" s="70" t="str">
        <f>IF($A$3=" "," ", IFERROR( VLOOKUP($A564,'SUPPLIER DATA BASE'!$A$2:$O$936,13,0),""))</f>
        <v>CITI0000002</v>
      </c>
      <c r="Q564" s="77"/>
      <c r="R564" s="73"/>
      <c r="S564" s="77"/>
      <c r="T564" s="70"/>
      <c r="U564" s="78"/>
      <c r="V564" s="70" t="str">
        <f t="shared" si="6"/>
        <v>FY 25-26</v>
      </c>
      <c r="W564" s="23"/>
      <c r="X564" s="23"/>
    </row>
    <row r="565">
      <c r="A565" s="70" t="s">
        <v>495</v>
      </c>
      <c r="B565" s="70" t="str">
        <f>IF($A$3=" "," ", IFERROR( VLOOKUP($A565,'SUPPLIER DATA BASE'!$A$2:$M$936,3,0),""))</f>
        <v>-</v>
      </c>
      <c r="C565" s="70" t="str">
        <f>IF($A$3=" "," ", IFERROR( VLOOKUP($A565,'SUPPLIER DATA BASE'!$A$2:$F$936,6,0),""))</f>
        <v>-</v>
      </c>
      <c r="D565" s="70" t="str">
        <f>IF($A$3=" "," ", IFERROR( VLOOKUP($A565,'SUPPLIER DATA BASE'!$A$2:$G$936,4,0),""))</f>
        <v>-</v>
      </c>
      <c r="E565" s="71" t="str">
        <f>IF($A$3=" "," ", IFERROR( VLOOKUP($A565,'SUPPLIER DATA BASE'!$A$2:$H$936,5,0),""))</f>
        <v>-</v>
      </c>
      <c r="F565" s="72" t="s">
        <v>1920</v>
      </c>
      <c r="G565" s="73">
        <v>46097.0</v>
      </c>
      <c r="H565" s="74">
        <v>78.0</v>
      </c>
      <c r="I565" s="75">
        <v>75237.0</v>
      </c>
      <c r="J565" s="76" t="s">
        <v>1921</v>
      </c>
      <c r="K565" s="70" t="s">
        <v>349</v>
      </c>
      <c r="L565" s="73"/>
      <c r="M565" s="70" t="str">
        <f t="shared" si="3"/>
        <v>91 Days</v>
      </c>
      <c r="N565" s="70" t="str">
        <f>IF($A$3=" "," ", IFERROR( VLOOKUP($A565,'SUPPLIER DATA BASE'!$A$2:$O$936,11,0),""))</f>
        <v>JAIN ADISHWAR HOSIERY WORKS LLP</v>
      </c>
      <c r="O565" s="70" t="str">
        <f>IF($A$3=" "," ", IFERROR( VLOOKUP($A565,'SUPPLIER DATA BASE'!$A$2:$O$936,12,0),""))</f>
        <v>99917644444444</v>
      </c>
      <c r="P565" s="70" t="str">
        <f>IF($A$3=" "," ", IFERROR( VLOOKUP($A565,'SUPPLIER DATA BASE'!$A$2:$O$936,13,0),""))</f>
        <v>HDFC0002063</v>
      </c>
      <c r="Q565" s="77"/>
      <c r="R565" s="73"/>
      <c r="S565" s="77"/>
      <c r="T565" s="70"/>
      <c r="U565" s="78"/>
      <c r="V565" s="70" t="str">
        <f t="shared" si="6"/>
        <v>FY 25-26</v>
      </c>
      <c r="W565" s="23"/>
      <c r="X565" s="23"/>
    </row>
    <row r="566">
      <c r="A566" s="70" t="s">
        <v>717</v>
      </c>
      <c r="B566" s="70" t="str">
        <f>IF($A$3=" "," ", IFERROR( VLOOKUP($A566,'SUPPLIER DATA BASE'!$A$2:$M$936,3,0),""))</f>
        <v>MINELLI</v>
      </c>
      <c r="C566" s="70" t="str">
        <f>IF($A$3=" "," ", IFERROR( VLOOKUP($A566,'SUPPLIER DATA BASE'!$A$2:$F$936,6,0),""))</f>
        <v>-</v>
      </c>
      <c r="D566" s="70">
        <f>IF($A$3=" "," ", IFERROR( VLOOKUP($A566,'SUPPLIER DATA BASE'!$A$2:$G$936,4,0),""))</f>
        <v>45</v>
      </c>
      <c r="E566" s="71">
        <f>IF($A$3=" "," ", IFERROR( VLOOKUP($A566,'SUPPLIER DATA BASE'!$A$2:$H$936,5,0),""))</f>
        <v>0.1</v>
      </c>
      <c r="F566" s="72" t="s">
        <v>1922</v>
      </c>
      <c r="G566" s="73">
        <v>46097.0</v>
      </c>
      <c r="H566" s="74">
        <v>56.0</v>
      </c>
      <c r="I566" s="75">
        <v>73604.0</v>
      </c>
      <c r="J566" s="76" t="s">
        <v>1923</v>
      </c>
      <c r="K566" s="70" t="s">
        <v>349</v>
      </c>
      <c r="L566" s="73"/>
      <c r="M566" s="70" t="str">
        <f t="shared" si="3"/>
        <v>91 Days</v>
      </c>
      <c r="N566" s="70" t="str">
        <f>IF($A$3=" "," ", IFERROR( VLOOKUP($A566,'SUPPLIER DATA BASE'!$A$2:$O$936,11,0),""))</f>
        <v>SHUBH SHRI CLOTHING PVT LTD</v>
      </c>
      <c r="O566" s="70" t="str">
        <f>IF($A$3=" "," ", IFERROR( VLOOKUP($A566,'SUPPLIER DATA BASE'!$A$2:$O$936,12,0),""))</f>
        <v>002225010000006</v>
      </c>
      <c r="P566" s="70" t="str">
        <f>IF($A$3=" "," ", IFERROR( VLOOKUP($A566,'SUPPLIER DATA BASE'!$A$2:$O$936,13,0),""))</f>
        <v>UBIN0900222</v>
      </c>
      <c r="Q566" s="77"/>
      <c r="R566" s="73"/>
      <c r="S566" s="77"/>
      <c r="T566" s="70"/>
      <c r="U566" s="78"/>
      <c r="V566" s="70" t="str">
        <f t="shared" si="6"/>
        <v>FY 25-26</v>
      </c>
      <c r="W566" s="23"/>
      <c r="X566" s="23"/>
    </row>
    <row r="567">
      <c r="A567" s="70" t="s">
        <v>755</v>
      </c>
      <c r="B567" s="70" t="str">
        <f>IF($A$3=" "," ", IFERROR( VLOOKUP($A567,'SUPPLIER DATA BASE'!$A$2:$M$936,3,0),""))</f>
        <v>-</v>
      </c>
      <c r="C567" s="70" t="str">
        <f>IF($A$3=" "," ", IFERROR( VLOOKUP($A567,'SUPPLIER DATA BASE'!$A$2:$F$936,6,0),""))</f>
        <v>-</v>
      </c>
      <c r="D567" s="70" t="str">
        <f>IF($A$3=" "," ", IFERROR( VLOOKUP($A567,'SUPPLIER DATA BASE'!$A$2:$G$936,4,0),""))</f>
        <v>-</v>
      </c>
      <c r="E567" s="71" t="str">
        <f>IF($A$3=" "," ", IFERROR( VLOOKUP($A567,'SUPPLIER DATA BASE'!$A$2:$H$936,5,0),""))</f>
        <v>-</v>
      </c>
      <c r="F567" s="72" t="s">
        <v>1924</v>
      </c>
      <c r="G567" s="73">
        <v>46097.0</v>
      </c>
      <c r="H567" s="74">
        <v>155.0</v>
      </c>
      <c r="I567" s="75">
        <v>25258.0</v>
      </c>
      <c r="J567" s="76" t="s">
        <v>1925</v>
      </c>
      <c r="K567" s="70" t="s">
        <v>349</v>
      </c>
      <c r="L567" s="73"/>
      <c r="M567" s="70" t="str">
        <f t="shared" si="3"/>
        <v>91 Days</v>
      </c>
      <c r="N567" s="70" t="str">
        <f>IF($A$3=" "," ", IFERROR( VLOOKUP($A567,'SUPPLIER DATA BASE'!$A$2:$O$936,11,0),""))</f>
        <v>-</v>
      </c>
      <c r="O567" s="70" t="str">
        <f>IF($A$3=" "," ", IFERROR( VLOOKUP($A567,'SUPPLIER DATA BASE'!$A$2:$O$936,12,0),""))</f>
        <v>-</v>
      </c>
      <c r="P567" s="70" t="str">
        <f>IF($A$3=" "," ", IFERROR( VLOOKUP($A567,'SUPPLIER DATA BASE'!$A$2:$O$936,13,0),""))</f>
        <v>-</v>
      </c>
      <c r="Q567" s="77"/>
      <c r="R567" s="73"/>
      <c r="S567" s="77"/>
      <c r="T567" s="70"/>
      <c r="U567" s="78"/>
      <c r="V567" s="70" t="str">
        <f t="shared" si="6"/>
        <v>FY 25-26</v>
      </c>
      <c r="W567" s="23"/>
      <c r="X567" s="23"/>
    </row>
    <row r="568">
      <c r="A568" s="70"/>
      <c r="B568" s="70" t="str">
        <f>IF($A$3=" "," ", IFERROR( VLOOKUP($A568,'SUPPLIER DATA BASE'!$A$2:$M$936,3,0),""))</f>
        <v/>
      </c>
      <c r="C568" s="70" t="str">
        <f>IF($A$3=" "," ", IFERROR( VLOOKUP($A568,'SUPPLIER DATA BASE'!$A$2:$F$936,6,0),""))</f>
        <v/>
      </c>
      <c r="D568" s="70" t="str">
        <f>IF($A$3=" "," ", IFERROR( VLOOKUP($A568,'SUPPLIER DATA BASE'!$A$2:$G$936,4,0),""))</f>
        <v/>
      </c>
      <c r="E568" s="71" t="str">
        <f>IF($A$3=" "," ", IFERROR( VLOOKUP($A568,'SUPPLIER DATA BASE'!$A$2:$H$936,5,0),""))</f>
        <v/>
      </c>
      <c r="F568" s="72" t="s">
        <v>1926</v>
      </c>
      <c r="G568" s="73">
        <v>46098.0</v>
      </c>
      <c r="H568" s="74">
        <v>26.0</v>
      </c>
      <c r="I568" s="75">
        <v>117080.0</v>
      </c>
      <c r="J568" s="76" t="s">
        <v>1927</v>
      </c>
      <c r="K568" s="70" t="s">
        <v>349</v>
      </c>
      <c r="L568" s="70" t="s">
        <v>349</v>
      </c>
      <c r="M568" s="70" t="str">
        <f t="shared" si="3"/>
        <v>90 Days</v>
      </c>
      <c r="N568" s="70" t="str">
        <f>IF($A$3=" "," ", IFERROR( VLOOKUP($A568,'SUPPLIER DATA BASE'!$A$2:$O$936,11,0),""))</f>
        <v/>
      </c>
      <c r="O568" s="70" t="str">
        <f>IF($A$3=" "," ", IFERROR( VLOOKUP($A568,'SUPPLIER DATA BASE'!$A$2:$O$936,12,0),""))</f>
        <v/>
      </c>
      <c r="P568" s="70" t="str">
        <f>IF($A$3=" "," ", IFERROR( VLOOKUP($A568,'SUPPLIER DATA BASE'!$A$2:$O$936,13,0),""))</f>
        <v/>
      </c>
      <c r="Q568" s="77"/>
      <c r="R568" s="73"/>
      <c r="S568" s="77"/>
      <c r="T568" s="70"/>
      <c r="U568" s="78"/>
      <c r="V568" s="70" t="str">
        <f t="shared" si="6"/>
        <v>FY 25-26</v>
      </c>
      <c r="W568" s="23"/>
      <c r="X568" s="23"/>
    </row>
    <row r="569">
      <c r="A569" s="70" t="s">
        <v>516</v>
      </c>
      <c r="B569" s="70" t="str">
        <f>IF($A$3=" "," ", IFERROR( VLOOKUP($A569,'SUPPLIER DATA BASE'!$A$2:$M$936,3,0),""))</f>
        <v>-</v>
      </c>
      <c r="C569" s="70" t="str">
        <f>IF($A$3=" "," ", IFERROR( VLOOKUP($A569,'SUPPLIER DATA BASE'!$A$2:$F$936,6,0),""))</f>
        <v>-</v>
      </c>
      <c r="D569" s="70" t="str">
        <f>IF($A$3=" "," ", IFERROR( VLOOKUP($A569,'SUPPLIER DATA BASE'!$A$2:$G$936,4,0),""))</f>
        <v>-</v>
      </c>
      <c r="E569" s="71" t="str">
        <f>IF($A$3=" "," ", IFERROR( VLOOKUP($A569,'SUPPLIER DATA BASE'!$A$2:$H$936,5,0),""))</f>
        <v>-</v>
      </c>
      <c r="F569" s="72" t="s">
        <v>1928</v>
      </c>
      <c r="G569" s="73">
        <v>46098.0</v>
      </c>
      <c r="H569" s="74">
        <v>72.0</v>
      </c>
      <c r="I569" s="75">
        <v>16387.0</v>
      </c>
      <c r="J569" s="76" t="s">
        <v>1929</v>
      </c>
      <c r="K569" s="70" t="s">
        <v>349</v>
      </c>
      <c r="L569" s="70" t="s">
        <v>349</v>
      </c>
      <c r="M569" s="70" t="str">
        <f t="shared" si="3"/>
        <v>90 Days</v>
      </c>
      <c r="N569" s="70" t="str">
        <f>IF($A$3=" "," ", IFERROR( VLOOKUP($A569,'SUPPLIER DATA BASE'!$A$2:$O$936,11,0),""))</f>
        <v>-</v>
      </c>
      <c r="O569" s="70" t="str">
        <f>IF($A$3=" "," ", IFERROR( VLOOKUP($A569,'SUPPLIER DATA BASE'!$A$2:$O$936,12,0),""))</f>
        <v>-</v>
      </c>
      <c r="P569" s="70" t="str">
        <f>IF($A$3=" "," ", IFERROR( VLOOKUP($A569,'SUPPLIER DATA BASE'!$A$2:$O$936,13,0),""))</f>
        <v>-</v>
      </c>
      <c r="Q569" s="77"/>
      <c r="R569" s="73"/>
      <c r="S569" s="77"/>
      <c r="T569" s="70"/>
      <c r="U569" s="78"/>
      <c r="V569" s="70" t="str">
        <f t="shared" si="6"/>
        <v>FY 25-26</v>
      </c>
      <c r="W569" s="23"/>
      <c r="X569" s="23"/>
    </row>
    <row r="570">
      <c r="A570" s="70" t="s">
        <v>516</v>
      </c>
      <c r="B570" s="70" t="str">
        <f>IF($A$3=" "," ", IFERROR( VLOOKUP($A570,'SUPPLIER DATA BASE'!$A$2:$M$936,3,0),""))</f>
        <v>-</v>
      </c>
      <c r="C570" s="70" t="str">
        <f>IF($A$3=" "," ", IFERROR( VLOOKUP($A570,'SUPPLIER DATA BASE'!$A$2:$F$936,6,0),""))</f>
        <v>-</v>
      </c>
      <c r="D570" s="70" t="str">
        <f>IF($A$3=" "," ", IFERROR( VLOOKUP($A570,'SUPPLIER DATA BASE'!$A$2:$G$936,4,0),""))</f>
        <v>-</v>
      </c>
      <c r="E570" s="71" t="str">
        <f>IF($A$3=" "," ", IFERROR( VLOOKUP($A570,'SUPPLIER DATA BASE'!$A$2:$H$936,5,0),""))</f>
        <v>-</v>
      </c>
      <c r="F570" s="72" t="s">
        <v>1930</v>
      </c>
      <c r="G570" s="73">
        <v>46098.0</v>
      </c>
      <c r="H570" s="74">
        <v>440.0</v>
      </c>
      <c r="I570" s="75">
        <v>92776.0</v>
      </c>
      <c r="J570" s="76" t="s">
        <v>1931</v>
      </c>
      <c r="K570" s="70" t="s">
        <v>349</v>
      </c>
      <c r="L570" s="70" t="s">
        <v>349</v>
      </c>
      <c r="M570" s="70" t="str">
        <f t="shared" si="3"/>
        <v>90 Days</v>
      </c>
      <c r="N570" s="70" t="str">
        <f>IF($A$3=" "," ", IFERROR( VLOOKUP($A570,'SUPPLIER DATA BASE'!$A$2:$O$936,11,0),""))</f>
        <v>-</v>
      </c>
      <c r="O570" s="70" t="str">
        <f>IF($A$3=" "," ", IFERROR( VLOOKUP($A570,'SUPPLIER DATA BASE'!$A$2:$O$936,12,0),""))</f>
        <v>-</v>
      </c>
      <c r="P570" s="70" t="str">
        <f>IF($A$3=" "," ", IFERROR( VLOOKUP($A570,'SUPPLIER DATA BASE'!$A$2:$O$936,13,0),""))</f>
        <v>-</v>
      </c>
      <c r="Q570" s="77"/>
      <c r="R570" s="73"/>
      <c r="S570" s="77"/>
      <c r="T570" s="70"/>
      <c r="U570" s="78"/>
      <c r="V570" s="70" t="str">
        <f t="shared" si="6"/>
        <v>FY 25-26</v>
      </c>
      <c r="W570" s="23"/>
      <c r="X570" s="23"/>
    </row>
    <row r="571">
      <c r="A571" s="70"/>
      <c r="B571" s="70" t="str">
        <f>IF($A$3=" "," ", IFERROR( VLOOKUP($A571,'SUPPLIER DATA BASE'!$A$2:$M$936,3,0),""))</f>
        <v/>
      </c>
      <c r="C571" s="70" t="str">
        <f>IF($A$3=" "," ", IFERROR( VLOOKUP($A571,'SUPPLIER DATA BASE'!$A$2:$F$936,6,0),""))</f>
        <v/>
      </c>
      <c r="D571" s="70" t="str">
        <f>IF($A$3=" "," ", IFERROR( VLOOKUP($A571,'SUPPLIER DATA BASE'!$A$2:$G$936,4,0),""))</f>
        <v/>
      </c>
      <c r="E571" s="71" t="str">
        <f>IF($A$3=" "," ", IFERROR( VLOOKUP($A571,'SUPPLIER DATA BASE'!$A$2:$H$936,5,0),""))</f>
        <v/>
      </c>
      <c r="F571" s="72" t="s">
        <v>1932</v>
      </c>
      <c r="G571" s="73">
        <v>46098.0</v>
      </c>
      <c r="H571" s="74">
        <v>171.0</v>
      </c>
      <c r="I571" s="75">
        <v>94064.0</v>
      </c>
      <c r="J571" s="76" t="s">
        <v>1933</v>
      </c>
      <c r="K571" s="70" t="s">
        <v>349</v>
      </c>
      <c r="L571" s="70" t="s">
        <v>349</v>
      </c>
      <c r="M571" s="70" t="str">
        <f t="shared" si="3"/>
        <v>90 Days</v>
      </c>
      <c r="N571" s="70" t="str">
        <f>IF($A$3=" "," ", IFERROR( VLOOKUP($A571,'SUPPLIER DATA BASE'!$A$2:$O$936,11,0),""))</f>
        <v/>
      </c>
      <c r="O571" s="70" t="str">
        <f>IF($A$3=" "," ", IFERROR( VLOOKUP($A571,'SUPPLIER DATA BASE'!$A$2:$O$936,12,0),""))</f>
        <v/>
      </c>
      <c r="P571" s="70" t="str">
        <f>IF($A$3=" "," ", IFERROR( VLOOKUP($A571,'SUPPLIER DATA BASE'!$A$2:$O$936,13,0),""))</f>
        <v/>
      </c>
      <c r="Q571" s="77"/>
      <c r="R571" s="73"/>
      <c r="S571" s="77"/>
      <c r="T571" s="70"/>
      <c r="U571" s="78"/>
      <c r="V571" s="70" t="str">
        <f t="shared" si="6"/>
        <v>FY 25-26</v>
      </c>
      <c r="W571" s="23"/>
      <c r="X571" s="23"/>
    </row>
    <row r="572">
      <c r="A572" s="70" t="s">
        <v>690</v>
      </c>
      <c r="B572" s="70" t="str">
        <f>IF($A$3=" "," ", IFERROR( VLOOKUP($A572,'SUPPLIER DATA BASE'!$A$2:$M$936,3,0),""))</f>
        <v>-</v>
      </c>
      <c r="C572" s="70" t="str">
        <f>IF($A$3=" "," ", IFERROR( VLOOKUP($A572,'SUPPLIER DATA BASE'!$A$2:$F$936,6,0),""))</f>
        <v>-</v>
      </c>
      <c r="D572" s="70" t="str">
        <f>IF($A$3=" "," ", IFERROR( VLOOKUP($A572,'SUPPLIER DATA BASE'!$A$2:$G$936,4,0),""))</f>
        <v>-</v>
      </c>
      <c r="E572" s="71" t="str">
        <f>IF($A$3=" "," ", IFERROR( VLOOKUP($A572,'SUPPLIER DATA BASE'!$A$2:$H$936,5,0),""))</f>
        <v>-</v>
      </c>
      <c r="F572" s="72">
        <v>8653.0</v>
      </c>
      <c r="G572" s="73">
        <v>46098.0</v>
      </c>
      <c r="H572" s="74">
        <v>30.0</v>
      </c>
      <c r="I572" s="75">
        <v>106943.0</v>
      </c>
      <c r="J572" s="76" t="s">
        <v>1934</v>
      </c>
      <c r="K572" s="70" t="s">
        <v>349</v>
      </c>
      <c r="L572" s="70" t="s">
        <v>349</v>
      </c>
      <c r="M572" s="70" t="str">
        <f t="shared" si="3"/>
        <v>90 Days</v>
      </c>
      <c r="N572" s="70" t="str">
        <f>IF($A$3=" "," ", IFERROR( VLOOKUP($A572,'SUPPLIER DATA BASE'!$A$2:$O$936,11,0),""))</f>
        <v>-</v>
      </c>
      <c r="O572" s="70" t="str">
        <f>IF($A$3=" "," ", IFERROR( VLOOKUP($A572,'SUPPLIER DATA BASE'!$A$2:$O$936,12,0),""))</f>
        <v>-</v>
      </c>
      <c r="P572" s="70" t="str">
        <f>IF($A$3=" "," ", IFERROR( VLOOKUP($A572,'SUPPLIER DATA BASE'!$A$2:$O$936,13,0),""))</f>
        <v>-</v>
      </c>
      <c r="Q572" s="77"/>
      <c r="R572" s="73"/>
      <c r="S572" s="77"/>
      <c r="T572" s="70"/>
      <c r="U572" s="78"/>
      <c r="V572" s="70" t="str">
        <f t="shared" si="6"/>
        <v>FY 25-26</v>
      </c>
      <c r="W572" s="23"/>
      <c r="X572" s="23"/>
    </row>
    <row r="573">
      <c r="A573" s="70" t="s">
        <v>690</v>
      </c>
      <c r="B573" s="70" t="str">
        <f>IF($A$3=" "," ", IFERROR( VLOOKUP($A573,'SUPPLIER DATA BASE'!$A$2:$M$936,3,0),""))</f>
        <v>-</v>
      </c>
      <c r="C573" s="70" t="str">
        <f>IF($A$3=" "," ", IFERROR( VLOOKUP($A573,'SUPPLIER DATA BASE'!$A$2:$F$936,6,0),""))</f>
        <v>-</v>
      </c>
      <c r="D573" s="70" t="str">
        <f>IF($A$3=" "," ", IFERROR( VLOOKUP($A573,'SUPPLIER DATA BASE'!$A$2:$G$936,4,0),""))</f>
        <v>-</v>
      </c>
      <c r="E573" s="71" t="str">
        <f>IF($A$3=" "," ", IFERROR( VLOOKUP($A573,'SUPPLIER DATA BASE'!$A$2:$H$936,5,0),""))</f>
        <v>-</v>
      </c>
      <c r="F573" s="72">
        <v>8654.0</v>
      </c>
      <c r="G573" s="73">
        <v>46098.0</v>
      </c>
      <c r="H573" s="74">
        <v>29.0</v>
      </c>
      <c r="I573" s="75">
        <v>112513.0</v>
      </c>
      <c r="J573" s="76" t="s">
        <v>1935</v>
      </c>
      <c r="K573" s="70" t="s">
        <v>349</v>
      </c>
      <c r="L573" s="70" t="s">
        <v>349</v>
      </c>
      <c r="M573" s="70" t="str">
        <f t="shared" si="3"/>
        <v>90 Days</v>
      </c>
      <c r="N573" s="70" t="str">
        <f>IF($A$3=" "," ", IFERROR( VLOOKUP($A573,'SUPPLIER DATA BASE'!$A$2:$O$936,11,0),""))</f>
        <v>-</v>
      </c>
      <c r="O573" s="70" t="str">
        <f>IF($A$3=" "," ", IFERROR( VLOOKUP($A573,'SUPPLIER DATA BASE'!$A$2:$O$936,12,0),""))</f>
        <v>-</v>
      </c>
      <c r="P573" s="70" t="str">
        <f>IF($A$3=" "," ", IFERROR( VLOOKUP($A573,'SUPPLIER DATA BASE'!$A$2:$O$936,13,0),""))</f>
        <v>-</v>
      </c>
      <c r="Q573" s="77"/>
      <c r="R573" s="73"/>
      <c r="S573" s="77"/>
      <c r="T573" s="70"/>
      <c r="U573" s="78"/>
      <c r="V573" s="70" t="str">
        <f t="shared" si="6"/>
        <v>FY 25-26</v>
      </c>
      <c r="W573" s="23"/>
      <c r="X573" s="23"/>
    </row>
    <row r="574">
      <c r="A574" s="70" t="s">
        <v>690</v>
      </c>
      <c r="B574" s="70" t="str">
        <f>IF($A$3=" "," ", IFERROR( VLOOKUP($A574,'SUPPLIER DATA BASE'!$A$2:$M$936,3,0),""))</f>
        <v>-</v>
      </c>
      <c r="C574" s="70" t="str">
        <f>IF($A$3=" "," ", IFERROR( VLOOKUP($A574,'SUPPLIER DATA BASE'!$A$2:$F$936,6,0),""))</f>
        <v>-</v>
      </c>
      <c r="D574" s="70" t="str">
        <f>IF($A$3=" "," ", IFERROR( VLOOKUP($A574,'SUPPLIER DATA BASE'!$A$2:$G$936,4,0),""))</f>
        <v>-</v>
      </c>
      <c r="E574" s="71" t="str">
        <f>IF($A$3=" "," ", IFERROR( VLOOKUP($A574,'SUPPLIER DATA BASE'!$A$2:$H$936,5,0),""))</f>
        <v>-</v>
      </c>
      <c r="F574" s="72">
        <v>8655.0</v>
      </c>
      <c r="G574" s="73">
        <v>46098.0</v>
      </c>
      <c r="H574" s="74">
        <v>34.0</v>
      </c>
      <c r="I574" s="75">
        <v>119606.0</v>
      </c>
      <c r="J574" s="76" t="s">
        <v>1936</v>
      </c>
      <c r="K574" s="70" t="s">
        <v>349</v>
      </c>
      <c r="L574" s="70" t="s">
        <v>349</v>
      </c>
      <c r="M574" s="70" t="str">
        <f t="shared" si="3"/>
        <v>90 Days</v>
      </c>
      <c r="N574" s="70" t="str">
        <f>IF($A$3=" "," ", IFERROR( VLOOKUP($A574,'SUPPLIER DATA BASE'!$A$2:$O$936,11,0),""))</f>
        <v>-</v>
      </c>
      <c r="O574" s="70" t="str">
        <f>IF($A$3=" "," ", IFERROR( VLOOKUP($A574,'SUPPLIER DATA BASE'!$A$2:$O$936,12,0),""))</f>
        <v>-</v>
      </c>
      <c r="P574" s="70" t="str">
        <f>IF($A$3=" "," ", IFERROR( VLOOKUP($A574,'SUPPLIER DATA BASE'!$A$2:$O$936,13,0),""))</f>
        <v>-</v>
      </c>
      <c r="Q574" s="77"/>
      <c r="R574" s="73"/>
      <c r="S574" s="77"/>
      <c r="T574" s="70"/>
      <c r="U574" s="78"/>
      <c r="V574" s="70" t="str">
        <f t="shared" si="6"/>
        <v>FY 25-26</v>
      </c>
      <c r="W574" s="23"/>
      <c r="X574" s="23"/>
    </row>
    <row r="575">
      <c r="A575" s="70" t="s">
        <v>575</v>
      </c>
      <c r="B575" s="70" t="str">
        <f>IF($A$3=" "," ", IFERROR( VLOOKUP($A575,'SUPPLIER DATA BASE'!$A$2:$M$936,3,0),""))</f>
        <v>BLACKBERRY</v>
      </c>
      <c r="C575" s="70" t="str">
        <f>IF($A$3=" "," ", IFERROR( VLOOKUP($A575,'SUPPLIER DATA BASE'!$A$2:$F$936,6,0),""))</f>
        <v>-</v>
      </c>
      <c r="D575" s="70" t="str">
        <f>IF($A$3=" "," ", IFERROR( VLOOKUP($A575,'SUPPLIER DATA BASE'!$A$2:$G$936,4,0),""))</f>
        <v>-</v>
      </c>
      <c r="E575" s="71" t="str">
        <f>IF($A$3=" "," ", IFERROR( VLOOKUP($A575,'SUPPLIER DATA BASE'!$A$2:$H$936,5,0),""))</f>
        <v>-</v>
      </c>
      <c r="F575" s="72" t="s">
        <v>1937</v>
      </c>
      <c r="G575" s="73">
        <v>46098.0</v>
      </c>
      <c r="H575" s="74">
        <v>172.0</v>
      </c>
      <c r="I575" s="75">
        <v>111342.0</v>
      </c>
      <c r="J575" s="76" t="s">
        <v>1938</v>
      </c>
      <c r="K575" s="70" t="s">
        <v>349</v>
      </c>
      <c r="L575" s="70" t="s">
        <v>349</v>
      </c>
      <c r="M575" s="70" t="str">
        <f t="shared" si="3"/>
        <v>90 Days</v>
      </c>
      <c r="N575" s="70" t="str">
        <f>IF($A$3=" "," ", IFERROR( VLOOKUP($A575,'SUPPLIER DATA BASE'!$A$2:$O$936,11,0),""))</f>
        <v>MOHAN CLOTHING COMPANY PVT LTD</v>
      </c>
      <c r="O575" s="70" t="str">
        <f>IF($A$3=" "," ", IFERROR( VLOOKUP($A575,'SUPPLIER DATA BASE'!$A$2:$O$936,12,0),""))</f>
        <v>0710096023</v>
      </c>
      <c r="P575" s="70" t="str">
        <f>IF($A$3=" "," ", IFERROR( VLOOKUP($A575,'SUPPLIER DATA BASE'!$A$2:$O$936,13,0),""))</f>
        <v>CITI0000002</v>
      </c>
      <c r="Q575" s="77"/>
      <c r="R575" s="73"/>
      <c r="S575" s="77"/>
      <c r="T575" s="70"/>
      <c r="U575" s="78"/>
      <c r="V575" s="70" t="str">
        <f t="shared" si="6"/>
        <v>FY 25-26</v>
      </c>
      <c r="W575" s="23"/>
      <c r="X575" s="23"/>
    </row>
    <row r="576">
      <c r="A576" s="70" t="s">
        <v>413</v>
      </c>
      <c r="B576" s="70" t="str">
        <f>IF($A$3=" "," ", IFERROR( VLOOKUP($A576,'SUPPLIER DATA BASE'!$A$2:$M$936,3,0),""))</f>
        <v>KILLER</v>
      </c>
      <c r="C576" s="70" t="str">
        <f>IF($A$3=" "," ", IFERROR( VLOOKUP($A576,'SUPPLIER DATA BASE'!$A$2:$F$936,6,0),""))</f>
        <v>-</v>
      </c>
      <c r="D576" s="70" t="str">
        <f>IF($A$3=" "," ", IFERROR( VLOOKUP($A576,'SUPPLIER DATA BASE'!$A$2:$G$936,4,0),""))</f>
        <v>NO</v>
      </c>
      <c r="E576" s="71" t="str">
        <f>IF($A$3=" "," ", IFERROR( VLOOKUP($A576,'SUPPLIER DATA BASE'!$A$2:$H$936,5,0),""))</f>
        <v>-</v>
      </c>
      <c r="F576" s="72" t="s">
        <v>1939</v>
      </c>
      <c r="G576" s="73">
        <v>46098.0</v>
      </c>
      <c r="H576" s="74">
        <v>41.0</v>
      </c>
      <c r="I576" s="75">
        <v>72000.0</v>
      </c>
      <c r="J576" s="76" t="s">
        <v>1940</v>
      </c>
      <c r="K576" s="70" t="s">
        <v>349</v>
      </c>
      <c r="L576" s="73"/>
      <c r="M576" s="70" t="str">
        <f t="shared" si="3"/>
        <v>90 Days</v>
      </c>
      <c r="N576" s="70" t="str">
        <f>IF($A$3=" "," ", IFERROR( VLOOKUP($A576,'SUPPLIER DATA BASE'!$A$2:$O$936,11,0),""))</f>
        <v>D D SALES CO</v>
      </c>
      <c r="O576" s="70" t="str">
        <f>IF($A$3=" "," ", IFERROR( VLOOKUP($A576,'SUPPLIER DATA BASE'!$A$2:$O$936,12,0),""))</f>
        <v>29205007835</v>
      </c>
      <c r="P576" s="70" t="str">
        <f>IF($A$3=" "," ", IFERROR( VLOOKUP($A576,'SUPPLIER DATA BASE'!$A$2:$O$936,13,0),""))</f>
        <v>ICIC0000292</v>
      </c>
      <c r="Q576" s="77"/>
      <c r="R576" s="73"/>
      <c r="S576" s="77"/>
      <c r="T576" s="70"/>
      <c r="U576" s="78"/>
      <c r="V576" s="70" t="str">
        <f t="shared" si="6"/>
        <v>FY 25-26</v>
      </c>
      <c r="W576" s="23"/>
      <c r="X576" s="23"/>
    </row>
    <row r="577">
      <c r="A577" s="70" t="s">
        <v>761</v>
      </c>
      <c r="B577" s="70" t="str">
        <f>IF($A$3=" "," ", IFERROR( VLOOKUP($A577,'SUPPLIER DATA BASE'!$A$2:$M$936,3,0),""))</f>
        <v>JOCKEY, LIBAS, ROCKIT, INTIGRITI, AMERICAN TOURISTER</v>
      </c>
      <c r="C577" s="70" t="str">
        <f>IF($A$3=" "," ", IFERROR( VLOOKUP($A577,'SUPPLIER DATA BASE'!$A$2:$F$936,6,0),""))</f>
        <v>DIRECT</v>
      </c>
      <c r="D577" s="70">
        <f>IF($A$3=" "," ", IFERROR( VLOOKUP($A577,'SUPPLIER DATA BASE'!$A$2:$G$936,4,0),""))</f>
        <v>7</v>
      </c>
      <c r="E577" s="71">
        <f>IF($A$3=" "," ", IFERROR( VLOOKUP($A577,'SUPPLIER DATA BASE'!$A$2:$H$936,5,0),""))</f>
        <v>0.02</v>
      </c>
      <c r="F577" s="72" t="s">
        <v>1941</v>
      </c>
      <c r="G577" s="73">
        <v>46098.0</v>
      </c>
      <c r="H577" s="74">
        <v>353.0</v>
      </c>
      <c r="I577" s="75">
        <v>445240.0</v>
      </c>
      <c r="J577" s="76" t="s">
        <v>1942</v>
      </c>
      <c r="K577" s="70" t="s">
        <v>349</v>
      </c>
      <c r="L577" s="73"/>
      <c r="M577" s="70" t="str">
        <f t="shared" si="3"/>
        <v>90 Days</v>
      </c>
      <c r="N577" s="70" t="str">
        <f>IF($A$3=" "," ", IFERROR( VLOOKUP($A577,'SUPPLIER DATA BASE'!$A$2:$O$936,11,0),""))</f>
        <v>TAYAL GARMENTS PVT. LTD.</v>
      </c>
      <c r="O577" s="70" t="str">
        <f>IF($A$3=" "," ", IFERROR( VLOOKUP($A577,'SUPPLIER DATA BASE'!$A$2:$O$936,12,0),""))</f>
        <v>1199911999</v>
      </c>
      <c r="P577" s="70" t="str">
        <f>IF($A$3=" "," ", IFERROR( VLOOKUP($A577,'SUPPLIER DATA BASE'!$A$2:$O$936,13,0),""))</f>
        <v>KKBK0005632</v>
      </c>
      <c r="Q577" s="77"/>
      <c r="R577" s="73"/>
      <c r="S577" s="77"/>
      <c r="T577" s="70"/>
      <c r="U577" s="78"/>
      <c r="V577" s="70" t="str">
        <f t="shared" si="6"/>
        <v>FY 25-26</v>
      </c>
      <c r="W577" s="23"/>
      <c r="X577" s="23"/>
    </row>
    <row r="578">
      <c r="A578" s="70" t="s">
        <v>761</v>
      </c>
      <c r="B578" s="70" t="str">
        <f>IF($A$3=" "," ", IFERROR( VLOOKUP($A578,'SUPPLIER DATA BASE'!$A$2:$M$936,3,0),""))</f>
        <v>JOCKEY, LIBAS, ROCKIT, INTIGRITI, AMERICAN TOURISTER</v>
      </c>
      <c r="C578" s="70" t="str">
        <f>IF($A$3=" "," ", IFERROR( VLOOKUP($A578,'SUPPLIER DATA BASE'!$A$2:$F$936,6,0),""))</f>
        <v>DIRECT</v>
      </c>
      <c r="D578" s="70">
        <f>IF($A$3=" "," ", IFERROR( VLOOKUP($A578,'SUPPLIER DATA BASE'!$A$2:$G$936,4,0),""))</f>
        <v>7</v>
      </c>
      <c r="E578" s="71">
        <f>IF($A$3=" "," ", IFERROR( VLOOKUP($A578,'SUPPLIER DATA BASE'!$A$2:$H$936,5,0),""))</f>
        <v>0.02</v>
      </c>
      <c r="F578" s="72" t="s">
        <v>1943</v>
      </c>
      <c r="G578" s="73">
        <v>46098.0</v>
      </c>
      <c r="H578" s="74">
        <v>206.0</v>
      </c>
      <c r="I578" s="75">
        <v>367717.0</v>
      </c>
      <c r="J578" s="76" t="s">
        <v>1944</v>
      </c>
      <c r="K578" s="70" t="s">
        <v>349</v>
      </c>
      <c r="L578" s="73"/>
      <c r="M578" s="70" t="str">
        <f t="shared" si="3"/>
        <v>90 Days</v>
      </c>
      <c r="N578" s="70" t="str">
        <f>IF($A$3=" "," ", IFERROR( VLOOKUP($A578,'SUPPLIER DATA BASE'!$A$2:$O$936,11,0),""))</f>
        <v>TAYAL GARMENTS PVT. LTD.</v>
      </c>
      <c r="O578" s="70" t="str">
        <f>IF($A$3=" "," ", IFERROR( VLOOKUP($A578,'SUPPLIER DATA BASE'!$A$2:$O$936,12,0),""))</f>
        <v>1199911999</v>
      </c>
      <c r="P578" s="70" t="str">
        <f>IF($A$3=" "," ", IFERROR( VLOOKUP($A578,'SUPPLIER DATA BASE'!$A$2:$O$936,13,0),""))</f>
        <v>KKBK0005632</v>
      </c>
      <c r="Q578" s="77"/>
      <c r="R578" s="73"/>
      <c r="S578" s="77"/>
      <c r="T578" s="70"/>
      <c r="U578" s="78"/>
      <c r="V578" s="70" t="str">
        <f t="shared" si="6"/>
        <v>FY 25-26</v>
      </c>
      <c r="W578" s="23"/>
      <c r="X578" s="23"/>
    </row>
    <row r="579">
      <c r="A579" s="70" t="s">
        <v>761</v>
      </c>
      <c r="B579" s="70" t="str">
        <f>IF($A$3=" "," ", IFERROR( VLOOKUP($A579,'SUPPLIER DATA BASE'!$A$2:$M$936,3,0),""))</f>
        <v>JOCKEY, LIBAS, ROCKIT, INTIGRITI, AMERICAN TOURISTER</v>
      </c>
      <c r="C579" s="70" t="str">
        <f>IF($A$3=" "," ", IFERROR( VLOOKUP($A579,'SUPPLIER DATA BASE'!$A$2:$F$936,6,0),""))</f>
        <v>DIRECT</v>
      </c>
      <c r="D579" s="70">
        <f>IF($A$3=" "," ", IFERROR( VLOOKUP($A579,'SUPPLIER DATA BASE'!$A$2:$G$936,4,0),""))</f>
        <v>7</v>
      </c>
      <c r="E579" s="71">
        <f>IF($A$3=" "," ", IFERROR( VLOOKUP($A579,'SUPPLIER DATA BASE'!$A$2:$H$936,5,0),""))</f>
        <v>0.02</v>
      </c>
      <c r="F579" s="72" t="s">
        <v>1945</v>
      </c>
      <c r="G579" s="73">
        <v>46098.0</v>
      </c>
      <c r="H579" s="74">
        <v>32.0</v>
      </c>
      <c r="I579" s="75">
        <v>24969.0</v>
      </c>
      <c r="J579" s="76" t="s">
        <v>1946</v>
      </c>
      <c r="K579" s="70" t="s">
        <v>349</v>
      </c>
      <c r="L579" s="73"/>
      <c r="M579" s="70" t="str">
        <f t="shared" si="3"/>
        <v>90 Days</v>
      </c>
      <c r="N579" s="70" t="str">
        <f>IF($A$3=" "," ", IFERROR( VLOOKUP($A579,'SUPPLIER DATA BASE'!$A$2:$O$936,11,0),""))</f>
        <v>TAYAL GARMENTS PVT. LTD.</v>
      </c>
      <c r="O579" s="70" t="str">
        <f>IF($A$3=" "," ", IFERROR( VLOOKUP($A579,'SUPPLIER DATA BASE'!$A$2:$O$936,12,0),""))</f>
        <v>1199911999</v>
      </c>
      <c r="P579" s="70" t="str">
        <f>IF($A$3=" "," ", IFERROR( VLOOKUP($A579,'SUPPLIER DATA BASE'!$A$2:$O$936,13,0),""))</f>
        <v>KKBK0005632</v>
      </c>
      <c r="Q579" s="77"/>
      <c r="R579" s="73"/>
      <c r="S579" s="77"/>
      <c r="T579" s="70"/>
      <c r="U579" s="78"/>
      <c r="V579" s="70" t="str">
        <f t="shared" si="6"/>
        <v>FY 25-26</v>
      </c>
      <c r="W579" s="23"/>
      <c r="X579" s="23"/>
    </row>
    <row r="580">
      <c r="A580" s="70" t="s">
        <v>506</v>
      </c>
      <c r="B580" s="70" t="str">
        <f>IF($A$3=" "," ", IFERROR( VLOOKUP($A580,'SUPPLIER DATA BASE'!$A$2:$M$936,3,0),""))</f>
        <v>-</v>
      </c>
      <c r="C580" s="70" t="str">
        <f>IF($A$3=" "," ", IFERROR( VLOOKUP($A580,'SUPPLIER DATA BASE'!$A$2:$F$936,6,0),""))</f>
        <v>SURYAM TEXTILE AGENCY</v>
      </c>
      <c r="D580" s="70" t="str">
        <f>IF($A$3=" "," ", IFERROR( VLOOKUP($A580,'SUPPLIER DATA BASE'!$A$2:$G$936,4,0),""))</f>
        <v>-</v>
      </c>
      <c r="E580" s="71" t="str">
        <f>IF($A$3=" "," ", IFERROR( VLOOKUP($A580,'SUPPLIER DATA BASE'!$A$2:$H$936,5,0),""))</f>
        <v>-</v>
      </c>
      <c r="F580" s="72" t="s">
        <v>1947</v>
      </c>
      <c r="G580" s="73">
        <v>46099.0</v>
      </c>
      <c r="H580" s="74">
        <v>34.0</v>
      </c>
      <c r="I580" s="75">
        <v>95288.0</v>
      </c>
      <c r="J580" s="76" t="s">
        <v>1948</v>
      </c>
      <c r="K580" s="70" t="s">
        <v>349</v>
      </c>
      <c r="L580" s="70" t="s">
        <v>349</v>
      </c>
      <c r="M580" s="70" t="str">
        <f t="shared" si="3"/>
        <v>89 Days</v>
      </c>
      <c r="N580" s="70" t="str">
        <f>IF($A$3=" "," ", IFERROR( VLOOKUP($A580,'SUPPLIER DATA BASE'!$A$2:$O$936,11,0),""))</f>
        <v>JAY AMBEY TEXTILE</v>
      </c>
      <c r="O580" s="70" t="str">
        <f>IF($A$3=" "," ", IFERROR( VLOOKUP($A580,'SUPPLIER DATA BASE'!$A$2:$O$936,12,0),""))</f>
        <v>9725605738</v>
      </c>
      <c r="P580" s="70" t="str">
        <f>IF($A$3=" "," ", IFERROR( VLOOKUP($A580,'SUPPLIER DATA BASE'!$A$2:$O$936,13,0),""))</f>
        <v>KKBK0002847</v>
      </c>
      <c r="Q580" s="77"/>
      <c r="R580" s="73"/>
      <c r="S580" s="77"/>
      <c r="T580" s="70"/>
      <c r="U580" s="78"/>
      <c r="V580" s="70" t="str">
        <f t="shared" si="6"/>
        <v>FY 25-26</v>
      </c>
      <c r="W580" s="23"/>
      <c r="X580" s="23"/>
    </row>
    <row r="581">
      <c r="A581" s="70" t="s">
        <v>575</v>
      </c>
      <c r="B581" s="70" t="str">
        <f>IF($A$3=" "," ", IFERROR( VLOOKUP($A581,'SUPPLIER DATA BASE'!$A$2:$M$936,3,0),""))</f>
        <v>BLACKBERRY</v>
      </c>
      <c r="C581" s="70" t="str">
        <f>IF($A$3=" "," ", IFERROR( VLOOKUP($A581,'SUPPLIER DATA BASE'!$A$2:$F$936,6,0),""))</f>
        <v>-</v>
      </c>
      <c r="D581" s="70" t="str">
        <f>IF($A$3=" "," ", IFERROR( VLOOKUP($A581,'SUPPLIER DATA BASE'!$A$2:$G$936,4,0),""))</f>
        <v>-</v>
      </c>
      <c r="E581" s="71" t="str">
        <f>IF($A$3=" "," ", IFERROR( VLOOKUP($A581,'SUPPLIER DATA BASE'!$A$2:$H$936,5,0),""))</f>
        <v>-</v>
      </c>
      <c r="F581" s="72">
        <v>8.500284054E9</v>
      </c>
      <c r="G581" s="73">
        <v>46099.0</v>
      </c>
      <c r="H581" s="74">
        <v>15.0</v>
      </c>
      <c r="I581" s="75">
        <v>159883.5</v>
      </c>
      <c r="J581" s="76" t="s">
        <v>1949</v>
      </c>
      <c r="K581" s="70" t="s">
        <v>349</v>
      </c>
      <c r="L581" s="70" t="s">
        <v>349</v>
      </c>
      <c r="M581" s="70" t="str">
        <f t="shared" si="3"/>
        <v>89 Days</v>
      </c>
      <c r="N581" s="70" t="str">
        <f>IF($A$3=" "," ", IFERROR( VLOOKUP($A581,'SUPPLIER DATA BASE'!$A$2:$O$936,11,0),""))</f>
        <v>MOHAN CLOTHING COMPANY PVT LTD</v>
      </c>
      <c r="O581" s="70" t="str">
        <f>IF($A$3=" "," ", IFERROR( VLOOKUP($A581,'SUPPLIER DATA BASE'!$A$2:$O$936,12,0),""))</f>
        <v>0710096023</v>
      </c>
      <c r="P581" s="70" t="str">
        <f>IF($A$3=" "," ", IFERROR( VLOOKUP($A581,'SUPPLIER DATA BASE'!$A$2:$O$936,13,0),""))</f>
        <v>CITI0000002</v>
      </c>
      <c r="Q581" s="77"/>
      <c r="R581" s="73"/>
      <c r="S581" s="77"/>
      <c r="T581" s="70"/>
      <c r="U581" s="78"/>
      <c r="V581" s="70" t="str">
        <f t="shared" si="6"/>
        <v>FY 25-26</v>
      </c>
      <c r="W581" s="23"/>
      <c r="X581" s="23"/>
    </row>
    <row r="582">
      <c r="A582" s="70" t="s">
        <v>799</v>
      </c>
      <c r="B582" s="70" t="str">
        <f>IF($A$3=" "," ", IFERROR( VLOOKUP($A582,'SUPPLIER DATA BASE'!$A$2:$M$936,3,0),""))</f>
        <v>-</v>
      </c>
      <c r="C582" s="70" t="str">
        <f>IF($A$3=" "," ", IFERROR( VLOOKUP($A582,'SUPPLIER DATA BASE'!$A$2:$F$936,6,0),""))</f>
        <v>-</v>
      </c>
      <c r="D582" s="70" t="str">
        <f>IF($A$3=" "," ", IFERROR( VLOOKUP($A582,'SUPPLIER DATA BASE'!$A$2:$G$936,4,0),""))</f>
        <v>-</v>
      </c>
      <c r="E582" s="71" t="str">
        <f>IF($A$3=" "," ", IFERROR( VLOOKUP($A582,'SUPPLIER DATA BASE'!$A$2:$H$936,5,0),""))</f>
        <v>-</v>
      </c>
      <c r="F582" s="72" t="s">
        <v>1950</v>
      </c>
      <c r="G582" s="73">
        <v>46099.0</v>
      </c>
      <c r="H582" s="74">
        <v>11.0</v>
      </c>
      <c r="I582" s="75">
        <v>12908.0</v>
      </c>
      <c r="J582" s="76" t="s">
        <v>1951</v>
      </c>
      <c r="K582" s="70" t="s">
        <v>349</v>
      </c>
      <c r="L582" s="73"/>
      <c r="M582" s="70" t="str">
        <f t="shared" si="3"/>
        <v>89 Days</v>
      </c>
      <c r="N582" s="70" t="str">
        <f>IF($A$3=" "," ", IFERROR( VLOOKUP($A582,'SUPPLIER DATA BASE'!$A$2:$O$936,11,0),""))</f>
        <v>VISHAL MARKETING &amp; CO.</v>
      </c>
      <c r="O582" s="70" t="str">
        <f>IF($A$3=" "," ", IFERROR( VLOOKUP($A582,'SUPPLIER DATA BASE'!$A$2:$O$936,12,0),""))</f>
        <v>1091008700001025</v>
      </c>
      <c r="P582" s="70" t="str">
        <f>IF($A$3=" "," ", IFERROR( VLOOKUP($A582,'SUPPLIER DATA BASE'!$A$2:$O$936,13,0),""))</f>
        <v>PUNB0109100</v>
      </c>
      <c r="Q582" s="77"/>
      <c r="R582" s="73"/>
      <c r="S582" s="77"/>
      <c r="T582" s="70"/>
      <c r="U582" s="78"/>
      <c r="V582" s="70" t="str">
        <f t="shared" si="6"/>
        <v>FY 25-26</v>
      </c>
      <c r="W582" s="23"/>
      <c r="X582" s="23"/>
    </row>
    <row r="583">
      <c r="A583" s="70" t="s">
        <v>495</v>
      </c>
      <c r="B583" s="70" t="str">
        <f>IF($A$3=" "," ", IFERROR( VLOOKUP($A583,'SUPPLIER DATA BASE'!$A$2:$M$936,3,0),""))</f>
        <v>-</v>
      </c>
      <c r="C583" s="70" t="str">
        <f>IF($A$3=" "," ", IFERROR( VLOOKUP($A583,'SUPPLIER DATA BASE'!$A$2:$F$936,6,0),""))</f>
        <v>-</v>
      </c>
      <c r="D583" s="70" t="str">
        <f>IF($A$3=" "," ", IFERROR( VLOOKUP($A583,'SUPPLIER DATA BASE'!$A$2:$G$936,4,0),""))</f>
        <v>-</v>
      </c>
      <c r="E583" s="71" t="str">
        <f>IF($A$3=" "," ", IFERROR( VLOOKUP($A583,'SUPPLIER DATA BASE'!$A$2:$H$936,5,0),""))</f>
        <v>-</v>
      </c>
      <c r="F583" s="72" t="s">
        <v>1952</v>
      </c>
      <c r="G583" s="73">
        <v>46099.0</v>
      </c>
      <c r="H583" s="74">
        <v>126.0</v>
      </c>
      <c r="I583" s="75">
        <v>347757.0</v>
      </c>
      <c r="J583" s="76" t="s">
        <v>1953</v>
      </c>
      <c r="K583" s="70" t="s">
        <v>349</v>
      </c>
      <c r="L583" s="73"/>
      <c r="M583" s="70" t="str">
        <f t="shared" si="3"/>
        <v>89 Days</v>
      </c>
      <c r="N583" s="70" t="str">
        <f>IF($A$3=" "," ", IFERROR( VLOOKUP($A583,'SUPPLIER DATA BASE'!$A$2:$O$936,11,0),""))</f>
        <v>JAIN ADISHWAR HOSIERY WORKS LLP</v>
      </c>
      <c r="O583" s="70" t="str">
        <f>IF($A$3=" "," ", IFERROR( VLOOKUP($A583,'SUPPLIER DATA BASE'!$A$2:$O$936,12,0),""))</f>
        <v>99917644444444</v>
      </c>
      <c r="P583" s="70" t="str">
        <f>IF($A$3=" "," ", IFERROR( VLOOKUP($A583,'SUPPLIER DATA BASE'!$A$2:$O$936,13,0),""))</f>
        <v>HDFC0002063</v>
      </c>
      <c r="Q583" s="77"/>
      <c r="R583" s="73"/>
      <c r="S583" s="77"/>
      <c r="T583" s="70"/>
      <c r="U583" s="78"/>
      <c r="V583" s="70" t="str">
        <f t="shared" si="6"/>
        <v>FY 25-26</v>
      </c>
      <c r="W583" s="23"/>
      <c r="X583" s="23"/>
    </row>
    <row r="584">
      <c r="A584" s="70"/>
      <c r="B584" s="70" t="str">
        <f>IF($A$3=" "," ", IFERROR( VLOOKUP($A584,'SUPPLIER DATA BASE'!$A$2:$M$936,3,0),""))</f>
        <v/>
      </c>
      <c r="C584" s="70" t="str">
        <f>IF($A$3=" "," ", IFERROR( VLOOKUP($A584,'SUPPLIER DATA BASE'!$A$2:$F$936,6,0),""))</f>
        <v/>
      </c>
      <c r="D584" s="70" t="str">
        <f>IF($A$3=" "," ", IFERROR( VLOOKUP($A584,'SUPPLIER DATA BASE'!$A$2:$G$936,4,0),""))</f>
        <v/>
      </c>
      <c r="E584" s="71" t="str">
        <f>IF($A$3=" "," ", IFERROR( VLOOKUP($A584,'SUPPLIER DATA BASE'!$A$2:$H$936,5,0),""))</f>
        <v/>
      </c>
      <c r="F584" s="72" t="s">
        <v>1954</v>
      </c>
      <c r="G584" s="73">
        <v>46099.0</v>
      </c>
      <c r="H584" s="74">
        <v>35.0</v>
      </c>
      <c r="I584" s="75">
        <v>24359.0</v>
      </c>
      <c r="J584" s="76" t="s">
        <v>1955</v>
      </c>
      <c r="K584" s="70" t="s">
        <v>349</v>
      </c>
      <c r="L584" s="73"/>
      <c r="M584" s="70" t="str">
        <f t="shared" si="3"/>
        <v>89 Days</v>
      </c>
      <c r="N584" s="70" t="str">
        <f>IF($A$3=" "," ", IFERROR( VLOOKUP($A584,'SUPPLIER DATA BASE'!$A$2:$O$936,11,0),""))</f>
        <v/>
      </c>
      <c r="O584" s="70" t="str">
        <f>IF($A$3=" "," ", IFERROR( VLOOKUP($A584,'SUPPLIER DATA BASE'!$A$2:$O$936,12,0),""))</f>
        <v/>
      </c>
      <c r="P584" s="70" t="str">
        <f>IF($A$3=" "," ", IFERROR( VLOOKUP($A584,'SUPPLIER DATA BASE'!$A$2:$O$936,13,0),""))</f>
        <v/>
      </c>
      <c r="Q584" s="77"/>
      <c r="R584" s="73"/>
      <c r="S584" s="77"/>
      <c r="T584" s="70"/>
      <c r="U584" s="78"/>
      <c r="V584" s="70" t="str">
        <f t="shared" si="6"/>
        <v>FY 25-26</v>
      </c>
      <c r="W584" s="23"/>
      <c r="X584" s="23"/>
    </row>
    <row r="585">
      <c r="A585" s="70" t="s">
        <v>541</v>
      </c>
      <c r="B585" s="70" t="str">
        <f>IF($A$3=" "," ", IFERROR( VLOOKUP($A585,'SUPPLIER DATA BASE'!$A$2:$M$936,3,0),""))</f>
        <v>TWILLS</v>
      </c>
      <c r="C585" s="70" t="str">
        <f>IF($A$3=" "," ", IFERROR( VLOOKUP($A585,'SUPPLIER DATA BASE'!$A$2:$F$936,6,0),""))</f>
        <v>-</v>
      </c>
      <c r="D585" s="70" t="str">
        <f>IF($A$3=" "," ", IFERROR( VLOOKUP($A585,'SUPPLIER DATA BASE'!$A$2:$G$936,4,0),""))</f>
        <v>-</v>
      </c>
      <c r="E585" s="71" t="str">
        <f>IF($A$3=" "," ", IFERROR( VLOOKUP($A585,'SUPPLIER DATA BASE'!$A$2:$H$936,5,0),""))</f>
        <v>-</v>
      </c>
      <c r="F585" s="72" t="s">
        <v>1956</v>
      </c>
      <c r="G585" s="73">
        <v>46099.0</v>
      </c>
      <c r="H585" s="74">
        <v>69.0</v>
      </c>
      <c r="I585" s="75">
        <v>55015.0</v>
      </c>
      <c r="J585" s="76" t="s">
        <v>1957</v>
      </c>
      <c r="K585" s="70" t="s">
        <v>349</v>
      </c>
      <c r="L585" s="73"/>
      <c r="M585" s="70" t="str">
        <f t="shared" si="3"/>
        <v>89 Days</v>
      </c>
      <c r="N585" s="70" t="str">
        <f>IF($A$3=" "," ", IFERROR( VLOOKUP($A585,'SUPPLIER DATA BASE'!$A$2:$O$936,11,0),""))</f>
        <v>M. N. GARMENTS</v>
      </c>
      <c r="O585" s="70" t="str">
        <f>IF($A$3=" "," ", IFERROR( VLOOKUP($A585,'SUPPLIER DATA BASE'!$A$2:$O$936,12,0),""))</f>
        <v>50200058436598</v>
      </c>
      <c r="P585" s="70" t="str">
        <f>IF($A$3=" "," ", IFERROR( VLOOKUP($A585,'SUPPLIER DATA BASE'!$A$2:$O$936,13,0),""))</f>
        <v>HDFC0001470</v>
      </c>
      <c r="Q585" s="77"/>
      <c r="R585" s="73"/>
      <c r="S585" s="77"/>
      <c r="T585" s="70"/>
      <c r="U585" s="78"/>
      <c r="V585" s="70" t="str">
        <f t="shared" si="6"/>
        <v>FY 25-26</v>
      </c>
      <c r="W585" s="23"/>
      <c r="X585" s="23"/>
    </row>
    <row r="586">
      <c r="A586" s="70" t="s">
        <v>471</v>
      </c>
      <c r="B586" s="70" t="str">
        <f>IF($A$3=" "," ", IFERROR( VLOOKUP($A586,'SUPPLIER DATA BASE'!$A$2:$M$936,3,0),""))</f>
        <v>PEPPER MINT</v>
      </c>
      <c r="C586" s="70" t="str">
        <f>IF($A$3=" "," ", IFERROR( VLOOKUP($A586,'SUPPLIER DATA BASE'!$A$2:$F$936,6,0),""))</f>
        <v>-</v>
      </c>
      <c r="D586" s="70" t="str">
        <f>IF($A$3=" "," ", IFERROR( VLOOKUP($A586,'SUPPLIER DATA BASE'!$A$2:$G$936,4,0),""))</f>
        <v>-</v>
      </c>
      <c r="E586" s="71" t="str">
        <f>IF($A$3=" "," ", IFERROR( VLOOKUP($A586,'SUPPLIER DATA BASE'!$A$2:$H$936,5,0),""))</f>
        <v>-</v>
      </c>
      <c r="F586" s="72" t="s">
        <v>1958</v>
      </c>
      <c r="G586" s="73">
        <v>46100.0</v>
      </c>
      <c r="H586" s="74">
        <v>28.0</v>
      </c>
      <c r="I586" s="75">
        <v>35129.62</v>
      </c>
      <c r="J586" s="76" t="s">
        <v>1959</v>
      </c>
      <c r="K586" s="70" t="s">
        <v>349</v>
      </c>
      <c r="L586" s="70" t="s">
        <v>349</v>
      </c>
      <c r="M586" s="70" t="str">
        <f t="shared" si="3"/>
        <v>88 Days</v>
      </c>
      <c r="N586" s="70" t="str">
        <f>IF($A$3=" "," ", IFERROR( VLOOKUP($A586,'SUPPLIER DATA BASE'!$A$2:$O$936,11,0),""))</f>
        <v>GEETANSHI APPARELS</v>
      </c>
      <c r="O586" s="70" t="str">
        <f>IF($A$3=" "," ", IFERROR( VLOOKUP($A586,'SUPPLIER DATA BASE'!$A$2:$O$936,12,0),""))</f>
        <v>50200083410855</v>
      </c>
      <c r="P586" s="70" t="str">
        <f>IF($A$3=" "," ", IFERROR( VLOOKUP($A586,'SUPPLIER DATA BASE'!$A$2:$O$936,13,0),""))</f>
        <v>HDFC0005189</v>
      </c>
      <c r="Q586" s="77"/>
      <c r="R586" s="73"/>
      <c r="S586" s="77"/>
      <c r="T586" s="70"/>
      <c r="U586" s="78"/>
      <c r="V586" s="70" t="str">
        <f t="shared" si="6"/>
        <v>FY 25-26</v>
      </c>
      <c r="W586" s="23"/>
      <c r="X586" s="23"/>
    </row>
    <row r="587">
      <c r="A587" s="70"/>
      <c r="B587" s="70" t="str">
        <f>IF($A$3=" "," ", IFERROR( VLOOKUP($A587,'SUPPLIER DATA BASE'!$A$2:$M$936,3,0),""))</f>
        <v/>
      </c>
      <c r="C587" s="70" t="str">
        <f>IF($A$3=" "," ", IFERROR( VLOOKUP($A587,'SUPPLIER DATA BASE'!$A$2:$F$936,6,0),""))</f>
        <v/>
      </c>
      <c r="D587" s="70" t="str">
        <f>IF($A$3=" "," ", IFERROR( VLOOKUP($A587,'SUPPLIER DATA BASE'!$A$2:$G$936,4,0),""))</f>
        <v/>
      </c>
      <c r="E587" s="71" t="str">
        <f>IF($A$3=" "," ", IFERROR( VLOOKUP($A587,'SUPPLIER DATA BASE'!$A$2:$H$936,5,0),""))</f>
        <v/>
      </c>
      <c r="F587" s="72" t="s">
        <v>1960</v>
      </c>
      <c r="G587" s="73">
        <v>46100.0</v>
      </c>
      <c r="H587" s="74">
        <v>77.0</v>
      </c>
      <c r="I587" s="75">
        <v>42746.0</v>
      </c>
      <c r="J587" s="76" t="s">
        <v>1961</v>
      </c>
      <c r="K587" s="70" t="s">
        <v>349</v>
      </c>
      <c r="L587" s="70" t="s">
        <v>349</v>
      </c>
      <c r="M587" s="70" t="str">
        <f t="shared" si="3"/>
        <v>88 Days</v>
      </c>
      <c r="N587" s="70" t="str">
        <f>IF($A$3=" "," ", IFERROR( VLOOKUP($A587,'SUPPLIER DATA BASE'!$A$2:$O$936,11,0),""))</f>
        <v/>
      </c>
      <c r="O587" s="70" t="str">
        <f>IF($A$3=" "," ", IFERROR( VLOOKUP($A587,'SUPPLIER DATA BASE'!$A$2:$O$936,12,0),""))</f>
        <v/>
      </c>
      <c r="P587" s="70" t="str">
        <f>IF($A$3=" "," ", IFERROR( VLOOKUP($A587,'SUPPLIER DATA BASE'!$A$2:$O$936,13,0),""))</f>
        <v/>
      </c>
      <c r="Q587" s="77"/>
      <c r="R587" s="73"/>
      <c r="S587" s="77"/>
      <c r="T587" s="70"/>
      <c r="U587" s="78"/>
      <c r="V587" s="70" t="str">
        <f t="shared" si="6"/>
        <v>FY 25-26</v>
      </c>
      <c r="W587" s="23"/>
      <c r="X587" s="23"/>
    </row>
    <row r="588">
      <c r="A588" s="70" t="s">
        <v>575</v>
      </c>
      <c r="B588" s="70" t="str">
        <f>IF($A$3=" "," ", IFERROR( VLOOKUP($A588,'SUPPLIER DATA BASE'!$A$2:$M$936,3,0),""))</f>
        <v>BLACKBERRY</v>
      </c>
      <c r="C588" s="70" t="str">
        <f>IF($A$3=" "," ", IFERROR( VLOOKUP($A588,'SUPPLIER DATA BASE'!$A$2:$F$936,6,0),""))</f>
        <v>-</v>
      </c>
      <c r="D588" s="70" t="str">
        <f>IF($A$3=" "," ", IFERROR( VLOOKUP($A588,'SUPPLIER DATA BASE'!$A$2:$G$936,4,0),""))</f>
        <v>-</v>
      </c>
      <c r="E588" s="71" t="str">
        <f>IF($A$3=" "," ", IFERROR( VLOOKUP($A588,'SUPPLIER DATA BASE'!$A$2:$H$936,5,0),""))</f>
        <v>-</v>
      </c>
      <c r="F588" s="72">
        <v>8.500285263E9</v>
      </c>
      <c r="G588" s="73">
        <v>46100.0</v>
      </c>
      <c r="H588" s="74">
        <v>25.0</v>
      </c>
      <c r="I588" s="75">
        <v>56336.04</v>
      </c>
      <c r="J588" s="76" t="s">
        <v>1962</v>
      </c>
      <c r="K588" s="70" t="s">
        <v>349</v>
      </c>
      <c r="L588" s="70" t="s">
        <v>349</v>
      </c>
      <c r="M588" s="70" t="str">
        <f t="shared" si="3"/>
        <v>88 Days</v>
      </c>
      <c r="N588" s="70" t="str">
        <f>IF($A$3=" "," ", IFERROR( VLOOKUP($A588,'SUPPLIER DATA BASE'!$A$2:$O$936,11,0),""))</f>
        <v>MOHAN CLOTHING COMPANY PVT LTD</v>
      </c>
      <c r="O588" s="70" t="str">
        <f>IF($A$3=" "," ", IFERROR( VLOOKUP($A588,'SUPPLIER DATA BASE'!$A$2:$O$936,12,0),""))</f>
        <v>0710096023</v>
      </c>
      <c r="P588" s="70" t="str">
        <f>IF($A$3=" "," ", IFERROR( VLOOKUP($A588,'SUPPLIER DATA BASE'!$A$2:$O$936,13,0),""))</f>
        <v>CITI0000002</v>
      </c>
      <c r="Q588" s="77"/>
      <c r="R588" s="73"/>
      <c r="S588" s="77"/>
      <c r="T588" s="70"/>
      <c r="U588" s="78"/>
      <c r="V588" s="70" t="str">
        <f t="shared" si="6"/>
        <v>FY 25-26</v>
      </c>
      <c r="W588" s="23"/>
      <c r="X588" s="23"/>
    </row>
    <row r="589">
      <c r="A589" s="70" t="s">
        <v>709</v>
      </c>
      <c r="B589" s="70" t="str">
        <f>IF($A$3=" "," ", IFERROR( VLOOKUP($A589,'SUPPLIER DATA BASE'!$A$2:$M$936,3,0),""))</f>
        <v>MUFTI</v>
      </c>
      <c r="C589" s="70" t="str">
        <f>IF($A$3=" "," ", IFERROR( VLOOKUP($A589,'SUPPLIER DATA BASE'!$A$2:$F$936,6,0),""))</f>
        <v>-</v>
      </c>
      <c r="D589" s="70" t="str">
        <f>IF($A$3=" "," ", IFERROR( VLOOKUP($A589,'SUPPLIER DATA BASE'!$A$2:$G$936,4,0),""))</f>
        <v>-</v>
      </c>
      <c r="E589" s="71" t="str">
        <f>IF($A$3=" "," ", IFERROR( VLOOKUP($A589,'SUPPLIER DATA BASE'!$A$2:$H$936,5,0),""))</f>
        <v>-</v>
      </c>
      <c r="F589" s="72" t="s">
        <v>1963</v>
      </c>
      <c r="G589" s="73">
        <v>46100.0</v>
      </c>
      <c r="H589" s="74">
        <v>9.0</v>
      </c>
      <c r="I589" s="75">
        <v>15037.0</v>
      </c>
      <c r="J589" s="76" t="s">
        <v>1964</v>
      </c>
      <c r="K589" s="70" t="s">
        <v>349</v>
      </c>
      <c r="L589" s="70" t="s">
        <v>349</v>
      </c>
      <c r="M589" s="70" t="str">
        <f t="shared" si="3"/>
        <v>88 Days</v>
      </c>
      <c r="N589" s="70" t="str">
        <f>IF($A$3=" "," ", IFERROR( VLOOKUP($A589,'SUPPLIER DATA BASE'!$A$2:$O$936,11,0),""))</f>
        <v>SHRING APPARELS</v>
      </c>
      <c r="O589" s="70" t="str">
        <f>IF($A$3=" "," ", IFERROR( VLOOKUP($A589,'SUPPLIER DATA BASE'!$A$2:$O$936,12,0),""))</f>
        <v>50200030713091</v>
      </c>
      <c r="P589" s="70" t="str">
        <f>IF($A$3=" "," ", IFERROR( VLOOKUP($A589,'SUPPLIER DATA BASE'!$A$2:$O$936,13,0),""))</f>
        <v>HDFC0000186</v>
      </c>
      <c r="Q589" s="77"/>
      <c r="R589" s="73"/>
      <c r="S589" s="77"/>
      <c r="T589" s="70"/>
      <c r="U589" s="78"/>
      <c r="V589" s="70" t="str">
        <f t="shared" si="6"/>
        <v>FY 25-26</v>
      </c>
      <c r="W589" s="23"/>
      <c r="X589" s="23"/>
    </row>
    <row r="590">
      <c r="A590" s="70" t="s">
        <v>799</v>
      </c>
      <c r="B590" s="70" t="str">
        <f>IF($A$3=" "," ", IFERROR( VLOOKUP($A590,'SUPPLIER DATA BASE'!$A$2:$M$936,3,0),""))</f>
        <v>-</v>
      </c>
      <c r="C590" s="70" t="str">
        <f>IF($A$3=" "," ", IFERROR( VLOOKUP($A590,'SUPPLIER DATA BASE'!$A$2:$F$936,6,0),""))</f>
        <v>-</v>
      </c>
      <c r="D590" s="70" t="str">
        <f>IF($A$3=" "," ", IFERROR( VLOOKUP($A590,'SUPPLIER DATA BASE'!$A$2:$G$936,4,0),""))</f>
        <v>-</v>
      </c>
      <c r="E590" s="71" t="str">
        <f>IF($A$3=" "," ", IFERROR( VLOOKUP($A590,'SUPPLIER DATA BASE'!$A$2:$H$936,5,0),""))</f>
        <v>-</v>
      </c>
      <c r="F590" s="72" t="s">
        <v>1965</v>
      </c>
      <c r="G590" s="73">
        <v>46100.0</v>
      </c>
      <c r="H590" s="74">
        <v>120.0</v>
      </c>
      <c r="I590" s="75">
        <v>169274.0</v>
      </c>
      <c r="J590" s="76" t="s">
        <v>1966</v>
      </c>
      <c r="K590" s="70" t="s">
        <v>349</v>
      </c>
      <c r="L590" s="73"/>
      <c r="M590" s="70" t="str">
        <f t="shared" si="3"/>
        <v>88 Days</v>
      </c>
      <c r="N590" s="70" t="str">
        <f>IF($A$3=" "," ", IFERROR( VLOOKUP($A590,'SUPPLIER DATA BASE'!$A$2:$O$936,11,0),""))</f>
        <v>VISHAL MARKETING &amp; CO.</v>
      </c>
      <c r="O590" s="70" t="str">
        <f>IF($A$3=" "," ", IFERROR( VLOOKUP($A590,'SUPPLIER DATA BASE'!$A$2:$O$936,12,0),""))</f>
        <v>1091008700001025</v>
      </c>
      <c r="P590" s="70" t="str">
        <f>IF($A$3=" "," ", IFERROR( VLOOKUP($A590,'SUPPLIER DATA BASE'!$A$2:$O$936,13,0),""))</f>
        <v>PUNB0109100</v>
      </c>
      <c r="Q590" s="77"/>
      <c r="R590" s="73"/>
      <c r="S590" s="77"/>
      <c r="T590" s="70"/>
      <c r="U590" s="78"/>
      <c r="V590" s="70" t="str">
        <f t="shared" si="6"/>
        <v>FY 25-26</v>
      </c>
      <c r="W590" s="23"/>
      <c r="X590" s="23"/>
    </row>
    <row r="591">
      <c r="A591" s="70" t="s">
        <v>495</v>
      </c>
      <c r="B591" s="70" t="str">
        <f>IF($A$3=" "," ", IFERROR( VLOOKUP($A591,'SUPPLIER DATA BASE'!$A$2:$M$936,3,0),""))</f>
        <v>-</v>
      </c>
      <c r="C591" s="70" t="str">
        <f>IF($A$3=" "," ", IFERROR( VLOOKUP($A591,'SUPPLIER DATA BASE'!$A$2:$F$936,6,0),""))</f>
        <v>-</v>
      </c>
      <c r="D591" s="70" t="str">
        <f>IF($A$3=" "," ", IFERROR( VLOOKUP($A591,'SUPPLIER DATA BASE'!$A$2:$G$936,4,0),""))</f>
        <v>-</v>
      </c>
      <c r="E591" s="71" t="str">
        <f>IF($A$3=" "," ", IFERROR( VLOOKUP($A591,'SUPPLIER DATA BASE'!$A$2:$H$936,5,0),""))</f>
        <v>-</v>
      </c>
      <c r="F591" s="72" t="s">
        <v>1967</v>
      </c>
      <c r="G591" s="73">
        <v>46100.0</v>
      </c>
      <c r="H591" s="74">
        <v>155.0</v>
      </c>
      <c r="I591" s="75">
        <v>451592.0</v>
      </c>
      <c r="J591" s="76" t="s">
        <v>1968</v>
      </c>
      <c r="K591" s="70" t="s">
        <v>349</v>
      </c>
      <c r="L591" s="73"/>
      <c r="M591" s="70" t="str">
        <f t="shared" si="3"/>
        <v>88 Days</v>
      </c>
      <c r="N591" s="70" t="str">
        <f>IF($A$3=" "," ", IFERROR( VLOOKUP($A591,'SUPPLIER DATA BASE'!$A$2:$O$936,11,0),""))</f>
        <v>JAIN ADISHWAR HOSIERY WORKS LLP</v>
      </c>
      <c r="O591" s="70" t="str">
        <f>IF($A$3=" "," ", IFERROR( VLOOKUP($A591,'SUPPLIER DATA BASE'!$A$2:$O$936,12,0),""))</f>
        <v>99917644444444</v>
      </c>
      <c r="P591" s="70" t="str">
        <f>IF($A$3=" "," ", IFERROR( VLOOKUP($A591,'SUPPLIER DATA BASE'!$A$2:$O$936,13,0),""))</f>
        <v>HDFC0002063</v>
      </c>
      <c r="Q591" s="77"/>
      <c r="R591" s="73"/>
      <c r="S591" s="77"/>
      <c r="T591" s="70"/>
      <c r="U591" s="78"/>
      <c r="V591" s="70" t="str">
        <f t="shared" si="6"/>
        <v>FY 25-26</v>
      </c>
      <c r="W591" s="23"/>
      <c r="X591" s="23"/>
    </row>
    <row r="592">
      <c r="A592" s="70" t="s">
        <v>717</v>
      </c>
      <c r="B592" s="70" t="str">
        <f>IF($A$3=" "," ", IFERROR( VLOOKUP($A592,'SUPPLIER DATA BASE'!$A$2:$M$936,3,0),""))</f>
        <v>MINELLI</v>
      </c>
      <c r="C592" s="70" t="str">
        <f>IF($A$3=" "," ", IFERROR( VLOOKUP($A592,'SUPPLIER DATA BASE'!$A$2:$F$936,6,0),""))</f>
        <v>-</v>
      </c>
      <c r="D592" s="70">
        <f>IF($A$3=" "," ", IFERROR( VLOOKUP($A592,'SUPPLIER DATA BASE'!$A$2:$G$936,4,0),""))</f>
        <v>45</v>
      </c>
      <c r="E592" s="71">
        <f>IF($A$3=" "," ", IFERROR( VLOOKUP($A592,'SUPPLIER DATA BASE'!$A$2:$H$936,5,0),""))</f>
        <v>0.1</v>
      </c>
      <c r="F592" s="72" t="s">
        <v>1969</v>
      </c>
      <c r="G592" s="73">
        <v>46101.0</v>
      </c>
      <c r="H592" s="74">
        <v>45.0</v>
      </c>
      <c r="I592" s="75">
        <v>70403.0</v>
      </c>
      <c r="J592" s="76" t="s">
        <v>1970</v>
      </c>
      <c r="K592" s="70" t="s">
        <v>349</v>
      </c>
      <c r="L592" s="70" t="s">
        <v>349</v>
      </c>
      <c r="M592" s="70" t="str">
        <f t="shared" si="3"/>
        <v>87 Days</v>
      </c>
      <c r="N592" s="70" t="str">
        <f>IF($A$3=" "," ", IFERROR( VLOOKUP($A592,'SUPPLIER DATA BASE'!$A$2:$O$936,11,0),""))</f>
        <v>SHUBH SHRI CLOTHING PVT LTD</v>
      </c>
      <c r="O592" s="70" t="str">
        <f>IF($A$3=" "," ", IFERROR( VLOOKUP($A592,'SUPPLIER DATA BASE'!$A$2:$O$936,12,0),""))</f>
        <v>002225010000006</v>
      </c>
      <c r="P592" s="70" t="str">
        <f>IF($A$3=" "," ", IFERROR( VLOOKUP($A592,'SUPPLIER DATA BASE'!$A$2:$O$936,13,0),""))</f>
        <v>UBIN0900222</v>
      </c>
      <c r="Q592" s="77"/>
      <c r="R592" s="73"/>
      <c r="S592" s="77"/>
      <c r="T592" s="70"/>
      <c r="U592" s="78"/>
      <c r="V592" s="70" t="str">
        <f t="shared" si="6"/>
        <v>FY 25-26</v>
      </c>
      <c r="W592" s="23"/>
      <c r="X592" s="23"/>
    </row>
    <row r="593">
      <c r="A593" s="70" t="s">
        <v>370</v>
      </c>
      <c r="B593" s="70" t="str">
        <f>IF($A$3=" "," ", IFERROR( VLOOKUP($A593,'SUPPLIER DATA BASE'!$A$2:$M$936,3,0),""))</f>
        <v>-</v>
      </c>
      <c r="C593" s="70" t="str">
        <f>IF($A$3=" "," ", IFERROR( VLOOKUP($A593,'SUPPLIER DATA BASE'!$A$2:$F$936,6,0),""))</f>
        <v>SURYAM TEXTILE AGENCY</v>
      </c>
      <c r="D593" s="70">
        <f>IF($A$3=" "," ", IFERROR( VLOOKUP($A593,'SUPPLIER DATA BASE'!$A$2:$G$936,4,0),""))</f>
        <v>30</v>
      </c>
      <c r="E593" s="71">
        <f>IF($A$3=" "," ", IFERROR( VLOOKUP($A593,'SUPPLIER DATA BASE'!$A$2:$H$936,5,0),""))</f>
        <v>0.09</v>
      </c>
      <c r="F593" s="72">
        <v>365.0</v>
      </c>
      <c r="G593" s="73">
        <v>46101.0</v>
      </c>
      <c r="H593" s="74">
        <v>20.0</v>
      </c>
      <c r="I593" s="75">
        <v>16674.0</v>
      </c>
      <c r="J593" s="76" t="s">
        <v>1971</v>
      </c>
      <c r="K593" s="70" t="s">
        <v>349</v>
      </c>
      <c r="L593" s="70" t="s">
        <v>349</v>
      </c>
      <c r="M593" s="70" t="str">
        <f t="shared" si="3"/>
        <v>87 Days</v>
      </c>
      <c r="N593" s="70" t="str">
        <f>IF($A$3=" "," ", IFERROR( VLOOKUP($A593,'SUPPLIER DATA BASE'!$A$2:$O$936,11,0),""))</f>
        <v>AS TEXTILE</v>
      </c>
      <c r="O593" s="70" t="str">
        <f>IF($A$3=" "," ", IFERROR( VLOOKUP($A593,'SUPPLIER DATA BASE'!$A$2:$O$936,12,0),""))</f>
        <v>50200012846193</v>
      </c>
      <c r="P593" s="70" t="str">
        <f>IF($A$3=" "," ", IFERROR( VLOOKUP($A593,'SUPPLIER DATA BASE'!$A$2:$O$936,13,0),""))</f>
        <v>HDFC0001249</v>
      </c>
      <c r="Q593" s="77"/>
      <c r="R593" s="73"/>
      <c r="S593" s="77"/>
      <c r="T593" s="70"/>
      <c r="U593" s="78"/>
      <c r="V593" s="70" t="str">
        <f t="shared" si="6"/>
        <v>FY 25-26</v>
      </c>
      <c r="W593" s="23"/>
      <c r="X593" s="23"/>
    </row>
    <row r="594">
      <c r="A594" s="70" t="s">
        <v>370</v>
      </c>
      <c r="B594" s="70" t="str">
        <f>IF($A$3=" "," ", IFERROR( VLOOKUP($A594,'SUPPLIER DATA BASE'!$A$2:$M$936,3,0),""))</f>
        <v>-</v>
      </c>
      <c r="C594" s="70" t="str">
        <f>IF($A$3=" "," ", IFERROR( VLOOKUP($A594,'SUPPLIER DATA BASE'!$A$2:$F$936,6,0),""))</f>
        <v>SURYAM TEXTILE AGENCY</v>
      </c>
      <c r="D594" s="70">
        <f>IF($A$3=" "," ", IFERROR( VLOOKUP($A594,'SUPPLIER DATA BASE'!$A$2:$G$936,4,0),""))</f>
        <v>30</v>
      </c>
      <c r="E594" s="71">
        <f>IF($A$3=" "," ", IFERROR( VLOOKUP($A594,'SUPPLIER DATA BASE'!$A$2:$H$936,5,0),""))</f>
        <v>0.09</v>
      </c>
      <c r="F594" s="72">
        <v>364.0</v>
      </c>
      <c r="G594" s="73">
        <v>46101.0</v>
      </c>
      <c r="H594" s="74">
        <v>20.0</v>
      </c>
      <c r="I594" s="75">
        <v>16674.0</v>
      </c>
      <c r="J594" s="76" t="s">
        <v>1972</v>
      </c>
      <c r="K594" s="70" t="s">
        <v>349</v>
      </c>
      <c r="L594" s="70" t="s">
        <v>349</v>
      </c>
      <c r="M594" s="70" t="str">
        <f t="shared" si="3"/>
        <v>87 Days</v>
      </c>
      <c r="N594" s="70" t="str">
        <f>IF($A$3=" "," ", IFERROR( VLOOKUP($A594,'SUPPLIER DATA BASE'!$A$2:$O$936,11,0),""))</f>
        <v>AS TEXTILE</v>
      </c>
      <c r="O594" s="70" t="str">
        <f>IF($A$3=" "," ", IFERROR( VLOOKUP($A594,'SUPPLIER DATA BASE'!$A$2:$O$936,12,0),""))</f>
        <v>50200012846193</v>
      </c>
      <c r="P594" s="70" t="str">
        <f>IF($A$3=" "," ", IFERROR( VLOOKUP($A594,'SUPPLIER DATA BASE'!$A$2:$O$936,13,0),""))</f>
        <v>HDFC0001249</v>
      </c>
      <c r="Q594" s="77"/>
      <c r="R594" s="73"/>
      <c r="S594" s="77"/>
      <c r="T594" s="70"/>
      <c r="U594" s="78"/>
      <c r="V594" s="70" t="str">
        <f t="shared" si="6"/>
        <v>FY 25-26</v>
      </c>
      <c r="W594" s="23"/>
      <c r="X594" s="23"/>
    </row>
    <row r="595">
      <c r="A595" s="70" t="s">
        <v>402</v>
      </c>
      <c r="B595" s="70" t="str">
        <f>IF($A$3=" "," ", IFERROR( VLOOKUP($A595,'SUPPLIER DATA BASE'!$A$2:$M$936,3,0),""))</f>
        <v>KHUSHAL/STATUS QUO</v>
      </c>
      <c r="C595" s="70" t="str">
        <f>IF($A$3=" "," ", IFERROR( VLOOKUP($A595,'SUPPLIER DATA BASE'!$A$2:$F$936,6,0),""))</f>
        <v>-</v>
      </c>
      <c r="D595" s="70" t="str">
        <f>IF($A$3=" "," ", IFERROR( VLOOKUP($A595,'SUPPLIER DATA BASE'!$A$2:$G$936,4,0),""))</f>
        <v>-</v>
      </c>
      <c r="E595" s="71" t="str">
        <f>IF($A$3=" "," ", IFERROR( VLOOKUP($A595,'SUPPLIER DATA BASE'!$A$2:$H$936,5,0),""))</f>
        <v>-</v>
      </c>
      <c r="F595" s="72" t="s">
        <v>1973</v>
      </c>
      <c r="G595" s="73">
        <v>46101.0</v>
      </c>
      <c r="H595" s="74">
        <v>82.0</v>
      </c>
      <c r="I595" s="75">
        <v>85377.0</v>
      </c>
      <c r="J595" s="76" t="s">
        <v>1974</v>
      </c>
      <c r="K595" s="70" t="s">
        <v>349</v>
      </c>
      <c r="L595" s="73"/>
      <c r="M595" s="70" t="str">
        <f t="shared" si="3"/>
        <v>87 Days</v>
      </c>
      <c r="N595" s="70" t="str">
        <f>IF($A$3=" "," ", IFERROR( VLOOKUP($A595,'SUPPLIER DATA BASE'!$A$2:$O$936,11,0),""))</f>
        <v>D APPAREL</v>
      </c>
      <c r="O595" s="70" t="str">
        <f>IF($A$3=" "," ", IFERROR( VLOOKUP($A595,'SUPPLIER DATA BASE'!$A$2:$O$936,12,0),""))</f>
        <v>722501010050397</v>
      </c>
      <c r="P595" s="70" t="str">
        <f>IF($A$3=" "," ", IFERROR( VLOOKUP($A595,'SUPPLIER DATA BASE'!$A$2:$O$936,13,0),""))</f>
        <v>UBIN0572250</v>
      </c>
      <c r="Q595" s="77"/>
      <c r="R595" s="73"/>
      <c r="S595" s="77"/>
      <c r="T595" s="70"/>
      <c r="U595" s="78"/>
      <c r="V595" s="70" t="str">
        <f t="shared" si="6"/>
        <v>FY 25-26</v>
      </c>
      <c r="W595" s="23"/>
      <c r="X595" s="23"/>
    </row>
    <row r="596">
      <c r="A596" s="70" t="s">
        <v>749</v>
      </c>
      <c r="B596" s="70" t="str">
        <f>IF($A$3=" "," ", IFERROR( VLOOKUP($A596,'SUPPLIER DATA BASE'!$A$2:$M$936,3,0),""))</f>
        <v>VAN HEUSEN</v>
      </c>
      <c r="C596" s="70" t="str">
        <f>IF($A$3=" "," ", IFERROR( VLOOKUP($A596,'SUPPLIER DATA BASE'!$A$2:$F$936,6,0),""))</f>
        <v>-</v>
      </c>
      <c r="D596" s="70" t="str">
        <f>IF($A$3=" "," ", IFERROR( VLOOKUP($A596,'SUPPLIER DATA BASE'!$A$2:$G$936,4,0),""))</f>
        <v>-</v>
      </c>
      <c r="E596" s="71" t="str">
        <f>IF($A$3=" "," ", IFERROR( VLOOKUP($A596,'SUPPLIER DATA BASE'!$A$2:$H$936,5,0),""))</f>
        <v>-</v>
      </c>
      <c r="F596" s="72" t="s">
        <v>1975</v>
      </c>
      <c r="G596" s="73">
        <v>46101.0</v>
      </c>
      <c r="H596" s="74">
        <v>90.0</v>
      </c>
      <c r="I596" s="75">
        <v>33006.0</v>
      </c>
      <c r="J596" s="76" t="s">
        <v>1976</v>
      </c>
      <c r="K596" s="70"/>
      <c r="L596" s="73"/>
      <c r="M596" s="70" t="str">
        <f t="shared" si="3"/>
        <v>87 Days</v>
      </c>
      <c r="N596" s="70" t="str">
        <f>IF($A$3=" "," ", IFERROR( VLOOKUP($A596,'SUPPLIER DATA BASE'!$A$2:$O$936,11,0),""))</f>
        <v>SUSHILA ENTERPRISES</v>
      </c>
      <c r="O596" s="70" t="str">
        <f>IF($A$3=" "," ", IFERROR( VLOOKUP($A596,'SUPPLIER DATA BASE'!$A$2:$O$936,12,0),""))</f>
        <v>747805000665</v>
      </c>
      <c r="P596" s="70" t="str">
        <f>IF($A$3=" "," ", IFERROR( VLOOKUP($A596,'SUPPLIER DATA BASE'!$A$2:$O$936,13,0),""))</f>
        <v>ICIC0007478</v>
      </c>
      <c r="Q596" s="77"/>
      <c r="R596" s="73"/>
      <c r="S596" s="77"/>
      <c r="T596" s="70"/>
      <c r="U596" s="78"/>
      <c r="V596" s="70" t="str">
        <f t="shared" si="6"/>
        <v>FY 25-26</v>
      </c>
      <c r="W596" s="23"/>
      <c r="X596" s="23"/>
    </row>
    <row r="597">
      <c r="A597" s="70" t="s">
        <v>749</v>
      </c>
      <c r="B597" s="70" t="str">
        <f>IF($A$3=" "," ", IFERROR( VLOOKUP($A597,'SUPPLIER DATA BASE'!$A$2:$M$936,3,0),""))</f>
        <v>VAN HEUSEN</v>
      </c>
      <c r="C597" s="70" t="str">
        <f>IF($A$3=" "," ", IFERROR( VLOOKUP($A597,'SUPPLIER DATA BASE'!$A$2:$F$936,6,0),""))</f>
        <v>-</v>
      </c>
      <c r="D597" s="70" t="str">
        <f>IF($A$3=" "," ", IFERROR( VLOOKUP($A597,'SUPPLIER DATA BASE'!$A$2:$G$936,4,0),""))</f>
        <v>-</v>
      </c>
      <c r="E597" s="71" t="str">
        <f>IF($A$3=" "," ", IFERROR( VLOOKUP($A597,'SUPPLIER DATA BASE'!$A$2:$H$936,5,0),""))</f>
        <v>-</v>
      </c>
      <c r="F597" s="72" t="s">
        <v>1977</v>
      </c>
      <c r="G597" s="73">
        <v>46101.0</v>
      </c>
      <c r="H597" s="74">
        <v>67.0</v>
      </c>
      <c r="I597" s="75">
        <v>27434.0</v>
      </c>
      <c r="J597" s="76" t="s">
        <v>1978</v>
      </c>
      <c r="K597" s="70"/>
      <c r="L597" s="73"/>
      <c r="M597" s="70" t="str">
        <f t="shared" si="3"/>
        <v>87 Days</v>
      </c>
      <c r="N597" s="70" t="str">
        <f>IF($A$3=" "," ", IFERROR( VLOOKUP($A597,'SUPPLIER DATA BASE'!$A$2:$O$936,11,0),""))</f>
        <v>SUSHILA ENTERPRISES</v>
      </c>
      <c r="O597" s="70" t="str">
        <f>IF($A$3=" "," ", IFERROR( VLOOKUP($A597,'SUPPLIER DATA BASE'!$A$2:$O$936,12,0),""))</f>
        <v>747805000665</v>
      </c>
      <c r="P597" s="70" t="str">
        <f>IF($A$3=" "," ", IFERROR( VLOOKUP($A597,'SUPPLIER DATA BASE'!$A$2:$O$936,13,0),""))</f>
        <v>ICIC0007478</v>
      </c>
      <c r="Q597" s="77"/>
      <c r="R597" s="73"/>
      <c r="S597" s="77"/>
      <c r="T597" s="70"/>
      <c r="U597" s="78"/>
      <c r="V597" s="70" t="str">
        <f t="shared" si="6"/>
        <v>FY 25-26</v>
      </c>
      <c r="W597" s="23"/>
      <c r="X597" s="23"/>
    </row>
    <row r="598">
      <c r="A598" s="70" t="s">
        <v>402</v>
      </c>
      <c r="B598" s="70" t="str">
        <f>IF($A$3=" "," ", IFERROR( VLOOKUP($A598,'SUPPLIER DATA BASE'!$A$2:$M$936,3,0),""))</f>
        <v>KHUSHAL/STATUS QUO</v>
      </c>
      <c r="C598" s="70" t="str">
        <f>IF($A$3=" "," ", IFERROR( VLOOKUP($A598,'SUPPLIER DATA BASE'!$A$2:$F$936,6,0),""))</f>
        <v>-</v>
      </c>
      <c r="D598" s="70" t="str">
        <f>IF($A$3=" "," ", IFERROR( VLOOKUP($A598,'SUPPLIER DATA BASE'!$A$2:$G$936,4,0),""))</f>
        <v>-</v>
      </c>
      <c r="E598" s="71" t="str">
        <f>IF($A$3=" "," ", IFERROR( VLOOKUP($A598,'SUPPLIER DATA BASE'!$A$2:$H$936,5,0),""))</f>
        <v>-</v>
      </c>
      <c r="F598" s="72" t="s">
        <v>1979</v>
      </c>
      <c r="G598" s="73">
        <v>46102.0</v>
      </c>
      <c r="H598" s="74">
        <v>50.0</v>
      </c>
      <c r="I598" s="75">
        <v>49663.0</v>
      </c>
      <c r="J598" s="76" t="s">
        <v>1980</v>
      </c>
      <c r="K598" s="70" t="s">
        <v>349</v>
      </c>
      <c r="L598" s="70" t="s">
        <v>349</v>
      </c>
      <c r="M598" s="70" t="str">
        <f t="shared" si="3"/>
        <v>86 Days</v>
      </c>
      <c r="N598" s="70" t="str">
        <f>IF($A$3=" "," ", IFERROR( VLOOKUP($A598,'SUPPLIER DATA BASE'!$A$2:$O$936,11,0),""))</f>
        <v>D APPAREL</v>
      </c>
      <c r="O598" s="70" t="str">
        <f>IF($A$3=" "," ", IFERROR( VLOOKUP($A598,'SUPPLIER DATA BASE'!$A$2:$O$936,12,0),""))</f>
        <v>722501010050397</v>
      </c>
      <c r="P598" s="70" t="str">
        <f>IF($A$3=" "," ", IFERROR( VLOOKUP($A598,'SUPPLIER DATA BASE'!$A$2:$O$936,13,0),""))</f>
        <v>UBIN0572250</v>
      </c>
      <c r="Q598" s="77"/>
      <c r="R598" s="73"/>
      <c r="S598" s="77"/>
      <c r="T598" s="70"/>
      <c r="U598" s="78"/>
      <c r="V598" s="70" t="str">
        <f t="shared" si="6"/>
        <v>FY 25-26</v>
      </c>
      <c r="W598" s="23"/>
      <c r="X598" s="23"/>
    </row>
    <row r="599">
      <c r="A599" s="70" t="s">
        <v>402</v>
      </c>
      <c r="B599" s="70" t="str">
        <f>IF($A$3=" "," ", IFERROR( VLOOKUP($A599,'SUPPLIER DATA BASE'!$A$2:$M$936,3,0),""))</f>
        <v>KHUSHAL/STATUS QUO</v>
      </c>
      <c r="C599" s="70" t="str">
        <f>IF($A$3=" "," ", IFERROR( VLOOKUP($A599,'SUPPLIER DATA BASE'!$A$2:$F$936,6,0),""))</f>
        <v>-</v>
      </c>
      <c r="D599" s="70" t="str">
        <f>IF($A$3=" "," ", IFERROR( VLOOKUP($A599,'SUPPLIER DATA BASE'!$A$2:$G$936,4,0),""))</f>
        <v>-</v>
      </c>
      <c r="E599" s="71" t="str">
        <f>IF($A$3=" "," ", IFERROR( VLOOKUP($A599,'SUPPLIER DATA BASE'!$A$2:$H$936,5,0),""))</f>
        <v>-</v>
      </c>
      <c r="F599" s="72" t="s">
        <v>1981</v>
      </c>
      <c r="G599" s="73">
        <v>46102.0</v>
      </c>
      <c r="H599" s="74">
        <v>194.0</v>
      </c>
      <c r="I599" s="75">
        <v>186245.0</v>
      </c>
      <c r="J599" s="76" t="s">
        <v>1982</v>
      </c>
      <c r="K599" s="70" t="s">
        <v>349</v>
      </c>
      <c r="L599" s="70" t="s">
        <v>349</v>
      </c>
      <c r="M599" s="70" t="str">
        <f t="shared" si="3"/>
        <v>86 Days</v>
      </c>
      <c r="N599" s="70" t="str">
        <f>IF($A$3=" "," ", IFERROR( VLOOKUP($A599,'SUPPLIER DATA BASE'!$A$2:$O$936,11,0),""))</f>
        <v>D APPAREL</v>
      </c>
      <c r="O599" s="70" t="str">
        <f>IF($A$3=" "," ", IFERROR( VLOOKUP($A599,'SUPPLIER DATA BASE'!$A$2:$O$936,12,0),""))</f>
        <v>722501010050397</v>
      </c>
      <c r="P599" s="70" t="str">
        <f>IF($A$3=" "," ", IFERROR( VLOOKUP($A599,'SUPPLIER DATA BASE'!$A$2:$O$936,13,0),""))</f>
        <v>UBIN0572250</v>
      </c>
      <c r="Q599" s="77"/>
      <c r="R599" s="73"/>
      <c r="S599" s="77"/>
      <c r="T599" s="70"/>
      <c r="U599" s="78"/>
      <c r="V599" s="70" t="str">
        <f t="shared" si="6"/>
        <v>FY 25-26</v>
      </c>
      <c r="W599" s="23"/>
      <c r="X599" s="23"/>
    </row>
    <row r="600">
      <c r="A600" s="70" t="s">
        <v>402</v>
      </c>
      <c r="B600" s="70" t="str">
        <f>IF($A$3=" "," ", IFERROR( VLOOKUP($A600,'SUPPLIER DATA BASE'!$A$2:$M$936,3,0),""))</f>
        <v>KHUSHAL/STATUS QUO</v>
      </c>
      <c r="C600" s="70" t="str">
        <f>IF($A$3=" "," ", IFERROR( VLOOKUP($A600,'SUPPLIER DATA BASE'!$A$2:$F$936,6,0),""))</f>
        <v>-</v>
      </c>
      <c r="D600" s="70" t="str">
        <f>IF($A$3=" "," ", IFERROR( VLOOKUP($A600,'SUPPLIER DATA BASE'!$A$2:$G$936,4,0),""))</f>
        <v>-</v>
      </c>
      <c r="E600" s="71" t="str">
        <f>IF($A$3=" "," ", IFERROR( VLOOKUP($A600,'SUPPLIER DATA BASE'!$A$2:$H$936,5,0),""))</f>
        <v>-</v>
      </c>
      <c r="F600" s="72" t="s">
        <v>1983</v>
      </c>
      <c r="G600" s="73">
        <v>46102.0</v>
      </c>
      <c r="H600" s="74">
        <v>128.0</v>
      </c>
      <c r="I600" s="75">
        <v>48842.0</v>
      </c>
      <c r="J600" s="76" t="s">
        <v>1984</v>
      </c>
      <c r="K600" s="70" t="s">
        <v>349</v>
      </c>
      <c r="L600" s="70" t="s">
        <v>349</v>
      </c>
      <c r="M600" s="70" t="str">
        <f t="shared" si="3"/>
        <v>86 Days</v>
      </c>
      <c r="N600" s="70" t="str">
        <f>IF($A$3=" "," ", IFERROR( VLOOKUP($A600,'SUPPLIER DATA BASE'!$A$2:$O$936,11,0),""))</f>
        <v>D APPAREL</v>
      </c>
      <c r="O600" s="70" t="str">
        <f>IF($A$3=" "," ", IFERROR( VLOOKUP($A600,'SUPPLIER DATA BASE'!$A$2:$O$936,12,0),""))</f>
        <v>722501010050397</v>
      </c>
      <c r="P600" s="70" t="str">
        <f>IF($A$3=" "," ", IFERROR( VLOOKUP($A600,'SUPPLIER DATA BASE'!$A$2:$O$936,13,0),""))</f>
        <v>UBIN0572250</v>
      </c>
      <c r="Q600" s="77"/>
      <c r="R600" s="73"/>
      <c r="S600" s="77"/>
      <c r="T600" s="70"/>
      <c r="U600" s="78"/>
      <c r="V600" s="70" t="str">
        <f t="shared" si="6"/>
        <v>FY 25-26</v>
      </c>
      <c r="W600" s="23"/>
      <c r="X600" s="23"/>
    </row>
    <row r="601">
      <c r="A601" s="70" t="s">
        <v>354</v>
      </c>
      <c r="B601" s="70" t="str">
        <f>IF($A$3=" "," ", IFERROR( VLOOKUP($A601,'SUPPLIER DATA BASE'!$A$2:$M$936,3,0),""))</f>
        <v>-</v>
      </c>
      <c r="C601" s="70" t="str">
        <f>IF($A$3=" "," ", IFERROR( VLOOKUP($A601,'SUPPLIER DATA BASE'!$A$2:$F$936,6,0),""))</f>
        <v>-</v>
      </c>
      <c r="D601" s="70" t="str">
        <f>IF($A$3=" "," ", IFERROR( VLOOKUP($A601,'SUPPLIER DATA BASE'!$A$2:$G$936,4,0),""))</f>
        <v>-</v>
      </c>
      <c r="E601" s="71" t="str">
        <f>IF($A$3=" "," ", IFERROR( VLOOKUP($A601,'SUPPLIER DATA BASE'!$A$2:$H$936,5,0),""))</f>
        <v>-</v>
      </c>
      <c r="F601" s="72" t="s">
        <v>1985</v>
      </c>
      <c r="G601" s="73">
        <v>46102.0</v>
      </c>
      <c r="H601" s="74">
        <v>4.0</v>
      </c>
      <c r="I601" s="75">
        <v>19051.84</v>
      </c>
      <c r="J601" s="76" t="s">
        <v>1986</v>
      </c>
      <c r="K601" s="70" t="s">
        <v>349</v>
      </c>
      <c r="L601" s="70" t="s">
        <v>349</v>
      </c>
      <c r="M601" s="70" t="str">
        <f t="shared" si="3"/>
        <v>86 Days</v>
      </c>
      <c r="N601" s="70" t="str">
        <f>IF($A$3=" "," ", IFERROR( VLOOKUP($A601,'SUPPLIER DATA BASE'!$A$2:$O$936,11,0),""))</f>
        <v>-</v>
      </c>
      <c r="O601" s="70" t="str">
        <f>IF($A$3=" "," ", IFERROR( VLOOKUP($A601,'SUPPLIER DATA BASE'!$A$2:$O$936,12,0),""))</f>
        <v>-</v>
      </c>
      <c r="P601" s="70" t="str">
        <f>IF($A$3=" "," ", IFERROR( VLOOKUP($A601,'SUPPLIER DATA BASE'!$A$2:$O$936,13,0),""))</f>
        <v>-</v>
      </c>
      <c r="Q601" s="77"/>
      <c r="R601" s="73"/>
      <c r="S601" s="77"/>
      <c r="T601" s="70"/>
      <c r="U601" s="78"/>
      <c r="V601" s="70" t="str">
        <f t="shared" si="6"/>
        <v>FY 25-26</v>
      </c>
      <c r="W601" s="23"/>
      <c r="X601" s="23"/>
    </row>
    <row r="602">
      <c r="A602" s="70" t="s">
        <v>354</v>
      </c>
      <c r="B602" s="70" t="str">
        <f>IF($A$3=" "," ", IFERROR( VLOOKUP($A602,'SUPPLIER DATA BASE'!$A$2:$M$936,3,0),""))</f>
        <v>-</v>
      </c>
      <c r="C602" s="70" t="str">
        <f>IF($A$3=" "," ", IFERROR( VLOOKUP($A602,'SUPPLIER DATA BASE'!$A$2:$F$936,6,0),""))</f>
        <v>-</v>
      </c>
      <c r="D602" s="70" t="str">
        <f>IF($A$3=" "," ", IFERROR( VLOOKUP($A602,'SUPPLIER DATA BASE'!$A$2:$G$936,4,0),""))</f>
        <v>-</v>
      </c>
      <c r="E602" s="71" t="str">
        <f>IF($A$3=" "," ", IFERROR( VLOOKUP($A602,'SUPPLIER DATA BASE'!$A$2:$H$936,5,0),""))</f>
        <v>-</v>
      </c>
      <c r="F602" s="72" t="s">
        <v>1987</v>
      </c>
      <c r="G602" s="73">
        <v>46102.0</v>
      </c>
      <c r="H602" s="74">
        <v>6.0</v>
      </c>
      <c r="I602" s="75">
        <v>7667.9</v>
      </c>
      <c r="J602" s="76" t="s">
        <v>1988</v>
      </c>
      <c r="K602" s="70" t="s">
        <v>349</v>
      </c>
      <c r="L602" s="70" t="s">
        <v>349</v>
      </c>
      <c r="M602" s="70" t="str">
        <f t="shared" si="3"/>
        <v>86 Days</v>
      </c>
      <c r="N602" s="70" t="str">
        <f>IF($A$3=" "," ", IFERROR( VLOOKUP($A602,'SUPPLIER DATA BASE'!$A$2:$O$936,11,0),""))</f>
        <v>-</v>
      </c>
      <c r="O602" s="70" t="str">
        <f>IF($A$3=" "," ", IFERROR( VLOOKUP($A602,'SUPPLIER DATA BASE'!$A$2:$O$936,12,0),""))</f>
        <v>-</v>
      </c>
      <c r="P602" s="70" t="str">
        <f>IF($A$3=" "," ", IFERROR( VLOOKUP($A602,'SUPPLIER DATA BASE'!$A$2:$O$936,13,0),""))</f>
        <v>-</v>
      </c>
      <c r="Q602" s="77"/>
      <c r="R602" s="73"/>
      <c r="S602" s="77"/>
      <c r="T602" s="70"/>
      <c r="U602" s="78"/>
      <c r="V602" s="70" t="str">
        <f t="shared" si="6"/>
        <v>FY 25-26</v>
      </c>
      <c r="W602" s="23"/>
      <c r="X602" s="23"/>
    </row>
    <row r="603">
      <c r="A603" s="70" t="s">
        <v>406</v>
      </c>
      <c r="B603" s="70" t="str">
        <f>IF($A$3=" "," ", IFERROR( VLOOKUP($A603,'SUPPLIER DATA BASE'!$A$2:$M$936,3,0),""))</f>
        <v>SWEET DREAMS</v>
      </c>
      <c r="C603" s="70" t="str">
        <f>IF($A$3=" "," ", IFERROR( VLOOKUP($A603,'SUPPLIER DATA BASE'!$A$2:$F$936,6,0),""))</f>
        <v>-</v>
      </c>
      <c r="D603" s="70" t="str">
        <f>IF($A$3=" "," ", IFERROR( VLOOKUP($A603,'SUPPLIER DATA BASE'!$A$2:$G$936,4,0),""))</f>
        <v>NO</v>
      </c>
      <c r="E603" s="71" t="str">
        <f>IF($A$3=" "," ", IFERROR( VLOOKUP($A603,'SUPPLIER DATA BASE'!$A$2:$H$936,5,0),""))</f>
        <v>-</v>
      </c>
      <c r="F603" s="72" t="s">
        <v>1989</v>
      </c>
      <c r="G603" s="73">
        <v>46102.0</v>
      </c>
      <c r="H603" s="74">
        <v>67.0</v>
      </c>
      <c r="I603" s="75">
        <v>69349.0</v>
      </c>
      <c r="J603" s="76" t="s">
        <v>1990</v>
      </c>
      <c r="K603" s="70" t="s">
        <v>349</v>
      </c>
      <c r="L603" s="70" t="s">
        <v>349</v>
      </c>
      <c r="M603" s="70" t="str">
        <f t="shared" si="3"/>
        <v>86 Days</v>
      </c>
      <c r="N603" s="70" t="str">
        <f>IF($A$3=" "," ", IFERROR( VLOOKUP($A603,'SUPPLIER DATA BASE'!$A$2:$O$936,11,0),""))</f>
        <v>D D APPARELS</v>
      </c>
      <c r="O603" s="70" t="str">
        <f>IF($A$3=" "," ", IFERROR( VLOOKUP($A603,'SUPPLIER DATA BASE'!$A$2:$O$936,12,0),""))</f>
        <v>029205007835</v>
      </c>
      <c r="P603" s="70" t="str">
        <f>IF($A$3=" "," ", IFERROR( VLOOKUP($A603,'SUPPLIER DATA BASE'!$A$2:$O$936,13,0),""))</f>
        <v>ICIC0000292</v>
      </c>
      <c r="Q603" s="77"/>
      <c r="R603" s="73"/>
      <c r="S603" s="77"/>
      <c r="T603" s="70"/>
      <c r="U603" s="78"/>
      <c r="V603" s="70" t="str">
        <f t="shared" si="6"/>
        <v>FY 25-26</v>
      </c>
      <c r="W603" s="23"/>
      <c r="X603" s="23"/>
    </row>
    <row r="604">
      <c r="A604" s="70" t="s">
        <v>354</v>
      </c>
      <c r="B604" s="70" t="str">
        <f>IF($A$3=" "," ", IFERROR( VLOOKUP($A604,'SUPPLIER DATA BASE'!$A$2:$M$936,3,0),""))</f>
        <v>-</v>
      </c>
      <c r="C604" s="70" t="str">
        <f>IF($A$3=" "," ", IFERROR( VLOOKUP($A604,'SUPPLIER DATA BASE'!$A$2:$F$936,6,0),""))</f>
        <v>-</v>
      </c>
      <c r="D604" s="70" t="str">
        <f>IF($A$3=" "," ", IFERROR( VLOOKUP($A604,'SUPPLIER DATA BASE'!$A$2:$G$936,4,0),""))</f>
        <v>-</v>
      </c>
      <c r="E604" s="71" t="str">
        <f>IF($A$3=" "," ", IFERROR( VLOOKUP($A604,'SUPPLIER DATA BASE'!$A$2:$H$936,5,0),""))</f>
        <v>-</v>
      </c>
      <c r="F604" s="72" t="s">
        <v>1991</v>
      </c>
      <c r="G604" s="73">
        <v>46102.0</v>
      </c>
      <c r="H604" s="74">
        <v>17.0</v>
      </c>
      <c r="I604" s="75">
        <v>20127.34</v>
      </c>
      <c r="J604" s="76" t="s">
        <v>1992</v>
      </c>
      <c r="K604" s="70" t="s">
        <v>349</v>
      </c>
      <c r="L604" s="70" t="s">
        <v>349</v>
      </c>
      <c r="M604" s="70" t="str">
        <f t="shared" si="3"/>
        <v>86 Days</v>
      </c>
      <c r="N604" s="70" t="str">
        <f>IF($A$3=" "," ", IFERROR( VLOOKUP($A604,'SUPPLIER DATA BASE'!$A$2:$O$936,11,0),""))</f>
        <v>-</v>
      </c>
      <c r="O604" s="70" t="str">
        <f>IF($A$3=" "," ", IFERROR( VLOOKUP($A604,'SUPPLIER DATA BASE'!$A$2:$O$936,12,0),""))</f>
        <v>-</v>
      </c>
      <c r="P604" s="70" t="str">
        <f>IF($A$3=" "," ", IFERROR( VLOOKUP($A604,'SUPPLIER DATA BASE'!$A$2:$O$936,13,0),""))</f>
        <v>-</v>
      </c>
      <c r="Q604" s="77"/>
      <c r="R604" s="73"/>
      <c r="S604" s="77"/>
      <c r="T604" s="70"/>
      <c r="U604" s="78"/>
      <c r="V604" s="70" t="str">
        <f t="shared" si="6"/>
        <v>FY 25-26</v>
      </c>
      <c r="W604" s="23"/>
      <c r="X604" s="23"/>
    </row>
    <row r="605">
      <c r="A605" s="70" t="s">
        <v>354</v>
      </c>
      <c r="B605" s="70" t="str">
        <f>IF($A$3=" "," ", IFERROR( VLOOKUP($A605,'SUPPLIER DATA BASE'!$A$2:$M$936,3,0),""))</f>
        <v>-</v>
      </c>
      <c r="C605" s="70" t="str">
        <f>IF($A$3=" "," ", IFERROR( VLOOKUP($A605,'SUPPLIER DATA BASE'!$A$2:$F$936,6,0),""))</f>
        <v>-</v>
      </c>
      <c r="D605" s="70" t="str">
        <f>IF($A$3=" "," ", IFERROR( VLOOKUP($A605,'SUPPLIER DATA BASE'!$A$2:$G$936,4,0),""))</f>
        <v>-</v>
      </c>
      <c r="E605" s="71" t="str">
        <f>IF($A$3=" "," ", IFERROR( VLOOKUP($A605,'SUPPLIER DATA BASE'!$A$2:$H$936,5,0),""))</f>
        <v>-</v>
      </c>
      <c r="F605" s="72" t="s">
        <v>1993</v>
      </c>
      <c r="G605" s="73">
        <v>46102.0</v>
      </c>
      <c r="H605" s="74">
        <v>2.0</v>
      </c>
      <c r="I605" s="75">
        <v>2738.64</v>
      </c>
      <c r="J605" s="76" t="s">
        <v>1994</v>
      </c>
      <c r="K605" s="70" t="s">
        <v>349</v>
      </c>
      <c r="L605" s="70" t="s">
        <v>349</v>
      </c>
      <c r="M605" s="70" t="str">
        <f t="shared" si="3"/>
        <v>86 Days</v>
      </c>
      <c r="N605" s="70" t="str">
        <f>IF($A$3=" "," ", IFERROR( VLOOKUP($A605,'SUPPLIER DATA BASE'!$A$2:$O$936,11,0),""))</f>
        <v>-</v>
      </c>
      <c r="O605" s="70" t="str">
        <f>IF($A$3=" "," ", IFERROR( VLOOKUP($A605,'SUPPLIER DATA BASE'!$A$2:$O$936,12,0),""))</f>
        <v>-</v>
      </c>
      <c r="P605" s="70" t="str">
        <f>IF($A$3=" "," ", IFERROR( VLOOKUP($A605,'SUPPLIER DATA BASE'!$A$2:$O$936,13,0),""))</f>
        <v>-</v>
      </c>
      <c r="Q605" s="77"/>
      <c r="R605" s="73"/>
      <c r="S605" s="77"/>
      <c r="T605" s="70"/>
      <c r="U605" s="78"/>
      <c r="V605" s="70" t="str">
        <f t="shared" si="6"/>
        <v>FY 25-26</v>
      </c>
      <c r="W605" s="23"/>
      <c r="X605" s="23"/>
    </row>
    <row r="606">
      <c r="A606" s="70" t="s">
        <v>354</v>
      </c>
      <c r="B606" s="70" t="str">
        <f>IF($A$3=" "," ", IFERROR( VLOOKUP($A606,'SUPPLIER DATA BASE'!$A$2:$M$936,3,0),""))</f>
        <v>-</v>
      </c>
      <c r="C606" s="70" t="str">
        <f>IF($A$3=" "," ", IFERROR( VLOOKUP($A606,'SUPPLIER DATA BASE'!$A$2:$F$936,6,0),""))</f>
        <v>-</v>
      </c>
      <c r="D606" s="70" t="str">
        <f>IF($A$3=" "," ", IFERROR( VLOOKUP($A606,'SUPPLIER DATA BASE'!$A$2:$G$936,4,0),""))</f>
        <v>-</v>
      </c>
      <c r="E606" s="71" t="str">
        <f>IF($A$3=" "," ", IFERROR( VLOOKUP($A606,'SUPPLIER DATA BASE'!$A$2:$H$936,5,0),""))</f>
        <v>-</v>
      </c>
      <c r="F606" s="72" t="s">
        <v>1995</v>
      </c>
      <c r="G606" s="73">
        <v>46102.0</v>
      </c>
      <c r="H606" s="74">
        <v>1.0</v>
      </c>
      <c r="I606" s="75">
        <v>2421.76</v>
      </c>
      <c r="J606" s="76" t="s">
        <v>1996</v>
      </c>
      <c r="K606" s="70" t="s">
        <v>349</v>
      </c>
      <c r="L606" s="70" t="s">
        <v>349</v>
      </c>
      <c r="M606" s="70" t="str">
        <f t="shared" si="3"/>
        <v>86 Days</v>
      </c>
      <c r="N606" s="70" t="str">
        <f>IF($A$3=" "," ", IFERROR( VLOOKUP($A606,'SUPPLIER DATA BASE'!$A$2:$O$936,11,0),""))</f>
        <v>-</v>
      </c>
      <c r="O606" s="70" t="str">
        <f>IF($A$3=" "," ", IFERROR( VLOOKUP($A606,'SUPPLIER DATA BASE'!$A$2:$O$936,12,0),""))</f>
        <v>-</v>
      </c>
      <c r="P606" s="70" t="str">
        <f>IF($A$3=" "," ", IFERROR( VLOOKUP($A606,'SUPPLIER DATA BASE'!$A$2:$O$936,13,0),""))</f>
        <v>-</v>
      </c>
      <c r="Q606" s="77"/>
      <c r="R606" s="73"/>
      <c r="S606" s="77"/>
      <c r="T606" s="70"/>
      <c r="U606" s="78"/>
      <c r="V606" s="70" t="str">
        <f t="shared" si="6"/>
        <v>FY 25-26</v>
      </c>
      <c r="W606" s="23"/>
      <c r="X606" s="23"/>
    </row>
    <row r="607">
      <c r="A607" s="70" t="s">
        <v>354</v>
      </c>
      <c r="B607" s="70" t="str">
        <f>IF($A$3=" "," ", IFERROR( VLOOKUP($A607,'SUPPLIER DATA BASE'!$A$2:$M$936,3,0),""))</f>
        <v>-</v>
      </c>
      <c r="C607" s="70" t="str">
        <f>IF($A$3=" "," ", IFERROR( VLOOKUP($A607,'SUPPLIER DATA BASE'!$A$2:$F$936,6,0),""))</f>
        <v>-</v>
      </c>
      <c r="D607" s="70" t="str">
        <f>IF($A$3=" "," ", IFERROR( VLOOKUP($A607,'SUPPLIER DATA BASE'!$A$2:$G$936,4,0),""))</f>
        <v>-</v>
      </c>
      <c r="E607" s="71" t="str">
        <f>IF($A$3=" "," ", IFERROR( VLOOKUP($A607,'SUPPLIER DATA BASE'!$A$2:$H$936,5,0),""))</f>
        <v>-</v>
      </c>
      <c r="F607" s="72" t="s">
        <v>1997</v>
      </c>
      <c r="G607" s="73">
        <v>46102.0</v>
      </c>
      <c r="H607" s="74">
        <v>5.0</v>
      </c>
      <c r="I607" s="75">
        <v>6846.57</v>
      </c>
      <c r="J607" s="76" t="s">
        <v>1998</v>
      </c>
      <c r="K607" s="70" t="s">
        <v>349</v>
      </c>
      <c r="L607" s="70" t="s">
        <v>349</v>
      </c>
      <c r="M607" s="70" t="str">
        <f t="shared" si="3"/>
        <v>86 Days</v>
      </c>
      <c r="N607" s="70" t="str">
        <f>IF($A$3=" "," ", IFERROR( VLOOKUP($A607,'SUPPLIER DATA BASE'!$A$2:$O$936,11,0),""))</f>
        <v>-</v>
      </c>
      <c r="O607" s="70" t="str">
        <f>IF($A$3=" "," ", IFERROR( VLOOKUP($A607,'SUPPLIER DATA BASE'!$A$2:$O$936,12,0),""))</f>
        <v>-</v>
      </c>
      <c r="P607" s="70" t="str">
        <f>IF($A$3=" "," ", IFERROR( VLOOKUP($A607,'SUPPLIER DATA BASE'!$A$2:$O$936,13,0),""))</f>
        <v>-</v>
      </c>
      <c r="Q607" s="77"/>
      <c r="R607" s="73"/>
      <c r="S607" s="77"/>
      <c r="T607" s="70"/>
      <c r="U607" s="78"/>
      <c r="V607" s="70" t="str">
        <f t="shared" si="6"/>
        <v>FY 25-26</v>
      </c>
      <c r="W607" s="23"/>
      <c r="X607" s="23"/>
    </row>
    <row r="608">
      <c r="A608" s="70" t="s">
        <v>354</v>
      </c>
      <c r="B608" s="70" t="str">
        <f>IF($A$3=" "," ", IFERROR( VLOOKUP($A608,'SUPPLIER DATA BASE'!$A$2:$M$936,3,0),""))</f>
        <v>-</v>
      </c>
      <c r="C608" s="70" t="str">
        <f>IF($A$3=" "," ", IFERROR( VLOOKUP($A608,'SUPPLIER DATA BASE'!$A$2:$F$936,6,0),""))</f>
        <v>-</v>
      </c>
      <c r="D608" s="70" t="str">
        <f>IF($A$3=" "," ", IFERROR( VLOOKUP($A608,'SUPPLIER DATA BASE'!$A$2:$G$936,4,0),""))</f>
        <v>-</v>
      </c>
      <c r="E608" s="71" t="str">
        <f>IF($A$3=" "," ", IFERROR( VLOOKUP($A608,'SUPPLIER DATA BASE'!$A$2:$H$936,5,0),""))</f>
        <v>-</v>
      </c>
      <c r="F608" s="72" t="s">
        <v>1999</v>
      </c>
      <c r="G608" s="73">
        <v>46102.0</v>
      </c>
      <c r="H608" s="74">
        <v>2.0</v>
      </c>
      <c r="I608" s="75">
        <v>2327.63</v>
      </c>
      <c r="J608" s="76" t="s">
        <v>2000</v>
      </c>
      <c r="K608" s="70" t="s">
        <v>349</v>
      </c>
      <c r="L608" s="70" t="s">
        <v>349</v>
      </c>
      <c r="M608" s="70" t="str">
        <f t="shared" si="3"/>
        <v>86 Days</v>
      </c>
      <c r="N608" s="70" t="str">
        <f>IF($A$3=" "," ", IFERROR( VLOOKUP($A608,'SUPPLIER DATA BASE'!$A$2:$O$936,11,0),""))</f>
        <v>-</v>
      </c>
      <c r="O608" s="70" t="str">
        <f>IF($A$3=" "," ", IFERROR( VLOOKUP($A608,'SUPPLIER DATA BASE'!$A$2:$O$936,12,0),""))</f>
        <v>-</v>
      </c>
      <c r="P608" s="70" t="str">
        <f>IF($A$3=" "," ", IFERROR( VLOOKUP($A608,'SUPPLIER DATA BASE'!$A$2:$O$936,13,0),""))</f>
        <v>-</v>
      </c>
      <c r="Q608" s="77"/>
      <c r="R608" s="73"/>
      <c r="S608" s="77"/>
      <c r="T608" s="70"/>
      <c r="U608" s="78"/>
      <c r="V608" s="70" t="str">
        <f t="shared" si="6"/>
        <v>FY 25-26</v>
      </c>
      <c r="W608" s="23"/>
      <c r="X608" s="23"/>
    </row>
    <row r="609">
      <c r="A609" s="70" t="s">
        <v>354</v>
      </c>
      <c r="B609" s="70" t="str">
        <f>IF($A$3=" "," ", IFERROR( VLOOKUP($A609,'SUPPLIER DATA BASE'!$A$2:$M$936,3,0),""))</f>
        <v>-</v>
      </c>
      <c r="C609" s="70" t="str">
        <f>IF($A$3=" "," ", IFERROR( VLOOKUP($A609,'SUPPLIER DATA BASE'!$A$2:$F$936,6,0),""))</f>
        <v>-</v>
      </c>
      <c r="D609" s="70" t="str">
        <f>IF($A$3=" "," ", IFERROR( VLOOKUP($A609,'SUPPLIER DATA BASE'!$A$2:$G$936,4,0),""))</f>
        <v>-</v>
      </c>
      <c r="E609" s="71" t="str">
        <f>IF($A$3=" "," ", IFERROR( VLOOKUP($A609,'SUPPLIER DATA BASE'!$A$2:$H$936,5,0),""))</f>
        <v>-</v>
      </c>
      <c r="F609" s="72" t="s">
        <v>2001</v>
      </c>
      <c r="G609" s="73">
        <v>46102.0</v>
      </c>
      <c r="H609" s="74">
        <v>4.0</v>
      </c>
      <c r="I609" s="75">
        <v>4244.28</v>
      </c>
      <c r="J609" s="76" t="s">
        <v>2002</v>
      </c>
      <c r="K609" s="70" t="s">
        <v>349</v>
      </c>
      <c r="L609" s="70" t="s">
        <v>349</v>
      </c>
      <c r="M609" s="70" t="str">
        <f t="shared" si="3"/>
        <v>86 Days</v>
      </c>
      <c r="N609" s="70" t="str">
        <f>IF($A$3=" "," ", IFERROR( VLOOKUP($A609,'SUPPLIER DATA BASE'!$A$2:$O$936,11,0),""))</f>
        <v>-</v>
      </c>
      <c r="O609" s="70" t="str">
        <f>IF($A$3=" "," ", IFERROR( VLOOKUP($A609,'SUPPLIER DATA BASE'!$A$2:$O$936,12,0),""))</f>
        <v>-</v>
      </c>
      <c r="P609" s="70" t="str">
        <f>IF($A$3=" "," ", IFERROR( VLOOKUP($A609,'SUPPLIER DATA BASE'!$A$2:$O$936,13,0),""))</f>
        <v>-</v>
      </c>
      <c r="Q609" s="77"/>
      <c r="R609" s="73"/>
      <c r="S609" s="77"/>
      <c r="T609" s="70"/>
      <c r="U609" s="78"/>
      <c r="V609" s="70" t="str">
        <f t="shared" si="6"/>
        <v>FY 25-26</v>
      </c>
      <c r="W609" s="23"/>
      <c r="X609" s="23"/>
    </row>
    <row r="610">
      <c r="A610" s="70" t="s">
        <v>393</v>
      </c>
      <c r="B610" s="70" t="str">
        <f>IF($A$3=" "," ", IFERROR( VLOOKUP($A610,'SUPPLIER DATA BASE'!$A$2:$M$936,3,0),""))</f>
        <v>WELSPUN, VAN HEUSEN</v>
      </c>
      <c r="C610" s="70" t="str">
        <f>IF($A$3=" "," ", IFERROR( VLOOKUP($A610,'SUPPLIER DATA BASE'!$A$2:$F$936,6,0),""))</f>
        <v>DIRECT</v>
      </c>
      <c r="D610" s="70">
        <f>IF($A$3=" "," ", IFERROR( VLOOKUP($A610,'SUPPLIER DATA BASE'!$A$2:$G$936,4,0),""))</f>
        <v>15</v>
      </c>
      <c r="E610" s="71">
        <f>IF($A$3=" "," ", IFERROR( VLOOKUP($A610,'SUPPLIER DATA BASE'!$A$2:$H$936,5,0),""))</f>
        <v>5</v>
      </c>
      <c r="F610" s="72" t="s">
        <v>2003</v>
      </c>
      <c r="G610" s="73">
        <v>46102.0</v>
      </c>
      <c r="H610" s="74">
        <v>42.0</v>
      </c>
      <c r="I610" s="75">
        <v>19426.0</v>
      </c>
      <c r="J610" s="76" t="s">
        <v>2004</v>
      </c>
      <c r="K610" s="70" t="s">
        <v>349</v>
      </c>
      <c r="L610" s="70" t="s">
        <v>349</v>
      </c>
      <c r="M610" s="70" t="str">
        <f t="shared" si="3"/>
        <v>86 Days</v>
      </c>
      <c r="N610" s="70" t="str">
        <f>IF($A$3=" "," ", IFERROR( VLOOKUP($A610,'SUPPLIER DATA BASE'!$A$2:$O$936,11,0),""))</f>
        <v>C2D VENTURES LLP</v>
      </c>
      <c r="O610" s="70" t="str">
        <f>IF($A$3=" "," ", IFERROR( VLOOKUP($A610,'SUPPLIER DATA BASE'!$A$2:$O$936,12,0),""))</f>
        <v>50484840037</v>
      </c>
      <c r="P610" s="70" t="str">
        <f>IF($A$3=" "," ", IFERROR( VLOOKUP($A610,'SUPPLIER DATA BASE'!$A$2:$O$936,13,0),""))</f>
        <v>IDIB000D600</v>
      </c>
      <c r="Q610" s="77"/>
      <c r="R610" s="73"/>
      <c r="S610" s="77"/>
      <c r="T610" s="70"/>
      <c r="U610" s="78"/>
      <c r="V610" s="70" t="str">
        <f t="shared" si="6"/>
        <v>FY 25-26</v>
      </c>
      <c r="W610" s="23"/>
      <c r="X610" s="23"/>
    </row>
    <row r="611">
      <c r="A611" s="70" t="s">
        <v>609</v>
      </c>
      <c r="B611" s="70" t="str">
        <f>IF($A$3=" "," ", IFERROR( VLOOKUP($A611,'SUPPLIER DATA BASE'!$A$2:$M$936,3,0),""))</f>
        <v>-</v>
      </c>
      <c r="C611" s="70" t="str">
        <f>IF($A$3=" "," ", IFERROR( VLOOKUP($A611,'SUPPLIER DATA BASE'!$A$2:$F$936,6,0),""))</f>
        <v>-</v>
      </c>
      <c r="D611" s="70" t="str">
        <f>IF($A$3=" "," ", IFERROR( VLOOKUP($A611,'SUPPLIER DATA BASE'!$A$2:$G$936,4,0),""))</f>
        <v>-</v>
      </c>
      <c r="E611" s="71" t="str">
        <f>IF($A$3=" "," ", IFERROR( VLOOKUP($A611,'SUPPLIER DATA BASE'!$A$2:$H$936,5,0),""))</f>
        <v>-</v>
      </c>
      <c r="F611" s="72">
        <v>25289.0</v>
      </c>
      <c r="G611" s="73">
        <v>46102.0</v>
      </c>
      <c r="H611" s="74">
        <v>82.0</v>
      </c>
      <c r="I611" s="75">
        <v>52088.0</v>
      </c>
      <c r="J611" s="76" t="s">
        <v>2005</v>
      </c>
      <c r="K611" s="70" t="s">
        <v>349</v>
      </c>
      <c r="L611" s="70" t="s">
        <v>349</v>
      </c>
      <c r="M611" s="70" t="str">
        <f t="shared" si="3"/>
        <v>86 Days</v>
      </c>
      <c r="N611" s="70" t="str">
        <f>IF($A$3=" "," ", IFERROR( VLOOKUP($A611,'SUPPLIER DATA BASE'!$A$2:$O$936,11,0),""))</f>
        <v>P R MODI AND SONS</v>
      </c>
      <c r="O611" s="70" t="str">
        <f>IF($A$3=" "," ", IFERROR( VLOOKUP($A611,'SUPPLIER DATA BASE'!$A$2:$O$936,12,0),""))</f>
        <v>490930150000030</v>
      </c>
      <c r="P611" s="70" t="str">
        <f>IF($A$3=" "," ", IFERROR( VLOOKUP($A611,'SUPPLIER DATA BASE'!$A$2:$O$936,13,0),""))</f>
        <v>BKID0004909</v>
      </c>
      <c r="Q611" s="77"/>
      <c r="R611" s="73"/>
      <c r="S611" s="77"/>
      <c r="T611" s="70"/>
      <c r="U611" s="78"/>
      <c r="V611" s="70" t="str">
        <f t="shared" si="6"/>
        <v>FY 25-26</v>
      </c>
      <c r="W611" s="23"/>
      <c r="X611" s="23"/>
    </row>
    <row r="612">
      <c r="A612" s="70" t="s">
        <v>609</v>
      </c>
      <c r="B612" s="70" t="str">
        <f>IF($A$3=" "," ", IFERROR( VLOOKUP($A612,'SUPPLIER DATA BASE'!$A$2:$M$936,3,0),""))</f>
        <v>-</v>
      </c>
      <c r="C612" s="70" t="str">
        <f>IF($A$3=" "," ", IFERROR( VLOOKUP($A612,'SUPPLIER DATA BASE'!$A$2:$F$936,6,0),""))</f>
        <v>-</v>
      </c>
      <c r="D612" s="70" t="str">
        <f>IF($A$3=" "," ", IFERROR( VLOOKUP($A612,'SUPPLIER DATA BASE'!$A$2:$G$936,4,0),""))</f>
        <v>-</v>
      </c>
      <c r="E612" s="71" t="str">
        <f>IF($A$3=" "," ", IFERROR( VLOOKUP($A612,'SUPPLIER DATA BASE'!$A$2:$H$936,5,0),""))</f>
        <v>-</v>
      </c>
      <c r="F612" s="72">
        <v>25286.0</v>
      </c>
      <c r="G612" s="73">
        <v>46102.0</v>
      </c>
      <c r="H612" s="74">
        <v>32.0</v>
      </c>
      <c r="I612" s="75">
        <v>92086.0</v>
      </c>
      <c r="J612" s="76" t="s">
        <v>2006</v>
      </c>
      <c r="K612" s="70" t="s">
        <v>349</v>
      </c>
      <c r="L612" s="70" t="s">
        <v>349</v>
      </c>
      <c r="M612" s="70" t="str">
        <f t="shared" si="3"/>
        <v>86 Days</v>
      </c>
      <c r="N612" s="70" t="str">
        <f>IF($A$3=" "," ", IFERROR( VLOOKUP($A612,'SUPPLIER DATA BASE'!$A$2:$O$936,11,0),""))</f>
        <v>P R MODI AND SONS</v>
      </c>
      <c r="O612" s="70" t="str">
        <f>IF($A$3=" "," ", IFERROR( VLOOKUP($A612,'SUPPLIER DATA BASE'!$A$2:$O$936,12,0),""))</f>
        <v>490930150000030</v>
      </c>
      <c r="P612" s="70" t="str">
        <f>IF($A$3=" "," ", IFERROR( VLOOKUP($A612,'SUPPLIER DATA BASE'!$A$2:$O$936,13,0),""))</f>
        <v>BKID0004909</v>
      </c>
      <c r="Q612" s="77"/>
      <c r="R612" s="73"/>
      <c r="S612" s="77"/>
      <c r="T612" s="70"/>
      <c r="U612" s="78"/>
      <c r="V612" s="70" t="str">
        <f t="shared" si="6"/>
        <v>FY 25-26</v>
      </c>
      <c r="W612" s="23"/>
      <c r="X612" s="23"/>
    </row>
    <row r="613">
      <c r="A613" s="70" t="s">
        <v>609</v>
      </c>
      <c r="B613" s="70" t="str">
        <f>IF($A$3=" "," ", IFERROR( VLOOKUP($A613,'SUPPLIER DATA BASE'!$A$2:$M$936,3,0),""))</f>
        <v>-</v>
      </c>
      <c r="C613" s="70" t="str">
        <f>IF($A$3=" "," ", IFERROR( VLOOKUP($A613,'SUPPLIER DATA BASE'!$A$2:$F$936,6,0),""))</f>
        <v>-</v>
      </c>
      <c r="D613" s="70" t="str">
        <f>IF($A$3=" "," ", IFERROR( VLOOKUP($A613,'SUPPLIER DATA BASE'!$A$2:$G$936,4,0),""))</f>
        <v>-</v>
      </c>
      <c r="E613" s="71" t="str">
        <f>IF($A$3=" "," ", IFERROR( VLOOKUP($A613,'SUPPLIER DATA BASE'!$A$2:$H$936,5,0),""))</f>
        <v>-</v>
      </c>
      <c r="F613" s="72">
        <v>25285.0</v>
      </c>
      <c r="G613" s="73">
        <v>46102.0</v>
      </c>
      <c r="H613" s="74">
        <v>15.0</v>
      </c>
      <c r="I613" s="75">
        <v>66150.0</v>
      </c>
      <c r="J613" s="76" t="s">
        <v>2007</v>
      </c>
      <c r="K613" s="70" t="s">
        <v>349</v>
      </c>
      <c r="L613" s="70" t="s">
        <v>349</v>
      </c>
      <c r="M613" s="70" t="str">
        <f t="shared" si="3"/>
        <v>86 Days</v>
      </c>
      <c r="N613" s="70" t="str">
        <f>IF($A$3=" "," ", IFERROR( VLOOKUP($A613,'SUPPLIER DATA BASE'!$A$2:$O$936,11,0),""))</f>
        <v>P R MODI AND SONS</v>
      </c>
      <c r="O613" s="70" t="str">
        <f>IF($A$3=" "," ", IFERROR( VLOOKUP($A613,'SUPPLIER DATA BASE'!$A$2:$O$936,12,0),""))</f>
        <v>490930150000030</v>
      </c>
      <c r="P613" s="70" t="str">
        <f>IF($A$3=" "," ", IFERROR( VLOOKUP($A613,'SUPPLIER DATA BASE'!$A$2:$O$936,13,0),""))</f>
        <v>BKID0004909</v>
      </c>
      <c r="Q613" s="77"/>
      <c r="R613" s="73"/>
      <c r="S613" s="77"/>
      <c r="T613" s="70"/>
      <c r="U613" s="78"/>
      <c r="V613" s="70" t="str">
        <f t="shared" si="6"/>
        <v>FY 25-26</v>
      </c>
      <c r="W613" s="23"/>
      <c r="X613" s="23"/>
    </row>
    <row r="614">
      <c r="A614" s="70" t="s">
        <v>609</v>
      </c>
      <c r="B614" s="70" t="str">
        <f>IF($A$3=" "," ", IFERROR( VLOOKUP($A614,'SUPPLIER DATA BASE'!$A$2:$M$936,3,0),""))</f>
        <v>-</v>
      </c>
      <c r="C614" s="70" t="str">
        <f>IF($A$3=" "," ", IFERROR( VLOOKUP($A614,'SUPPLIER DATA BASE'!$A$2:$F$936,6,0),""))</f>
        <v>-</v>
      </c>
      <c r="D614" s="70" t="str">
        <f>IF($A$3=" "," ", IFERROR( VLOOKUP($A614,'SUPPLIER DATA BASE'!$A$2:$G$936,4,0),""))</f>
        <v>-</v>
      </c>
      <c r="E614" s="71" t="str">
        <f>IF($A$3=" "," ", IFERROR( VLOOKUP($A614,'SUPPLIER DATA BASE'!$A$2:$H$936,5,0),""))</f>
        <v>-</v>
      </c>
      <c r="F614" s="72">
        <v>25291.0</v>
      </c>
      <c r="G614" s="73">
        <v>46102.0</v>
      </c>
      <c r="H614" s="74">
        <v>27.0</v>
      </c>
      <c r="I614" s="75">
        <v>23492.0</v>
      </c>
      <c r="J614" s="76" t="s">
        <v>2008</v>
      </c>
      <c r="K614" s="70" t="s">
        <v>349</v>
      </c>
      <c r="L614" s="70" t="s">
        <v>349</v>
      </c>
      <c r="M614" s="70" t="str">
        <f t="shared" si="3"/>
        <v>86 Days</v>
      </c>
      <c r="N614" s="70" t="str">
        <f>IF($A$3=" "," ", IFERROR( VLOOKUP($A614,'SUPPLIER DATA BASE'!$A$2:$O$936,11,0),""))</f>
        <v>P R MODI AND SONS</v>
      </c>
      <c r="O614" s="70" t="str">
        <f>IF($A$3=" "," ", IFERROR( VLOOKUP($A614,'SUPPLIER DATA BASE'!$A$2:$O$936,12,0),""))</f>
        <v>490930150000030</v>
      </c>
      <c r="P614" s="70" t="str">
        <f>IF($A$3=" "," ", IFERROR( VLOOKUP($A614,'SUPPLIER DATA BASE'!$A$2:$O$936,13,0),""))</f>
        <v>BKID0004909</v>
      </c>
      <c r="Q614" s="77"/>
      <c r="R614" s="73"/>
      <c r="S614" s="77"/>
      <c r="T614" s="70"/>
      <c r="U614" s="78"/>
      <c r="V614" s="70" t="str">
        <f t="shared" si="6"/>
        <v>FY 25-26</v>
      </c>
      <c r="W614" s="23"/>
      <c r="X614" s="23"/>
    </row>
    <row r="615">
      <c r="A615" s="70" t="s">
        <v>609</v>
      </c>
      <c r="B615" s="70" t="str">
        <f>IF($A$3=" "," ", IFERROR( VLOOKUP($A615,'SUPPLIER DATA BASE'!$A$2:$M$936,3,0),""))</f>
        <v>-</v>
      </c>
      <c r="C615" s="70" t="str">
        <f>IF($A$3=" "," ", IFERROR( VLOOKUP($A615,'SUPPLIER DATA BASE'!$A$2:$F$936,6,0),""))</f>
        <v>-</v>
      </c>
      <c r="D615" s="70" t="str">
        <f>IF($A$3=" "," ", IFERROR( VLOOKUP($A615,'SUPPLIER DATA BASE'!$A$2:$G$936,4,0),""))</f>
        <v>-</v>
      </c>
      <c r="E615" s="71" t="str">
        <f>IF($A$3=" "," ", IFERROR( VLOOKUP($A615,'SUPPLIER DATA BASE'!$A$2:$H$936,5,0),""))</f>
        <v>-</v>
      </c>
      <c r="F615" s="72">
        <v>25290.0</v>
      </c>
      <c r="G615" s="73">
        <v>46102.0</v>
      </c>
      <c r="H615" s="74">
        <v>24.0</v>
      </c>
      <c r="I615" s="75">
        <v>20194.0</v>
      </c>
      <c r="J615" s="76" t="s">
        <v>2009</v>
      </c>
      <c r="K615" s="70" t="s">
        <v>349</v>
      </c>
      <c r="L615" s="70" t="s">
        <v>349</v>
      </c>
      <c r="M615" s="70" t="str">
        <f t="shared" si="3"/>
        <v>86 Days</v>
      </c>
      <c r="N615" s="70" t="str">
        <f>IF($A$3=" "," ", IFERROR( VLOOKUP($A615,'SUPPLIER DATA BASE'!$A$2:$O$936,11,0),""))</f>
        <v>P R MODI AND SONS</v>
      </c>
      <c r="O615" s="70" t="str">
        <f>IF($A$3=" "," ", IFERROR( VLOOKUP($A615,'SUPPLIER DATA BASE'!$A$2:$O$936,12,0),""))</f>
        <v>490930150000030</v>
      </c>
      <c r="P615" s="70" t="str">
        <f>IF($A$3=" "," ", IFERROR( VLOOKUP($A615,'SUPPLIER DATA BASE'!$A$2:$O$936,13,0),""))</f>
        <v>BKID0004909</v>
      </c>
      <c r="Q615" s="77"/>
      <c r="R615" s="73"/>
      <c r="S615" s="77"/>
      <c r="T615" s="70"/>
      <c r="U615" s="78"/>
      <c r="V615" s="70" t="str">
        <f t="shared" si="6"/>
        <v>FY 25-26</v>
      </c>
      <c r="W615" s="23"/>
      <c r="X615" s="23"/>
    </row>
    <row r="616">
      <c r="A616" s="70" t="s">
        <v>609</v>
      </c>
      <c r="B616" s="70" t="str">
        <f>IF($A$3=" "," ", IFERROR( VLOOKUP($A616,'SUPPLIER DATA BASE'!$A$2:$M$936,3,0),""))</f>
        <v>-</v>
      </c>
      <c r="C616" s="70" t="str">
        <f>IF($A$3=" "," ", IFERROR( VLOOKUP($A616,'SUPPLIER DATA BASE'!$A$2:$F$936,6,0),""))</f>
        <v>-</v>
      </c>
      <c r="D616" s="70" t="str">
        <f>IF($A$3=" "," ", IFERROR( VLOOKUP($A616,'SUPPLIER DATA BASE'!$A$2:$G$936,4,0),""))</f>
        <v>-</v>
      </c>
      <c r="E616" s="71" t="str">
        <f>IF($A$3=" "," ", IFERROR( VLOOKUP($A616,'SUPPLIER DATA BASE'!$A$2:$H$936,5,0),""))</f>
        <v>-</v>
      </c>
      <c r="F616" s="72">
        <v>25203.0</v>
      </c>
      <c r="G616" s="73">
        <v>46102.0</v>
      </c>
      <c r="H616" s="74">
        <v>36.0</v>
      </c>
      <c r="I616" s="75">
        <v>153490.0</v>
      </c>
      <c r="J616" s="76" t="s">
        <v>2010</v>
      </c>
      <c r="K616" s="70" t="s">
        <v>349</v>
      </c>
      <c r="L616" s="73"/>
      <c r="M616" s="70" t="str">
        <f t="shared" si="3"/>
        <v>86 Days</v>
      </c>
      <c r="N616" s="70" t="str">
        <f>IF($A$3=" "," ", IFERROR( VLOOKUP($A616,'SUPPLIER DATA BASE'!$A$2:$O$936,11,0),""))</f>
        <v>P R MODI AND SONS</v>
      </c>
      <c r="O616" s="70" t="str">
        <f>IF($A$3=" "," ", IFERROR( VLOOKUP($A616,'SUPPLIER DATA BASE'!$A$2:$O$936,12,0),""))</f>
        <v>490930150000030</v>
      </c>
      <c r="P616" s="70" t="str">
        <f>IF($A$3=" "," ", IFERROR( VLOOKUP($A616,'SUPPLIER DATA BASE'!$A$2:$O$936,13,0),""))</f>
        <v>BKID0004909</v>
      </c>
      <c r="Q616" s="77"/>
      <c r="R616" s="73"/>
      <c r="S616" s="77"/>
      <c r="T616" s="70"/>
      <c r="U616" s="78"/>
      <c r="V616" s="70" t="str">
        <f t="shared" si="6"/>
        <v>FY 25-26</v>
      </c>
      <c r="W616" s="23"/>
      <c r="X616" s="23"/>
    </row>
    <row r="617">
      <c r="A617" s="70" t="s">
        <v>799</v>
      </c>
      <c r="B617" s="70" t="str">
        <f>IF($A$3=" "," ", IFERROR( VLOOKUP($A617,'SUPPLIER DATA BASE'!$A$2:$M$936,3,0),""))</f>
        <v>-</v>
      </c>
      <c r="C617" s="70" t="str">
        <f>IF($A$3=" "," ", IFERROR( VLOOKUP($A617,'SUPPLIER DATA BASE'!$A$2:$F$936,6,0),""))</f>
        <v>-</v>
      </c>
      <c r="D617" s="70" t="str">
        <f>IF($A$3=" "," ", IFERROR( VLOOKUP($A617,'SUPPLIER DATA BASE'!$A$2:$G$936,4,0),""))</f>
        <v>-</v>
      </c>
      <c r="E617" s="71" t="str">
        <f>IF($A$3=" "," ", IFERROR( VLOOKUP($A617,'SUPPLIER DATA BASE'!$A$2:$H$936,5,0),""))</f>
        <v>-</v>
      </c>
      <c r="F617" s="72" t="s">
        <v>2011</v>
      </c>
      <c r="G617" s="73">
        <v>46102.0</v>
      </c>
      <c r="H617" s="74">
        <v>20.0</v>
      </c>
      <c r="I617" s="75">
        <v>9983.0</v>
      </c>
      <c r="J617" s="76" t="s">
        <v>2012</v>
      </c>
      <c r="K617" s="70" t="s">
        <v>349</v>
      </c>
      <c r="L617" s="73"/>
      <c r="M617" s="70" t="str">
        <f t="shared" si="3"/>
        <v>86 Days</v>
      </c>
      <c r="N617" s="70" t="str">
        <f>IF($A$3=" "," ", IFERROR( VLOOKUP($A617,'SUPPLIER DATA BASE'!$A$2:$O$936,11,0),""))</f>
        <v>VISHAL MARKETING &amp; CO.</v>
      </c>
      <c r="O617" s="70" t="str">
        <f>IF($A$3=" "," ", IFERROR( VLOOKUP($A617,'SUPPLIER DATA BASE'!$A$2:$O$936,12,0),""))</f>
        <v>1091008700001025</v>
      </c>
      <c r="P617" s="70" t="str">
        <f>IF($A$3=" "," ", IFERROR( VLOOKUP($A617,'SUPPLIER DATA BASE'!$A$2:$O$936,13,0),""))</f>
        <v>PUNB0109100</v>
      </c>
      <c r="Q617" s="77"/>
      <c r="R617" s="73"/>
      <c r="S617" s="77"/>
      <c r="T617" s="70"/>
      <c r="U617" s="78"/>
      <c r="V617" s="70" t="str">
        <f t="shared" si="6"/>
        <v>FY 25-26</v>
      </c>
      <c r="W617" s="23"/>
      <c r="X617" s="23"/>
    </row>
    <row r="618">
      <c r="A618" s="70" t="s">
        <v>709</v>
      </c>
      <c r="B618" s="70" t="str">
        <f>IF($A$3=" "," ", IFERROR( VLOOKUP($A618,'SUPPLIER DATA BASE'!$A$2:$M$936,3,0),""))</f>
        <v>MUFTI</v>
      </c>
      <c r="C618" s="70" t="str">
        <f>IF($A$3=" "," ", IFERROR( VLOOKUP($A618,'SUPPLIER DATA BASE'!$A$2:$F$936,6,0),""))</f>
        <v>-</v>
      </c>
      <c r="D618" s="70" t="str">
        <f>IF($A$3=" "," ", IFERROR( VLOOKUP($A618,'SUPPLIER DATA BASE'!$A$2:$G$936,4,0),""))</f>
        <v>-</v>
      </c>
      <c r="E618" s="71" t="str">
        <f>IF($A$3=" "," ", IFERROR( VLOOKUP($A618,'SUPPLIER DATA BASE'!$A$2:$H$936,5,0),""))</f>
        <v>-</v>
      </c>
      <c r="F618" s="70" t="s">
        <v>2013</v>
      </c>
      <c r="G618" s="73">
        <v>46103.0</v>
      </c>
      <c r="H618" s="74">
        <v>99.0</v>
      </c>
      <c r="I618" s="75">
        <v>186614.0</v>
      </c>
      <c r="J618" s="76" t="s">
        <v>2014</v>
      </c>
      <c r="K618" s="70" t="s">
        <v>349</v>
      </c>
      <c r="L618" s="70" t="s">
        <v>349</v>
      </c>
      <c r="M618" s="70" t="str">
        <f t="shared" si="3"/>
        <v>85 Days</v>
      </c>
      <c r="N618" s="70" t="str">
        <f>IF($A$3=" "," ", IFERROR( VLOOKUP($A618,'SUPPLIER DATA BASE'!$A$2:$O$936,11,0),""))</f>
        <v>SHRING APPARELS</v>
      </c>
      <c r="O618" s="70" t="str">
        <f>IF($A$3=" "," ", IFERROR( VLOOKUP($A618,'SUPPLIER DATA BASE'!$A$2:$O$936,12,0),""))</f>
        <v>50200030713091</v>
      </c>
      <c r="P618" s="70" t="str">
        <f>IF($A$3=" "," ", IFERROR( VLOOKUP($A618,'SUPPLIER DATA BASE'!$A$2:$O$936,13,0),""))</f>
        <v>HDFC0000186</v>
      </c>
      <c r="Q618" s="77"/>
      <c r="R618" s="73"/>
      <c r="S618" s="77"/>
      <c r="T618" s="70"/>
      <c r="U618" s="78"/>
      <c r="V618" s="70" t="str">
        <f t="shared" si="6"/>
        <v>FY 25-26</v>
      </c>
      <c r="W618" s="23"/>
      <c r="X618" s="23"/>
    </row>
    <row r="619">
      <c r="A619" s="70" t="s">
        <v>709</v>
      </c>
      <c r="B619" s="70" t="str">
        <f>IF($A$3=" "," ", IFERROR( VLOOKUP($A619,'SUPPLIER DATA BASE'!$A$2:$M$936,3,0),""))</f>
        <v>MUFTI</v>
      </c>
      <c r="C619" s="70" t="str">
        <f>IF($A$3=" "," ", IFERROR( VLOOKUP($A619,'SUPPLIER DATA BASE'!$A$2:$F$936,6,0),""))</f>
        <v>-</v>
      </c>
      <c r="D619" s="70" t="str">
        <f>IF($A$3=" "," ", IFERROR( VLOOKUP($A619,'SUPPLIER DATA BASE'!$A$2:$G$936,4,0),""))</f>
        <v>-</v>
      </c>
      <c r="E619" s="71" t="str">
        <f>IF($A$3=" "," ", IFERROR( VLOOKUP($A619,'SUPPLIER DATA BASE'!$A$2:$H$936,5,0),""))</f>
        <v>-</v>
      </c>
      <c r="F619" s="72" t="s">
        <v>2015</v>
      </c>
      <c r="G619" s="73">
        <v>46103.0</v>
      </c>
      <c r="H619" s="74">
        <v>141.0</v>
      </c>
      <c r="I619" s="75">
        <v>251163.0</v>
      </c>
      <c r="J619" s="76" t="s">
        <v>2016</v>
      </c>
      <c r="K619" s="70" t="s">
        <v>349</v>
      </c>
      <c r="L619" s="70" t="s">
        <v>349</v>
      </c>
      <c r="M619" s="70" t="str">
        <f t="shared" si="3"/>
        <v>85 Days</v>
      </c>
      <c r="N619" s="70" t="str">
        <f>IF($A$3=" "," ", IFERROR( VLOOKUP($A619,'SUPPLIER DATA BASE'!$A$2:$O$936,11,0),""))</f>
        <v>SHRING APPARELS</v>
      </c>
      <c r="O619" s="70" t="str">
        <f>IF($A$3=" "," ", IFERROR( VLOOKUP($A619,'SUPPLIER DATA BASE'!$A$2:$O$936,12,0),""))</f>
        <v>50200030713091</v>
      </c>
      <c r="P619" s="70" t="str">
        <f>IF($A$3=" "," ", IFERROR( VLOOKUP($A619,'SUPPLIER DATA BASE'!$A$2:$O$936,13,0),""))</f>
        <v>HDFC0000186</v>
      </c>
      <c r="Q619" s="77"/>
      <c r="R619" s="73"/>
      <c r="S619" s="77"/>
      <c r="T619" s="70"/>
      <c r="U619" s="78"/>
      <c r="V619" s="70" t="str">
        <f t="shared" si="6"/>
        <v>FY 25-26</v>
      </c>
      <c r="W619" s="23"/>
      <c r="X619" s="23"/>
    </row>
    <row r="620">
      <c r="A620" s="70" t="s">
        <v>709</v>
      </c>
      <c r="B620" s="70" t="str">
        <f>IF($A$3=" "," ", IFERROR( VLOOKUP($A620,'SUPPLIER DATA BASE'!$A$2:$M$936,3,0),""))</f>
        <v>MUFTI</v>
      </c>
      <c r="C620" s="70" t="str">
        <f>IF($A$3=" "," ", IFERROR( VLOOKUP($A620,'SUPPLIER DATA BASE'!$A$2:$F$936,6,0),""))</f>
        <v>-</v>
      </c>
      <c r="D620" s="70" t="str">
        <f>IF($A$3=" "," ", IFERROR( VLOOKUP($A620,'SUPPLIER DATA BASE'!$A$2:$G$936,4,0),""))</f>
        <v>-</v>
      </c>
      <c r="E620" s="71" t="str">
        <f>IF($A$3=" "," ", IFERROR( VLOOKUP($A620,'SUPPLIER DATA BASE'!$A$2:$H$936,5,0),""))</f>
        <v>-</v>
      </c>
      <c r="F620" s="72" t="s">
        <v>2017</v>
      </c>
      <c r="G620" s="73">
        <v>46103.0</v>
      </c>
      <c r="H620" s="74">
        <v>91.0</v>
      </c>
      <c r="I620" s="75">
        <v>191997.0</v>
      </c>
      <c r="J620" s="76" t="s">
        <v>2018</v>
      </c>
      <c r="K620" s="70" t="s">
        <v>349</v>
      </c>
      <c r="L620" s="70" t="s">
        <v>349</v>
      </c>
      <c r="M620" s="70" t="str">
        <f t="shared" si="3"/>
        <v>85 Days</v>
      </c>
      <c r="N620" s="70" t="str">
        <f>IF($A$3=" "," ", IFERROR( VLOOKUP($A620,'SUPPLIER DATA BASE'!$A$2:$O$936,11,0),""))</f>
        <v>SHRING APPARELS</v>
      </c>
      <c r="O620" s="70" t="str">
        <f>IF($A$3=" "," ", IFERROR( VLOOKUP($A620,'SUPPLIER DATA BASE'!$A$2:$O$936,12,0),""))</f>
        <v>50200030713091</v>
      </c>
      <c r="P620" s="70" t="str">
        <f>IF($A$3=" "," ", IFERROR( VLOOKUP($A620,'SUPPLIER DATA BASE'!$A$2:$O$936,13,0),""))</f>
        <v>HDFC0000186</v>
      </c>
      <c r="Q620" s="77"/>
      <c r="R620" s="73"/>
      <c r="S620" s="77"/>
      <c r="T620" s="70"/>
      <c r="U620" s="78"/>
      <c r="V620" s="70" t="str">
        <f t="shared" si="6"/>
        <v>FY 25-26</v>
      </c>
      <c r="W620" s="23"/>
      <c r="X620" s="23"/>
    </row>
    <row r="621">
      <c r="A621" s="70" t="s">
        <v>709</v>
      </c>
      <c r="B621" s="70" t="str">
        <f>IF($A$3=" "," ", IFERROR( VLOOKUP($A621,'SUPPLIER DATA BASE'!$A$2:$M$936,3,0),""))</f>
        <v>MUFTI</v>
      </c>
      <c r="C621" s="70" t="str">
        <f>IF($A$3=" "," ", IFERROR( VLOOKUP($A621,'SUPPLIER DATA BASE'!$A$2:$F$936,6,0),""))</f>
        <v>-</v>
      </c>
      <c r="D621" s="70" t="str">
        <f>IF($A$3=" "," ", IFERROR( VLOOKUP($A621,'SUPPLIER DATA BASE'!$A$2:$G$936,4,0),""))</f>
        <v>-</v>
      </c>
      <c r="E621" s="71" t="str">
        <f>IF($A$3=" "," ", IFERROR( VLOOKUP($A621,'SUPPLIER DATA BASE'!$A$2:$H$936,5,0),""))</f>
        <v>-</v>
      </c>
      <c r="F621" s="72" t="s">
        <v>2019</v>
      </c>
      <c r="G621" s="73">
        <v>46104.0</v>
      </c>
      <c r="H621" s="74">
        <v>107.0</v>
      </c>
      <c r="I621" s="75">
        <v>211832.0</v>
      </c>
      <c r="J621" s="76" t="s">
        <v>2020</v>
      </c>
      <c r="K621" s="70" t="s">
        <v>349</v>
      </c>
      <c r="L621" s="70" t="s">
        <v>349</v>
      </c>
      <c r="M621" s="70" t="str">
        <f t="shared" si="3"/>
        <v>84 Days</v>
      </c>
      <c r="N621" s="70" t="str">
        <f>IF($A$3=" "," ", IFERROR( VLOOKUP($A621,'SUPPLIER DATA BASE'!$A$2:$O$936,11,0),""))</f>
        <v>SHRING APPARELS</v>
      </c>
      <c r="O621" s="70" t="str">
        <f>IF($A$3=" "," ", IFERROR( VLOOKUP($A621,'SUPPLIER DATA BASE'!$A$2:$O$936,12,0),""))</f>
        <v>50200030713091</v>
      </c>
      <c r="P621" s="70" t="str">
        <f>IF($A$3=" "," ", IFERROR( VLOOKUP($A621,'SUPPLIER DATA BASE'!$A$2:$O$936,13,0),""))</f>
        <v>HDFC0000186</v>
      </c>
      <c r="Q621" s="77"/>
      <c r="R621" s="73"/>
      <c r="S621" s="77"/>
      <c r="T621" s="70"/>
      <c r="U621" s="78"/>
      <c r="V621" s="70" t="str">
        <f t="shared" si="6"/>
        <v>FY 25-26</v>
      </c>
      <c r="W621" s="23"/>
      <c r="X621" s="23"/>
    </row>
    <row r="622">
      <c r="A622" s="70" t="s">
        <v>484</v>
      </c>
      <c r="B622" s="70" t="str">
        <f>IF($A$3=" "," ", IFERROR( VLOOKUP($A622,'SUPPLIER DATA BASE'!$A$2:$M$936,3,0),""))</f>
        <v>HYPHEN</v>
      </c>
      <c r="C622" s="70" t="str">
        <f>IF($A$3=" "," ", IFERROR( VLOOKUP($A622,'SUPPLIER DATA BASE'!$A$2:$F$936,6,0),""))</f>
        <v>-</v>
      </c>
      <c r="D622" s="70" t="str">
        <f>IF($A$3=" "," ", IFERROR( VLOOKUP($A622,'SUPPLIER DATA BASE'!$A$2:$G$936,4,0),""))</f>
        <v>-</v>
      </c>
      <c r="E622" s="71" t="str">
        <f>IF($A$3=" "," ", IFERROR( VLOOKUP($A622,'SUPPLIER DATA BASE'!$A$2:$H$936,5,0),""))</f>
        <v>-</v>
      </c>
      <c r="F622" s="72" t="s">
        <v>2021</v>
      </c>
      <c r="G622" s="73">
        <v>46104.0</v>
      </c>
      <c r="H622" s="74">
        <v>10.0</v>
      </c>
      <c r="I622" s="75">
        <v>25947.0</v>
      </c>
      <c r="J622" s="76" t="s">
        <v>2022</v>
      </c>
      <c r="K622" s="70" t="s">
        <v>349</v>
      </c>
      <c r="L622" s="70" t="s">
        <v>349</v>
      </c>
      <c r="M622" s="70" t="str">
        <f t="shared" si="3"/>
        <v>84 Days</v>
      </c>
      <c r="N622" s="70" t="str">
        <f>IF($A$3=" "," ", IFERROR( VLOOKUP($A622,'SUPPLIER DATA BASE'!$A$2:$O$936,11,0),""))</f>
        <v>HYPHEN GARMENTS PVT. LTD.</v>
      </c>
      <c r="O622" s="70" t="str">
        <f>IF($A$3=" "," ", IFERROR( VLOOKUP($A622,'SUPPLIER DATA BASE'!$A$2:$O$936,12,0),""))</f>
        <v>0303261100828</v>
      </c>
      <c r="P622" s="70" t="str">
        <f>IF($A$3=" "," ", IFERROR( VLOOKUP($A622,'SUPPLIER DATA BASE'!$A$2:$O$936,13,0),""))</f>
        <v>CNRB0000303</v>
      </c>
      <c r="Q622" s="77"/>
      <c r="R622" s="73"/>
      <c r="S622" s="77"/>
      <c r="T622" s="70"/>
      <c r="U622" s="78"/>
      <c r="V622" s="70" t="str">
        <f t="shared" si="6"/>
        <v>FY 25-26</v>
      </c>
      <c r="W622" s="23"/>
      <c r="X622" s="23"/>
    </row>
    <row r="623">
      <c r="A623" s="70" t="s">
        <v>709</v>
      </c>
      <c r="B623" s="70" t="str">
        <f>IF($A$3=" "," ", IFERROR( VLOOKUP($A623,'SUPPLIER DATA BASE'!$A$2:$M$936,3,0),""))</f>
        <v>MUFTI</v>
      </c>
      <c r="C623" s="70" t="str">
        <f>IF($A$3=" "," ", IFERROR( VLOOKUP($A623,'SUPPLIER DATA BASE'!$A$2:$F$936,6,0),""))</f>
        <v>-</v>
      </c>
      <c r="D623" s="70" t="str">
        <f>IF($A$3=" "," ", IFERROR( VLOOKUP($A623,'SUPPLIER DATA BASE'!$A$2:$G$936,4,0),""))</f>
        <v>-</v>
      </c>
      <c r="E623" s="71" t="str">
        <f>IF($A$3=" "," ", IFERROR( VLOOKUP($A623,'SUPPLIER DATA BASE'!$A$2:$H$936,5,0),""))</f>
        <v>-</v>
      </c>
      <c r="F623" s="72" t="s">
        <v>2023</v>
      </c>
      <c r="G623" s="73">
        <v>46104.0</v>
      </c>
      <c r="H623" s="74">
        <v>142.0</v>
      </c>
      <c r="I623" s="75">
        <v>277466.0</v>
      </c>
      <c r="J623" s="76" t="s">
        <v>2024</v>
      </c>
      <c r="K623" s="70" t="s">
        <v>349</v>
      </c>
      <c r="L623" s="70" t="s">
        <v>349</v>
      </c>
      <c r="M623" s="70" t="str">
        <f t="shared" si="3"/>
        <v>84 Days</v>
      </c>
      <c r="N623" s="70" t="str">
        <f>IF($A$3=" "," ", IFERROR( VLOOKUP($A623,'SUPPLIER DATA BASE'!$A$2:$O$936,11,0),""))</f>
        <v>SHRING APPARELS</v>
      </c>
      <c r="O623" s="70" t="str">
        <f>IF($A$3=" "," ", IFERROR( VLOOKUP($A623,'SUPPLIER DATA BASE'!$A$2:$O$936,12,0),""))</f>
        <v>50200030713091</v>
      </c>
      <c r="P623" s="70" t="str">
        <f>IF($A$3=" "," ", IFERROR( VLOOKUP($A623,'SUPPLIER DATA BASE'!$A$2:$O$936,13,0),""))</f>
        <v>HDFC0000186</v>
      </c>
      <c r="Q623" s="77"/>
      <c r="R623" s="73"/>
      <c r="S623" s="77"/>
      <c r="T623" s="70"/>
      <c r="U623" s="78"/>
      <c r="V623" s="70" t="str">
        <f t="shared" si="6"/>
        <v>FY 25-26</v>
      </c>
      <c r="W623" s="23"/>
      <c r="X623" s="23"/>
    </row>
    <row r="624">
      <c r="A624" s="70" t="s">
        <v>354</v>
      </c>
      <c r="B624" s="70" t="str">
        <f>IF($A$3=" "," ", IFERROR( VLOOKUP($A624,'SUPPLIER DATA BASE'!$A$2:$M$936,3,0),""))</f>
        <v>-</v>
      </c>
      <c r="C624" s="70" t="str">
        <f>IF($A$3=" "," ", IFERROR( VLOOKUP($A624,'SUPPLIER DATA BASE'!$A$2:$F$936,6,0),""))</f>
        <v>-</v>
      </c>
      <c r="D624" s="70" t="str">
        <f>IF($A$3=" "," ", IFERROR( VLOOKUP($A624,'SUPPLIER DATA BASE'!$A$2:$G$936,4,0),""))</f>
        <v>-</v>
      </c>
      <c r="E624" s="71" t="str">
        <f>IF($A$3=" "," ", IFERROR( VLOOKUP($A624,'SUPPLIER DATA BASE'!$A$2:$H$936,5,0),""))</f>
        <v>-</v>
      </c>
      <c r="F624" s="72" t="s">
        <v>2025</v>
      </c>
      <c r="G624" s="73">
        <v>46104.0</v>
      </c>
      <c r="H624" s="74">
        <v>1.0</v>
      </c>
      <c r="I624" s="75">
        <v>958.32</v>
      </c>
      <c r="J624" s="76" t="s">
        <v>2026</v>
      </c>
      <c r="K624" s="70" t="s">
        <v>349</v>
      </c>
      <c r="L624" s="70" t="s">
        <v>349</v>
      </c>
      <c r="M624" s="70" t="str">
        <f t="shared" si="3"/>
        <v>84 Days</v>
      </c>
      <c r="N624" s="70" t="str">
        <f>IF($A$3=" "," ", IFERROR( VLOOKUP($A624,'SUPPLIER DATA BASE'!$A$2:$O$936,11,0),""))</f>
        <v>-</v>
      </c>
      <c r="O624" s="70" t="str">
        <f>IF($A$3=" "," ", IFERROR( VLOOKUP($A624,'SUPPLIER DATA BASE'!$A$2:$O$936,12,0),""))</f>
        <v>-</v>
      </c>
      <c r="P624" s="70" t="str">
        <f>IF($A$3=" "," ", IFERROR( VLOOKUP($A624,'SUPPLIER DATA BASE'!$A$2:$O$936,13,0),""))</f>
        <v>-</v>
      </c>
      <c r="Q624" s="77"/>
      <c r="R624" s="73"/>
      <c r="S624" s="77"/>
      <c r="T624" s="70"/>
      <c r="U624" s="78"/>
      <c r="V624" s="70" t="str">
        <f t="shared" si="6"/>
        <v>FY 25-26</v>
      </c>
      <c r="W624" s="23"/>
      <c r="X624" s="23"/>
    </row>
    <row r="625">
      <c r="A625" s="70" t="s">
        <v>677</v>
      </c>
      <c r="B625" s="70" t="str">
        <f>IF($A$3=" "," ", IFERROR( VLOOKUP($A625,'SUPPLIER DATA BASE'!$A$2:$M$936,3,0),""))</f>
        <v>-</v>
      </c>
      <c r="C625" s="70" t="str">
        <f>IF($A$3=" "," ", IFERROR( VLOOKUP($A625,'SUPPLIER DATA BASE'!$A$2:$F$936,6,0),""))</f>
        <v>-</v>
      </c>
      <c r="D625" s="70" t="str">
        <f>IF($A$3=" "," ", IFERROR( VLOOKUP($A625,'SUPPLIER DATA BASE'!$A$2:$G$936,4,0),""))</f>
        <v>-</v>
      </c>
      <c r="E625" s="71" t="str">
        <f>IF($A$3=" "," ", IFERROR( VLOOKUP($A625,'SUPPLIER DATA BASE'!$A$2:$H$936,5,0),""))</f>
        <v>-</v>
      </c>
      <c r="F625" s="72" t="s">
        <v>2027</v>
      </c>
      <c r="G625" s="73">
        <v>46104.0</v>
      </c>
      <c r="H625" s="74">
        <v>71.0</v>
      </c>
      <c r="I625" s="75">
        <v>58570.0</v>
      </c>
      <c r="J625" s="76" t="s">
        <v>2028</v>
      </c>
      <c r="K625" s="70" t="s">
        <v>349</v>
      </c>
      <c r="L625" s="70" t="s">
        <v>349</v>
      </c>
      <c r="M625" s="70" t="str">
        <f t="shared" si="3"/>
        <v>84 Days</v>
      </c>
      <c r="N625" s="70" t="str">
        <f>IF($A$3=" "," ", IFERROR( VLOOKUP($A625,'SUPPLIER DATA BASE'!$A$2:$O$936,11,0),""))</f>
        <v>SARAOGI SUPER SALES PVT LTD</v>
      </c>
      <c r="O625" s="70" t="str">
        <f>IF($A$3=" "," ", IFERROR( VLOOKUP($A625,'SUPPLIER DATA BASE'!$A$2:$O$936,12,0),""))</f>
        <v>SASUSP011006</v>
      </c>
      <c r="P625" s="70" t="str">
        <f>IF($A$3=" "," ", IFERROR( VLOOKUP($A625,'SUPPLIER DATA BASE'!$A$2:$O$936,13,0),""))</f>
        <v>ICIC0000106</v>
      </c>
      <c r="Q625" s="77"/>
      <c r="R625" s="73"/>
      <c r="S625" s="77"/>
      <c r="T625" s="70"/>
      <c r="U625" s="78"/>
      <c r="V625" s="70" t="str">
        <f t="shared" si="6"/>
        <v>FY 25-26</v>
      </c>
      <c r="W625" s="23"/>
      <c r="X625" s="23"/>
    </row>
    <row r="626">
      <c r="A626" s="70" t="s">
        <v>575</v>
      </c>
      <c r="B626" s="70" t="str">
        <f>IF($A$3=" "," ", IFERROR( VLOOKUP($A626,'SUPPLIER DATA BASE'!$A$2:$M$936,3,0),""))</f>
        <v>BLACKBERRY</v>
      </c>
      <c r="C626" s="70" t="str">
        <f>IF($A$3=" "," ", IFERROR( VLOOKUP($A626,'SUPPLIER DATA BASE'!$A$2:$F$936,6,0),""))</f>
        <v>-</v>
      </c>
      <c r="D626" s="70" t="str">
        <f>IF($A$3=" "," ", IFERROR( VLOOKUP($A626,'SUPPLIER DATA BASE'!$A$2:$G$936,4,0),""))</f>
        <v>-</v>
      </c>
      <c r="E626" s="71" t="str">
        <f>IF($A$3=" "," ", IFERROR( VLOOKUP($A626,'SUPPLIER DATA BASE'!$A$2:$H$936,5,0),""))</f>
        <v>-</v>
      </c>
      <c r="F626" s="72">
        <v>8.500286716E9</v>
      </c>
      <c r="G626" s="73">
        <v>46104.0</v>
      </c>
      <c r="H626" s="74">
        <v>5.0</v>
      </c>
      <c r="I626" s="75">
        <v>31721.49</v>
      </c>
      <c r="J626" s="76" t="s">
        <v>2029</v>
      </c>
      <c r="K626" s="70" t="s">
        <v>349</v>
      </c>
      <c r="L626" s="70" t="s">
        <v>349</v>
      </c>
      <c r="M626" s="70" t="str">
        <f t="shared" si="3"/>
        <v>84 Days</v>
      </c>
      <c r="N626" s="70" t="str">
        <f>IF($A$3=" "," ", IFERROR( VLOOKUP($A626,'SUPPLIER DATA BASE'!$A$2:$O$936,11,0),""))</f>
        <v>MOHAN CLOTHING COMPANY PVT LTD</v>
      </c>
      <c r="O626" s="70" t="str">
        <f>IF($A$3=" "," ", IFERROR( VLOOKUP($A626,'SUPPLIER DATA BASE'!$A$2:$O$936,12,0),""))</f>
        <v>0710096023</v>
      </c>
      <c r="P626" s="70" t="str">
        <f>IF($A$3=" "," ", IFERROR( VLOOKUP($A626,'SUPPLIER DATA BASE'!$A$2:$O$936,13,0),""))</f>
        <v>CITI0000002</v>
      </c>
      <c r="Q626" s="77"/>
      <c r="R626" s="73"/>
      <c r="S626" s="77"/>
      <c r="T626" s="70"/>
      <c r="U626" s="78"/>
      <c r="V626" s="70" t="str">
        <f t="shared" si="6"/>
        <v>FY 25-26</v>
      </c>
      <c r="W626" s="23"/>
      <c r="X626" s="23"/>
    </row>
    <row r="627">
      <c r="A627" s="70" t="s">
        <v>541</v>
      </c>
      <c r="B627" s="70" t="str">
        <f>IF($A$3=" "," ", IFERROR( VLOOKUP($A627,'SUPPLIER DATA BASE'!$A$2:$M$936,3,0),""))</f>
        <v>TWILLS</v>
      </c>
      <c r="C627" s="70" t="str">
        <f>IF($A$3=" "," ", IFERROR( VLOOKUP($A627,'SUPPLIER DATA BASE'!$A$2:$F$936,6,0),""))</f>
        <v>-</v>
      </c>
      <c r="D627" s="70" t="str">
        <f>IF($A$3=" "," ", IFERROR( VLOOKUP($A627,'SUPPLIER DATA BASE'!$A$2:$G$936,4,0),""))</f>
        <v>-</v>
      </c>
      <c r="E627" s="71" t="str">
        <f>IF($A$3=" "," ", IFERROR( VLOOKUP($A627,'SUPPLIER DATA BASE'!$A$2:$H$936,5,0),""))</f>
        <v>-</v>
      </c>
      <c r="F627" s="72" t="s">
        <v>1112</v>
      </c>
      <c r="G627" s="73">
        <v>46104.0</v>
      </c>
      <c r="H627" s="74">
        <v>16.0</v>
      </c>
      <c r="I627" s="75">
        <v>22680.0</v>
      </c>
      <c r="J627" s="76" t="s">
        <v>2030</v>
      </c>
      <c r="K627" s="70" t="s">
        <v>349</v>
      </c>
      <c r="L627" s="73"/>
      <c r="M627" s="70" t="str">
        <f t="shared" si="3"/>
        <v>84 Days</v>
      </c>
      <c r="N627" s="70" t="str">
        <f>IF($A$3=" "," ", IFERROR( VLOOKUP($A627,'SUPPLIER DATA BASE'!$A$2:$O$936,11,0),""))</f>
        <v>M. N. GARMENTS</v>
      </c>
      <c r="O627" s="70" t="str">
        <f>IF($A$3=" "," ", IFERROR( VLOOKUP($A627,'SUPPLIER DATA BASE'!$A$2:$O$936,12,0),""))</f>
        <v>50200058436598</v>
      </c>
      <c r="P627" s="70" t="str">
        <f>IF($A$3=" "," ", IFERROR( VLOOKUP($A627,'SUPPLIER DATA BASE'!$A$2:$O$936,13,0),""))</f>
        <v>HDFC0001470</v>
      </c>
      <c r="Q627" s="77"/>
      <c r="R627" s="73"/>
      <c r="S627" s="77"/>
      <c r="T627" s="70"/>
      <c r="U627" s="78"/>
      <c r="V627" s="70" t="str">
        <f t="shared" si="6"/>
        <v>FY 25-26</v>
      </c>
      <c r="W627" s="23"/>
      <c r="X627" s="23"/>
    </row>
    <row r="628">
      <c r="A628" s="70" t="s">
        <v>541</v>
      </c>
      <c r="B628" s="70" t="str">
        <f>IF($A$3=" "," ", IFERROR( VLOOKUP($A628,'SUPPLIER DATA BASE'!$A$2:$M$936,3,0),""))</f>
        <v>TWILLS</v>
      </c>
      <c r="C628" s="70" t="str">
        <f>IF($A$3=" "," ", IFERROR( VLOOKUP($A628,'SUPPLIER DATA BASE'!$A$2:$F$936,6,0),""))</f>
        <v>-</v>
      </c>
      <c r="D628" s="70" t="str">
        <f>IF($A$3=" "," ", IFERROR( VLOOKUP($A628,'SUPPLIER DATA BASE'!$A$2:$G$936,4,0),""))</f>
        <v>-</v>
      </c>
      <c r="E628" s="71" t="str">
        <f>IF($A$3=" "," ", IFERROR( VLOOKUP($A628,'SUPPLIER DATA BASE'!$A$2:$H$936,5,0),""))</f>
        <v>-</v>
      </c>
      <c r="F628" s="72" t="s">
        <v>2031</v>
      </c>
      <c r="G628" s="73">
        <v>46104.0</v>
      </c>
      <c r="H628" s="74">
        <v>8.0</v>
      </c>
      <c r="I628" s="75">
        <v>4578.0</v>
      </c>
      <c r="J628" s="76" t="s">
        <v>2032</v>
      </c>
      <c r="K628" s="70" t="s">
        <v>349</v>
      </c>
      <c r="L628" s="73"/>
      <c r="M628" s="70" t="str">
        <f t="shared" si="3"/>
        <v>84 Days</v>
      </c>
      <c r="N628" s="70" t="str">
        <f>IF($A$3=" "," ", IFERROR( VLOOKUP($A628,'SUPPLIER DATA BASE'!$A$2:$O$936,11,0),""))</f>
        <v>M. N. GARMENTS</v>
      </c>
      <c r="O628" s="70" t="str">
        <f>IF($A$3=" "," ", IFERROR( VLOOKUP($A628,'SUPPLIER DATA BASE'!$A$2:$O$936,12,0),""))</f>
        <v>50200058436598</v>
      </c>
      <c r="P628" s="70" t="str">
        <f>IF($A$3=" "," ", IFERROR( VLOOKUP($A628,'SUPPLIER DATA BASE'!$A$2:$O$936,13,0),""))</f>
        <v>HDFC0001470</v>
      </c>
      <c r="Q628" s="77"/>
      <c r="R628" s="73"/>
      <c r="S628" s="77"/>
      <c r="T628" s="70"/>
      <c r="U628" s="78"/>
      <c r="V628" s="70" t="str">
        <f t="shared" si="6"/>
        <v>FY 25-26</v>
      </c>
      <c r="W628" s="23"/>
      <c r="X628" s="23"/>
    </row>
    <row r="629">
      <c r="A629" s="70" t="s">
        <v>541</v>
      </c>
      <c r="B629" s="70" t="str">
        <f>IF($A$3=" "," ", IFERROR( VLOOKUP($A629,'SUPPLIER DATA BASE'!$A$2:$M$936,3,0),""))</f>
        <v>TWILLS</v>
      </c>
      <c r="C629" s="70" t="str">
        <f>IF($A$3=" "," ", IFERROR( VLOOKUP($A629,'SUPPLIER DATA BASE'!$A$2:$F$936,6,0),""))</f>
        <v>-</v>
      </c>
      <c r="D629" s="70" t="str">
        <f>IF($A$3=" "," ", IFERROR( VLOOKUP($A629,'SUPPLIER DATA BASE'!$A$2:$G$936,4,0),""))</f>
        <v>-</v>
      </c>
      <c r="E629" s="71" t="str">
        <f>IF($A$3=" "," ", IFERROR( VLOOKUP($A629,'SUPPLIER DATA BASE'!$A$2:$H$936,5,0),""))</f>
        <v>-</v>
      </c>
      <c r="F629" s="72" t="s">
        <v>2033</v>
      </c>
      <c r="G629" s="73">
        <v>46104.0</v>
      </c>
      <c r="H629" s="74">
        <v>6.0</v>
      </c>
      <c r="I629" s="75">
        <v>4456.0</v>
      </c>
      <c r="J629" s="76" t="s">
        <v>2034</v>
      </c>
      <c r="K629" s="70" t="s">
        <v>349</v>
      </c>
      <c r="L629" s="73"/>
      <c r="M629" s="70" t="str">
        <f t="shared" si="3"/>
        <v>84 Days</v>
      </c>
      <c r="N629" s="70" t="str">
        <f>IF($A$3=" "," ", IFERROR( VLOOKUP($A629,'SUPPLIER DATA BASE'!$A$2:$O$936,11,0),""))</f>
        <v>M. N. GARMENTS</v>
      </c>
      <c r="O629" s="70" t="str">
        <f>IF($A$3=" "," ", IFERROR( VLOOKUP($A629,'SUPPLIER DATA BASE'!$A$2:$O$936,12,0),""))</f>
        <v>50200058436598</v>
      </c>
      <c r="P629" s="70" t="str">
        <f>IF($A$3=" "," ", IFERROR( VLOOKUP($A629,'SUPPLIER DATA BASE'!$A$2:$O$936,13,0),""))</f>
        <v>HDFC0001470</v>
      </c>
      <c r="Q629" s="77"/>
      <c r="R629" s="73"/>
      <c r="S629" s="77"/>
      <c r="T629" s="70"/>
      <c r="U629" s="78"/>
      <c r="V629" s="70" t="str">
        <f t="shared" si="6"/>
        <v>FY 25-26</v>
      </c>
      <c r="W629" s="23"/>
      <c r="X629" s="23"/>
    </row>
    <row r="630">
      <c r="A630" s="70" t="s">
        <v>625</v>
      </c>
      <c r="B630" s="70" t="str">
        <f>IF($A$3=" "," ", IFERROR( VLOOKUP($A630,'SUPPLIER DATA BASE'!$A$2:$M$936,3,0),""))</f>
        <v>-</v>
      </c>
      <c r="C630" s="70" t="str">
        <f>IF($A$3=" "," ", IFERROR( VLOOKUP($A630,'SUPPLIER DATA BASE'!$A$2:$F$936,6,0),""))</f>
        <v>DIRECT</v>
      </c>
      <c r="D630" s="70">
        <f>IF($A$3=" "," ", IFERROR( VLOOKUP($A630,'SUPPLIER DATA BASE'!$A$2:$G$936,4,0),""))</f>
        <v>30</v>
      </c>
      <c r="E630" s="71">
        <f>IF($A$3=" "," ", IFERROR( VLOOKUP($A630,'SUPPLIER DATA BASE'!$A$2:$H$936,5,0),""))</f>
        <v>0.02</v>
      </c>
      <c r="F630" s="70">
        <v>3826.0</v>
      </c>
      <c r="G630" s="73">
        <v>46105.0</v>
      </c>
      <c r="H630" s="74">
        <v>20.0</v>
      </c>
      <c r="I630" s="75">
        <v>74214.0</v>
      </c>
      <c r="J630" s="76" t="s">
        <v>2035</v>
      </c>
      <c r="K630" s="70" t="s">
        <v>349</v>
      </c>
      <c r="L630" s="70" t="s">
        <v>349</v>
      </c>
      <c r="M630" s="70" t="str">
        <f t="shared" si="3"/>
        <v>83 Days</v>
      </c>
      <c r="N630" s="70" t="str">
        <f>IF($A$3=" "," ", IFERROR( VLOOKUP($A630,'SUPPLIER DATA BASE'!$A$2:$O$936,11,0),""))</f>
        <v>PLAZER GARMENTS</v>
      </c>
      <c r="O630" s="70" t="str">
        <f>IF($A$3=" "," ", IFERROR( VLOOKUP($A630,'SUPPLIER DATA BASE'!$A$2:$O$936,12,0),""))</f>
        <v>50200065043307</v>
      </c>
      <c r="P630" s="70" t="str">
        <f>IF($A$3=" "," ", IFERROR( VLOOKUP($A630,'SUPPLIER DATA BASE'!$A$2:$O$936,13,0),""))</f>
        <v>HDFC0000150</v>
      </c>
      <c r="Q630" s="77"/>
      <c r="R630" s="73"/>
      <c r="S630" s="77"/>
      <c r="T630" s="70"/>
      <c r="U630" s="78"/>
      <c r="V630" s="70" t="str">
        <f t="shared" si="6"/>
        <v>FY 25-26</v>
      </c>
      <c r="W630" s="23"/>
      <c r="X630" s="23"/>
    </row>
    <row r="631">
      <c r="A631" s="70" t="s">
        <v>495</v>
      </c>
      <c r="B631" s="70" t="str">
        <f>IF($A$3=" "," ", IFERROR( VLOOKUP($A631,'SUPPLIER DATA BASE'!$A$2:$M$936,3,0),""))</f>
        <v>-</v>
      </c>
      <c r="C631" s="70" t="str">
        <f>IF($A$3=" "," ", IFERROR( VLOOKUP($A631,'SUPPLIER DATA BASE'!$A$2:$F$936,6,0),""))</f>
        <v>-</v>
      </c>
      <c r="D631" s="70" t="str">
        <f>IF($A$3=" "," ", IFERROR( VLOOKUP($A631,'SUPPLIER DATA BASE'!$A$2:$G$936,4,0),""))</f>
        <v>-</v>
      </c>
      <c r="E631" s="71" t="str">
        <f>IF($A$3=" "," ", IFERROR( VLOOKUP($A631,'SUPPLIER DATA BASE'!$A$2:$H$936,5,0),""))</f>
        <v>-</v>
      </c>
      <c r="F631" s="72" t="s">
        <v>2036</v>
      </c>
      <c r="G631" s="73">
        <v>46105.0</v>
      </c>
      <c r="H631" s="74">
        <v>69.0</v>
      </c>
      <c r="I631" s="75">
        <v>207511.0</v>
      </c>
      <c r="J631" s="76" t="s">
        <v>2037</v>
      </c>
      <c r="K631" s="70" t="s">
        <v>349</v>
      </c>
      <c r="L631" s="70" t="s">
        <v>349</v>
      </c>
      <c r="M631" s="70" t="str">
        <f t="shared" si="3"/>
        <v>83 Days</v>
      </c>
      <c r="N631" s="70" t="str">
        <f>IF($A$3=" "," ", IFERROR( VLOOKUP($A631,'SUPPLIER DATA BASE'!$A$2:$O$936,11,0),""))</f>
        <v>JAIN ADISHWAR HOSIERY WORKS LLP</v>
      </c>
      <c r="O631" s="70" t="str">
        <f>IF($A$3=" "," ", IFERROR( VLOOKUP($A631,'SUPPLIER DATA BASE'!$A$2:$O$936,12,0),""))</f>
        <v>99917644444444</v>
      </c>
      <c r="P631" s="70" t="str">
        <f>IF($A$3=" "," ", IFERROR( VLOOKUP($A631,'SUPPLIER DATA BASE'!$A$2:$O$936,13,0),""))</f>
        <v>HDFC0002063</v>
      </c>
      <c r="Q631" s="77"/>
      <c r="R631" s="73"/>
      <c r="S631" s="77"/>
      <c r="T631" s="70"/>
      <c r="U631" s="78"/>
      <c r="V631" s="70" t="str">
        <f t="shared" si="6"/>
        <v>FY 25-26</v>
      </c>
      <c r="W631" s="23"/>
      <c r="X631" s="23"/>
    </row>
    <row r="632">
      <c r="A632" s="70" t="s">
        <v>495</v>
      </c>
      <c r="B632" s="70" t="str">
        <f>IF($A$3=" "," ", IFERROR( VLOOKUP($A632,'SUPPLIER DATA BASE'!$A$2:$M$936,3,0),""))</f>
        <v>-</v>
      </c>
      <c r="C632" s="70" t="str">
        <f>IF($A$3=" "," ", IFERROR( VLOOKUP($A632,'SUPPLIER DATA BASE'!$A$2:$F$936,6,0),""))</f>
        <v>-</v>
      </c>
      <c r="D632" s="70" t="str">
        <f>IF($A$3=" "," ", IFERROR( VLOOKUP($A632,'SUPPLIER DATA BASE'!$A$2:$G$936,4,0),""))</f>
        <v>-</v>
      </c>
      <c r="E632" s="71" t="str">
        <f>IF($A$3=" "," ", IFERROR( VLOOKUP($A632,'SUPPLIER DATA BASE'!$A$2:$H$936,5,0),""))</f>
        <v>-</v>
      </c>
      <c r="F632" s="72" t="s">
        <v>2038</v>
      </c>
      <c r="G632" s="73">
        <v>46105.0</v>
      </c>
      <c r="H632" s="74">
        <v>92.0</v>
      </c>
      <c r="I632" s="75">
        <v>220805.0</v>
      </c>
      <c r="J632" s="76" t="s">
        <v>2039</v>
      </c>
      <c r="K632" s="70" t="s">
        <v>349</v>
      </c>
      <c r="L632" s="70" t="s">
        <v>349</v>
      </c>
      <c r="M632" s="70" t="str">
        <f t="shared" si="3"/>
        <v>83 Days</v>
      </c>
      <c r="N632" s="70" t="str">
        <f>IF($A$3=" "," ", IFERROR( VLOOKUP($A632,'SUPPLIER DATA BASE'!$A$2:$O$936,11,0),""))</f>
        <v>JAIN ADISHWAR HOSIERY WORKS LLP</v>
      </c>
      <c r="O632" s="70" t="str">
        <f>IF($A$3=" "," ", IFERROR( VLOOKUP($A632,'SUPPLIER DATA BASE'!$A$2:$O$936,12,0),""))</f>
        <v>99917644444444</v>
      </c>
      <c r="P632" s="70" t="str">
        <f>IF($A$3=" "," ", IFERROR( VLOOKUP($A632,'SUPPLIER DATA BASE'!$A$2:$O$936,13,0),""))</f>
        <v>HDFC0002063</v>
      </c>
      <c r="Q632" s="77"/>
      <c r="R632" s="73"/>
      <c r="S632" s="77"/>
      <c r="T632" s="70"/>
      <c r="U632" s="78"/>
      <c r="V632" s="70" t="str">
        <f t="shared" si="6"/>
        <v>FY 25-26</v>
      </c>
      <c r="W632" s="23"/>
      <c r="X632" s="23"/>
    </row>
    <row r="633">
      <c r="A633" s="70" t="s">
        <v>439</v>
      </c>
      <c r="B633" s="70" t="str">
        <f>IF($A$3=" "," ", IFERROR( VLOOKUP($A633,'SUPPLIER DATA BASE'!$A$2:$M$936,3,0),""))</f>
        <v>GOCOLOURS</v>
      </c>
      <c r="C633" s="70" t="str">
        <f>IF($A$3=" "," ", IFERROR( VLOOKUP($A633,'SUPPLIER DATA BASE'!$A$2:$F$936,6,0),""))</f>
        <v>-</v>
      </c>
      <c r="D633" s="70">
        <f>IF($A$3=" "," ", IFERROR( VLOOKUP($A633,'SUPPLIER DATA BASE'!$A$2:$G$936,4,0),""))</f>
        <v>30</v>
      </c>
      <c r="E633" s="71">
        <f>IF($A$3=" "," ", IFERROR( VLOOKUP($A633,'SUPPLIER DATA BASE'!$A$2:$H$936,5,0),""))</f>
        <v>0.02</v>
      </c>
      <c r="F633" s="72" t="s">
        <v>2040</v>
      </c>
      <c r="G633" s="73">
        <v>46105.0</v>
      </c>
      <c r="H633" s="74">
        <v>47.0</v>
      </c>
      <c r="I633" s="75">
        <v>49473.0</v>
      </c>
      <c r="J633" s="76" t="s">
        <v>2041</v>
      </c>
      <c r="K633" s="70" t="s">
        <v>349</v>
      </c>
      <c r="L633" s="70" t="s">
        <v>349</v>
      </c>
      <c r="M633" s="70" t="str">
        <f t="shared" si="3"/>
        <v>83 Days</v>
      </c>
      <c r="N633" s="70" t="str">
        <f>IF($A$3=" "," ", IFERROR( VLOOKUP($A633,'SUPPLIER DATA BASE'!$A$2:$O$936,11,0),""))</f>
        <v>EMPORIO SIDDHARTH SALES PRIVATE LIMITED</v>
      </c>
      <c r="O633" s="70" t="str">
        <f>IF($A$3=" "," ", IFERROR( VLOOKUP($A633,'SUPPLIER DATA BASE'!$A$2:$O$936,12,0),""))</f>
        <v>50200111968638</v>
      </c>
      <c r="P633" s="70" t="str">
        <f>IF($A$3=" "," ", IFERROR( VLOOKUP($A633,'SUPPLIER DATA BASE'!$A$2:$O$936,13,0),""))</f>
        <v>HDFC000186</v>
      </c>
      <c r="Q633" s="77"/>
      <c r="R633" s="73"/>
      <c r="S633" s="77"/>
      <c r="T633" s="70"/>
      <c r="U633" s="78"/>
      <c r="V633" s="70" t="str">
        <f t="shared" si="6"/>
        <v>FY 25-26</v>
      </c>
      <c r="W633" s="23"/>
      <c r="X633" s="23"/>
    </row>
    <row r="634">
      <c r="A634" s="70" t="s">
        <v>713</v>
      </c>
      <c r="B634" s="70" t="str">
        <f>IF($A$3=" "," ", IFERROR( VLOOKUP($A634,'SUPPLIER DATA BASE'!$A$2:$M$936,3,0),""))</f>
        <v>-</v>
      </c>
      <c r="C634" s="70" t="str">
        <f>IF($A$3=" "," ", IFERROR( VLOOKUP($A634,'SUPPLIER DATA BASE'!$A$2:$F$936,6,0),""))</f>
        <v>SURYAM TEXTILE AGENCY</v>
      </c>
      <c r="D634" s="70" t="str">
        <f>IF($A$3=" "," ", IFERROR( VLOOKUP($A634,'SUPPLIER DATA BASE'!$A$2:$G$936,4,0),""))</f>
        <v>NO</v>
      </c>
      <c r="E634" s="71" t="str">
        <f>IF($A$3=" "," ", IFERROR( VLOOKUP($A634,'SUPPLIER DATA BASE'!$A$2:$H$936,5,0),""))</f>
        <v>-</v>
      </c>
      <c r="F634" s="82">
        <v>176230.0</v>
      </c>
      <c r="G634" s="73">
        <v>46105.0</v>
      </c>
      <c r="H634" s="74">
        <v>52.0</v>
      </c>
      <c r="I634" s="75">
        <v>56507.0</v>
      </c>
      <c r="J634" s="76" t="s">
        <v>2042</v>
      </c>
      <c r="K634" s="70" t="s">
        <v>349</v>
      </c>
      <c r="L634" s="70" t="s">
        <v>349</v>
      </c>
      <c r="M634" s="70" t="str">
        <f t="shared" si="3"/>
        <v>83 Days</v>
      </c>
      <c r="N634" s="70" t="str">
        <f>IF($A$3=" "," ", IFERROR( VLOOKUP($A634,'SUPPLIER DATA BASE'!$A$2:$O$936,11,0),""))</f>
        <v>SHRITHIK DESIGNER LLP</v>
      </c>
      <c r="O634" s="70" t="str">
        <f>IF($A$3=" "," ", IFERROR( VLOOKUP($A634,'SUPPLIER DATA BASE'!$A$2:$O$936,12,0),""))</f>
        <v>339805000598</v>
      </c>
      <c r="P634" s="70" t="str">
        <f>IF($A$3=" "," ", IFERROR( VLOOKUP($A634,'SUPPLIER DATA BASE'!$A$2:$O$936,13,0),""))</f>
        <v>ICIC0003398</v>
      </c>
      <c r="Q634" s="77"/>
      <c r="R634" s="73"/>
      <c r="S634" s="77"/>
      <c r="T634" s="70"/>
      <c r="U634" s="78"/>
      <c r="V634" s="70" t="str">
        <f t="shared" si="6"/>
        <v>FY 25-26</v>
      </c>
      <c r="W634" s="23"/>
      <c r="X634" s="23"/>
    </row>
    <row r="635">
      <c r="A635" s="70" t="s">
        <v>776</v>
      </c>
      <c r="B635" s="70" t="str">
        <f>IF($A$3=" "," ", IFERROR( VLOOKUP($A635,'SUPPLIER DATA BASE'!$A$2:$M$936,3,0),""))</f>
        <v>-</v>
      </c>
      <c r="C635" s="70" t="str">
        <f>IF($A$3=" "," ", IFERROR( VLOOKUP($A635,'SUPPLIER DATA BASE'!$A$2:$F$936,6,0),""))</f>
        <v>SURYAM TEXTILE AGENCY</v>
      </c>
      <c r="D635" s="70">
        <f>IF($A$3=" "," ", IFERROR( VLOOKUP($A635,'SUPPLIER DATA BASE'!$A$2:$G$936,4,0),""))</f>
        <v>60</v>
      </c>
      <c r="E635" s="71" t="str">
        <f>IF($A$3=" "," ", IFERROR( VLOOKUP($A635,'SUPPLIER DATA BASE'!$A$2:$H$936,5,0),""))</f>
        <v>5% IN BILL</v>
      </c>
      <c r="F635" s="72" t="s">
        <v>2043</v>
      </c>
      <c r="G635" s="73">
        <v>46105.0</v>
      </c>
      <c r="H635" s="74">
        <v>26.0</v>
      </c>
      <c r="I635" s="75">
        <v>47880.0</v>
      </c>
      <c r="J635" s="76" t="s">
        <v>2044</v>
      </c>
      <c r="K635" s="70" t="s">
        <v>349</v>
      </c>
      <c r="L635" s="70" t="s">
        <v>349</v>
      </c>
      <c r="M635" s="70" t="str">
        <f t="shared" si="3"/>
        <v>83 Days</v>
      </c>
      <c r="N635" s="70" t="str">
        <f>IF($A$3=" "," ", IFERROR( VLOOKUP($A635,'SUPPLIER DATA BASE'!$A$2:$O$936,11,0),""))</f>
        <v>UNNATI CREATION</v>
      </c>
      <c r="O635" s="70" t="str">
        <f>IF($A$3=" "," ", IFERROR( VLOOKUP($A635,'SUPPLIER DATA BASE'!$A$2:$O$936,12,0),""))</f>
        <v>99992001015861</v>
      </c>
      <c r="P635" s="70" t="str">
        <f>IF($A$3=" "," ", IFERROR( VLOOKUP($A635,'SUPPLIER DATA BASE'!$A$2:$O$936,13,0),""))</f>
        <v>GSCB0ASCB02</v>
      </c>
      <c r="Q635" s="77"/>
      <c r="R635" s="73"/>
      <c r="S635" s="77"/>
      <c r="T635" s="70"/>
      <c r="U635" s="78"/>
      <c r="V635" s="70" t="str">
        <f t="shared" si="6"/>
        <v>FY 25-26</v>
      </c>
      <c r="W635" s="23"/>
      <c r="X635" s="23"/>
    </row>
    <row r="636">
      <c r="A636" s="70" t="s">
        <v>439</v>
      </c>
      <c r="B636" s="70" t="str">
        <f>IF($A$3=" "," ", IFERROR( VLOOKUP($A636,'SUPPLIER DATA BASE'!$A$2:$M$936,3,0),""))</f>
        <v>GOCOLOURS</v>
      </c>
      <c r="C636" s="70" t="str">
        <f>IF($A$3=" "," ", IFERROR( VLOOKUP($A636,'SUPPLIER DATA BASE'!$A$2:$F$936,6,0),""))</f>
        <v>-</v>
      </c>
      <c r="D636" s="70">
        <f>IF($A$3=" "," ", IFERROR( VLOOKUP($A636,'SUPPLIER DATA BASE'!$A$2:$G$936,4,0),""))</f>
        <v>30</v>
      </c>
      <c r="E636" s="71">
        <f>IF($A$3=" "," ", IFERROR( VLOOKUP($A636,'SUPPLIER DATA BASE'!$A$2:$H$936,5,0),""))</f>
        <v>0.02</v>
      </c>
      <c r="F636" s="72" t="s">
        <v>2045</v>
      </c>
      <c r="G636" s="73">
        <v>46105.0</v>
      </c>
      <c r="H636" s="74">
        <v>44.0</v>
      </c>
      <c r="I636" s="75">
        <v>46876.0</v>
      </c>
      <c r="J636" s="76" t="s">
        <v>2046</v>
      </c>
      <c r="K636" s="70" t="s">
        <v>349</v>
      </c>
      <c r="L636" s="70" t="s">
        <v>349</v>
      </c>
      <c r="M636" s="70" t="str">
        <f t="shared" si="3"/>
        <v>83 Days</v>
      </c>
      <c r="N636" s="70" t="str">
        <f>IF($A$3=" "," ", IFERROR( VLOOKUP($A636,'SUPPLIER DATA BASE'!$A$2:$O$936,11,0),""))</f>
        <v>EMPORIO SIDDHARTH SALES PRIVATE LIMITED</v>
      </c>
      <c r="O636" s="70" t="str">
        <f>IF($A$3=" "," ", IFERROR( VLOOKUP($A636,'SUPPLIER DATA BASE'!$A$2:$O$936,12,0),""))</f>
        <v>50200111968638</v>
      </c>
      <c r="P636" s="70" t="str">
        <f>IF($A$3=" "," ", IFERROR( VLOOKUP($A636,'SUPPLIER DATA BASE'!$A$2:$O$936,13,0),""))</f>
        <v>HDFC000186</v>
      </c>
      <c r="Q636" s="77"/>
      <c r="R636" s="73"/>
      <c r="S636" s="77"/>
      <c r="T636" s="70"/>
      <c r="U636" s="78"/>
      <c r="V636" s="70" t="str">
        <f t="shared" si="6"/>
        <v>FY 25-26</v>
      </c>
      <c r="W636" s="23"/>
      <c r="X636" s="23"/>
    </row>
    <row r="637">
      <c r="A637" s="70" t="s">
        <v>499</v>
      </c>
      <c r="B637" s="70" t="str">
        <f>IF($A$3=" "," ", IFERROR( VLOOKUP($A637,'SUPPLIER DATA BASE'!$A$2:$M$936,3,0),""))</f>
        <v>-</v>
      </c>
      <c r="C637" s="70" t="str">
        <f>IF($A$3=" "," ", IFERROR( VLOOKUP($A637,'SUPPLIER DATA BASE'!$A$2:$F$936,6,0),""))</f>
        <v>SURYAM TEXTILE AGENCY</v>
      </c>
      <c r="D637" s="70" t="str">
        <f>IF($A$3=" "," ", IFERROR( VLOOKUP($A637,'SUPPLIER DATA BASE'!$A$2:$G$936,4,0),""))</f>
        <v>NO</v>
      </c>
      <c r="E637" s="71" t="str">
        <f>IF($A$3=" "," ", IFERROR( VLOOKUP($A637,'SUPPLIER DATA BASE'!$A$2:$H$936,5,0),""))</f>
        <v>-</v>
      </c>
      <c r="F637" s="72">
        <v>9119.0</v>
      </c>
      <c r="G637" s="73">
        <v>46105.0</v>
      </c>
      <c r="H637" s="74">
        <v>12.0</v>
      </c>
      <c r="I637" s="75">
        <v>52085.0</v>
      </c>
      <c r="J637" s="76" t="s">
        <v>2047</v>
      </c>
      <c r="K637" s="70" t="s">
        <v>349</v>
      </c>
      <c r="L637" s="70" t="s">
        <v>349</v>
      </c>
      <c r="M637" s="70" t="str">
        <f t="shared" si="3"/>
        <v>83 Days</v>
      </c>
      <c r="N637" s="70" t="str">
        <f>IF($A$3=" "," ", IFERROR( VLOOKUP($A637,'SUPPLIER DATA BASE'!$A$2:$O$936,11,0),""))</f>
        <v>JAY AMBEY SAREES</v>
      </c>
      <c r="O637" s="70" t="str">
        <f>IF($A$3=" "," ", IFERROR( VLOOKUP($A637,'SUPPLIER DATA BASE'!$A$2:$O$936,12,0),""))</f>
        <v>50200027562802</v>
      </c>
      <c r="P637" s="70" t="str">
        <f>IF($A$3=" "," ", IFERROR( VLOOKUP($A637,'SUPPLIER DATA BASE'!$A$2:$O$936,13,0),""))</f>
        <v>HDFC0009027</v>
      </c>
      <c r="Q637" s="77"/>
      <c r="R637" s="73"/>
      <c r="S637" s="77"/>
      <c r="T637" s="70"/>
      <c r="U637" s="78"/>
      <c r="V637" s="70" t="str">
        <f t="shared" si="6"/>
        <v>FY 25-26</v>
      </c>
      <c r="W637" s="23"/>
      <c r="X637" s="23"/>
    </row>
    <row r="638">
      <c r="A638" s="70" t="s">
        <v>808</v>
      </c>
      <c r="B638" s="70" t="str">
        <f>IF($A$3=" "," ", IFERROR( VLOOKUP($A638,'SUPPLIER DATA BASE'!$A$2:$M$936,3,0),""))</f>
        <v>-</v>
      </c>
      <c r="C638" s="70" t="str">
        <f>IF($A$3=" "," ", IFERROR( VLOOKUP($A638,'SUPPLIER DATA BASE'!$A$2:$F$936,6,0),""))</f>
        <v>-</v>
      </c>
      <c r="D638" s="70" t="str">
        <f>IF($A$3=" "," ", IFERROR( VLOOKUP($A638,'SUPPLIER DATA BASE'!$A$2:$G$936,4,0),""))</f>
        <v>-</v>
      </c>
      <c r="E638" s="71" t="str">
        <f>IF($A$3=" "," ", IFERROR( VLOOKUP($A638,'SUPPLIER DATA BASE'!$A$2:$H$936,5,0),""))</f>
        <v>-</v>
      </c>
      <c r="F638" s="72" t="s">
        <v>2048</v>
      </c>
      <c r="G638" s="73">
        <v>46106.0</v>
      </c>
      <c r="H638" s="74">
        <v>105.0</v>
      </c>
      <c r="I638" s="75">
        <v>253314.0</v>
      </c>
      <c r="J638" s="76" t="s">
        <v>2049</v>
      </c>
      <c r="K638" s="70" t="s">
        <v>349</v>
      </c>
      <c r="L638" s="70" t="s">
        <v>349</v>
      </c>
      <c r="M638" s="70" t="str">
        <f t="shared" si="3"/>
        <v>82 Days</v>
      </c>
      <c r="N638" s="70" t="str">
        <f>IF($A$3=" "," ", IFERROR( VLOOKUP($A638,'SUPPLIER DATA BASE'!$A$2:$O$936,11,0),""))</f>
        <v>-</v>
      </c>
      <c r="O638" s="70" t="str">
        <f>IF($A$3=" "," ", IFERROR( VLOOKUP($A638,'SUPPLIER DATA BASE'!$A$2:$O$936,12,0),""))</f>
        <v>-</v>
      </c>
      <c r="P638" s="70" t="str">
        <f>IF($A$3=" "," ", IFERROR( VLOOKUP($A638,'SUPPLIER DATA BASE'!$A$2:$O$936,13,0),""))</f>
        <v>-</v>
      </c>
      <c r="Q638" s="77"/>
      <c r="R638" s="73"/>
      <c r="S638" s="77"/>
      <c r="T638" s="70"/>
      <c r="U638" s="78"/>
      <c r="V638" s="70" t="str">
        <f t="shared" si="6"/>
        <v>FY 25-26</v>
      </c>
      <c r="W638" s="23"/>
      <c r="X638" s="23"/>
    </row>
    <row r="639">
      <c r="A639" s="70" t="s">
        <v>761</v>
      </c>
      <c r="B639" s="70" t="str">
        <f>IF($A$3=" "," ", IFERROR( VLOOKUP($A639,'SUPPLIER DATA BASE'!$A$2:$M$936,3,0),""))</f>
        <v>JOCKEY, LIBAS, ROCKIT, INTIGRITI, AMERICAN TOURISTER</v>
      </c>
      <c r="C639" s="70" t="str">
        <f>IF($A$3=" "," ", IFERROR( VLOOKUP($A639,'SUPPLIER DATA BASE'!$A$2:$F$936,6,0),""))</f>
        <v>DIRECT</v>
      </c>
      <c r="D639" s="70">
        <f>IF($A$3=" "," ", IFERROR( VLOOKUP($A639,'SUPPLIER DATA BASE'!$A$2:$G$936,4,0),""))</f>
        <v>7</v>
      </c>
      <c r="E639" s="71">
        <f>IF($A$3=" "," ", IFERROR( VLOOKUP($A639,'SUPPLIER DATA BASE'!$A$2:$H$936,5,0),""))</f>
        <v>0.02</v>
      </c>
      <c r="F639" s="72" t="s">
        <v>2050</v>
      </c>
      <c r="G639" s="73">
        <v>46106.0</v>
      </c>
      <c r="H639" s="74">
        <v>104.0</v>
      </c>
      <c r="I639" s="75">
        <v>133188.0</v>
      </c>
      <c r="J639" s="76" t="s">
        <v>2051</v>
      </c>
      <c r="K639" s="70" t="s">
        <v>349</v>
      </c>
      <c r="L639" s="70" t="s">
        <v>349</v>
      </c>
      <c r="M639" s="70" t="str">
        <f t="shared" si="3"/>
        <v>82 Days</v>
      </c>
      <c r="N639" s="70" t="str">
        <f>IF($A$3=" "," ", IFERROR( VLOOKUP($A639,'SUPPLIER DATA BASE'!$A$2:$O$936,11,0),""))</f>
        <v>TAYAL GARMENTS PVT. LTD.</v>
      </c>
      <c r="O639" s="70" t="str">
        <f>IF($A$3=" "," ", IFERROR( VLOOKUP($A639,'SUPPLIER DATA BASE'!$A$2:$O$936,12,0),""))</f>
        <v>1199911999</v>
      </c>
      <c r="P639" s="70" t="str">
        <f>IF($A$3=" "," ", IFERROR( VLOOKUP($A639,'SUPPLIER DATA BASE'!$A$2:$O$936,13,0),""))</f>
        <v>KKBK0005632</v>
      </c>
      <c r="Q639" s="77"/>
      <c r="R639" s="73"/>
      <c r="S639" s="77"/>
      <c r="T639" s="70"/>
      <c r="U639" s="78"/>
      <c r="V639" s="70" t="str">
        <f t="shared" si="6"/>
        <v>FY 25-26</v>
      </c>
      <c r="W639" s="23"/>
      <c r="X639" s="23"/>
    </row>
    <row r="640">
      <c r="A640" s="70" t="s">
        <v>625</v>
      </c>
      <c r="B640" s="70" t="str">
        <f>IF($A$3=" "," ", IFERROR( VLOOKUP($A640,'SUPPLIER DATA BASE'!$A$2:$M$936,3,0),""))</f>
        <v>-</v>
      </c>
      <c r="C640" s="70" t="str">
        <f>IF($A$3=" "," ", IFERROR( VLOOKUP($A640,'SUPPLIER DATA BASE'!$A$2:$F$936,6,0),""))</f>
        <v>DIRECT</v>
      </c>
      <c r="D640" s="70">
        <f>IF($A$3=" "," ", IFERROR( VLOOKUP($A640,'SUPPLIER DATA BASE'!$A$2:$G$936,4,0),""))</f>
        <v>30</v>
      </c>
      <c r="E640" s="71">
        <f>IF($A$3=" "," ", IFERROR( VLOOKUP($A640,'SUPPLIER DATA BASE'!$A$2:$H$936,5,0),""))</f>
        <v>0.02</v>
      </c>
      <c r="F640" s="72">
        <v>3848.0</v>
      </c>
      <c r="G640" s="73">
        <v>46106.0</v>
      </c>
      <c r="H640" s="74">
        <v>18.0</v>
      </c>
      <c r="I640" s="75">
        <v>36544.0</v>
      </c>
      <c r="J640" s="76" t="s">
        <v>2052</v>
      </c>
      <c r="K640" s="70" t="s">
        <v>349</v>
      </c>
      <c r="L640" s="70" t="s">
        <v>349</v>
      </c>
      <c r="M640" s="70" t="str">
        <f t="shared" si="3"/>
        <v>82 Days</v>
      </c>
      <c r="N640" s="70" t="str">
        <f>IF($A$3=" "," ", IFERROR( VLOOKUP($A640,'SUPPLIER DATA BASE'!$A$2:$O$936,11,0),""))</f>
        <v>PLAZER GARMENTS</v>
      </c>
      <c r="O640" s="70" t="str">
        <f>IF($A$3=" "," ", IFERROR( VLOOKUP($A640,'SUPPLIER DATA BASE'!$A$2:$O$936,12,0),""))</f>
        <v>50200065043307</v>
      </c>
      <c r="P640" s="70" t="str">
        <f>IF($A$3=" "," ", IFERROR( VLOOKUP($A640,'SUPPLIER DATA BASE'!$A$2:$O$936,13,0),""))</f>
        <v>HDFC0000150</v>
      </c>
      <c r="Q640" s="77"/>
      <c r="R640" s="73"/>
      <c r="S640" s="77"/>
      <c r="T640" s="70"/>
      <c r="U640" s="78"/>
      <c r="V640" s="70" t="str">
        <f t="shared" si="6"/>
        <v>FY 25-26</v>
      </c>
      <c r="W640" s="23"/>
      <c r="X640" s="23"/>
    </row>
    <row r="641">
      <c r="A641" s="70" t="s">
        <v>354</v>
      </c>
      <c r="B641" s="70" t="str">
        <f>IF($A$3=" "," ", IFERROR( VLOOKUP($A641,'SUPPLIER DATA BASE'!$A$2:$M$936,3,0),""))</f>
        <v>-</v>
      </c>
      <c r="C641" s="70" t="str">
        <f>IF($A$3=" "," ", IFERROR( VLOOKUP($A641,'SUPPLIER DATA BASE'!$A$2:$F$936,6,0),""))</f>
        <v>-</v>
      </c>
      <c r="D641" s="70" t="str">
        <f>IF($A$3=" "," ", IFERROR( VLOOKUP($A641,'SUPPLIER DATA BASE'!$A$2:$G$936,4,0),""))</f>
        <v>-</v>
      </c>
      <c r="E641" s="71" t="str">
        <f>IF($A$3=" "," ", IFERROR( VLOOKUP($A641,'SUPPLIER DATA BASE'!$A$2:$H$936,5,0),""))</f>
        <v>-</v>
      </c>
      <c r="F641" s="72" t="s">
        <v>2053</v>
      </c>
      <c r="G641" s="73">
        <v>46106.0</v>
      </c>
      <c r="H641" s="74">
        <v>5.0</v>
      </c>
      <c r="I641" s="75">
        <v>6161.56</v>
      </c>
      <c r="J641" s="76" t="s">
        <v>2054</v>
      </c>
      <c r="K641" s="70" t="s">
        <v>349</v>
      </c>
      <c r="L641" s="70" t="s">
        <v>349</v>
      </c>
      <c r="M641" s="70" t="str">
        <f t="shared" si="3"/>
        <v>82 Days</v>
      </c>
      <c r="N641" s="70" t="str">
        <f>IF($A$3=" "," ", IFERROR( VLOOKUP($A641,'SUPPLIER DATA BASE'!$A$2:$O$936,11,0),""))</f>
        <v>-</v>
      </c>
      <c r="O641" s="70" t="str">
        <f>IF($A$3=" "," ", IFERROR( VLOOKUP($A641,'SUPPLIER DATA BASE'!$A$2:$O$936,12,0),""))</f>
        <v>-</v>
      </c>
      <c r="P641" s="70" t="str">
        <f>IF($A$3=" "," ", IFERROR( VLOOKUP($A641,'SUPPLIER DATA BASE'!$A$2:$O$936,13,0),""))</f>
        <v>-</v>
      </c>
      <c r="Q641" s="77"/>
      <c r="R641" s="73"/>
      <c r="S641" s="77"/>
      <c r="T641" s="70"/>
      <c r="U641" s="78"/>
      <c r="V641" s="70" t="str">
        <f t="shared" si="6"/>
        <v>FY 25-26</v>
      </c>
      <c r="W641" s="23"/>
      <c r="X641" s="23"/>
    </row>
    <row r="642">
      <c r="A642" s="70" t="s">
        <v>354</v>
      </c>
      <c r="B642" s="70" t="str">
        <f>IF($A$3=" "," ", IFERROR( VLOOKUP($A642,'SUPPLIER DATA BASE'!$A$2:$M$936,3,0),""))</f>
        <v>-</v>
      </c>
      <c r="C642" s="70" t="str">
        <f>IF($A$3=" "," ", IFERROR( VLOOKUP($A642,'SUPPLIER DATA BASE'!$A$2:$F$936,6,0),""))</f>
        <v>-</v>
      </c>
      <c r="D642" s="70" t="str">
        <f>IF($A$3=" "," ", IFERROR( VLOOKUP($A642,'SUPPLIER DATA BASE'!$A$2:$G$936,4,0),""))</f>
        <v>-</v>
      </c>
      <c r="E642" s="71" t="str">
        <f>IF($A$3=" "," ", IFERROR( VLOOKUP($A642,'SUPPLIER DATA BASE'!$A$2:$H$936,5,0),""))</f>
        <v>-</v>
      </c>
      <c r="F642" s="72" t="s">
        <v>2055</v>
      </c>
      <c r="G642" s="73">
        <v>46106.0</v>
      </c>
      <c r="H642" s="74">
        <v>2.0</v>
      </c>
      <c r="I642" s="75">
        <v>2464.63</v>
      </c>
      <c r="J642" s="76" t="s">
        <v>2056</v>
      </c>
      <c r="K642" s="70" t="s">
        <v>349</v>
      </c>
      <c r="L642" s="70" t="s">
        <v>349</v>
      </c>
      <c r="M642" s="70" t="str">
        <f t="shared" si="3"/>
        <v>82 Days</v>
      </c>
      <c r="N642" s="70" t="str">
        <f>IF($A$3=" "," ", IFERROR( VLOOKUP($A642,'SUPPLIER DATA BASE'!$A$2:$O$936,11,0),""))</f>
        <v>-</v>
      </c>
      <c r="O642" s="70" t="str">
        <f>IF($A$3=" "," ", IFERROR( VLOOKUP($A642,'SUPPLIER DATA BASE'!$A$2:$O$936,12,0),""))</f>
        <v>-</v>
      </c>
      <c r="P642" s="70" t="str">
        <f>IF($A$3=" "," ", IFERROR( VLOOKUP($A642,'SUPPLIER DATA BASE'!$A$2:$O$936,13,0),""))</f>
        <v>-</v>
      </c>
      <c r="Q642" s="77"/>
      <c r="R642" s="73"/>
      <c r="S642" s="77"/>
      <c r="T642" s="70"/>
      <c r="U642" s="78"/>
      <c r="V642" s="70" t="str">
        <f t="shared" si="6"/>
        <v>FY 25-26</v>
      </c>
      <c r="W642" s="23"/>
      <c r="X642" s="23"/>
    </row>
    <row r="643">
      <c r="A643" s="70" t="s">
        <v>354</v>
      </c>
      <c r="B643" s="70" t="str">
        <f>IF($A$3=" "," ", IFERROR( VLOOKUP($A643,'SUPPLIER DATA BASE'!$A$2:$M$936,3,0),""))</f>
        <v>-</v>
      </c>
      <c r="C643" s="70" t="str">
        <f>IF($A$3=" "," ", IFERROR( VLOOKUP($A643,'SUPPLIER DATA BASE'!$A$2:$F$936,6,0),""))</f>
        <v>-</v>
      </c>
      <c r="D643" s="70" t="str">
        <f>IF($A$3=" "," ", IFERROR( VLOOKUP($A643,'SUPPLIER DATA BASE'!$A$2:$G$936,4,0),""))</f>
        <v>-</v>
      </c>
      <c r="E643" s="71" t="str">
        <f>IF($A$3=" "," ", IFERROR( VLOOKUP($A643,'SUPPLIER DATA BASE'!$A$2:$H$936,5,0),""))</f>
        <v>-</v>
      </c>
      <c r="F643" s="72" t="s">
        <v>2057</v>
      </c>
      <c r="G643" s="73">
        <v>46106.0</v>
      </c>
      <c r="H643" s="74">
        <v>110.0</v>
      </c>
      <c r="I643" s="75">
        <v>118292.57</v>
      </c>
      <c r="J643" s="76" t="s">
        <v>2058</v>
      </c>
      <c r="K643" s="70" t="s">
        <v>349</v>
      </c>
      <c r="L643" s="70" t="s">
        <v>349</v>
      </c>
      <c r="M643" s="70" t="str">
        <f t="shared" si="3"/>
        <v>82 Days</v>
      </c>
      <c r="N643" s="70" t="str">
        <f>IF($A$3=" "," ", IFERROR( VLOOKUP($A643,'SUPPLIER DATA BASE'!$A$2:$O$936,11,0),""))</f>
        <v>-</v>
      </c>
      <c r="O643" s="70" t="str">
        <f>IF($A$3=" "," ", IFERROR( VLOOKUP($A643,'SUPPLIER DATA BASE'!$A$2:$O$936,12,0),""))</f>
        <v>-</v>
      </c>
      <c r="P643" s="70" t="str">
        <f>IF($A$3=" "," ", IFERROR( VLOOKUP($A643,'SUPPLIER DATA BASE'!$A$2:$O$936,13,0),""))</f>
        <v>-</v>
      </c>
      <c r="Q643" s="77"/>
      <c r="R643" s="73"/>
      <c r="S643" s="77"/>
      <c r="T643" s="70"/>
      <c r="U643" s="78"/>
      <c r="V643" s="70" t="str">
        <f t="shared" si="6"/>
        <v>FY 25-26</v>
      </c>
      <c r="W643" s="23"/>
      <c r="X643" s="23"/>
    </row>
    <row r="644">
      <c r="A644" s="70" t="s">
        <v>354</v>
      </c>
      <c r="B644" s="70" t="str">
        <f>IF($A$3=" "," ", IFERROR( VLOOKUP($A644,'SUPPLIER DATA BASE'!$A$2:$M$936,3,0),""))</f>
        <v>-</v>
      </c>
      <c r="C644" s="70" t="str">
        <f>IF($A$3=" "," ", IFERROR( VLOOKUP($A644,'SUPPLIER DATA BASE'!$A$2:$F$936,6,0),""))</f>
        <v>-</v>
      </c>
      <c r="D644" s="70" t="str">
        <f>IF($A$3=" "," ", IFERROR( VLOOKUP($A644,'SUPPLIER DATA BASE'!$A$2:$G$936,4,0),""))</f>
        <v>-</v>
      </c>
      <c r="E644" s="71" t="str">
        <f>IF($A$3=" "," ", IFERROR( VLOOKUP($A644,'SUPPLIER DATA BASE'!$A$2:$H$936,5,0),""))</f>
        <v>-</v>
      </c>
      <c r="F644" s="72" t="s">
        <v>2059</v>
      </c>
      <c r="G644" s="73">
        <v>46106.0</v>
      </c>
      <c r="H644" s="74">
        <v>1.0</v>
      </c>
      <c r="I644" s="75">
        <v>1095.32</v>
      </c>
      <c r="J644" s="76" t="s">
        <v>2060</v>
      </c>
      <c r="K644" s="70" t="s">
        <v>349</v>
      </c>
      <c r="L644" s="70" t="s">
        <v>349</v>
      </c>
      <c r="M644" s="70" t="str">
        <f t="shared" si="3"/>
        <v>82 Days</v>
      </c>
      <c r="N644" s="70" t="str">
        <f>IF($A$3=" "," ", IFERROR( VLOOKUP($A644,'SUPPLIER DATA BASE'!$A$2:$O$936,11,0),""))</f>
        <v>-</v>
      </c>
      <c r="O644" s="70" t="str">
        <f>IF($A$3=" "," ", IFERROR( VLOOKUP($A644,'SUPPLIER DATA BASE'!$A$2:$O$936,12,0),""))</f>
        <v>-</v>
      </c>
      <c r="P644" s="70" t="str">
        <f>IF($A$3=" "," ", IFERROR( VLOOKUP($A644,'SUPPLIER DATA BASE'!$A$2:$O$936,13,0),""))</f>
        <v>-</v>
      </c>
      <c r="Q644" s="77"/>
      <c r="R644" s="73"/>
      <c r="S644" s="77"/>
      <c r="T644" s="70"/>
      <c r="U644" s="78"/>
      <c r="V644" s="70" t="str">
        <f t="shared" si="6"/>
        <v>FY 25-26</v>
      </c>
      <c r="W644" s="23"/>
      <c r="X644" s="23"/>
    </row>
    <row r="645">
      <c r="A645" s="70" t="s">
        <v>575</v>
      </c>
      <c r="B645" s="70" t="str">
        <f>IF($A$3=" "," ", IFERROR( VLOOKUP($A645,'SUPPLIER DATA BASE'!$A$2:$M$936,3,0),""))</f>
        <v>BLACKBERRY</v>
      </c>
      <c r="C645" s="70" t="str">
        <f>IF($A$3=" "," ", IFERROR( VLOOKUP($A645,'SUPPLIER DATA BASE'!$A$2:$F$936,6,0),""))</f>
        <v>-</v>
      </c>
      <c r="D645" s="70" t="str">
        <f>IF($A$3=" "," ", IFERROR( VLOOKUP($A645,'SUPPLIER DATA BASE'!$A$2:$G$936,4,0),""))</f>
        <v>-</v>
      </c>
      <c r="E645" s="71" t="str">
        <f>IF($A$3=" "," ", IFERROR( VLOOKUP($A645,'SUPPLIER DATA BASE'!$A$2:$H$936,5,0),""))</f>
        <v>-</v>
      </c>
      <c r="F645" s="72">
        <v>8.500288043E9</v>
      </c>
      <c r="G645" s="73">
        <v>46106.0</v>
      </c>
      <c r="H645" s="74">
        <v>18.0</v>
      </c>
      <c r="I645" s="75">
        <v>33846.84</v>
      </c>
      <c r="J645" s="76" t="s">
        <v>2061</v>
      </c>
      <c r="K645" s="70" t="s">
        <v>349</v>
      </c>
      <c r="L645" s="70" t="s">
        <v>349</v>
      </c>
      <c r="M645" s="70" t="str">
        <f t="shared" si="3"/>
        <v>82 Days</v>
      </c>
      <c r="N645" s="70" t="str">
        <f>IF($A$3=" "," ", IFERROR( VLOOKUP($A645,'SUPPLIER DATA BASE'!$A$2:$O$936,11,0),""))</f>
        <v>MOHAN CLOTHING COMPANY PVT LTD</v>
      </c>
      <c r="O645" s="70" t="str">
        <f>IF($A$3=" "," ", IFERROR( VLOOKUP($A645,'SUPPLIER DATA BASE'!$A$2:$O$936,12,0),""))</f>
        <v>0710096023</v>
      </c>
      <c r="P645" s="70" t="str">
        <f>IF($A$3=" "," ", IFERROR( VLOOKUP($A645,'SUPPLIER DATA BASE'!$A$2:$O$936,13,0),""))</f>
        <v>CITI0000002</v>
      </c>
      <c r="Q645" s="77"/>
      <c r="R645" s="73"/>
      <c r="S645" s="77"/>
      <c r="T645" s="70"/>
      <c r="U645" s="78"/>
      <c r="V645" s="70" t="str">
        <f t="shared" si="6"/>
        <v>FY 25-26</v>
      </c>
      <c r="W645" s="23"/>
      <c r="X645" s="23"/>
    </row>
    <row r="646">
      <c r="A646" s="70" t="s">
        <v>354</v>
      </c>
      <c r="B646" s="70" t="str">
        <f>IF($A$3=" "," ", IFERROR( VLOOKUP($A646,'SUPPLIER DATA BASE'!$A$2:$M$936,3,0),""))</f>
        <v>-</v>
      </c>
      <c r="C646" s="70" t="str">
        <f>IF($A$3=" "," ", IFERROR( VLOOKUP($A646,'SUPPLIER DATA BASE'!$A$2:$F$936,6,0),""))</f>
        <v>-</v>
      </c>
      <c r="D646" s="70" t="str">
        <f>IF($A$3=" "," ", IFERROR( VLOOKUP($A646,'SUPPLIER DATA BASE'!$A$2:$G$936,4,0),""))</f>
        <v>-</v>
      </c>
      <c r="E646" s="71" t="str">
        <f>IF($A$3=" "," ", IFERROR( VLOOKUP($A646,'SUPPLIER DATA BASE'!$A$2:$H$936,5,0),""))</f>
        <v>-</v>
      </c>
      <c r="F646" s="72" t="s">
        <v>2062</v>
      </c>
      <c r="G646" s="73">
        <v>46106.0</v>
      </c>
      <c r="H646" s="74">
        <v>178.0</v>
      </c>
      <c r="I646" s="75">
        <v>217160.1</v>
      </c>
      <c r="J646" s="76" t="s">
        <v>2063</v>
      </c>
      <c r="K646" s="70" t="s">
        <v>349</v>
      </c>
      <c r="L646" s="70" t="s">
        <v>349</v>
      </c>
      <c r="M646" s="70" t="str">
        <f t="shared" si="3"/>
        <v>82 Days</v>
      </c>
      <c r="N646" s="70" t="str">
        <f>IF($A$3=" "," ", IFERROR( VLOOKUP($A646,'SUPPLIER DATA BASE'!$A$2:$O$936,11,0),""))</f>
        <v>-</v>
      </c>
      <c r="O646" s="70" t="str">
        <f>IF($A$3=" "," ", IFERROR( VLOOKUP($A646,'SUPPLIER DATA BASE'!$A$2:$O$936,12,0),""))</f>
        <v>-</v>
      </c>
      <c r="P646" s="70" t="str">
        <f>IF($A$3=" "," ", IFERROR( VLOOKUP($A646,'SUPPLIER DATA BASE'!$A$2:$O$936,13,0),""))</f>
        <v>-</v>
      </c>
      <c r="Q646" s="77"/>
      <c r="R646" s="73"/>
      <c r="S646" s="77"/>
      <c r="T646" s="70"/>
      <c r="U646" s="78"/>
      <c r="V646" s="70" t="str">
        <f t="shared" si="6"/>
        <v>FY 25-26</v>
      </c>
      <c r="W646" s="23"/>
      <c r="X646" s="23"/>
    </row>
    <row r="647">
      <c r="A647" s="70" t="s">
        <v>354</v>
      </c>
      <c r="B647" s="70" t="str">
        <f>IF($A$3=" "," ", IFERROR( VLOOKUP($A647,'SUPPLIER DATA BASE'!$A$2:$M$936,3,0),""))</f>
        <v>-</v>
      </c>
      <c r="C647" s="70" t="str">
        <f>IF($A$3=" "," ", IFERROR( VLOOKUP($A647,'SUPPLIER DATA BASE'!$A$2:$F$936,6,0),""))</f>
        <v>-</v>
      </c>
      <c r="D647" s="70" t="str">
        <f>IF($A$3=" "," ", IFERROR( VLOOKUP($A647,'SUPPLIER DATA BASE'!$A$2:$G$936,4,0),""))</f>
        <v>-</v>
      </c>
      <c r="E647" s="71" t="str">
        <f>IF($A$3=" "," ", IFERROR( VLOOKUP($A647,'SUPPLIER DATA BASE'!$A$2:$H$936,5,0),""))</f>
        <v>-</v>
      </c>
      <c r="F647" s="72" t="s">
        <v>2064</v>
      </c>
      <c r="G647" s="73">
        <v>46106.0</v>
      </c>
      <c r="H647" s="74">
        <v>24.0</v>
      </c>
      <c r="I647" s="75">
        <v>30260.55</v>
      </c>
      <c r="J647" s="76" t="s">
        <v>2065</v>
      </c>
      <c r="K647" s="70" t="s">
        <v>349</v>
      </c>
      <c r="L647" s="70" t="s">
        <v>349</v>
      </c>
      <c r="M647" s="70" t="str">
        <f t="shared" si="3"/>
        <v>82 Days</v>
      </c>
      <c r="N647" s="70" t="str">
        <f>IF($A$3=" "," ", IFERROR( VLOOKUP($A647,'SUPPLIER DATA BASE'!$A$2:$O$936,11,0),""))</f>
        <v>-</v>
      </c>
      <c r="O647" s="70" t="str">
        <f>IF($A$3=" "," ", IFERROR( VLOOKUP($A647,'SUPPLIER DATA BASE'!$A$2:$O$936,12,0),""))</f>
        <v>-</v>
      </c>
      <c r="P647" s="70" t="str">
        <f>IF($A$3=" "," ", IFERROR( VLOOKUP($A647,'SUPPLIER DATA BASE'!$A$2:$O$936,13,0),""))</f>
        <v>-</v>
      </c>
      <c r="Q647" s="77"/>
      <c r="R647" s="73"/>
      <c r="S647" s="77"/>
      <c r="T647" s="70"/>
      <c r="U647" s="78"/>
      <c r="V647" s="70" t="str">
        <f t="shared" si="6"/>
        <v>FY 25-26</v>
      </c>
      <c r="W647" s="23"/>
      <c r="X647" s="23"/>
    </row>
    <row r="648">
      <c r="A648" s="70" t="s">
        <v>833</v>
      </c>
      <c r="B648" s="70" t="str">
        <f>IF($A$3=" "," ", IFERROR( VLOOKUP($A648,'SUPPLIER DATA BASE'!$A$2:$M$936,3,0),""))</f>
        <v/>
      </c>
      <c r="C648" s="70" t="str">
        <f>IF($A$3=" "," ", IFERROR( VLOOKUP($A648,'SUPPLIER DATA BASE'!$A$2:$F$936,6,0),""))</f>
        <v>SUNRISE AGENCY</v>
      </c>
      <c r="D648" s="70">
        <f>IF($A$3=" "," ", IFERROR( VLOOKUP($A648,'SUPPLIER DATA BASE'!$A$2:$G$936,4,0),""))</f>
        <v>30</v>
      </c>
      <c r="E648" s="71">
        <f>IF($A$3=" "," ", IFERROR( VLOOKUP($A648,'SUPPLIER DATA BASE'!$A$2:$H$936,5,0),""))</f>
        <v>0.05</v>
      </c>
      <c r="F648" s="72" t="s">
        <v>2066</v>
      </c>
      <c r="G648" s="73">
        <v>46106.0</v>
      </c>
      <c r="H648" s="74">
        <v>7.0</v>
      </c>
      <c r="I648" s="75">
        <v>10495.0</v>
      </c>
      <c r="J648" s="76" t="s">
        <v>2067</v>
      </c>
      <c r="K648" s="70" t="s">
        <v>349</v>
      </c>
      <c r="L648" s="70" t="s">
        <v>349</v>
      </c>
      <c r="M648" s="70" t="str">
        <f t="shared" si="3"/>
        <v>82 Days</v>
      </c>
      <c r="N648" s="70" t="str">
        <f>IF($A$3=" "," ", IFERROR( VLOOKUP($A648,'SUPPLIER DATA BASE'!$A$2:$O$936,11,0),""))</f>
        <v>SIDDHI CLOTHING CO.</v>
      </c>
      <c r="O648" s="70" t="str">
        <f>IF($A$3=" "," ", IFERROR( VLOOKUP($A648,'SUPPLIER DATA BASE'!$A$2:$O$936,12,0),""))</f>
        <v>50200008024296</v>
      </c>
      <c r="P648" s="70" t="str">
        <f>IF($A$3=" "," ", IFERROR( VLOOKUP($A648,'SUPPLIER DATA BASE'!$A$2:$O$936,13,0),""))</f>
        <v>HDFC0001119</v>
      </c>
      <c r="Q648" s="77"/>
      <c r="R648" s="73"/>
      <c r="S648" s="77"/>
      <c r="T648" s="70"/>
      <c r="U648" s="78"/>
      <c r="V648" s="70" t="str">
        <f t="shared" si="6"/>
        <v>FY 25-26</v>
      </c>
      <c r="W648" s="23"/>
      <c r="X648" s="23"/>
    </row>
    <row r="649">
      <c r="A649" s="70" t="s">
        <v>495</v>
      </c>
      <c r="B649" s="70" t="str">
        <f>IF($A$3=" "," ", IFERROR( VLOOKUP($A649,'SUPPLIER DATA BASE'!$A$2:$M$936,3,0),""))</f>
        <v>-</v>
      </c>
      <c r="C649" s="70" t="str">
        <f>IF($A$3=" "," ", IFERROR( VLOOKUP($A649,'SUPPLIER DATA BASE'!$A$2:$F$936,6,0),""))</f>
        <v>-</v>
      </c>
      <c r="D649" s="70" t="str">
        <f>IF($A$3=" "," ", IFERROR( VLOOKUP($A649,'SUPPLIER DATA BASE'!$A$2:$G$936,4,0),""))</f>
        <v>-</v>
      </c>
      <c r="E649" s="71" t="str">
        <f>IF($A$3=" "," ", IFERROR( VLOOKUP($A649,'SUPPLIER DATA BASE'!$A$2:$H$936,5,0),""))</f>
        <v>-</v>
      </c>
      <c r="F649" s="72" t="s">
        <v>2068</v>
      </c>
      <c r="G649" s="73">
        <v>46107.0</v>
      </c>
      <c r="H649" s="74">
        <v>128.0</v>
      </c>
      <c r="I649" s="75">
        <v>308036.0</v>
      </c>
      <c r="J649" s="76" t="s">
        <v>2069</v>
      </c>
      <c r="K649" s="70" t="s">
        <v>349</v>
      </c>
      <c r="L649" s="70" t="s">
        <v>349</v>
      </c>
      <c r="M649" s="70" t="str">
        <f t="shared" si="3"/>
        <v>81 Days</v>
      </c>
      <c r="N649" s="70" t="str">
        <f>IF($A$3=" "," ", IFERROR( VLOOKUP($A649,'SUPPLIER DATA BASE'!$A$2:$O$936,11,0),""))</f>
        <v>JAIN ADISHWAR HOSIERY WORKS LLP</v>
      </c>
      <c r="O649" s="70" t="str">
        <f>IF($A$3=" "," ", IFERROR( VLOOKUP($A649,'SUPPLIER DATA BASE'!$A$2:$O$936,12,0),""))</f>
        <v>99917644444444</v>
      </c>
      <c r="P649" s="70" t="str">
        <f>IF($A$3=" "," ", IFERROR( VLOOKUP($A649,'SUPPLIER DATA BASE'!$A$2:$O$936,13,0),""))</f>
        <v>HDFC0002063</v>
      </c>
      <c r="Q649" s="77"/>
      <c r="R649" s="73"/>
      <c r="S649" s="77"/>
      <c r="T649" s="70"/>
      <c r="U649" s="78"/>
      <c r="V649" s="70" t="str">
        <f t="shared" si="6"/>
        <v>FY 25-26</v>
      </c>
      <c r="W649" s="23"/>
      <c r="X649" s="23"/>
    </row>
    <row r="650">
      <c r="A650" s="70" t="s">
        <v>413</v>
      </c>
      <c r="B650" s="70" t="str">
        <f>IF($A$3=" "," ", IFERROR( VLOOKUP($A650,'SUPPLIER DATA BASE'!$A$2:$M$936,3,0),""))</f>
        <v>KILLER</v>
      </c>
      <c r="C650" s="70" t="str">
        <f>IF($A$3=" "," ", IFERROR( VLOOKUP($A650,'SUPPLIER DATA BASE'!$A$2:$F$936,6,0),""))</f>
        <v>-</v>
      </c>
      <c r="D650" s="70" t="str">
        <f>IF($A$3=" "," ", IFERROR( VLOOKUP($A650,'SUPPLIER DATA BASE'!$A$2:$G$936,4,0),""))</f>
        <v>NO</v>
      </c>
      <c r="E650" s="71" t="str">
        <f>IF($A$3=" "," ", IFERROR( VLOOKUP($A650,'SUPPLIER DATA BASE'!$A$2:$H$936,5,0),""))</f>
        <v>-</v>
      </c>
      <c r="F650" s="72" t="s">
        <v>2070</v>
      </c>
      <c r="G650" s="73">
        <v>46107.0</v>
      </c>
      <c r="H650" s="74">
        <v>32.0</v>
      </c>
      <c r="I650" s="75">
        <v>53568.0</v>
      </c>
      <c r="J650" s="76" t="s">
        <v>2071</v>
      </c>
      <c r="K650" s="70" t="s">
        <v>349</v>
      </c>
      <c r="L650" s="70" t="s">
        <v>349</v>
      </c>
      <c r="M650" s="70" t="str">
        <f t="shared" si="3"/>
        <v>81 Days</v>
      </c>
      <c r="N650" s="70" t="str">
        <f>IF($A$3=" "," ", IFERROR( VLOOKUP($A650,'SUPPLIER DATA BASE'!$A$2:$O$936,11,0),""))</f>
        <v>D D SALES CO</v>
      </c>
      <c r="O650" s="70" t="str">
        <f>IF($A$3=" "," ", IFERROR( VLOOKUP($A650,'SUPPLIER DATA BASE'!$A$2:$O$936,12,0),""))</f>
        <v>29205007835</v>
      </c>
      <c r="P650" s="70" t="str">
        <f>IF($A$3=" "," ", IFERROR( VLOOKUP($A650,'SUPPLIER DATA BASE'!$A$2:$O$936,13,0),""))</f>
        <v>ICIC0000292</v>
      </c>
      <c r="Q650" s="77"/>
      <c r="R650" s="73"/>
      <c r="S650" s="77"/>
      <c r="T650" s="70"/>
      <c r="U650" s="78"/>
      <c r="V650" s="70" t="str">
        <f t="shared" si="6"/>
        <v>FY 25-26</v>
      </c>
      <c r="W650" s="23"/>
      <c r="X650" s="23"/>
    </row>
    <row r="651">
      <c r="A651" s="70" t="s">
        <v>795</v>
      </c>
      <c r="B651" s="70" t="str">
        <f>IF($A$3=" "," ", IFERROR( VLOOKUP($A651,'SUPPLIER DATA BASE'!$A$2:$M$936,3,0),""))</f>
        <v>BANJARAN</v>
      </c>
      <c r="C651" s="70" t="str">
        <f>IF($A$3=" "," ", IFERROR( VLOOKUP($A651,'SUPPLIER DATA BASE'!$A$2:$F$936,6,0),""))</f>
        <v>NEPOLIAN</v>
      </c>
      <c r="D651" s="70" t="str">
        <f>IF($A$3=" "," ", IFERROR( VLOOKUP($A651,'SUPPLIER DATA BASE'!$A$2:$G$936,4,0),""))</f>
        <v>-</v>
      </c>
      <c r="E651" s="71" t="str">
        <f>IF($A$3=" "," ", IFERROR( VLOOKUP($A651,'SUPPLIER DATA BASE'!$A$2:$H$936,5,0),""))</f>
        <v>-</v>
      </c>
      <c r="F651" s="72" t="s">
        <v>2072</v>
      </c>
      <c r="G651" s="73">
        <v>46107.0</v>
      </c>
      <c r="H651" s="74">
        <v>37.0</v>
      </c>
      <c r="I651" s="75">
        <v>36139.0</v>
      </c>
      <c r="J651" s="76" t="s">
        <v>2073</v>
      </c>
      <c r="K651" s="70" t="s">
        <v>349</v>
      </c>
      <c r="L651" s="70" t="s">
        <v>349</v>
      </c>
      <c r="M651" s="70" t="str">
        <f t="shared" si="3"/>
        <v>81 Days</v>
      </c>
      <c r="N651" s="70" t="str">
        <f>IF($A$3=" "," ", IFERROR( VLOOKUP($A651,'SUPPLIER DATA BASE'!$A$2:$O$936,11,0),""))</f>
        <v>VINAYAK EMPORIUM PVT LIMITED</v>
      </c>
      <c r="O651" s="70" t="str">
        <f>IF($A$3=" "," ", IFERROR( VLOOKUP($A651,'SUPPLIER DATA BASE'!$A$2:$O$936,12,0),""))</f>
        <v>2192790001113</v>
      </c>
      <c r="P651" s="70" t="str">
        <f>IF($A$3=" "," ", IFERROR( VLOOKUP($A651,'SUPPLIER DATA BASE'!$A$2:$O$936,13,0),""))</f>
        <v>HDFC0000219</v>
      </c>
      <c r="Q651" s="77"/>
      <c r="R651" s="73"/>
      <c r="S651" s="77"/>
      <c r="T651" s="70"/>
      <c r="U651" s="78"/>
      <c r="V651" s="70" t="str">
        <f t="shared" si="6"/>
        <v>FY 25-26</v>
      </c>
      <c r="W651" s="23"/>
      <c r="X651" s="23"/>
    </row>
    <row r="652">
      <c r="A652" s="70" t="s">
        <v>795</v>
      </c>
      <c r="B652" s="70" t="str">
        <f>IF($A$3=" "," ", IFERROR( VLOOKUP($A652,'SUPPLIER DATA BASE'!$A$2:$M$936,3,0),""))</f>
        <v>BANJARAN</v>
      </c>
      <c r="C652" s="70" t="str">
        <f>IF($A$3=" "," ", IFERROR( VLOOKUP($A652,'SUPPLIER DATA BASE'!$A$2:$F$936,6,0),""))</f>
        <v>NEPOLIAN</v>
      </c>
      <c r="D652" s="70" t="str">
        <f>IF($A$3=" "," ", IFERROR( VLOOKUP($A652,'SUPPLIER DATA BASE'!$A$2:$G$936,4,0),""))</f>
        <v>-</v>
      </c>
      <c r="E652" s="71" t="str">
        <f>IF($A$3=" "," ", IFERROR( VLOOKUP($A652,'SUPPLIER DATA BASE'!$A$2:$H$936,5,0),""))</f>
        <v>-</v>
      </c>
      <c r="F652" s="72" t="s">
        <v>2074</v>
      </c>
      <c r="G652" s="73">
        <v>46107.0</v>
      </c>
      <c r="H652" s="74">
        <v>38.0</v>
      </c>
      <c r="I652" s="75">
        <v>33144.0</v>
      </c>
      <c r="J652" s="76" t="s">
        <v>2075</v>
      </c>
      <c r="K652" s="70" t="s">
        <v>349</v>
      </c>
      <c r="L652" s="70" t="s">
        <v>349</v>
      </c>
      <c r="M652" s="70" t="str">
        <f t="shared" si="3"/>
        <v>81 Days</v>
      </c>
      <c r="N652" s="70" t="str">
        <f>IF($A$3=" "," ", IFERROR( VLOOKUP($A652,'SUPPLIER DATA BASE'!$A$2:$O$936,11,0),""))</f>
        <v>VINAYAK EMPORIUM PVT LIMITED</v>
      </c>
      <c r="O652" s="70" t="str">
        <f>IF($A$3=" "," ", IFERROR( VLOOKUP($A652,'SUPPLIER DATA BASE'!$A$2:$O$936,12,0),""))</f>
        <v>2192790001113</v>
      </c>
      <c r="P652" s="70" t="str">
        <f>IF($A$3=" "," ", IFERROR( VLOOKUP($A652,'SUPPLIER DATA BASE'!$A$2:$O$936,13,0),""))</f>
        <v>HDFC0000219</v>
      </c>
      <c r="Q652" s="77"/>
      <c r="R652" s="73"/>
      <c r="S652" s="77"/>
      <c r="T652" s="70"/>
      <c r="U652" s="78"/>
      <c r="V652" s="70" t="str">
        <f t="shared" si="6"/>
        <v>FY 25-26</v>
      </c>
      <c r="W652" s="23"/>
      <c r="X652" s="23"/>
    </row>
    <row r="653">
      <c r="A653" s="70" t="s">
        <v>354</v>
      </c>
      <c r="B653" s="70" t="str">
        <f>IF($A$3=" "," ", IFERROR( VLOOKUP($A653,'SUPPLIER DATA BASE'!$A$2:$M$936,3,0),""))</f>
        <v>-</v>
      </c>
      <c r="C653" s="70" t="str">
        <f>IF($A$3=" "," ", IFERROR( VLOOKUP($A653,'SUPPLIER DATA BASE'!$A$2:$F$936,6,0),""))</f>
        <v>-</v>
      </c>
      <c r="D653" s="70" t="str">
        <f>IF($A$3=" "," ", IFERROR( VLOOKUP($A653,'SUPPLIER DATA BASE'!$A$2:$G$936,4,0),""))</f>
        <v>-</v>
      </c>
      <c r="E653" s="71" t="str">
        <f>IF($A$3=" "," ", IFERROR( VLOOKUP($A653,'SUPPLIER DATA BASE'!$A$2:$H$936,5,0),""))</f>
        <v>-</v>
      </c>
      <c r="F653" s="72" t="s">
        <v>2076</v>
      </c>
      <c r="G653" s="73">
        <v>46107.0</v>
      </c>
      <c r="H653" s="74">
        <v>3.0</v>
      </c>
      <c r="I653" s="75">
        <v>4518.95</v>
      </c>
      <c r="J653" s="76" t="s">
        <v>2077</v>
      </c>
      <c r="K653" s="70" t="s">
        <v>349</v>
      </c>
      <c r="L653" s="70" t="s">
        <v>349</v>
      </c>
      <c r="M653" s="70" t="str">
        <f t="shared" si="3"/>
        <v>81 Days</v>
      </c>
      <c r="N653" s="70" t="str">
        <f>IF($A$3=" "," ", IFERROR( VLOOKUP($A653,'SUPPLIER DATA BASE'!$A$2:$O$936,11,0),""))</f>
        <v>-</v>
      </c>
      <c r="O653" s="70" t="str">
        <f>IF($A$3=" "," ", IFERROR( VLOOKUP($A653,'SUPPLIER DATA BASE'!$A$2:$O$936,12,0),""))</f>
        <v>-</v>
      </c>
      <c r="P653" s="70" t="str">
        <f>IF($A$3=" "," ", IFERROR( VLOOKUP($A653,'SUPPLIER DATA BASE'!$A$2:$O$936,13,0),""))</f>
        <v>-</v>
      </c>
      <c r="Q653" s="77"/>
      <c r="R653" s="73"/>
      <c r="S653" s="77"/>
      <c r="T653" s="70"/>
      <c r="U653" s="78"/>
      <c r="V653" s="70" t="str">
        <f t="shared" si="6"/>
        <v>FY 25-26</v>
      </c>
      <c r="W653" s="23"/>
      <c r="X653" s="23"/>
    </row>
    <row r="654">
      <c r="A654" s="70" t="s">
        <v>354</v>
      </c>
      <c r="B654" s="70" t="str">
        <f>IF($A$3=" "," ", IFERROR( VLOOKUP($A654,'SUPPLIER DATA BASE'!$A$2:$M$936,3,0),""))</f>
        <v>-</v>
      </c>
      <c r="C654" s="70" t="str">
        <f>IF($A$3=" "," ", IFERROR( VLOOKUP($A654,'SUPPLIER DATA BASE'!$A$2:$F$936,6,0),""))</f>
        <v>-</v>
      </c>
      <c r="D654" s="70" t="str">
        <f>IF($A$3=" "," ", IFERROR( VLOOKUP($A654,'SUPPLIER DATA BASE'!$A$2:$G$936,4,0),""))</f>
        <v>-</v>
      </c>
      <c r="E654" s="71" t="str">
        <f>IF($A$3=" "," ", IFERROR( VLOOKUP($A654,'SUPPLIER DATA BASE'!$A$2:$H$936,5,0),""))</f>
        <v>-</v>
      </c>
      <c r="F654" s="72" t="s">
        <v>2078</v>
      </c>
      <c r="G654" s="73">
        <v>46107.0</v>
      </c>
      <c r="H654" s="74">
        <v>1.0</v>
      </c>
      <c r="I654" s="75">
        <v>1369.31</v>
      </c>
      <c r="J654" s="76" t="s">
        <v>2079</v>
      </c>
      <c r="K654" s="70" t="s">
        <v>349</v>
      </c>
      <c r="L654" s="70" t="s">
        <v>349</v>
      </c>
      <c r="M654" s="70" t="str">
        <f t="shared" si="3"/>
        <v>81 Days</v>
      </c>
      <c r="N654" s="70" t="str">
        <f>IF($A$3=" "," ", IFERROR( VLOOKUP($A654,'SUPPLIER DATA BASE'!$A$2:$O$936,11,0),""))</f>
        <v>-</v>
      </c>
      <c r="O654" s="70" t="str">
        <f>IF($A$3=" "," ", IFERROR( VLOOKUP($A654,'SUPPLIER DATA BASE'!$A$2:$O$936,12,0),""))</f>
        <v>-</v>
      </c>
      <c r="P654" s="70" t="str">
        <f>IF($A$3=" "," ", IFERROR( VLOOKUP($A654,'SUPPLIER DATA BASE'!$A$2:$O$936,13,0),""))</f>
        <v>-</v>
      </c>
      <c r="Q654" s="77"/>
      <c r="R654" s="73"/>
      <c r="S654" s="77"/>
      <c r="T654" s="70"/>
      <c r="U654" s="78"/>
      <c r="V654" s="70" t="str">
        <f t="shared" si="6"/>
        <v>FY 25-26</v>
      </c>
      <c r="W654" s="23"/>
      <c r="X654" s="23"/>
    </row>
    <row r="655">
      <c r="A655" s="70"/>
      <c r="B655" s="70" t="str">
        <f>IF($A$3=" "," ", IFERROR( VLOOKUP($A655,'SUPPLIER DATA BASE'!$A$2:$M$936,3,0),""))</f>
        <v/>
      </c>
      <c r="C655" s="70" t="str">
        <f>IF($A$3=" "," ", IFERROR( VLOOKUP($A655,'SUPPLIER DATA BASE'!$A$2:$F$936,6,0),""))</f>
        <v/>
      </c>
      <c r="D655" s="70" t="str">
        <f>IF($A$3=" "," ", IFERROR( VLOOKUP($A655,'SUPPLIER DATA BASE'!$A$2:$G$936,4,0),""))</f>
        <v/>
      </c>
      <c r="E655" s="71" t="str">
        <f>IF($A$3=" "," ", IFERROR( VLOOKUP($A655,'SUPPLIER DATA BASE'!$A$2:$H$936,5,0),""))</f>
        <v/>
      </c>
      <c r="F655" s="72" t="s">
        <v>2080</v>
      </c>
      <c r="G655" s="73">
        <v>46107.0</v>
      </c>
      <c r="H655" s="74">
        <v>84.0</v>
      </c>
      <c r="I655" s="75">
        <v>47380.0</v>
      </c>
      <c r="J655" s="76" t="s">
        <v>2081</v>
      </c>
      <c r="K655" s="70" t="s">
        <v>349</v>
      </c>
      <c r="L655" s="70" t="s">
        <v>349</v>
      </c>
      <c r="M655" s="70" t="str">
        <f t="shared" si="3"/>
        <v>81 Days</v>
      </c>
      <c r="N655" s="70" t="str">
        <f>IF($A$3=" "," ", IFERROR( VLOOKUP($A655,'SUPPLIER DATA BASE'!$A$2:$O$936,11,0),""))</f>
        <v/>
      </c>
      <c r="O655" s="70" t="str">
        <f>IF($A$3=" "," ", IFERROR( VLOOKUP($A655,'SUPPLIER DATA BASE'!$A$2:$O$936,12,0),""))</f>
        <v/>
      </c>
      <c r="P655" s="70" t="str">
        <f>IF($A$3=" "," ", IFERROR( VLOOKUP($A655,'SUPPLIER DATA BASE'!$A$2:$O$936,13,0),""))</f>
        <v/>
      </c>
      <c r="Q655" s="77"/>
      <c r="R655" s="73"/>
      <c r="S655" s="77"/>
      <c r="T655" s="70"/>
      <c r="U655" s="78"/>
      <c r="V655" s="70" t="str">
        <f t="shared" si="6"/>
        <v>FY 25-26</v>
      </c>
      <c r="W655" s="23"/>
      <c r="X655" s="23"/>
    </row>
    <row r="656">
      <c r="A656" s="70" t="s">
        <v>354</v>
      </c>
      <c r="B656" s="70" t="str">
        <f>IF($A$3=" "," ", IFERROR( VLOOKUP($A656,'SUPPLIER DATA BASE'!$A$2:$M$936,3,0),""))</f>
        <v>-</v>
      </c>
      <c r="C656" s="70" t="str">
        <f>IF($A$3=" "," ", IFERROR( VLOOKUP($A656,'SUPPLIER DATA BASE'!$A$2:$F$936,6,0),""))</f>
        <v>-</v>
      </c>
      <c r="D656" s="70" t="str">
        <f>IF($A$3=" "," ", IFERROR( VLOOKUP($A656,'SUPPLIER DATA BASE'!$A$2:$G$936,4,0),""))</f>
        <v>-</v>
      </c>
      <c r="E656" s="71" t="str">
        <f>IF($A$3=" "," ", IFERROR( VLOOKUP($A656,'SUPPLIER DATA BASE'!$A$2:$H$936,5,0),""))</f>
        <v>-</v>
      </c>
      <c r="F656" s="72" t="s">
        <v>2082</v>
      </c>
      <c r="G656" s="73">
        <v>46107.0</v>
      </c>
      <c r="H656" s="74">
        <v>29.0</v>
      </c>
      <c r="I656" s="75">
        <v>43820.19</v>
      </c>
      <c r="J656" s="76" t="s">
        <v>2083</v>
      </c>
      <c r="K656" s="70" t="s">
        <v>349</v>
      </c>
      <c r="L656" s="70" t="s">
        <v>349</v>
      </c>
      <c r="M656" s="70" t="str">
        <f t="shared" si="3"/>
        <v>81 Days</v>
      </c>
      <c r="N656" s="70" t="str">
        <f>IF($A$3=" "," ", IFERROR( VLOOKUP($A656,'SUPPLIER DATA BASE'!$A$2:$O$936,11,0),""))</f>
        <v>-</v>
      </c>
      <c r="O656" s="70" t="str">
        <f>IF($A$3=" "," ", IFERROR( VLOOKUP($A656,'SUPPLIER DATA BASE'!$A$2:$O$936,12,0),""))</f>
        <v>-</v>
      </c>
      <c r="P656" s="70" t="str">
        <f>IF($A$3=" "," ", IFERROR( VLOOKUP($A656,'SUPPLIER DATA BASE'!$A$2:$O$936,13,0),""))</f>
        <v>-</v>
      </c>
      <c r="Q656" s="77"/>
      <c r="R656" s="73"/>
      <c r="S656" s="77"/>
      <c r="T656" s="70"/>
      <c r="U656" s="78"/>
      <c r="V656" s="70" t="str">
        <f t="shared" si="6"/>
        <v>FY 25-26</v>
      </c>
      <c r="W656" s="23"/>
      <c r="X656" s="23"/>
    </row>
    <row r="657">
      <c r="A657" s="70" t="s">
        <v>795</v>
      </c>
      <c r="B657" s="70" t="str">
        <f>IF($A$3=" "," ", IFERROR( VLOOKUP($A657,'SUPPLIER DATA BASE'!$A$2:$M$936,3,0),""))</f>
        <v>BANJARAN</v>
      </c>
      <c r="C657" s="70" t="str">
        <f>IF($A$3=" "," ", IFERROR( VLOOKUP($A657,'SUPPLIER DATA BASE'!$A$2:$F$936,6,0),""))</f>
        <v>NEPOLIAN</v>
      </c>
      <c r="D657" s="70" t="str">
        <f>IF($A$3=" "," ", IFERROR( VLOOKUP($A657,'SUPPLIER DATA BASE'!$A$2:$G$936,4,0),""))</f>
        <v>-</v>
      </c>
      <c r="E657" s="71" t="str">
        <f>IF($A$3=" "," ", IFERROR( VLOOKUP($A657,'SUPPLIER DATA BASE'!$A$2:$H$936,5,0),""))</f>
        <v>-</v>
      </c>
      <c r="F657" s="72" t="s">
        <v>2084</v>
      </c>
      <c r="G657" s="73">
        <v>46108.0</v>
      </c>
      <c r="H657" s="74">
        <v>15.0</v>
      </c>
      <c r="I657" s="75">
        <v>15907.0</v>
      </c>
      <c r="J657" s="76" t="s">
        <v>2085</v>
      </c>
      <c r="K657" s="70" t="s">
        <v>349</v>
      </c>
      <c r="L657" s="70" t="s">
        <v>349</v>
      </c>
      <c r="M657" s="70" t="str">
        <f t="shared" si="3"/>
        <v>80 Days</v>
      </c>
      <c r="N657" s="70" t="str">
        <f>IF($A$3=" "," ", IFERROR( VLOOKUP($A657,'SUPPLIER DATA BASE'!$A$2:$O$936,11,0),""))</f>
        <v>VINAYAK EMPORIUM PVT LIMITED</v>
      </c>
      <c r="O657" s="70" t="str">
        <f>IF($A$3=" "," ", IFERROR( VLOOKUP($A657,'SUPPLIER DATA BASE'!$A$2:$O$936,12,0),""))</f>
        <v>2192790001113</v>
      </c>
      <c r="P657" s="70" t="str">
        <f>IF($A$3=" "," ", IFERROR( VLOOKUP($A657,'SUPPLIER DATA BASE'!$A$2:$O$936,13,0),""))</f>
        <v>HDFC0000219</v>
      </c>
      <c r="Q657" s="77"/>
      <c r="R657" s="73"/>
      <c r="S657" s="77"/>
      <c r="T657" s="70"/>
      <c r="U657" s="78"/>
      <c r="V657" s="70" t="str">
        <f t="shared" si="6"/>
        <v>FY 25-26</v>
      </c>
      <c r="W657" s="23"/>
      <c r="X657" s="23"/>
    </row>
    <row r="658">
      <c r="A658" s="70" t="s">
        <v>605</v>
      </c>
      <c r="B658" s="70" t="str">
        <f>IF($A$3=" "," ", IFERROR( VLOOKUP($A658,'SUPPLIER DATA BASE'!$A$2:$M$936,3,0),""))</f>
        <v>-</v>
      </c>
      <c r="C658" s="70" t="str">
        <f>IF($A$3=" "," ", IFERROR( VLOOKUP($A658,'SUPPLIER DATA BASE'!$A$2:$F$936,6,0),""))</f>
        <v>-</v>
      </c>
      <c r="D658" s="70" t="str">
        <f>IF($A$3=" "," ", IFERROR( VLOOKUP($A658,'SUPPLIER DATA BASE'!$A$2:$G$936,4,0),""))</f>
        <v>-</v>
      </c>
      <c r="E658" s="71" t="str">
        <f>IF($A$3=" "," ", IFERROR( VLOOKUP($A658,'SUPPLIER DATA BASE'!$A$2:$H$936,5,0),""))</f>
        <v>-</v>
      </c>
      <c r="F658" s="72" t="s">
        <v>2086</v>
      </c>
      <c r="G658" s="73">
        <v>46108.0</v>
      </c>
      <c r="H658" s="74">
        <v>277.0</v>
      </c>
      <c r="I658" s="75">
        <v>51438.99</v>
      </c>
      <c r="J658" s="76" t="s">
        <v>2087</v>
      </c>
      <c r="K658" s="70" t="s">
        <v>349</v>
      </c>
      <c r="L658" s="70" t="s">
        <v>349</v>
      </c>
      <c r="M658" s="70" t="str">
        <f t="shared" si="3"/>
        <v>80 Days</v>
      </c>
      <c r="N658" s="70" t="str">
        <f>IF($A$3=" "," ", IFERROR( VLOOKUP($A658,'SUPPLIER DATA BASE'!$A$2:$O$936,11,0),""))</f>
        <v>-</v>
      </c>
      <c r="O658" s="70" t="str">
        <f>IF($A$3=" "," ", IFERROR( VLOOKUP($A658,'SUPPLIER DATA BASE'!$A$2:$O$936,12,0),""))</f>
        <v>-</v>
      </c>
      <c r="P658" s="70" t="str">
        <f>IF($A$3=" "," ", IFERROR( VLOOKUP($A658,'SUPPLIER DATA BASE'!$A$2:$O$936,13,0),""))</f>
        <v>-</v>
      </c>
      <c r="Q658" s="77"/>
      <c r="R658" s="73"/>
      <c r="S658" s="77"/>
      <c r="T658" s="70"/>
      <c r="U658" s="78"/>
      <c r="V658" s="70" t="str">
        <f t="shared" si="6"/>
        <v>FY 25-26</v>
      </c>
      <c r="W658" s="23"/>
      <c r="X658" s="23"/>
    </row>
    <row r="659">
      <c r="A659" s="70" t="s">
        <v>575</v>
      </c>
      <c r="B659" s="70" t="str">
        <f>IF($A$3=" "," ", IFERROR( VLOOKUP($A659,'SUPPLIER DATA BASE'!$A$2:$M$936,3,0),""))</f>
        <v>BLACKBERRY</v>
      </c>
      <c r="C659" s="70" t="str">
        <f>IF($A$3=" "," ", IFERROR( VLOOKUP($A659,'SUPPLIER DATA BASE'!$A$2:$F$936,6,0),""))</f>
        <v>-</v>
      </c>
      <c r="D659" s="70" t="str">
        <f>IF($A$3=" "," ", IFERROR( VLOOKUP($A659,'SUPPLIER DATA BASE'!$A$2:$G$936,4,0),""))</f>
        <v>-</v>
      </c>
      <c r="E659" s="71" t="str">
        <f>IF($A$3=" "," ", IFERROR( VLOOKUP($A659,'SUPPLIER DATA BASE'!$A$2:$H$936,5,0),""))</f>
        <v>-</v>
      </c>
      <c r="F659" s="72">
        <v>8.500288967E9</v>
      </c>
      <c r="G659" s="73">
        <v>46108.0</v>
      </c>
      <c r="H659" s="74">
        <v>8.0</v>
      </c>
      <c r="I659" s="75">
        <v>15619.59</v>
      </c>
      <c r="J659" s="76" t="s">
        <v>2088</v>
      </c>
      <c r="K659" s="70" t="s">
        <v>349</v>
      </c>
      <c r="L659" s="70" t="s">
        <v>349</v>
      </c>
      <c r="M659" s="70" t="str">
        <f t="shared" si="3"/>
        <v>80 Days</v>
      </c>
      <c r="N659" s="70" t="str">
        <f>IF($A$3=" "," ", IFERROR( VLOOKUP($A659,'SUPPLIER DATA BASE'!$A$2:$O$936,11,0),""))</f>
        <v>MOHAN CLOTHING COMPANY PVT LTD</v>
      </c>
      <c r="O659" s="70" t="str">
        <f>IF($A$3=" "," ", IFERROR( VLOOKUP($A659,'SUPPLIER DATA BASE'!$A$2:$O$936,12,0),""))</f>
        <v>0710096023</v>
      </c>
      <c r="P659" s="70" t="str">
        <f>IF($A$3=" "," ", IFERROR( VLOOKUP($A659,'SUPPLIER DATA BASE'!$A$2:$O$936,13,0),""))</f>
        <v>CITI0000002</v>
      </c>
      <c r="Q659" s="77"/>
      <c r="R659" s="73"/>
      <c r="S659" s="77"/>
      <c r="T659" s="70"/>
      <c r="U659" s="78"/>
      <c r="V659" s="70" t="str">
        <f t="shared" si="6"/>
        <v>FY 25-26</v>
      </c>
      <c r="W659" s="23"/>
      <c r="X659" s="23"/>
    </row>
    <row r="660">
      <c r="A660" s="70" t="s">
        <v>795</v>
      </c>
      <c r="B660" s="70" t="str">
        <f>IF($A$3=" "," ", IFERROR( VLOOKUP($A660,'SUPPLIER DATA BASE'!$A$2:$M$936,3,0),""))</f>
        <v>BANJARAN</v>
      </c>
      <c r="C660" s="70" t="str">
        <f>IF($A$3=" "," ", IFERROR( VLOOKUP($A660,'SUPPLIER DATA BASE'!$A$2:$F$936,6,0),""))</f>
        <v>NEPOLIAN</v>
      </c>
      <c r="D660" s="70" t="str">
        <f>IF($A$3=" "," ", IFERROR( VLOOKUP($A660,'SUPPLIER DATA BASE'!$A$2:$G$936,4,0),""))</f>
        <v>-</v>
      </c>
      <c r="E660" s="71" t="str">
        <f>IF($A$3=" "," ", IFERROR( VLOOKUP($A660,'SUPPLIER DATA BASE'!$A$2:$H$936,5,0),""))</f>
        <v>-</v>
      </c>
      <c r="F660" s="72" t="s">
        <v>2089</v>
      </c>
      <c r="G660" s="73">
        <v>46108.0</v>
      </c>
      <c r="H660" s="74">
        <v>15.0</v>
      </c>
      <c r="I660" s="75">
        <v>15907.0</v>
      </c>
      <c r="J660" s="76" t="s">
        <v>2090</v>
      </c>
      <c r="K660" s="70" t="s">
        <v>349</v>
      </c>
      <c r="L660" s="70" t="s">
        <v>349</v>
      </c>
      <c r="M660" s="70" t="str">
        <f t="shared" si="3"/>
        <v>80 Days</v>
      </c>
      <c r="N660" s="70" t="str">
        <f>IF($A$3=" "," ", IFERROR( VLOOKUP($A660,'SUPPLIER DATA BASE'!$A$2:$O$936,11,0),""))</f>
        <v>VINAYAK EMPORIUM PVT LIMITED</v>
      </c>
      <c r="O660" s="70" t="str">
        <f>IF($A$3=" "," ", IFERROR( VLOOKUP($A660,'SUPPLIER DATA BASE'!$A$2:$O$936,12,0),""))</f>
        <v>2192790001113</v>
      </c>
      <c r="P660" s="70" t="str">
        <f>IF($A$3=" "," ", IFERROR( VLOOKUP($A660,'SUPPLIER DATA BASE'!$A$2:$O$936,13,0),""))</f>
        <v>HDFC0000219</v>
      </c>
      <c r="Q660" s="77"/>
      <c r="R660" s="73"/>
      <c r="S660" s="77"/>
      <c r="T660" s="70"/>
      <c r="U660" s="78"/>
      <c r="V660" s="70" t="str">
        <f t="shared" si="6"/>
        <v>FY 25-26</v>
      </c>
      <c r="W660" s="23"/>
      <c r="X660" s="23"/>
    </row>
    <row r="661">
      <c r="A661" s="70" t="s">
        <v>354</v>
      </c>
      <c r="B661" s="70" t="str">
        <f>IF($A$3=" "," ", IFERROR( VLOOKUP($A661,'SUPPLIER DATA BASE'!$A$2:$M$936,3,0),""))</f>
        <v>-</v>
      </c>
      <c r="C661" s="70" t="str">
        <f>IF($A$3=" "," ", IFERROR( VLOOKUP($A661,'SUPPLIER DATA BASE'!$A$2:$F$936,6,0),""))</f>
        <v>-</v>
      </c>
      <c r="D661" s="70" t="str">
        <f>IF($A$3=" "," ", IFERROR( VLOOKUP($A661,'SUPPLIER DATA BASE'!$A$2:$G$936,4,0),""))</f>
        <v>-</v>
      </c>
      <c r="E661" s="71" t="str">
        <f>IF($A$3=" "," ", IFERROR( VLOOKUP($A661,'SUPPLIER DATA BASE'!$A$2:$H$936,5,0),""))</f>
        <v>-</v>
      </c>
      <c r="F661" s="72" t="s">
        <v>2091</v>
      </c>
      <c r="G661" s="73">
        <v>46108.0</v>
      </c>
      <c r="H661" s="74">
        <v>2.0</v>
      </c>
      <c r="I661" s="75">
        <v>1368.63</v>
      </c>
      <c r="J661" s="76" t="s">
        <v>2092</v>
      </c>
      <c r="K661" s="70" t="s">
        <v>349</v>
      </c>
      <c r="L661" s="70" t="s">
        <v>349</v>
      </c>
      <c r="M661" s="70" t="str">
        <f t="shared" si="3"/>
        <v>80 Days</v>
      </c>
      <c r="N661" s="70" t="str">
        <f>IF($A$3=" "," ", IFERROR( VLOOKUP($A661,'SUPPLIER DATA BASE'!$A$2:$O$936,11,0),""))</f>
        <v>-</v>
      </c>
      <c r="O661" s="70" t="str">
        <f>IF($A$3=" "," ", IFERROR( VLOOKUP($A661,'SUPPLIER DATA BASE'!$A$2:$O$936,12,0),""))</f>
        <v>-</v>
      </c>
      <c r="P661" s="70" t="str">
        <f>IF($A$3=" "," ", IFERROR( VLOOKUP($A661,'SUPPLIER DATA BASE'!$A$2:$O$936,13,0),""))</f>
        <v>-</v>
      </c>
      <c r="Q661" s="77"/>
      <c r="R661" s="73"/>
      <c r="S661" s="77"/>
      <c r="T661" s="70"/>
      <c r="U661" s="78"/>
      <c r="V661" s="70" t="str">
        <f t="shared" si="6"/>
        <v>FY 25-26</v>
      </c>
      <c r="W661" s="23"/>
      <c r="X661" s="23"/>
    </row>
    <row r="662">
      <c r="A662" s="70" t="s">
        <v>354</v>
      </c>
      <c r="B662" s="70" t="str">
        <f>IF($A$3=" "," ", IFERROR( VLOOKUP($A662,'SUPPLIER DATA BASE'!$A$2:$M$936,3,0),""))</f>
        <v>-</v>
      </c>
      <c r="C662" s="70" t="str">
        <f>IF($A$3=" "," ", IFERROR( VLOOKUP($A662,'SUPPLIER DATA BASE'!$A$2:$F$936,6,0),""))</f>
        <v>-</v>
      </c>
      <c r="D662" s="70" t="str">
        <f>IF($A$3=" "," ", IFERROR( VLOOKUP($A662,'SUPPLIER DATA BASE'!$A$2:$G$936,4,0),""))</f>
        <v>-</v>
      </c>
      <c r="E662" s="71" t="str">
        <f>IF($A$3=" "," ", IFERROR( VLOOKUP($A662,'SUPPLIER DATA BASE'!$A$2:$H$936,5,0),""))</f>
        <v>-</v>
      </c>
      <c r="F662" s="72" t="s">
        <v>2093</v>
      </c>
      <c r="G662" s="73">
        <v>46108.0</v>
      </c>
      <c r="H662" s="74">
        <v>3.0</v>
      </c>
      <c r="I662" s="75">
        <v>3011.96</v>
      </c>
      <c r="J662" s="76" t="s">
        <v>2094</v>
      </c>
      <c r="K662" s="70" t="s">
        <v>349</v>
      </c>
      <c r="L662" s="70" t="s">
        <v>349</v>
      </c>
      <c r="M662" s="70" t="str">
        <f t="shared" si="3"/>
        <v>80 Days</v>
      </c>
      <c r="N662" s="70" t="str">
        <f>IF($A$3=" "," ", IFERROR( VLOOKUP($A662,'SUPPLIER DATA BASE'!$A$2:$O$936,11,0),""))</f>
        <v>-</v>
      </c>
      <c r="O662" s="70" t="str">
        <f>IF($A$3=" "," ", IFERROR( VLOOKUP($A662,'SUPPLIER DATA BASE'!$A$2:$O$936,12,0),""))</f>
        <v>-</v>
      </c>
      <c r="P662" s="70" t="str">
        <f>IF($A$3=" "," ", IFERROR( VLOOKUP($A662,'SUPPLIER DATA BASE'!$A$2:$O$936,13,0),""))</f>
        <v>-</v>
      </c>
      <c r="Q662" s="77"/>
      <c r="R662" s="73"/>
      <c r="S662" s="77"/>
      <c r="T662" s="70"/>
      <c r="U662" s="78"/>
      <c r="V662" s="70" t="str">
        <f t="shared" si="6"/>
        <v>FY 25-26</v>
      </c>
      <c r="W662" s="23"/>
      <c r="X662" s="23"/>
    </row>
    <row r="663">
      <c r="A663" s="70" t="s">
        <v>354</v>
      </c>
      <c r="B663" s="70" t="str">
        <f>IF($A$3=" "," ", IFERROR( VLOOKUP($A663,'SUPPLIER DATA BASE'!$A$2:$M$936,3,0),""))</f>
        <v>-</v>
      </c>
      <c r="C663" s="70" t="str">
        <f>IF($A$3=" "," ", IFERROR( VLOOKUP($A663,'SUPPLIER DATA BASE'!$A$2:$F$936,6,0),""))</f>
        <v>-</v>
      </c>
      <c r="D663" s="70" t="str">
        <f>IF($A$3=" "," ", IFERROR( VLOOKUP($A663,'SUPPLIER DATA BASE'!$A$2:$G$936,4,0),""))</f>
        <v>-</v>
      </c>
      <c r="E663" s="71" t="str">
        <f>IF($A$3=" "," ", IFERROR( VLOOKUP($A663,'SUPPLIER DATA BASE'!$A$2:$H$936,5,0),""))</f>
        <v>-</v>
      </c>
      <c r="F663" s="72" t="s">
        <v>2095</v>
      </c>
      <c r="G663" s="73">
        <v>46108.0</v>
      </c>
      <c r="H663" s="74">
        <v>2.0</v>
      </c>
      <c r="I663" s="75">
        <v>2190.63</v>
      </c>
      <c r="J663" s="76" t="s">
        <v>2096</v>
      </c>
      <c r="K663" s="70" t="s">
        <v>349</v>
      </c>
      <c r="L663" s="70" t="s">
        <v>349</v>
      </c>
      <c r="M663" s="70" t="str">
        <f t="shared" si="3"/>
        <v>80 Days</v>
      </c>
      <c r="N663" s="70" t="str">
        <f>IF($A$3=" "," ", IFERROR( VLOOKUP($A663,'SUPPLIER DATA BASE'!$A$2:$O$936,11,0),""))</f>
        <v>-</v>
      </c>
      <c r="O663" s="70" t="str">
        <f>IF($A$3=" "," ", IFERROR( VLOOKUP($A663,'SUPPLIER DATA BASE'!$A$2:$O$936,12,0),""))</f>
        <v>-</v>
      </c>
      <c r="P663" s="70" t="str">
        <f>IF($A$3=" "," ", IFERROR( VLOOKUP($A663,'SUPPLIER DATA BASE'!$A$2:$O$936,13,0),""))</f>
        <v>-</v>
      </c>
      <c r="Q663" s="77"/>
      <c r="R663" s="73"/>
      <c r="S663" s="77"/>
      <c r="T663" s="70"/>
      <c r="U663" s="78"/>
      <c r="V663" s="70" t="str">
        <f t="shared" si="6"/>
        <v>FY 25-26</v>
      </c>
      <c r="W663" s="23"/>
      <c r="X663" s="23"/>
    </row>
    <row r="664">
      <c r="A664" s="70" t="s">
        <v>713</v>
      </c>
      <c r="B664" s="70" t="str">
        <f>IF($A$3=" "," ", IFERROR( VLOOKUP($A664,'SUPPLIER DATA BASE'!$A$2:$M$936,3,0),""))</f>
        <v>-</v>
      </c>
      <c r="C664" s="70" t="str">
        <f>IF($A$3=" "," ", IFERROR( VLOOKUP($A664,'SUPPLIER DATA BASE'!$A$2:$F$936,6,0),""))</f>
        <v>SURYAM TEXTILE AGENCY</v>
      </c>
      <c r="D664" s="70" t="str">
        <f>IF($A$3=" "," ", IFERROR( VLOOKUP($A664,'SUPPLIER DATA BASE'!$A$2:$G$936,4,0),""))</f>
        <v>NO</v>
      </c>
      <c r="E664" s="71" t="str">
        <f>IF($A$3=" "," ", IFERROR( VLOOKUP($A664,'SUPPLIER DATA BASE'!$A$2:$H$936,5,0),""))</f>
        <v>-</v>
      </c>
      <c r="F664" s="82">
        <v>183170.0</v>
      </c>
      <c r="G664" s="73">
        <v>46108.0</v>
      </c>
      <c r="H664" s="74">
        <v>52.0</v>
      </c>
      <c r="I664" s="75">
        <v>48136.0</v>
      </c>
      <c r="J664" s="76" t="s">
        <v>2097</v>
      </c>
      <c r="K664" s="70" t="s">
        <v>349</v>
      </c>
      <c r="L664" s="70" t="s">
        <v>349</v>
      </c>
      <c r="M664" s="70" t="str">
        <f t="shared" si="3"/>
        <v>80 Days</v>
      </c>
      <c r="N664" s="70" t="str">
        <f>IF($A$3=" "," ", IFERROR( VLOOKUP($A664,'SUPPLIER DATA BASE'!$A$2:$O$936,11,0),""))</f>
        <v>SHRITHIK DESIGNER LLP</v>
      </c>
      <c r="O664" s="70" t="str">
        <f>IF($A$3=" "," ", IFERROR( VLOOKUP($A664,'SUPPLIER DATA BASE'!$A$2:$O$936,12,0),""))</f>
        <v>339805000598</v>
      </c>
      <c r="P664" s="70" t="str">
        <f>IF($A$3=" "," ", IFERROR( VLOOKUP($A664,'SUPPLIER DATA BASE'!$A$2:$O$936,13,0),""))</f>
        <v>ICIC0003398</v>
      </c>
      <c r="Q664" s="77"/>
      <c r="R664" s="73"/>
      <c r="S664" s="77"/>
      <c r="T664" s="70"/>
      <c r="U664" s="78"/>
      <c r="V664" s="70" t="str">
        <f t="shared" si="6"/>
        <v>FY 25-26</v>
      </c>
      <c r="W664" s="23"/>
      <c r="X664" s="23"/>
    </row>
    <row r="665">
      <c r="A665" s="70" t="s">
        <v>799</v>
      </c>
      <c r="B665" s="70" t="str">
        <f>IF($A$3=" "," ", IFERROR( VLOOKUP($A665,'SUPPLIER DATA BASE'!$A$2:$M$936,3,0),""))</f>
        <v>-</v>
      </c>
      <c r="C665" s="70" t="str">
        <f>IF($A$3=" "," ", IFERROR( VLOOKUP($A665,'SUPPLIER DATA BASE'!$A$2:$F$936,6,0),""))</f>
        <v>-</v>
      </c>
      <c r="D665" s="70" t="str">
        <f>IF($A$3=" "," ", IFERROR( VLOOKUP($A665,'SUPPLIER DATA BASE'!$A$2:$G$936,4,0),""))</f>
        <v>-</v>
      </c>
      <c r="E665" s="71" t="str">
        <f>IF($A$3=" "," ", IFERROR( VLOOKUP($A665,'SUPPLIER DATA BASE'!$A$2:$H$936,5,0),""))</f>
        <v>-</v>
      </c>
      <c r="F665" s="72" t="s">
        <v>2098</v>
      </c>
      <c r="G665" s="73">
        <v>46108.0</v>
      </c>
      <c r="H665" s="74">
        <v>81.0</v>
      </c>
      <c r="I665" s="75">
        <v>46831.0</v>
      </c>
      <c r="J665" s="76" t="s">
        <v>2099</v>
      </c>
      <c r="K665" s="70" t="s">
        <v>349</v>
      </c>
      <c r="L665" s="70" t="s">
        <v>349</v>
      </c>
      <c r="M665" s="70" t="str">
        <f t="shared" si="3"/>
        <v>80 Days</v>
      </c>
      <c r="N665" s="70" t="str">
        <f>IF($A$3=" "," ", IFERROR( VLOOKUP($A665,'SUPPLIER DATA BASE'!$A$2:$O$936,11,0),""))</f>
        <v>VISHAL MARKETING &amp; CO.</v>
      </c>
      <c r="O665" s="70" t="str">
        <f>IF($A$3=" "," ", IFERROR( VLOOKUP($A665,'SUPPLIER DATA BASE'!$A$2:$O$936,12,0),""))</f>
        <v>1091008700001025</v>
      </c>
      <c r="P665" s="70" t="str">
        <f>IF($A$3=" "," ", IFERROR( VLOOKUP($A665,'SUPPLIER DATA BASE'!$A$2:$O$936,13,0),""))</f>
        <v>PUNB0109100</v>
      </c>
      <c r="Q665" s="77"/>
      <c r="R665" s="73"/>
      <c r="S665" s="77"/>
      <c r="T665" s="70"/>
      <c r="U665" s="78"/>
      <c r="V665" s="70" t="str">
        <f t="shared" si="6"/>
        <v>FY 25-26</v>
      </c>
      <c r="W665" s="23"/>
      <c r="X665" s="23"/>
    </row>
    <row r="666">
      <c r="A666" s="70" t="s">
        <v>495</v>
      </c>
      <c r="B666" s="70" t="str">
        <f>IF($A$3=" "," ", IFERROR( VLOOKUP($A666,'SUPPLIER DATA BASE'!$A$2:$M$936,3,0),""))</f>
        <v>-</v>
      </c>
      <c r="C666" s="70" t="str">
        <f>IF($A$3=" "," ", IFERROR( VLOOKUP($A666,'SUPPLIER DATA BASE'!$A$2:$F$936,6,0),""))</f>
        <v>-</v>
      </c>
      <c r="D666" s="70" t="str">
        <f>IF($A$3=" "," ", IFERROR( VLOOKUP($A666,'SUPPLIER DATA BASE'!$A$2:$G$936,4,0),""))</f>
        <v>-</v>
      </c>
      <c r="E666" s="71" t="str">
        <f>IF($A$3=" "," ", IFERROR( VLOOKUP($A666,'SUPPLIER DATA BASE'!$A$2:$H$936,5,0),""))</f>
        <v>-</v>
      </c>
      <c r="F666" s="72" t="s">
        <v>2100</v>
      </c>
      <c r="G666" s="73">
        <v>46109.0</v>
      </c>
      <c r="H666" s="74">
        <v>1.0</v>
      </c>
      <c r="I666" s="75">
        <v>4138.0</v>
      </c>
      <c r="J666" s="76" t="s">
        <v>2101</v>
      </c>
      <c r="K666" s="70" t="s">
        <v>349</v>
      </c>
      <c r="L666" s="70" t="s">
        <v>349</v>
      </c>
      <c r="M666" s="70" t="str">
        <f t="shared" si="3"/>
        <v>79 Days</v>
      </c>
      <c r="N666" s="70" t="str">
        <f>IF($A$3=" "," ", IFERROR( VLOOKUP($A666,'SUPPLIER DATA BASE'!$A$2:$O$936,11,0),""))</f>
        <v>JAIN ADISHWAR HOSIERY WORKS LLP</v>
      </c>
      <c r="O666" s="70" t="str">
        <f>IF($A$3=" "," ", IFERROR( VLOOKUP($A666,'SUPPLIER DATA BASE'!$A$2:$O$936,12,0),""))</f>
        <v>99917644444444</v>
      </c>
      <c r="P666" s="70" t="str">
        <f>IF($A$3=" "," ", IFERROR( VLOOKUP($A666,'SUPPLIER DATA BASE'!$A$2:$O$936,13,0),""))</f>
        <v>HDFC0002063</v>
      </c>
      <c r="Q666" s="77"/>
      <c r="R666" s="73"/>
      <c r="S666" s="77"/>
      <c r="T666" s="70"/>
      <c r="U666" s="78"/>
      <c r="V666" s="70" t="str">
        <f t="shared" si="6"/>
        <v>FY 25-26</v>
      </c>
      <c r="W666" s="23"/>
      <c r="X666" s="23"/>
    </row>
    <row r="667">
      <c r="A667" s="70" t="s">
        <v>495</v>
      </c>
      <c r="B667" s="70" t="str">
        <f>IF($A$3=" "," ", IFERROR( VLOOKUP($A667,'SUPPLIER DATA BASE'!$A$2:$M$936,3,0),""))</f>
        <v>-</v>
      </c>
      <c r="C667" s="70" t="str">
        <f>IF($A$3=" "," ", IFERROR( VLOOKUP($A667,'SUPPLIER DATA BASE'!$A$2:$F$936,6,0),""))</f>
        <v>-</v>
      </c>
      <c r="D667" s="70" t="str">
        <f>IF($A$3=" "," ", IFERROR( VLOOKUP($A667,'SUPPLIER DATA BASE'!$A$2:$G$936,4,0),""))</f>
        <v>-</v>
      </c>
      <c r="E667" s="71" t="str">
        <f>IF($A$3=" "," ", IFERROR( VLOOKUP($A667,'SUPPLIER DATA BASE'!$A$2:$H$936,5,0),""))</f>
        <v>-</v>
      </c>
      <c r="F667" s="72" t="s">
        <v>2102</v>
      </c>
      <c r="G667" s="73">
        <v>46109.0</v>
      </c>
      <c r="H667" s="74">
        <v>199.0</v>
      </c>
      <c r="I667" s="75">
        <v>483631.0</v>
      </c>
      <c r="J667" s="76" t="s">
        <v>2103</v>
      </c>
      <c r="K667" s="70" t="s">
        <v>349</v>
      </c>
      <c r="L667" s="70" t="s">
        <v>349</v>
      </c>
      <c r="M667" s="70" t="str">
        <f t="shared" si="3"/>
        <v>79 Days</v>
      </c>
      <c r="N667" s="70" t="str">
        <f>IF($A$3=" "," ", IFERROR( VLOOKUP($A667,'SUPPLIER DATA BASE'!$A$2:$O$936,11,0),""))</f>
        <v>JAIN ADISHWAR HOSIERY WORKS LLP</v>
      </c>
      <c r="O667" s="70" t="str">
        <f>IF($A$3=" "," ", IFERROR( VLOOKUP($A667,'SUPPLIER DATA BASE'!$A$2:$O$936,12,0),""))</f>
        <v>99917644444444</v>
      </c>
      <c r="P667" s="70" t="str">
        <f>IF($A$3=" "," ", IFERROR( VLOOKUP($A667,'SUPPLIER DATA BASE'!$A$2:$O$936,13,0),""))</f>
        <v>HDFC0002063</v>
      </c>
      <c r="Q667" s="77"/>
      <c r="R667" s="73"/>
      <c r="S667" s="77"/>
      <c r="T667" s="70"/>
      <c r="U667" s="78"/>
      <c r="V667" s="70" t="str">
        <f t="shared" si="6"/>
        <v>FY 25-26</v>
      </c>
      <c r="W667" s="23"/>
      <c r="X667" s="23"/>
    </row>
    <row r="668">
      <c r="A668" s="70" t="s">
        <v>370</v>
      </c>
      <c r="B668" s="70" t="str">
        <f>IF($A$3=" "," ", IFERROR( VLOOKUP($A668,'SUPPLIER DATA BASE'!$A$2:$M$936,3,0),""))</f>
        <v>-</v>
      </c>
      <c r="C668" s="70" t="str">
        <f>IF($A$3=" "," ", IFERROR( VLOOKUP($A668,'SUPPLIER DATA BASE'!$A$2:$F$936,6,0),""))</f>
        <v>SURYAM TEXTILE AGENCY</v>
      </c>
      <c r="D668" s="70">
        <f>IF($A$3=" "," ", IFERROR( VLOOKUP($A668,'SUPPLIER DATA BASE'!$A$2:$G$936,4,0),""))</f>
        <v>30</v>
      </c>
      <c r="E668" s="71">
        <f>IF($A$3=" "," ", IFERROR( VLOOKUP($A668,'SUPPLIER DATA BASE'!$A$2:$H$936,5,0),""))</f>
        <v>0.09</v>
      </c>
      <c r="F668" s="72">
        <v>433.0</v>
      </c>
      <c r="G668" s="73">
        <v>46109.0</v>
      </c>
      <c r="H668" s="74">
        <v>4.0</v>
      </c>
      <c r="I668" s="75">
        <v>10072.0</v>
      </c>
      <c r="J668" s="76" t="s">
        <v>2104</v>
      </c>
      <c r="K668" s="70" t="s">
        <v>349</v>
      </c>
      <c r="L668" s="70" t="s">
        <v>349</v>
      </c>
      <c r="M668" s="70" t="str">
        <f t="shared" si="3"/>
        <v>79 Days</v>
      </c>
      <c r="N668" s="70" t="str">
        <f>IF($A$3=" "," ", IFERROR( VLOOKUP($A668,'SUPPLIER DATA BASE'!$A$2:$O$936,11,0),""))</f>
        <v>AS TEXTILE</v>
      </c>
      <c r="O668" s="70" t="str">
        <f>IF($A$3=" "," ", IFERROR( VLOOKUP($A668,'SUPPLIER DATA BASE'!$A$2:$O$936,12,0),""))</f>
        <v>50200012846193</v>
      </c>
      <c r="P668" s="70" t="str">
        <f>IF($A$3=" "," ", IFERROR( VLOOKUP($A668,'SUPPLIER DATA BASE'!$A$2:$O$936,13,0),""))</f>
        <v>HDFC0001249</v>
      </c>
      <c r="Q668" s="77"/>
      <c r="R668" s="73"/>
      <c r="S668" s="77"/>
      <c r="T668" s="70"/>
      <c r="U668" s="78"/>
      <c r="V668" s="70" t="str">
        <f t="shared" si="6"/>
        <v>FY 25-26</v>
      </c>
      <c r="W668" s="23"/>
      <c r="X668" s="23"/>
    </row>
    <row r="669">
      <c r="A669" s="70"/>
      <c r="B669" s="70" t="str">
        <f>IF($A$3=" "," ", IFERROR( VLOOKUP($A669,'SUPPLIER DATA BASE'!$A$2:$M$936,3,0),""))</f>
        <v/>
      </c>
      <c r="C669" s="70" t="str">
        <f>IF($A$3=" "," ", IFERROR( VLOOKUP($A669,'SUPPLIER DATA BASE'!$A$2:$F$936,6,0),""))</f>
        <v/>
      </c>
      <c r="D669" s="70" t="str">
        <f>IF($A$3=" "," ", IFERROR( VLOOKUP($A669,'SUPPLIER DATA BASE'!$A$2:$G$936,4,0),""))</f>
        <v/>
      </c>
      <c r="E669" s="71" t="str">
        <f>IF($A$3=" "," ", IFERROR( VLOOKUP($A669,'SUPPLIER DATA BASE'!$A$2:$H$936,5,0),""))</f>
        <v/>
      </c>
      <c r="F669" s="72" t="s">
        <v>2105</v>
      </c>
      <c r="G669" s="73">
        <v>46109.0</v>
      </c>
      <c r="H669" s="74">
        <v>103.0</v>
      </c>
      <c r="I669" s="75">
        <v>90968.0</v>
      </c>
      <c r="J669" s="76" t="s">
        <v>2106</v>
      </c>
      <c r="K669" s="70" t="s">
        <v>349</v>
      </c>
      <c r="L669" s="70" t="s">
        <v>349</v>
      </c>
      <c r="M669" s="70" t="str">
        <f t="shared" si="3"/>
        <v>79 Days</v>
      </c>
      <c r="N669" s="70" t="str">
        <f>IF($A$3=" "," ", IFERROR( VLOOKUP($A669,'SUPPLIER DATA BASE'!$A$2:$O$936,11,0),""))</f>
        <v/>
      </c>
      <c r="O669" s="70" t="str">
        <f>IF($A$3=" "," ", IFERROR( VLOOKUP($A669,'SUPPLIER DATA BASE'!$A$2:$O$936,12,0),""))</f>
        <v/>
      </c>
      <c r="P669" s="70" t="str">
        <f>IF($A$3=" "," ", IFERROR( VLOOKUP($A669,'SUPPLIER DATA BASE'!$A$2:$O$936,13,0),""))</f>
        <v/>
      </c>
      <c r="Q669" s="77"/>
      <c r="R669" s="73"/>
      <c r="S669" s="77"/>
      <c r="T669" s="70"/>
      <c r="U669" s="78"/>
      <c r="V669" s="70" t="str">
        <f t="shared" si="6"/>
        <v>FY 25-26</v>
      </c>
      <c r="W669" s="23"/>
      <c r="X669" s="23"/>
    </row>
    <row r="670">
      <c r="A670" s="70" t="s">
        <v>658</v>
      </c>
      <c r="B670" s="70" t="str">
        <f>IF($A$3=" "," ", IFERROR( VLOOKUP($A670,'SUPPLIER DATA BASE'!$A$2:$M$936,3,0),""))</f>
        <v>-</v>
      </c>
      <c r="C670" s="70" t="str">
        <f>IF($A$3=" "," ", IFERROR( VLOOKUP($A670,'SUPPLIER DATA BASE'!$A$2:$F$936,6,0),""))</f>
        <v>-</v>
      </c>
      <c r="D670" s="70" t="str">
        <f>IF($A$3=" "," ", IFERROR( VLOOKUP($A670,'SUPPLIER DATA BASE'!$A$2:$G$936,4,0),""))</f>
        <v>-</v>
      </c>
      <c r="E670" s="71" t="str">
        <f>IF($A$3=" "," ", IFERROR( VLOOKUP($A670,'SUPPLIER DATA BASE'!$A$2:$H$936,5,0),""))</f>
        <v>-</v>
      </c>
      <c r="F670" s="72" t="s">
        <v>2107</v>
      </c>
      <c r="G670" s="73">
        <v>46109.0</v>
      </c>
      <c r="H670" s="74">
        <v>35.0</v>
      </c>
      <c r="I670" s="75">
        <v>35859.0</v>
      </c>
      <c r="J670" s="76" t="s">
        <v>2108</v>
      </c>
      <c r="K670" s="70" t="s">
        <v>349</v>
      </c>
      <c r="L670" s="70" t="s">
        <v>349</v>
      </c>
      <c r="M670" s="70" t="str">
        <f t="shared" si="3"/>
        <v>79 Days</v>
      </c>
      <c r="N670" s="70" t="str">
        <f>IF($A$3=" "," ", IFERROR( VLOOKUP($A670,'SUPPLIER DATA BASE'!$A$2:$O$936,11,0),""))</f>
        <v>-</v>
      </c>
      <c r="O670" s="70" t="str">
        <f>IF($A$3=" "," ", IFERROR( VLOOKUP($A670,'SUPPLIER DATA BASE'!$A$2:$O$936,12,0),""))</f>
        <v>-</v>
      </c>
      <c r="P670" s="70" t="str">
        <f>IF($A$3=" "," ", IFERROR( VLOOKUP($A670,'SUPPLIER DATA BASE'!$A$2:$O$936,13,0),""))</f>
        <v>-</v>
      </c>
      <c r="Q670" s="77"/>
      <c r="R670" s="73"/>
      <c r="S670" s="77"/>
      <c r="T670" s="70"/>
      <c r="U670" s="78"/>
      <c r="V670" s="70" t="str">
        <f t="shared" si="6"/>
        <v>FY 25-26</v>
      </c>
      <c r="W670" s="23"/>
      <c r="X670" s="23"/>
    </row>
    <row r="671">
      <c r="A671" s="70" t="s">
        <v>370</v>
      </c>
      <c r="B671" s="70" t="str">
        <f>IF($A$3=" "," ", IFERROR( VLOOKUP($A671,'SUPPLIER DATA BASE'!$A$2:$M$936,3,0),""))</f>
        <v>-</v>
      </c>
      <c r="C671" s="70" t="str">
        <f>IF($A$3=" "," ", IFERROR( VLOOKUP($A671,'SUPPLIER DATA BASE'!$A$2:$F$936,6,0),""))</f>
        <v>SURYAM TEXTILE AGENCY</v>
      </c>
      <c r="D671" s="70">
        <f>IF($A$3=" "," ", IFERROR( VLOOKUP($A671,'SUPPLIER DATA BASE'!$A$2:$G$936,4,0),""))</f>
        <v>30</v>
      </c>
      <c r="E671" s="71">
        <f>IF($A$3=" "," ", IFERROR( VLOOKUP($A671,'SUPPLIER DATA BASE'!$A$2:$H$936,5,0),""))</f>
        <v>0.09</v>
      </c>
      <c r="F671" s="72">
        <v>432.0</v>
      </c>
      <c r="G671" s="73">
        <v>46109.0</v>
      </c>
      <c r="H671" s="74">
        <v>3.0</v>
      </c>
      <c r="I671" s="75">
        <v>28256.0</v>
      </c>
      <c r="J671" s="76" t="s">
        <v>2109</v>
      </c>
      <c r="K671" s="70" t="s">
        <v>349</v>
      </c>
      <c r="L671" s="70" t="s">
        <v>349</v>
      </c>
      <c r="M671" s="70" t="str">
        <f t="shared" si="3"/>
        <v>79 Days</v>
      </c>
      <c r="N671" s="70" t="str">
        <f>IF($A$3=" "," ", IFERROR( VLOOKUP($A671,'SUPPLIER DATA BASE'!$A$2:$O$936,11,0),""))</f>
        <v>AS TEXTILE</v>
      </c>
      <c r="O671" s="70" t="str">
        <f>IF($A$3=" "," ", IFERROR( VLOOKUP($A671,'SUPPLIER DATA BASE'!$A$2:$O$936,12,0),""))</f>
        <v>50200012846193</v>
      </c>
      <c r="P671" s="70" t="str">
        <f>IF($A$3=" "," ", IFERROR( VLOOKUP($A671,'SUPPLIER DATA BASE'!$A$2:$O$936,13,0),""))</f>
        <v>HDFC0001249</v>
      </c>
      <c r="Q671" s="77"/>
      <c r="R671" s="73"/>
      <c r="S671" s="77"/>
      <c r="T671" s="70"/>
      <c r="U671" s="78"/>
      <c r="V671" s="70" t="str">
        <f t="shared" si="6"/>
        <v>FY 25-26</v>
      </c>
      <c r="W671" s="23"/>
      <c r="X671" s="23"/>
    </row>
    <row r="672">
      <c r="A672" s="70" t="s">
        <v>354</v>
      </c>
      <c r="B672" s="70" t="str">
        <f>IF($A$3=" "," ", IFERROR( VLOOKUP($A672,'SUPPLIER DATA BASE'!$A$2:$M$936,3,0),""))</f>
        <v>-</v>
      </c>
      <c r="C672" s="70" t="str">
        <f>IF($A$3=" "," ", IFERROR( VLOOKUP($A672,'SUPPLIER DATA BASE'!$A$2:$F$936,6,0),""))</f>
        <v>-</v>
      </c>
      <c r="D672" s="70" t="str">
        <f>IF($A$3=" "," ", IFERROR( VLOOKUP($A672,'SUPPLIER DATA BASE'!$A$2:$G$936,4,0),""))</f>
        <v>-</v>
      </c>
      <c r="E672" s="71" t="str">
        <f>IF($A$3=" "," ", IFERROR( VLOOKUP($A672,'SUPPLIER DATA BASE'!$A$2:$H$936,5,0),""))</f>
        <v>-</v>
      </c>
      <c r="F672" s="72" t="s">
        <v>2110</v>
      </c>
      <c r="G672" s="73">
        <v>46109.0</v>
      </c>
      <c r="H672" s="74">
        <v>1.0</v>
      </c>
      <c r="I672" s="75">
        <v>1369.32</v>
      </c>
      <c r="J672" s="76" t="s">
        <v>2111</v>
      </c>
      <c r="K672" s="70" t="s">
        <v>349</v>
      </c>
      <c r="L672" s="70" t="s">
        <v>349</v>
      </c>
      <c r="M672" s="70" t="str">
        <f t="shared" si="3"/>
        <v>79 Days</v>
      </c>
      <c r="N672" s="70" t="str">
        <f>IF($A$3=" "," ", IFERROR( VLOOKUP($A672,'SUPPLIER DATA BASE'!$A$2:$O$936,11,0),""))</f>
        <v>-</v>
      </c>
      <c r="O672" s="70" t="str">
        <f>IF($A$3=" "," ", IFERROR( VLOOKUP($A672,'SUPPLIER DATA BASE'!$A$2:$O$936,12,0),""))</f>
        <v>-</v>
      </c>
      <c r="P672" s="70" t="str">
        <f>IF($A$3=" "," ", IFERROR( VLOOKUP($A672,'SUPPLIER DATA BASE'!$A$2:$O$936,13,0),""))</f>
        <v>-</v>
      </c>
      <c r="Q672" s="77"/>
      <c r="R672" s="73"/>
      <c r="S672" s="77"/>
      <c r="T672" s="70"/>
      <c r="U672" s="78"/>
      <c r="V672" s="70" t="str">
        <f t="shared" si="6"/>
        <v>FY 25-26</v>
      </c>
      <c r="W672" s="23"/>
      <c r="X672" s="23"/>
    </row>
    <row r="673">
      <c r="A673" s="70" t="s">
        <v>354</v>
      </c>
      <c r="B673" s="70" t="str">
        <f>IF($A$3=" "," ", IFERROR( VLOOKUP($A673,'SUPPLIER DATA BASE'!$A$2:$M$936,3,0),""))</f>
        <v>-</v>
      </c>
      <c r="C673" s="70" t="str">
        <f>IF($A$3=" "," ", IFERROR( VLOOKUP($A673,'SUPPLIER DATA BASE'!$A$2:$F$936,6,0),""))</f>
        <v>-</v>
      </c>
      <c r="D673" s="70" t="str">
        <f>IF($A$3=" "," ", IFERROR( VLOOKUP($A673,'SUPPLIER DATA BASE'!$A$2:$G$936,4,0),""))</f>
        <v>-</v>
      </c>
      <c r="E673" s="71" t="str">
        <f>IF($A$3=" "," ", IFERROR( VLOOKUP($A673,'SUPPLIER DATA BASE'!$A$2:$H$936,5,0),""))</f>
        <v>-</v>
      </c>
      <c r="F673" s="72" t="s">
        <v>2112</v>
      </c>
      <c r="G673" s="73">
        <v>46109.0</v>
      </c>
      <c r="H673" s="74">
        <v>2.0</v>
      </c>
      <c r="I673" s="75">
        <v>1505.63</v>
      </c>
      <c r="J673" s="76" t="s">
        <v>2113</v>
      </c>
      <c r="K673" s="70" t="s">
        <v>349</v>
      </c>
      <c r="L673" s="70" t="s">
        <v>349</v>
      </c>
      <c r="M673" s="70" t="str">
        <f t="shared" si="3"/>
        <v>79 Days</v>
      </c>
      <c r="N673" s="70" t="str">
        <f>IF($A$3=" "," ", IFERROR( VLOOKUP($A673,'SUPPLIER DATA BASE'!$A$2:$O$936,11,0),""))</f>
        <v>-</v>
      </c>
      <c r="O673" s="70" t="str">
        <f>IF($A$3=" "," ", IFERROR( VLOOKUP($A673,'SUPPLIER DATA BASE'!$A$2:$O$936,12,0),""))</f>
        <v>-</v>
      </c>
      <c r="P673" s="70" t="str">
        <f>IF($A$3=" "," ", IFERROR( VLOOKUP($A673,'SUPPLIER DATA BASE'!$A$2:$O$936,13,0),""))</f>
        <v>-</v>
      </c>
      <c r="Q673" s="77"/>
      <c r="R673" s="73"/>
      <c r="S673" s="77"/>
      <c r="T673" s="70"/>
      <c r="U673" s="78"/>
      <c r="V673" s="70" t="str">
        <f t="shared" si="6"/>
        <v>FY 25-26</v>
      </c>
      <c r="W673" s="23"/>
      <c r="X673" s="23"/>
    </row>
    <row r="674">
      <c r="A674" s="70" t="s">
        <v>717</v>
      </c>
      <c r="B674" s="70" t="str">
        <f>IF($A$3=" "," ", IFERROR( VLOOKUP($A674,'SUPPLIER DATA BASE'!$A$2:$M$936,3,0),""))</f>
        <v>MINELLI</v>
      </c>
      <c r="C674" s="70" t="str">
        <f>IF($A$3=" "," ", IFERROR( VLOOKUP($A674,'SUPPLIER DATA BASE'!$A$2:$F$936,6,0),""))</f>
        <v>-</v>
      </c>
      <c r="D674" s="70">
        <f>IF($A$3=" "," ", IFERROR( VLOOKUP($A674,'SUPPLIER DATA BASE'!$A$2:$G$936,4,0),""))</f>
        <v>45</v>
      </c>
      <c r="E674" s="71">
        <f>IF($A$3=" "," ", IFERROR( VLOOKUP($A674,'SUPPLIER DATA BASE'!$A$2:$H$936,5,0),""))</f>
        <v>0.1</v>
      </c>
      <c r="F674" s="72" t="s">
        <v>2114</v>
      </c>
      <c r="G674" s="73">
        <v>46109.0</v>
      </c>
      <c r="H674" s="74">
        <v>83.0</v>
      </c>
      <c r="I674" s="75">
        <v>72698.0</v>
      </c>
      <c r="J674" s="76" t="s">
        <v>2115</v>
      </c>
      <c r="K674" s="70" t="s">
        <v>349</v>
      </c>
      <c r="L674" s="70" t="s">
        <v>349</v>
      </c>
      <c r="M674" s="70" t="str">
        <f t="shared" si="3"/>
        <v>79 Days</v>
      </c>
      <c r="N674" s="70" t="str">
        <f>IF($A$3=" "," ", IFERROR( VLOOKUP($A674,'SUPPLIER DATA BASE'!$A$2:$O$936,11,0),""))</f>
        <v>SHUBH SHRI CLOTHING PVT LTD</v>
      </c>
      <c r="O674" s="70" t="str">
        <f>IF($A$3=" "," ", IFERROR( VLOOKUP($A674,'SUPPLIER DATA BASE'!$A$2:$O$936,12,0),""))</f>
        <v>002225010000006</v>
      </c>
      <c r="P674" s="70" t="str">
        <f>IF($A$3=" "," ", IFERROR( VLOOKUP($A674,'SUPPLIER DATA BASE'!$A$2:$O$936,13,0),""))</f>
        <v>UBIN0900222</v>
      </c>
      <c r="Q674" s="77"/>
      <c r="R674" s="73"/>
      <c r="S674" s="77"/>
      <c r="T674" s="70"/>
      <c r="U674" s="78"/>
      <c r="V674" s="70" t="str">
        <f t="shared" si="6"/>
        <v>FY 25-26</v>
      </c>
      <c r="W674" s="23"/>
      <c r="X674" s="23"/>
    </row>
    <row r="675">
      <c r="A675" s="70" t="s">
        <v>713</v>
      </c>
      <c r="B675" s="70" t="str">
        <f>IF($A$3=" "," ", IFERROR( VLOOKUP($A675,'SUPPLIER DATA BASE'!$A$2:$M$936,3,0),""))</f>
        <v>-</v>
      </c>
      <c r="C675" s="70" t="str">
        <f>IF($A$3=" "," ", IFERROR( VLOOKUP($A675,'SUPPLIER DATA BASE'!$A$2:$F$936,6,0),""))</f>
        <v>SURYAM TEXTILE AGENCY</v>
      </c>
      <c r="D675" s="70" t="str">
        <f>IF($A$3=" "," ", IFERROR( VLOOKUP($A675,'SUPPLIER DATA BASE'!$A$2:$G$936,4,0),""))</f>
        <v>NO</v>
      </c>
      <c r="E675" s="71" t="str">
        <f>IF($A$3=" "," ", IFERROR( VLOOKUP($A675,'SUPPLIER DATA BASE'!$A$2:$H$936,5,0),""))</f>
        <v>-</v>
      </c>
      <c r="F675" s="82">
        <v>185727.0</v>
      </c>
      <c r="G675" s="73">
        <v>46109.0</v>
      </c>
      <c r="H675" s="74">
        <v>34.0</v>
      </c>
      <c r="I675" s="75">
        <v>60475.0</v>
      </c>
      <c r="J675" s="76" t="s">
        <v>2116</v>
      </c>
      <c r="K675" s="70" t="s">
        <v>349</v>
      </c>
      <c r="L675" s="70" t="s">
        <v>349</v>
      </c>
      <c r="M675" s="70" t="str">
        <f t="shared" si="3"/>
        <v>79 Days</v>
      </c>
      <c r="N675" s="70" t="str">
        <f>IF($A$3=" "," ", IFERROR( VLOOKUP($A675,'SUPPLIER DATA BASE'!$A$2:$O$936,11,0),""))</f>
        <v>SHRITHIK DESIGNER LLP</v>
      </c>
      <c r="O675" s="70" t="str">
        <f>IF($A$3=" "," ", IFERROR( VLOOKUP($A675,'SUPPLIER DATA BASE'!$A$2:$O$936,12,0),""))</f>
        <v>339805000598</v>
      </c>
      <c r="P675" s="70" t="str">
        <f>IF($A$3=" "," ", IFERROR( VLOOKUP($A675,'SUPPLIER DATA BASE'!$A$2:$O$936,13,0),""))</f>
        <v>ICIC0003398</v>
      </c>
      <c r="Q675" s="77"/>
      <c r="R675" s="73"/>
      <c r="S675" s="77"/>
      <c r="T675" s="70"/>
      <c r="U675" s="78"/>
      <c r="V675" s="70" t="str">
        <f t="shared" si="6"/>
        <v>FY 25-26</v>
      </c>
      <c r="W675" s="23"/>
      <c r="X675" s="23"/>
    </row>
    <row r="676">
      <c r="A676" s="70" t="s">
        <v>677</v>
      </c>
      <c r="B676" s="70" t="str">
        <f>IF($A$3=" "," ", IFERROR( VLOOKUP($A676,'SUPPLIER DATA BASE'!$A$2:$M$936,3,0),""))</f>
        <v>-</v>
      </c>
      <c r="C676" s="70" t="str">
        <f>IF($A$3=" "," ", IFERROR( VLOOKUP($A676,'SUPPLIER DATA BASE'!$A$2:$F$936,6,0),""))</f>
        <v>-</v>
      </c>
      <c r="D676" s="70" t="str">
        <f>IF($A$3=" "," ", IFERROR( VLOOKUP($A676,'SUPPLIER DATA BASE'!$A$2:$G$936,4,0),""))</f>
        <v>-</v>
      </c>
      <c r="E676" s="71" t="str">
        <f>IF($A$3=" "," ", IFERROR( VLOOKUP($A676,'SUPPLIER DATA BASE'!$A$2:$H$936,5,0),""))</f>
        <v>-</v>
      </c>
      <c r="F676" s="72" t="s">
        <v>2117</v>
      </c>
      <c r="G676" s="73">
        <v>46109.0</v>
      </c>
      <c r="H676" s="74">
        <v>30.0</v>
      </c>
      <c r="I676" s="75">
        <v>41385.0</v>
      </c>
      <c r="J676" s="76" t="s">
        <v>2118</v>
      </c>
      <c r="K676" s="70" t="s">
        <v>349</v>
      </c>
      <c r="L676" s="70" t="s">
        <v>349</v>
      </c>
      <c r="M676" s="70" t="str">
        <f t="shared" si="3"/>
        <v>79 Days</v>
      </c>
      <c r="N676" s="70" t="str">
        <f>IF($A$3=" "," ", IFERROR( VLOOKUP($A676,'SUPPLIER DATA BASE'!$A$2:$O$936,11,0),""))</f>
        <v>SARAOGI SUPER SALES PVT LTD</v>
      </c>
      <c r="O676" s="70" t="str">
        <f>IF($A$3=" "," ", IFERROR( VLOOKUP($A676,'SUPPLIER DATA BASE'!$A$2:$O$936,12,0),""))</f>
        <v>SASUSP011006</v>
      </c>
      <c r="P676" s="70" t="str">
        <f>IF($A$3=" "," ", IFERROR( VLOOKUP($A676,'SUPPLIER DATA BASE'!$A$2:$O$936,13,0),""))</f>
        <v>ICIC0000106</v>
      </c>
      <c r="Q676" s="77"/>
      <c r="R676" s="73"/>
      <c r="S676" s="77"/>
      <c r="T676" s="70"/>
      <c r="U676" s="78"/>
      <c r="V676" s="70" t="str">
        <f t="shared" si="6"/>
        <v>FY 25-26</v>
      </c>
      <c r="W676" s="23"/>
      <c r="X676" s="23"/>
    </row>
    <row r="677">
      <c r="A677" s="70" t="s">
        <v>677</v>
      </c>
      <c r="B677" s="70" t="str">
        <f>IF($A$3=" "," ", IFERROR( VLOOKUP($A677,'SUPPLIER DATA BASE'!$A$2:$M$936,3,0),""))</f>
        <v>-</v>
      </c>
      <c r="C677" s="70" t="str">
        <f>IF($A$3=" "," ", IFERROR( VLOOKUP($A677,'SUPPLIER DATA BASE'!$A$2:$F$936,6,0),""))</f>
        <v>-</v>
      </c>
      <c r="D677" s="70" t="str">
        <f>IF($A$3=" "," ", IFERROR( VLOOKUP($A677,'SUPPLIER DATA BASE'!$A$2:$G$936,4,0),""))</f>
        <v>-</v>
      </c>
      <c r="E677" s="71" t="str">
        <f>IF($A$3=" "," ", IFERROR( VLOOKUP($A677,'SUPPLIER DATA BASE'!$A$2:$H$936,5,0),""))</f>
        <v>-</v>
      </c>
      <c r="F677" s="72" t="s">
        <v>2119</v>
      </c>
      <c r="G677" s="73">
        <v>46109.0</v>
      </c>
      <c r="H677" s="74">
        <v>30.0</v>
      </c>
      <c r="I677" s="75">
        <v>47754.0</v>
      </c>
      <c r="J677" s="76" t="s">
        <v>2120</v>
      </c>
      <c r="K677" s="70" t="s">
        <v>349</v>
      </c>
      <c r="L677" s="70" t="s">
        <v>349</v>
      </c>
      <c r="M677" s="70" t="str">
        <f t="shared" si="3"/>
        <v>79 Days</v>
      </c>
      <c r="N677" s="70" t="str">
        <f>IF($A$3=" "," ", IFERROR( VLOOKUP($A677,'SUPPLIER DATA BASE'!$A$2:$O$936,11,0),""))</f>
        <v>SARAOGI SUPER SALES PVT LTD</v>
      </c>
      <c r="O677" s="70" t="str">
        <f>IF($A$3=" "," ", IFERROR( VLOOKUP($A677,'SUPPLIER DATA BASE'!$A$2:$O$936,12,0),""))</f>
        <v>SASUSP011006</v>
      </c>
      <c r="P677" s="70" t="str">
        <f>IF($A$3=" "," ", IFERROR( VLOOKUP($A677,'SUPPLIER DATA BASE'!$A$2:$O$936,13,0),""))</f>
        <v>ICIC0000106</v>
      </c>
      <c r="Q677" s="77"/>
      <c r="R677" s="73"/>
      <c r="S677" s="77"/>
      <c r="T677" s="70"/>
      <c r="U677" s="78"/>
      <c r="V677" s="70" t="str">
        <f t="shared" si="6"/>
        <v>FY 25-26</v>
      </c>
      <c r="W677" s="23"/>
      <c r="X677" s="23"/>
    </row>
    <row r="678">
      <c r="A678" s="70" t="s">
        <v>677</v>
      </c>
      <c r="B678" s="70" t="str">
        <f>IF($A$3=" "," ", IFERROR( VLOOKUP($A678,'SUPPLIER DATA BASE'!$A$2:$M$936,3,0),""))</f>
        <v>-</v>
      </c>
      <c r="C678" s="70" t="str">
        <f>IF($A$3=" "," ", IFERROR( VLOOKUP($A678,'SUPPLIER DATA BASE'!$A$2:$F$936,6,0),""))</f>
        <v>-</v>
      </c>
      <c r="D678" s="70" t="str">
        <f>IF($A$3=" "," ", IFERROR( VLOOKUP($A678,'SUPPLIER DATA BASE'!$A$2:$G$936,4,0),""))</f>
        <v>-</v>
      </c>
      <c r="E678" s="71" t="str">
        <f>IF($A$3=" "," ", IFERROR( VLOOKUP($A678,'SUPPLIER DATA BASE'!$A$2:$H$936,5,0),""))</f>
        <v>-</v>
      </c>
      <c r="F678" s="72" t="s">
        <v>2121</v>
      </c>
      <c r="G678" s="73">
        <v>46109.0</v>
      </c>
      <c r="H678" s="74">
        <v>30.0</v>
      </c>
      <c r="I678" s="75">
        <v>34443.0</v>
      </c>
      <c r="J678" s="76" t="s">
        <v>2122</v>
      </c>
      <c r="K678" s="70" t="s">
        <v>349</v>
      </c>
      <c r="L678" s="70" t="s">
        <v>349</v>
      </c>
      <c r="M678" s="70" t="str">
        <f t="shared" si="3"/>
        <v>79 Days</v>
      </c>
      <c r="N678" s="70" t="str">
        <f>IF($A$3=" "," ", IFERROR( VLOOKUP($A678,'SUPPLIER DATA BASE'!$A$2:$O$936,11,0),""))</f>
        <v>SARAOGI SUPER SALES PVT LTD</v>
      </c>
      <c r="O678" s="70" t="str">
        <f>IF($A$3=" "," ", IFERROR( VLOOKUP($A678,'SUPPLIER DATA BASE'!$A$2:$O$936,12,0),""))</f>
        <v>SASUSP011006</v>
      </c>
      <c r="P678" s="70" t="str">
        <f>IF($A$3=" "," ", IFERROR( VLOOKUP($A678,'SUPPLIER DATA BASE'!$A$2:$O$936,13,0),""))</f>
        <v>ICIC0000106</v>
      </c>
      <c r="Q678" s="77"/>
      <c r="R678" s="73"/>
      <c r="S678" s="77"/>
      <c r="T678" s="70"/>
      <c r="U678" s="78"/>
      <c r="V678" s="70" t="str">
        <f t="shared" si="6"/>
        <v>FY 25-26</v>
      </c>
      <c r="W678" s="23"/>
      <c r="X678" s="23"/>
    </row>
    <row r="679">
      <c r="A679" s="70" t="s">
        <v>677</v>
      </c>
      <c r="B679" s="70" t="str">
        <f>IF($A$3=" "," ", IFERROR( VLOOKUP($A679,'SUPPLIER DATA BASE'!$A$2:$M$936,3,0),""))</f>
        <v>-</v>
      </c>
      <c r="C679" s="70" t="str">
        <f>IF($A$3=" "," ", IFERROR( VLOOKUP($A679,'SUPPLIER DATA BASE'!$A$2:$F$936,6,0),""))</f>
        <v>-</v>
      </c>
      <c r="D679" s="70" t="str">
        <f>IF($A$3=" "," ", IFERROR( VLOOKUP($A679,'SUPPLIER DATA BASE'!$A$2:$G$936,4,0),""))</f>
        <v>-</v>
      </c>
      <c r="E679" s="71" t="str">
        <f>IF($A$3=" "," ", IFERROR( VLOOKUP($A679,'SUPPLIER DATA BASE'!$A$2:$H$936,5,0),""))</f>
        <v>-</v>
      </c>
      <c r="F679" s="72" t="s">
        <v>2123</v>
      </c>
      <c r="G679" s="73">
        <v>46109.0</v>
      </c>
      <c r="H679" s="74">
        <v>30.0</v>
      </c>
      <c r="I679" s="75">
        <v>30320.0</v>
      </c>
      <c r="J679" s="76" t="s">
        <v>2124</v>
      </c>
      <c r="K679" s="70" t="s">
        <v>349</v>
      </c>
      <c r="L679" s="70" t="s">
        <v>349</v>
      </c>
      <c r="M679" s="70" t="str">
        <f t="shared" si="3"/>
        <v>79 Days</v>
      </c>
      <c r="N679" s="70" t="str">
        <f>IF($A$3=" "," ", IFERROR( VLOOKUP($A679,'SUPPLIER DATA BASE'!$A$2:$O$936,11,0),""))</f>
        <v>SARAOGI SUPER SALES PVT LTD</v>
      </c>
      <c r="O679" s="70" t="str">
        <f>IF($A$3=" "," ", IFERROR( VLOOKUP($A679,'SUPPLIER DATA BASE'!$A$2:$O$936,12,0),""))</f>
        <v>SASUSP011006</v>
      </c>
      <c r="P679" s="70" t="str">
        <f>IF($A$3=" "," ", IFERROR( VLOOKUP($A679,'SUPPLIER DATA BASE'!$A$2:$O$936,13,0),""))</f>
        <v>ICIC0000106</v>
      </c>
      <c r="Q679" s="77"/>
      <c r="R679" s="73"/>
      <c r="S679" s="77"/>
      <c r="T679" s="70"/>
      <c r="U679" s="78"/>
      <c r="V679" s="70" t="str">
        <f t="shared" si="6"/>
        <v>FY 25-26</v>
      </c>
      <c r="W679" s="23"/>
      <c r="X679" s="23"/>
    </row>
    <row r="680">
      <c r="A680" s="70" t="s">
        <v>677</v>
      </c>
      <c r="B680" s="70" t="str">
        <f>IF($A$3=" "," ", IFERROR( VLOOKUP($A680,'SUPPLIER DATA BASE'!$A$2:$M$936,3,0),""))</f>
        <v>-</v>
      </c>
      <c r="C680" s="70" t="str">
        <f>IF($A$3=" "," ", IFERROR( VLOOKUP($A680,'SUPPLIER DATA BASE'!$A$2:$F$936,6,0),""))</f>
        <v>-</v>
      </c>
      <c r="D680" s="70" t="str">
        <f>IF($A$3=" "," ", IFERROR( VLOOKUP($A680,'SUPPLIER DATA BASE'!$A$2:$G$936,4,0),""))</f>
        <v>-</v>
      </c>
      <c r="E680" s="71" t="str">
        <f>IF($A$3=" "," ", IFERROR( VLOOKUP($A680,'SUPPLIER DATA BASE'!$A$2:$H$936,5,0),""))</f>
        <v>-</v>
      </c>
      <c r="F680" s="72" t="s">
        <v>2125</v>
      </c>
      <c r="G680" s="73">
        <v>46109.0</v>
      </c>
      <c r="H680" s="74">
        <v>30.0</v>
      </c>
      <c r="I680" s="75">
        <v>35464.0</v>
      </c>
      <c r="J680" s="76" t="s">
        <v>2126</v>
      </c>
      <c r="K680" s="70" t="s">
        <v>349</v>
      </c>
      <c r="L680" s="70" t="s">
        <v>349</v>
      </c>
      <c r="M680" s="70" t="str">
        <f t="shared" si="3"/>
        <v>79 Days</v>
      </c>
      <c r="N680" s="70" t="str">
        <f>IF($A$3=" "," ", IFERROR( VLOOKUP($A680,'SUPPLIER DATA BASE'!$A$2:$O$936,11,0),""))</f>
        <v>SARAOGI SUPER SALES PVT LTD</v>
      </c>
      <c r="O680" s="70" t="str">
        <f>IF($A$3=" "," ", IFERROR( VLOOKUP($A680,'SUPPLIER DATA BASE'!$A$2:$O$936,12,0),""))</f>
        <v>SASUSP011006</v>
      </c>
      <c r="P680" s="70" t="str">
        <f>IF($A$3=" "," ", IFERROR( VLOOKUP($A680,'SUPPLIER DATA BASE'!$A$2:$O$936,13,0),""))</f>
        <v>ICIC0000106</v>
      </c>
      <c r="Q680" s="77"/>
      <c r="R680" s="73"/>
      <c r="S680" s="77"/>
      <c r="T680" s="70"/>
      <c r="U680" s="78"/>
      <c r="V680" s="70" t="str">
        <f t="shared" si="6"/>
        <v>FY 25-26</v>
      </c>
      <c r="W680" s="23"/>
      <c r="X680" s="23"/>
    </row>
    <row r="681">
      <c r="A681" s="70" t="s">
        <v>677</v>
      </c>
      <c r="B681" s="70" t="str">
        <f>IF($A$3=" "," ", IFERROR( VLOOKUP($A681,'SUPPLIER DATA BASE'!$A$2:$M$936,3,0),""))</f>
        <v>-</v>
      </c>
      <c r="C681" s="70" t="str">
        <f>IF($A$3=" "," ", IFERROR( VLOOKUP($A681,'SUPPLIER DATA BASE'!$A$2:$F$936,6,0),""))</f>
        <v>-</v>
      </c>
      <c r="D681" s="70" t="str">
        <f>IF($A$3=" "," ", IFERROR( VLOOKUP($A681,'SUPPLIER DATA BASE'!$A$2:$G$936,4,0),""))</f>
        <v>-</v>
      </c>
      <c r="E681" s="71" t="str">
        <f>IF($A$3=" "," ", IFERROR( VLOOKUP($A681,'SUPPLIER DATA BASE'!$A$2:$H$936,5,0),""))</f>
        <v>-</v>
      </c>
      <c r="F681" s="72" t="s">
        <v>2127</v>
      </c>
      <c r="G681" s="73">
        <v>46109.0</v>
      </c>
      <c r="H681" s="74">
        <v>30.0</v>
      </c>
      <c r="I681" s="75">
        <v>37052.0</v>
      </c>
      <c r="J681" s="76" t="s">
        <v>2128</v>
      </c>
      <c r="K681" s="70" t="s">
        <v>349</v>
      </c>
      <c r="L681" s="70" t="s">
        <v>349</v>
      </c>
      <c r="M681" s="70" t="str">
        <f t="shared" si="3"/>
        <v>79 Days</v>
      </c>
      <c r="N681" s="70" t="str">
        <f>IF($A$3=" "," ", IFERROR( VLOOKUP($A681,'SUPPLIER DATA BASE'!$A$2:$O$936,11,0),""))</f>
        <v>SARAOGI SUPER SALES PVT LTD</v>
      </c>
      <c r="O681" s="70" t="str">
        <f>IF($A$3=" "," ", IFERROR( VLOOKUP($A681,'SUPPLIER DATA BASE'!$A$2:$O$936,12,0),""))</f>
        <v>SASUSP011006</v>
      </c>
      <c r="P681" s="70" t="str">
        <f>IF($A$3=" "," ", IFERROR( VLOOKUP($A681,'SUPPLIER DATA BASE'!$A$2:$O$936,13,0),""))</f>
        <v>ICIC0000106</v>
      </c>
      <c r="Q681" s="77"/>
      <c r="R681" s="73"/>
      <c r="S681" s="77"/>
      <c r="T681" s="70"/>
      <c r="U681" s="78"/>
      <c r="V681" s="70" t="str">
        <f t="shared" si="6"/>
        <v>FY 25-26</v>
      </c>
      <c r="W681" s="23"/>
      <c r="X681" s="23"/>
    </row>
    <row r="682">
      <c r="A682" s="70"/>
      <c r="B682" s="70" t="str">
        <f>IF($A$3=" "," ", IFERROR( VLOOKUP($A682,'SUPPLIER DATA BASE'!$A$2:$M$936,3,0),""))</f>
        <v/>
      </c>
      <c r="C682" s="70" t="str">
        <f>IF($A$3=" "," ", IFERROR( VLOOKUP($A682,'SUPPLIER DATA BASE'!$A$2:$F$936,6,0),""))</f>
        <v/>
      </c>
      <c r="D682" s="70" t="str">
        <f>IF($A$3=" "," ", IFERROR( VLOOKUP($A682,'SUPPLIER DATA BASE'!$A$2:$G$936,4,0),""))</f>
        <v/>
      </c>
      <c r="E682" s="71" t="str">
        <f>IF($A$3=" "," ", IFERROR( VLOOKUP($A682,'SUPPLIER DATA BASE'!$A$2:$H$936,5,0),""))</f>
        <v/>
      </c>
      <c r="F682" s="72">
        <v>5010.0</v>
      </c>
      <c r="G682" s="73">
        <v>46110.0</v>
      </c>
      <c r="H682" s="74">
        <v>60.0</v>
      </c>
      <c r="I682" s="75">
        <v>60060.0</v>
      </c>
      <c r="J682" s="76" t="s">
        <v>2129</v>
      </c>
      <c r="K682" s="70" t="s">
        <v>349</v>
      </c>
      <c r="L682" s="70" t="s">
        <v>349</v>
      </c>
      <c r="M682" s="70" t="str">
        <f t="shared" si="3"/>
        <v>78 Days</v>
      </c>
      <c r="N682" s="70" t="str">
        <f>IF($A$3=" "," ", IFERROR( VLOOKUP($A682,'SUPPLIER DATA BASE'!$A$2:$O$936,11,0),""))</f>
        <v/>
      </c>
      <c r="O682" s="70" t="str">
        <f>IF($A$3=" "," ", IFERROR( VLOOKUP($A682,'SUPPLIER DATA BASE'!$A$2:$O$936,12,0),""))</f>
        <v/>
      </c>
      <c r="P682" s="70" t="str">
        <f>IF($A$3=" "," ", IFERROR( VLOOKUP($A682,'SUPPLIER DATA BASE'!$A$2:$O$936,13,0),""))</f>
        <v/>
      </c>
      <c r="Q682" s="77"/>
      <c r="R682" s="73"/>
      <c r="S682" s="77"/>
      <c r="T682" s="70"/>
      <c r="U682" s="78"/>
      <c r="V682" s="70" t="str">
        <f t="shared" si="6"/>
        <v>FY 25-26</v>
      </c>
      <c r="W682" s="23"/>
      <c r="X682" s="23"/>
    </row>
    <row r="683">
      <c r="A683" s="70" t="s">
        <v>370</v>
      </c>
      <c r="B683" s="70" t="str">
        <f>IF($A$3=" "," ", IFERROR( VLOOKUP($A683,'SUPPLIER DATA BASE'!$A$2:$M$936,3,0),""))</f>
        <v>-</v>
      </c>
      <c r="C683" s="70" t="str">
        <f>IF($A$3=" "," ", IFERROR( VLOOKUP($A683,'SUPPLIER DATA BASE'!$A$2:$F$936,6,0),""))</f>
        <v>SURYAM TEXTILE AGENCY</v>
      </c>
      <c r="D683" s="70">
        <f>IF($A$3=" "," ", IFERROR( VLOOKUP($A683,'SUPPLIER DATA BASE'!$A$2:$G$936,4,0),""))</f>
        <v>30</v>
      </c>
      <c r="E683" s="71">
        <f>IF($A$3=" "," ", IFERROR( VLOOKUP($A683,'SUPPLIER DATA BASE'!$A$2:$H$936,5,0),""))</f>
        <v>0.09</v>
      </c>
      <c r="F683" s="72">
        <v>434.0</v>
      </c>
      <c r="G683" s="73">
        <v>46110.0</v>
      </c>
      <c r="H683" s="74">
        <v>4.0</v>
      </c>
      <c r="I683" s="75">
        <v>15939.0</v>
      </c>
      <c r="J683" s="76" t="s">
        <v>2130</v>
      </c>
      <c r="K683" s="70" t="s">
        <v>349</v>
      </c>
      <c r="L683" s="70" t="s">
        <v>349</v>
      </c>
      <c r="M683" s="70" t="str">
        <f t="shared" si="3"/>
        <v>78 Days</v>
      </c>
      <c r="N683" s="70" t="str">
        <f>IF($A$3=" "," ", IFERROR( VLOOKUP($A683,'SUPPLIER DATA BASE'!$A$2:$O$936,11,0),""))</f>
        <v>AS TEXTILE</v>
      </c>
      <c r="O683" s="70" t="str">
        <f>IF($A$3=" "," ", IFERROR( VLOOKUP($A683,'SUPPLIER DATA BASE'!$A$2:$O$936,12,0),""))</f>
        <v>50200012846193</v>
      </c>
      <c r="P683" s="70" t="str">
        <f>IF($A$3=" "," ", IFERROR( VLOOKUP($A683,'SUPPLIER DATA BASE'!$A$2:$O$936,13,0),""))</f>
        <v>HDFC0001249</v>
      </c>
      <c r="Q683" s="77"/>
      <c r="R683" s="73"/>
      <c r="S683" s="77"/>
      <c r="T683" s="70"/>
      <c r="U683" s="78"/>
      <c r="V683" s="70" t="str">
        <f t="shared" si="6"/>
        <v>FY 25-26</v>
      </c>
      <c r="W683" s="23"/>
      <c r="X683" s="23"/>
    </row>
    <row r="684">
      <c r="A684" s="70" t="s">
        <v>723</v>
      </c>
      <c r="B684" s="70" t="str">
        <f>IF($A$3=" "," ", IFERROR( VLOOKUP($A684,'SUPPLIER DATA BASE'!$A$2:$M$936,3,0),""))</f>
        <v>-</v>
      </c>
      <c r="C684" s="70" t="str">
        <f>IF($A$3=" "," ", IFERROR( VLOOKUP($A684,'SUPPLIER DATA BASE'!$A$2:$F$936,6,0),""))</f>
        <v>-</v>
      </c>
      <c r="D684" s="70" t="str">
        <f>IF($A$3=" "," ", IFERROR( VLOOKUP($A684,'SUPPLIER DATA BASE'!$A$2:$G$936,4,0),""))</f>
        <v>-</v>
      </c>
      <c r="E684" s="71" t="str">
        <f>IF($A$3=" "," ", IFERROR( VLOOKUP($A684,'SUPPLIER DATA BASE'!$A$2:$H$936,5,0),""))</f>
        <v>-</v>
      </c>
      <c r="F684" s="72" t="s">
        <v>2131</v>
      </c>
      <c r="G684" s="73">
        <v>46110.0</v>
      </c>
      <c r="H684" s="74">
        <v>69.0</v>
      </c>
      <c r="I684" s="75">
        <v>39980.0</v>
      </c>
      <c r="J684" s="76" t="s">
        <v>2132</v>
      </c>
      <c r="K684" s="70"/>
      <c r="L684" s="73"/>
      <c r="M684" s="70" t="str">
        <f t="shared" si="3"/>
        <v>78 Days</v>
      </c>
      <c r="N684" s="70" t="str">
        <f>IF($A$3=" "," ", IFERROR( VLOOKUP($A684,'SUPPLIER DATA BASE'!$A$2:$O$936,11,0),""))</f>
        <v>-</v>
      </c>
      <c r="O684" s="70" t="str">
        <f>IF($A$3=" "," ", IFERROR( VLOOKUP($A684,'SUPPLIER DATA BASE'!$A$2:$O$936,12,0),""))</f>
        <v>-</v>
      </c>
      <c r="P684" s="70" t="str">
        <f>IF($A$3=" "," ", IFERROR( VLOOKUP($A684,'SUPPLIER DATA BASE'!$A$2:$O$936,13,0),""))</f>
        <v>-</v>
      </c>
      <c r="Q684" s="77"/>
      <c r="R684" s="73"/>
      <c r="S684" s="77"/>
      <c r="T684" s="70"/>
      <c r="U684" s="78"/>
      <c r="V684" s="70" t="str">
        <f t="shared" si="6"/>
        <v>FY 25-26</v>
      </c>
      <c r="W684" s="23"/>
      <c r="X684" s="23"/>
    </row>
    <row r="685">
      <c r="A685" s="70" t="s">
        <v>761</v>
      </c>
      <c r="B685" s="70" t="str">
        <f>IF($A$3=" "," ", IFERROR( VLOOKUP($A685,'SUPPLIER DATA BASE'!$A$2:$M$936,3,0),""))</f>
        <v>JOCKEY, LIBAS, ROCKIT, INTIGRITI, AMERICAN TOURISTER</v>
      </c>
      <c r="C685" s="70" t="str">
        <f>IF($A$3=" "," ", IFERROR( VLOOKUP($A685,'SUPPLIER DATA BASE'!$A$2:$F$936,6,0),""))</f>
        <v>DIRECT</v>
      </c>
      <c r="D685" s="70">
        <f>IF($A$3=" "," ", IFERROR( VLOOKUP($A685,'SUPPLIER DATA BASE'!$A$2:$G$936,4,0),""))</f>
        <v>7</v>
      </c>
      <c r="E685" s="71">
        <f>IF($A$3=" "," ", IFERROR( VLOOKUP($A685,'SUPPLIER DATA BASE'!$A$2:$H$936,5,0),""))</f>
        <v>0.02</v>
      </c>
      <c r="F685" s="72" t="s">
        <v>2133</v>
      </c>
      <c r="G685" s="73">
        <v>46111.0</v>
      </c>
      <c r="H685" s="74">
        <v>293.0</v>
      </c>
      <c r="I685" s="75">
        <v>205951.0</v>
      </c>
      <c r="J685" s="76" t="s">
        <v>2134</v>
      </c>
      <c r="K685" s="70" t="s">
        <v>349</v>
      </c>
      <c r="L685" s="70" t="s">
        <v>349</v>
      </c>
      <c r="M685" s="70" t="str">
        <f t="shared" si="3"/>
        <v>77 Days</v>
      </c>
      <c r="N685" s="70" t="str">
        <f>IF($A$3=" "," ", IFERROR( VLOOKUP($A685,'SUPPLIER DATA BASE'!$A$2:$O$936,11,0),""))</f>
        <v>TAYAL GARMENTS PVT. LTD.</v>
      </c>
      <c r="O685" s="70" t="str">
        <f>IF($A$3=" "," ", IFERROR( VLOOKUP($A685,'SUPPLIER DATA BASE'!$A$2:$O$936,12,0),""))</f>
        <v>1199911999</v>
      </c>
      <c r="P685" s="70" t="str">
        <f>IF($A$3=" "," ", IFERROR( VLOOKUP($A685,'SUPPLIER DATA BASE'!$A$2:$O$936,13,0),""))</f>
        <v>KKBK0005632</v>
      </c>
      <c r="Q685" s="77"/>
      <c r="R685" s="73"/>
      <c r="S685" s="77"/>
      <c r="T685" s="70"/>
      <c r="U685" s="78"/>
      <c r="V685" s="70" t="str">
        <f t="shared" si="6"/>
        <v>FY 25-26</v>
      </c>
      <c r="W685" s="23"/>
      <c r="X685" s="23"/>
    </row>
    <row r="686">
      <c r="A686" s="70" t="s">
        <v>406</v>
      </c>
      <c r="B686" s="70" t="str">
        <f>IF($A$3=" "," ", IFERROR( VLOOKUP($A686,'SUPPLIER DATA BASE'!$A$2:$M$936,3,0),""))</f>
        <v>SWEET DREAMS</v>
      </c>
      <c r="C686" s="70" t="str">
        <f>IF($A$3=" "," ", IFERROR( VLOOKUP($A686,'SUPPLIER DATA BASE'!$A$2:$F$936,6,0),""))</f>
        <v>-</v>
      </c>
      <c r="D686" s="70" t="str">
        <f>IF($A$3=" "," ", IFERROR( VLOOKUP($A686,'SUPPLIER DATA BASE'!$A$2:$G$936,4,0),""))</f>
        <v>NO</v>
      </c>
      <c r="E686" s="71" t="str">
        <f>IF($A$3=" "," ", IFERROR( VLOOKUP($A686,'SUPPLIER DATA BASE'!$A$2:$H$936,5,0),""))</f>
        <v>-</v>
      </c>
      <c r="F686" s="72" t="s">
        <v>2135</v>
      </c>
      <c r="G686" s="73">
        <v>46112.0</v>
      </c>
      <c r="H686" s="74">
        <v>49.0</v>
      </c>
      <c r="I686" s="75">
        <v>31284.0</v>
      </c>
      <c r="J686" s="76" t="s">
        <v>2136</v>
      </c>
      <c r="K686" s="70" t="s">
        <v>349</v>
      </c>
      <c r="L686" s="70" t="s">
        <v>349</v>
      </c>
      <c r="M686" s="70" t="str">
        <f t="shared" si="3"/>
        <v>76 Days</v>
      </c>
      <c r="N686" s="70" t="str">
        <f>IF($A$3=" "," ", IFERROR( VLOOKUP($A686,'SUPPLIER DATA BASE'!$A$2:$O$936,11,0),""))</f>
        <v>D D APPARELS</v>
      </c>
      <c r="O686" s="70" t="str">
        <f>IF($A$3=" "," ", IFERROR( VLOOKUP($A686,'SUPPLIER DATA BASE'!$A$2:$O$936,12,0),""))</f>
        <v>029205007835</v>
      </c>
      <c r="P686" s="70" t="str">
        <f>IF($A$3=" "," ", IFERROR( VLOOKUP($A686,'SUPPLIER DATA BASE'!$A$2:$O$936,13,0),""))</f>
        <v>ICIC0000292</v>
      </c>
      <c r="Q686" s="77"/>
      <c r="R686" s="73"/>
      <c r="S686" s="77"/>
      <c r="T686" s="70"/>
      <c r="U686" s="78"/>
      <c r="V686" s="70" t="str">
        <f t="shared" si="6"/>
        <v>FY 25-26</v>
      </c>
      <c r="W686" s="23"/>
      <c r="X686" s="23"/>
    </row>
    <row r="687">
      <c r="A687" s="70" t="s">
        <v>789</v>
      </c>
      <c r="B687" s="70" t="str">
        <f>IF($A$3=" "," ", IFERROR( VLOOKUP($A687,'SUPPLIER DATA BASE'!$A$2:$M$936,3,0),""))</f>
        <v>-</v>
      </c>
      <c r="C687" s="70" t="str">
        <f>IF($A$3=" "," ", IFERROR( VLOOKUP($A687,'SUPPLIER DATA BASE'!$A$2:$F$936,6,0),""))</f>
        <v>-</v>
      </c>
      <c r="D687" s="70" t="str">
        <f>IF($A$3=" "," ", IFERROR( VLOOKUP($A687,'SUPPLIER DATA BASE'!$A$2:$G$936,4,0),""))</f>
        <v>-</v>
      </c>
      <c r="E687" s="71" t="str">
        <f>IF($A$3=" "," ", IFERROR( VLOOKUP($A687,'SUPPLIER DATA BASE'!$A$2:$H$936,5,0),""))</f>
        <v>-</v>
      </c>
      <c r="F687" s="72">
        <v>46438.0</v>
      </c>
      <c r="G687" s="73">
        <v>46112.0</v>
      </c>
      <c r="H687" s="74">
        <v>3.0</v>
      </c>
      <c r="I687" s="75">
        <v>8043.0</v>
      </c>
      <c r="J687" s="76" t="s">
        <v>2137</v>
      </c>
      <c r="K687" s="70" t="s">
        <v>349</v>
      </c>
      <c r="L687" s="70" t="s">
        <v>349</v>
      </c>
      <c r="M687" s="70" t="str">
        <f t="shared" si="3"/>
        <v>76 Days</v>
      </c>
      <c r="N687" s="70" t="str">
        <f>IF($A$3=" "," ", IFERROR( VLOOKUP($A687,'SUPPLIER DATA BASE'!$A$2:$O$936,11,0),""))</f>
        <v>-</v>
      </c>
      <c r="O687" s="70" t="str">
        <f>IF($A$3=" "," ", IFERROR( VLOOKUP($A687,'SUPPLIER DATA BASE'!$A$2:$O$936,12,0),""))</f>
        <v>-</v>
      </c>
      <c r="P687" s="70" t="str">
        <f>IF($A$3=" "," ", IFERROR( VLOOKUP($A687,'SUPPLIER DATA BASE'!$A$2:$O$936,13,0),""))</f>
        <v>-</v>
      </c>
      <c r="Q687" s="77"/>
      <c r="R687" s="73"/>
      <c r="S687" s="77"/>
      <c r="T687" s="70"/>
      <c r="U687" s="78"/>
      <c r="V687" s="70" t="str">
        <f t="shared" si="6"/>
        <v>FY 25-26</v>
      </c>
      <c r="W687" s="23"/>
      <c r="X687" s="23"/>
    </row>
    <row r="688">
      <c r="A688" s="70" t="s">
        <v>789</v>
      </c>
      <c r="B688" s="70" t="str">
        <f>IF($A$3=" "," ", IFERROR( VLOOKUP($A688,'SUPPLIER DATA BASE'!$A$2:$M$936,3,0),""))</f>
        <v>-</v>
      </c>
      <c r="C688" s="70" t="str">
        <f>IF($A$3=" "," ", IFERROR( VLOOKUP($A688,'SUPPLIER DATA BASE'!$A$2:$F$936,6,0),""))</f>
        <v>-</v>
      </c>
      <c r="D688" s="70" t="str">
        <f>IF($A$3=" "," ", IFERROR( VLOOKUP($A688,'SUPPLIER DATA BASE'!$A$2:$G$936,4,0),""))</f>
        <v>-</v>
      </c>
      <c r="E688" s="71" t="str">
        <f>IF($A$3=" "," ", IFERROR( VLOOKUP($A688,'SUPPLIER DATA BASE'!$A$2:$H$936,5,0),""))</f>
        <v>-</v>
      </c>
      <c r="F688" s="72">
        <v>46470.0</v>
      </c>
      <c r="G688" s="73">
        <v>46112.0</v>
      </c>
      <c r="H688" s="74">
        <v>19.0</v>
      </c>
      <c r="I688" s="75">
        <v>44422.0</v>
      </c>
      <c r="J688" s="76" t="s">
        <v>2138</v>
      </c>
      <c r="K688" s="70" t="s">
        <v>349</v>
      </c>
      <c r="L688" s="70" t="s">
        <v>349</v>
      </c>
      <c r="M688" s="70" t="str">
        <f t="shared" si="3"/>
        <v>76 Days</v>
      </c>
      <c r="N688" s="70" t="str">
        <f>IF($A$3=" "," ", IFERROR( VLOOKUP($A688,'SUPPLIER DATA BASE'!$A$2:$O$936,11,0),""))</f>
        <v>-</v>
      </c>
      <c r="O688" s="70" t="str">
        <f>IF($A$3=" "," ", IFERROR( VLOOKUP($A688,'SUPPLIER DATA BASE'!$A$2:$O$936,12,0),""))</f>
        <v>-</v>
      </c>
      <c r="P688" s="70" t="str">
        <f>IF($A$3=" "," ", IFERROR( VLOOKUP($A688,'SUPPLIER DATA BASE'!$A$2:$O$936,13,0),""))</f>
        <v>-</v>
      </c>
      <c r="Q688" s="77"/>
      <c r="R688" s="73"/>
      <c r="S688" s="77"/>
      <c r="T688" s="70"/>
      <c r="U688" s="78"/>
      <c r="V688" s="70" t="str">
        <f t="shared" si="6"/>
        <v>FY 25-26</v>
      </c>
      <c r="W688" s="23"/>
      <c r="X688" s="23"/>
    </row>
    <row r="689">
      <c r="A689" s="70" t="s">
        <v>789</v>
      </c>
      <c r="B689" s="70" t="str">
        <f>IF($A$3=" "," ", IFERROR( VLOOKUP($A689,'SUPPLIER DATA BASE'!$A$2:$M$936,3,0),""))</f>
        <v>-</v>
      </c>
      <c r="C689" s="70" t="str">
        <f>IF($A$3=" "," ", IFERROR( VLOOKUP($A689,'SUPPLIER DATA BASE'!$A$2:$F$936,6,0),""))</f>
        <v>-</v>
      </c>
      <c r="D689" s="70" t="str">
        <f>IF($A$3=" "," ", IFERROR( VLOOKUP($A689,'SUPPLIER DATA BASE'!$A$2:$G$936,4,0),""))</f>
        <v>-</v>
      </c>
      <c r="E689" s="71" t="str">
        <f>IF($A$3=" "," ", IFERROR( VLOOKUP($A689,'SUPPLIER DATA BASE'!$A$2:$H$936,5,0),""))</f>
        <v>-</v>
      </c>
      <c r="F689" s="72">
        <v>46468.0</v>
      </c>
      <c r="G689" s="73">
        <v>46112.0</v>
      </c>
      <c r="H689" s="74">
        <v>20.0</v>
      </c>
      <c r="I689" s="75">
        <v>37298.0</v>
      </c>
      <c r="J689" s="76" t="s">
        <v>2139</v>
      </c>
      <c r="K689" s="70" t="s">
        <v>349</v>
      </c>
      <c r="L689" s="70" t="s">
        <v>349</v>
      </c>
      <c r="M689" s="70" t="str">
        <f t="shared" si="3"/>
        <v>76 Days</v>
      </c>
      <c r="N689" s="70" t="str">
        <f>IF($A$3=" "," ", IFERROR( VLOOKUP($A689,'SUPPLIER DATA BASE'!$A$2:$O$936,11,0),""))</f>
        <v>-</v>
      </c>
      <c r="O689" s="70" t="str">
        <f>IF($A$3=" "," ", IFERROR( VLOOKUP($A689,'SUPPLIER DATA BASE'!$A$2:$O$936,12,0),""))</f>
        <v>-</v>
      </c>
      <c r="P689" s="70" t="str">
        <f>IF($A$3=" "," ", IFERROR( VLOOKUP($A689,'SUPPLIER DATA BASE'!$A$2:$O$936,13,0),""))</f>
        <v>-</v>
      </c>
      <c r="Q689" s="77"/>
      <c r="R689" s="73"/>
      <c r="S689" s="77"/>
      <c r="T689" s="70"/>
      <c r="U689" s="78"/>
      <c r="V689" s="70" t="str">
        <f t="shared" si="6"/>
        <v>FY 25-26</v>
      </c>
      <c r="W689" s="23"/>
      <c r="X689" s="23"/>
    </row>
    <row r="690">
      <c r="A690" s="70" t="s">
        <v>354</v>
      </c>
      <c r="B690" s="70" t="str">
        <f>IF($A$3=" "," ", IFERROR( VLOOKUP($A690,'SUPPLIER DATA BASE'!$A$2:$M$936,3,0),""))</f>
        <v>-</v>
      </c>
      <c r="C690" s="70" t="str">
        <f>IF($A$3=" "," ", IFERROR( VLOOKUP($A690,'SUPPLIER DATA BASE'!$A$2:$F$936,6,0),""))</f>
        <v>-</v>
      </c>
      <c r="D690" s="70" t="str">
        <f>IF($A$3=" "," ", IFERROR( VLOOKUP($A690,'SUPPLIER DATA BASE'!$A$2:$G$936,4,0),""))</f>
        <v>-</v>
      </c>
      <c r="E690" s="71" t="str">
        <f>IF($A$3=" "," ", IFERROR( VLOOKUP($A690,'SUPPLIER DATA BASE'!$A$2:$H$936,5,0),""))</f>
        <v>-</v>
      </c>
      <c r="F690" s="72" t="s">
        <v>2140</v>
      </c>
      <c r="G690" s="73">
        <v>46112.0</v>
      </c>
      <c r="H690" s="74">
        <v>72.0</v>
      </c>
      <c r="I690" s="75">
        <v>97220.73</v>
      </c>
      <c r="J690" s="76" t="s">
        <v>2141</v>
      </c>
      <c r="K690" s="70" t="s">
        <v>349</v>
      </c>
      <c r="L690" s="70" t="s">
        <v>349</v>
      </c>
      <c r="M690" s="70" t="str">
        <f t="shared" si="3"/>
        <v>76 Days</v>
      </c>
      <c r="N690" s="70" t="str">
        <f>IF($A$3=" "," ", IFERROR( VLOOKUP($A690,'SUPPLIER DATA BASE'!$A$2:$O$936,11,0),""))</f>
        <v>-</v>
      </c>
      <c r="O690" s="70" t="str">
        <f>IF($A$3=" "," ", IFERROR( VLOOKUP($A690,'SUPPLIER DATA BASE'!$A$2:$O$936,12,0),""))</f>
        <v>-</v>
      </c>
      <c r="P690" s="70" t="str">
        <f>IF($A$3=" "," ", IFERROR( VLOOKUP($A690,'SUPPLIER DATA BASE'!$A$2:$O$936,13,0),""))</f>
        <v>-</v>
      </c>
      <c r="Q690" s="77"/>
      <c r="R690" s="73"/>
      <c r="S690" s="77"/>
      <c r="T690" s="70"/>
      <c r="U690" s="78"/>
      <c r="V690" s="70" t="str">
        <f t="shared" si="6"/>
        <v>FY 25-26</v>
      </c>
      <c r="W690" s="23"/>
      <c r="X690" s="23"/>
    </row>
    <row r="691">
      <c r="A691" s="70" t="s">
        <v>354</v>
      </c>
      <c r="B691" s="70" t="str">
        <f>IF($A$3=" "," ", IFERROR( VLOOKUP($A691,'SUPPLIER DATA BASE'!$A$2:$M$936,3,0),""))</f>
        <v>-</v>
      </c>
      <c r="C691" s="70" t="str">
        <f>IF($A$3=" "," ", IFERROR( VLOOKUP($A691,'SUPPLIER DATA BASE'!$A$2:$F$936,6,0),""))</f>
        <v>-</v>
      </c>
      <c r="D691" s="70" t="str">
        <f>IF($A$3=" "," ", IFERROR( VLOOKUP($A691,'SUPPLIER DATA BASE'!$A$2:$G$936,4,0),""))</f>
        <v>-</v>
      </c>
      <c r="E691" s="71" t="str">
        <f>IF($A$3=" "," ", IFERROR( VLOOKUP($A691,'SUPPLIER DATA BASE'!$A$2:$H$936,5,0),""))</f>
        <v>-</v>
      </c>
      <c r="F691" s="72" t="s">
        <v>2142</v>
      </c>
      <c r="G691" s="73">
        <v>46112.0</v>
      </c>
      <c r="H691" s="74">
        <v>173.0</v>
      </c>
      <c r="I691" s="75">
        <v>216722.51</v>
      </c>
      <c r="J691" s="76" t="s">
        <v>2143</v>
      </c>
      <c r="K691" s="70" t="s">
        <v>349</v>
      </c>
      <c r="L691" s="70" t="s">
        <v>349</v>
      </c>
      <c r="M691" s="70" t="str">
        <f t="shared" si="3"/>
        <v>76 Days</v>
      </c>
      <c r="N691" s="70" t="str">
        <f>IF($A$3=" "," ", IFERROR( VLOOKUP($A691,'SUPPLIER DATA BASE'!$A$2:$O$936,11,0),""))</f>
        <v>-</v>
      </c>
      <c r="O691" s="70" t="str">
        <f>IF($A$3=" "," ", IFERROR( VLOOKUP($A691,'SUPPLIER DATA BASE'!$A$2:$O$936,12,0),""))</f>
        <v>-</v>
      </c>
      <c r="P691" s="70" t="str">
        <f>IF($A$3=" "," ", IFERROR( VLOOKUP($A691,'SUPPLIER DATA BASE'!$A$2:$O$936,13,0),""))</f>
        <v>-</v>
      </c>
      <c r="Q691" s="77"/>
      <c r="R691" s="73"/>
      <c r="S691" s="77"/>
      <c r="T691" s="70"/>
      <c r="U691" s="78"/>
      <c r="V691" s="70" t="str">
        <f t="shared" si="6"/>
        <v>FY 25-26</v>
      </c>
      <c r="W691" s="23"/>
      <c r="X691" s="23"/>
    </row>
    <row r="692">
      <c r="A692" s="70" t="s">
        <v>354</v>
      </c>
      <c r="B692" s="70" t="str">
        <f>IF($A$3=" "," ", IFERROR( VLOOKUP($A692,'SUPPLIER DATA BASE'!$A$2:$M$936,3,0),""))</f>
        <v>-</v>
      </c>
      <c r="C692" s="70" t="str">
        <f>IF($A$3=" "," ", IFERROR( VLOOKUP($A692,'SUPPLIER DATA BASE'!$A$2:$F$936,6,0),""))</f>
        <v>-</v>
      </c>
      <c r="D692" s="70" t="str">
        <f>IF($A$3=" "," ", IFERROR( VLOOKUP($A692,'SUPPLIER DATA BASE'!$A$2:$G$936,4,0),""))</f>
        <v>-</v>
      </c>
      <c r="E692" s="71" t="str">
        <f>IF($A$3=" "," ", IFERROR( VLOOKUP($A692,'SUPPLIER DATA BASE'!$A$2:$H$936,5,0),""))</f>
        <v>-</v>
      </c>
      <c r="F692" s="72" t="s">
        <v>2144</v>
      </c>
      <c r="G692" s="73">
        <v>46112.0</v>
      </c>
      <c r="H692" s="74">
        <v>3.0</v>
      </c>
      <c r="I692" s="75">
        <v>16331.55</v>
      </c>
      <c r="J692" s="76" t="s">
        <v>2145</v>
      </c>
      <c r="K692" s="70" t="s">
        <v>349</v>
      </c>
      <c r="L692" s="70" t="s">
        <v>349</v>
      </c>
      <c r="M692" s="70" t="str">
        <f t="shared" si="3"/>
        <v>76 Days</v>
      </c>
      <c r="N692" s="70" t="str">
        <f>IF($A$3=" "," ", IFERROR( VLOOKUP($A692,'SUPPLIER DATA BASE'!$A$2:$O$936,11,0),""))</f>
        <v>-</v>
      </c>
      <c r="O692" s="70" t="str">
        <f>IF($A$3=" "," ", IFERROR( VLOOKUP($A692,'SUPPLIER DATA BASE'!$A$2:$O$936,12,0),""))</f>
        <v>-</v>
      </c>
      <c r="P692" s="70" t="str">
        <f>IF($A$3=" "," ", IFERROR( VLOOKUP($A692,'SUPPLIER DATA BASE'!$A$2:$O$936,13,0),""))</f>
        <v>-</v>
      </c>
      <c r="Q692" s="77"/>
      <c r="R692" s="73"/>
      <c r="S692" s="77"/>
      <c r="T692" s="70"/>
      <c r="U692" s="78"/>
      <c r="V692" s="70" t="str">
        <f t="shared" si="6"/>
        <v>FY 25-26</v>
      </c>
      <c r="W692" s="23"/>
      <c r="X692" s="23"/>
    </row>
    <row r="693">
      <c r="A693" s="70" t="s">
        <v>717</v>
      </c>
      <c r="B693" s="70" t="str">
        <f>IF($A$3=" "," ", IFERROR( VLOOKUP($A693,'SUPPLIER DATA BASE'!$A$2:$M$936,3,0),""))</f>
        <v>MINELLI</v>
      </c>
      <c r="C693" s="70" t="str">
        <f>IF($A$3=" "," ", IFERROR( VLOOKUP($A693,'SUPPLIER DATA BASE'!$A$2:$F$936,6,0),""))</f>
        <v>-</v>
      </c>
      <c r="D693" s="70">
        <f>IF($A$3=" "," ", IFERROR( VLOOKUP($A693,'SUPPLIER DATA BASE'!$A$2:$G$936,4,0),""))</f>
        <v>45</v>
      </c>
      <c r="E693" s="71">
        <f>IF($A$3=" "," ", IFERROR( VLOOKUP($A693,'SUPPLIER DATA BASE'!$A$2:$H$936,5,0),""))</f>
        <v>0.1</v>
      </c>
      <c r="F693" s="72" t="s">
        <v>2146</v>
      </c>
      <c r="G693" s="73">
        <v>46112.0</v>
      </c>
      <c r="H693" s="74">
        <v>10.0</v>
      </c>
      <c r="I693" s="75">
        <v>16101.0</v>
      </c>
      <c r="J693" s="76" t="s">
        <v>2147</v>
      </c>
      <c r="K693" s="70" t="s">
        <v>349</v>
      </c>
      <c r="L693" s="70" t="s">
        <v>349</v>
      </c>
      <c r="M693" s="70" t="str">
        <f t="shared" si="3"/>
        <v>76 Days</v>
      </c>
      <c r="N693" s="70" t="str">
        <f>IF($A$3=" "," ", IFERROR( VLOOKUP($A693,'SUPPLIER DATA BASE'!$A$2:$O$936,11,0),""))</f>
        <v>SHUBH SHRI CLOTHING PVT LTD</v>
      </c>
      <c r="O693" s="70" t="str">
        <f>IF($A$3=" "," ", IFERROR( VLOOKUP($A693,'SUPPLIER DATA BASE'!$A$2:$O$936,12,0),""))</f>
        <v>002225010000006</v>
      </c>
      <c r="P693" s="70" t="str">
        <f>IF($A$3=" "," ", IFERROR( VLOOKUP($A693,'SUPPLIER DATA BASE'!$A$2:$O$936,13,0),""))</f>
        <v>UBIN0900222</v>
      </c>
      <c r="Q693" s="77"/>
      <c r="R693" s="73"/>
      <c r="S693" s="77"/>
      <c r="T693" s="70"/>
      <c r="U693" s="78"/>
      <c r="V693" s="70" t="str">
        <f t="shared" si="6"/>
        <v>FY 25-26</v>
      </c>
      <c r="W693" s="23"/>
      <c r="X693" s="23"/>
    </row>
    <row r="694">
      <c r="A694" s="70" t="s">
        <v>354</v>
      </c>
      <c r="B694" s="70" t="str">
        <f>IF($A$3=" "," ", IFERROR( VLOOKUP($A694,'SUPPLIER DATA BASE'!$A$2:$M$936,3,0),""))</f>
        <v>-</v>
      </c>
      <c r="C694" s="70" t="str">
        <f>IF($A$3=" "," ", IFERROR( VLOOKUP($A694,'SUPPLIER DATA BASE'!$A$2:$F$936,6,0),""))</f>
        <v>-</v>
      </c>
      <c r="D694" s="70" t="str">
        <f>IF($A$3=" "," ", IFERROR( VLOOKUP($A694,'SUPPLIER DATA BASE'!$A$2:$G$936,4,0),""))</f>
        <v>-</v>
      </c>
      <c r="E694" s="71" t="str">
        <f>IF($A$3=" "," ", IFERROR( VLOOKUP($A694,'SUPPLIER DATA BASE'!$A$2:$H$936,5,0),""))</f>
        <v>-</v>
      </c>
      <c r="F694" s="72" t="s">
        <v>2148</v>
      </c>
      <c r="G694" s="73">
        <v>46112.0</v>
      </c>
      <c r="H694" s="74">
        <v>2.0</v>
      </c>
      <c r="I694" s="75">
        <v>2738.64</v>
      </c>
      <c r="J694" s="76" t="s">
        <v>2149</v>
      </c>
      <c r="K694" s="70" t="s">
        <v>349</v>
      </c>
      <c r="L694" s="70" t="s">
        <v>349</v>
      </c>
      <c r="M694" s="70" t="str">
        <f t="shared" si="3"/>
        <v>76 Days</v>
      </c>
      <c r="N694" s="70" t="str">
        <f>IF($A$3=" "," ", IFERROR( VLOOKUP($A694,'SUPPLIER DATA BASE'!$A$2:$O$936,11,0),""))</f>
        <v>-</v>
      </c>
      <c r="O694" s="70" t="str">
        <f>IF($A$3=" "," ", IFERROR( VLOOKUP($A694,'SUPPLIER DATA BASE'!$A$2:$O$936,12,0),""))</f>
        <v>-</v>
      </c>
      <c r="P694" s="70" t="str">
        <f>IF($A$3=" "," ", IFERROR( VLOOKUP($A694,'SUPPLIER DATA BASE'!$A$2:$O$936,13,0),""))</f>
        <v>-</v>
      </c>
      <c r="Q694" s="77"/>
      <c r="R694" s="73"/>
      <c r="S694" s="77"/>
      <c r="T694" s="70"/>
      <c r="U694" s="78"/>
      <c r="V694" s="70" t="str">
        <f t="shared" si="6"/>
        <v>FY 25-26</v>
      </c>
      <c r="W694" s="23"/>
      <c r="X694" s="23"/>
    </row>
    <row r="695">
      <c r="A695" s="70" t="s">
        <v>354</v>
      </c>
      <c r="B695" s="70" t="str">
        <f>IF($A$3=" "," ", IFERROR( VLOOKUP($A695,'SUPPLIER DATA BASE'!$A$2:$M$936,3,0),""))</f>
        <v>-</v>
      </c>
      <c r="C695" s="70" t="str">
        <f>IF($A$3=" "," ", IFERROR( VLOOKUP($A695,'SUPPLIER DATA BASE'!$A$2:$F$936,6,0),""))</f>
        <v>-</v>
      </c>
      <c r="D695" s="70" t="str">
        <f>IF($A$3=" "," ", IFERROR( VLOOKUP($A695,'SUPPLIER DATA BASE'!$A$2:$G$936,4,0),""))</f>
        <v>-</v>
      </c>
      <c r="E695" s="71" t="str">
        <f>IF($A$3=" "," ", IFERROR( VLOOKUP($A695,'SUPPLIER DATA BASE'!$A$2:$H$936,5,0),""))</f>
        <v>-</v>
      </c>
      <c r="F695" s="72" t="s">
        <v>2150</v>
      </c>
      <c r="G695" s="73">
        <v>46112.0</v>
      </c>
      <c r="H695" s="74">
        <v>14.0</v>
      </c>
      <c r="I695" s="75">
        <v>15608.43</v>
      </c>
      <c r="J695" s="76" t="s">
        <v>2151</v>
      </c>
      <c r="K695" s="70" t="s">
        <v>349</v>
      </c>
      <c r="L695" s="70" t="s">
        <v>349</v>
      </c>
      <c r="M695" s="70" t="str">
        <f t="shared" si="3"/>
        <v>76 Days</v>
      </c>
      <c r="N695" s="70" t="str">
        <f>IF($A$3=" "," ", IFERROR( VLOOKUP($A695,'SUPPLIER DATA BASE'!$A$2:$O$936,11,0),""))</f>
        <v>-</v>
      </c>
      <c r="O695" s="70" t="str">
        <f>IF($A$3=" "," ", IFERROR( VLOOKUP($A695,'SUPPLIER DATA BASE'!$A$2:$O$936,12,0),""))</f>
        <v>-</v>
      </c>
      <c r="P695" s="70" t="str">
        <f>IF($A$3=" "," ", IFERROR( VLOOKUP($A695,'SUPPLIER DATA BASE'!$A$2:$O$936,13,0),""))</f>
        <v>-</v>
      </c>
      <c r="Q695" s="77"/>
      <c r="R695" s="73"/>
      <c r="S695" s="77"/>
      <c r="T695" s="70"/>
      <c r="U695" s="78"/>
      <c r="V695" s="70" t="str">
        <f t="shared" si="6"/>
        <v>FY 25-26</v>
      </c>
      <c r="W695" s="23"/>
      <c r="X695" s="23"/>
    </row>
    <row r="696">
      <c r="A696" s="70" t="s">
        <v>354</v>
      </c>
      <c r="B696" s="70" t="str">
        <f>IF($A$3=" "," ", IFERROR( VLOOKUP($A696,'SUPPLIER DATA BASE'!$A$2:$M$936,3,0),""))</f>
        <v>-</v>
      </c>
      <c r="C696" s="70" t="str">
        <f>IF($A$3=" "," ", IFERROR( VLOOKUP($A696,'SUPPLIER DATA BASE'!$A$2:$F$936,6,0),""))</f>
        <v>-</v>
      </c>
      <c r="D696" s="70" t="str">
        <f>IF($A$3=" "," ", IFERROR( VLOOKUP($A696,'SUPPLIER DATA BASE'!$A$2:$G$936,4,0),""))</f>
        <v>-</v>
      </c>
      <c r="E696" s="71" t="str">
        <f>IF($A$3=" "," ", IFERROR( VLOOKUP($A696,'SUPPLIER DATA BASE'!$A$2:$H$936,5,0),""))</f>
        <v>-</v>
      </c>
      <c r="F696" s="72" t="s">
        <v>2152</v>
      </c>
      <c r="G696" s="73">
        <v>46112.0</v>
      </c>
      <c r="H696" s="74">
        <v>7.0</v>
      </c>
      <c r="I696" s="75">
        <v>10612.73</v>
      </c>
      <c r="J696" s="76" t="s">
        <v>2153</v>
      </c>
      <c r="K696" s="70" t="s">
        <v>349</v>
      </c>
      <c r="L696" s="70" t="s">
        <v>349</v>
      </c>
      <c r="M696" s="70" t="str">
        <f t="shared" si="3"/>
        <v>76 Days</v>
      </c>
      <c r="N696" s="70" t="str">
        <f>IF($A$3=" "," ", IFERROR( VLOOKUP($A696,'SUPPLIER DATA BASE'!$A$2:$O$936,11,0),""))</f>
        <v>-</v>
      </c>
      <c r="O696" s="70" t="str">
        <f>IF($A$3=" "," ", IFERROR( VLOOKUP($A696,'SUPPLIER DATA BASE'!$A$2:$O$936,12,0),""))</f>
        <v>-</v>
      </c>
      <c r="P696" s="70" t="str">
        <f>IF($A$3=" "," ", IFERROR( VLOOKUP($A696,'SUPPLIER DATA BASE'!$A$2:$O$936,13,0),""))</f>
        <v>-</v>
      </c>
      <c r="Q696" s="77"/>
      <c r="R696" s="73"/>
      <c r="S696" s="77"/>
      <c r="T696" s="70"/>
      <c r="U696" s="78"/>
      <c r="V696" s="70" t="str">
        <f t="shared" si="6"/>
        <v>FY 25-26</v>
      </c>
      <c r="W696" s="23"/>
      <c r="X696" s="23"/>
    </row>
    <row r="697">
      <c r="A697" s="70" t="s">
        <v>354</v>
      </c>
      <c r="B697" s="70" t="str">
        <f>IF($A$3=" "," ", IFERROR( VLOOKUP($A697,'SUPPLIER DATA BASE'!$A$2:$M$936,3,0),""))</f>
        <v>-</v>
      </c>
      <c r="C697" s="70" t="str">
        <f>IF($A$3=" "," ", IFERROR( VLOOKUP($A697,'SUPPLIER DATA BASE'!$A$2:$F$936,6,0),""))</f>
        <v>-</v>
      </c>
      <c r="D697" s="70" t="str">
        <f>IF($A$3=" "," ", IFERROR( VLOOKUP($A697,'SUPPLIER DATA BASE'!$A$2:$G$936,4,0),""))</f>
        <v>-</v>
      </c>
      <c r="E697" s="71" t="str">
        <f>IF($A$3=" "," ", IFERROR( VLOOKUP($A697,'SUPPLIER DATA BASE'!$A$2:$H$936,5,0),""))</f>
        <v>-</v>
      </c>
      <c r="F697" s="72" t="s">
        <v>2154</v>
      </c>
      <c r="G697" s="73">
        <v>46112.0</v>
      </c>
      <c r="H697" s="74">
        <v>1.0</v>
      </c>
      <c r="I697" s="75">
        <v>821.32</v>
      </c>
      <c r="J697" s="76" t="s">
        <v>2155</v>
      </c>
      <c r="K697" s="70" t="s">
        <v>349</v>
      </c>
      <c r="L697" s="70" t="s">
        <v>349</v>
      </c>
      <c r="M697" s="70" t="str">
        <f t="shared" si="3"/>
        <v>76 Days</v>
      </c>
      <c r="N697" s="70" t="str">
        <f>IF($A$3=" "," ", IFERROR( VLOOKUP($A697,'SUPPLIER DATA BASE'!$A$2:$O$936,11,0),""))</f>
        <v>-</v>
      </c>
      <c r="O697" s="70" t="str">
        <f>IF($A$3=" "," ", IFERROR( VLOOKUP($A697,'SUPPLIER DATA BASE'!$A$2:$O$936,12,0),""))</f>
        <v>-</v>
      </c>
      <c r="P697" s="70" t="str">
        <f>IF($A$3=" "," ", IFERROR( VLOOKUP($A697,'SUPPLIER DATA BASE'!$A$2:$O$936,13,0),""))</f>
        <v>-</v>
      </c>
      <c r="Q697" s="77"/>
      <c r="R697" s="73"/>
      <c r="S697" s="77"/>
      <c r="T697" s="70"/>
      <c r="U697" s="78"/>
      <c r="V697" s="70" t="str">
        <f t="shared" si="6"/>
        <v>FY 25-26</v>
      </c>
      <c r="W697" s="23"/>
      <c r="X697" s="23"/>
    </row>
    <row r="698">
      <c r="A698" s="70" t="s">
        <v>354</v>
      </c>
      <c r="B698" s="70" t="str">
        <f>IF($A$3=" "," ", IFERROR( VLOOKUP($A698,'SUPPLIER DATA BASE'!$A$2:$M$936,3,0),""))</f>
        <v>-</v>
      </c>
      <c r="C698" s="70" t="str">
        <f>IF($A$3=" "," ", IFERROR( VLOOKUP($A698,'SUPPLIER DATA BASE'!$A$2:$F$936,6,0),""))</f>
        <v>-</v>
      </c>
      <c r="D698" s="70" t="str">
        <f>IF($A$3=" "," ", IFERROR( VLOOKUP($A698,'SUPPLIER DATA BASE'!$A$2:$G$936,4,0),""))</f>
        <v>-</v>
      </c>
      <c r="E698" s="71" t="str">
        <f>IF($A$3=" "," ", IFERROR( VLOOKUP($A698,'SUPPLIER DATA BASE'!$A$2:$H$936,5,0),""))</f>
        <v>-</v>
      </c>
      <c r="F698" s="72" t="s">
        <v>2156</v>
      </c>
      <c r="G698" s="73">
        <v>46112.0</v>
      </c>
      <c r="H698" s="74">
        <v>79.0</v>
      </c>
      <c r="I698" s="75">
        <v>90913.84</v>
      </c>
      <c r="J698" s="76" t="s">
        <v>2157</v>
      </c>
      <c r="K698" s="70" t="s">
        <v>349</v>
      </c>
      <c r="L698" s="70" t="s">
        <v>349</v>
      </c>
      <c r="M698" s="70" t="str">
        <f t="shared" si="3"/>
        <v>76 Days</v>
      </c>
      <c r="N698" s="70" t="str">
        <f>IF($A$3=" "," ", IFERROR( VLOOKUP($A698,'SUPPLIER DATA BASE'!$A$2:$O$936,11,0),""))</f>
        <v>-</v>
      </c>
      <c r="O698" s="70" t="str">
        <f>IF($A$3=" "," ", IFERROR( VLOOKUP($A698,'SUPPLIER DATA BASE'!$A$2:$O$936,12,0),""))</f>
        <v>-</v>
      </c>
      <c r="P698" s="70" t="str">
        <f>IF($A$3=" "," ", IFERROR( VLOOKUP($A698,'SUPPLIER DATA BASE'!$A$2:$O$936,13,0),""))</f>
        <v>-</v>
      </c>
      <c r="Q698" s="77"/>
      <c r="R698" s="73"/>
      <c r="S698" s="77"/>
      <c r="T698" s="70"/>
      <c r="U698" s="78"/>
      <c r="V698" s="70" t="str">
        <f t="shared" si="6"/>
        <v>FY 25-26</v>
      </c>
      <c r="W698" s="23"/>
      <c r="X698" s="23"/>
    </row>
    <row r="699">
      <c r="A699" s="70" t="s">
        <v>354</v>
      </c>
      <c r="B699" s="70" t="str">
        <f>IF($A$3=" "," ", IFERROR( VLOOKUP($A699,'SUPPLIER DATA BASE'!$A$2:$M$936,3,0),""))</f>
        <v>-</v>
      </c>
      <c r="C699" s="70" t="str">
        <f>IF($A$3=" "," ", IFERROR( VLOOKUP($A699,'SUPPLIER DATA BASE'!$A$2:$F$936,6,0),""))</f>
        <v>-</v>
      </c>
      <c r="D699" s="70" t="str">
        <f>IF($A$3=" "," ", IFERROR( VLOOKUP($A699,'SUPPLIER DATA BASE'!$A$2:$G$936,4,0),""))</f>
        <v>-</v>
      </c>
      <c r="E699" s="71" t="str">
        <f>IF($A$3=" "," ", IFERROR( VLOOKUP($A699,'SUPPLIER DATA BASE'!$A$2:$H$936,5,0),""))</f>
        <v>-</v>
      </c>
      <c r="F699" s="72" t="s">
        <v>2158</v>
      </c>
      <c r="G699" s="73">
        <v>46112.0</v>
      </c>
      <c r="H699" s="74">
        <v>2.0</v>
      </c>
      <c r="I699" s="75">
        <v>1916.62</v>
      </c>
      <c r="J699" s="76" t="s">
        <v>2159</v>
      </c>
      <c r="K699" s="70" t="s">
        <v>349</v>
      </c>
      <c r="L699" s="70" t="s">
        <v>349</v>
      </c>
      <c r="M699" s="70" t="str">
        <f t="shared" si="3"/>
        <v>76 Days</v>
      </c>
      <c r="N699" s="70" t="str">
        <f>IF($A$3=" "," ", IFERROR( VLOOKUP($A699,'SUPPLIER DATA BASE'!$A$2:$O$936,11,0),""))</f>
        <v>-</v>
      </c>
      <c r="O699" s="70" t="str">
        <f>IF($A$3=" "," ", IFERROR( VLOOKUP($A699,'SUPPLIER DATA BASE'!$A$2:$O$936,12,0),""))</f>
        <v>-</v>
      </c>
      <c r="P699" s="70" t="str">
        <f>IF($A$3=" "," ", IFERROR( VLOOKUP($A699,'SUPPLIER DATA BASE'!$A$2:$O$936,13,0),""))</f>
        <v>-</v>
      </c>
      <c r="Q699" s="77"/>
      <c r="R699" s="73"/>
      <c r="S699" s="77"/>
      <c r="T699" s="70"/>
      <c r="U699" s="78"/>
      <c r="V699" s="70" t="str">
        <f t="shared" si="6"/>
        <v>FY 25-26</v>
      </c>
      <c r="W699" s="23"/>
      <c r="X699" s="23"/>
    </row>
    <row r="700">
      <c r="A700" s="70" t="s">
        <v>354</v>
      </c>
      <c r="B700" s="70" t="str">
        <f>IF($A$3=" "," ", IFERROR( VLOOKUP($A700,'SUPPLIER DATA BASE'!$A$2:$M$936,3,0),""))</f>
        <v>-</v>
      </c>
      <c r="C700" s="70" t="str">
        <f>IF($A$3=" "," ", IFERROR( VLOOKUP($A700,'SUPPLIER DATA BASE'!$A$2:$F$936,6,0),""))</f>
        <v>-</v>
      </c>
      <c r="D700" s="70" t="str">
        <f>IF($A$3=" "," ", IFERROR( VLOOKUP($A700,'SUPPLIER DATA BASE'!$A$2:$G$936,4,0),""))</f>
        <v>-</v>
      </c>
      <c r="E700" s="71" t="str">
        <f>IF($A$3=" "," ", IFERROR( VLOOKUP($A700,'SUPPLIER DATA BASE'!$A$2:$H$936,5,0),""))</f>
        <v>-</v>
      </c>
      <c r="F700" s="72" t="s">
        <v>2160</v>
      </c>
      <c r="G700" s="73">
        <v>46112.0</v>
      </c>
      <c r="H700" s="74">
        <v>1.0</v>
      </c>
      <c r="I700" s="75">
        <v>1232.31</v>
      </c>
      <c r="J700" s="76" t="s">
        <v>2161</v>
      </c>
      <c r="K700" s="70" t="s">
        <v>349</v>
      </c>
      <c r="L700" s="70" t="s">
        <v>349</v>
      </c>
      <c r="M700" s="70" t="str">
        <f t="shared" si="3"/>
        <v>76 Days</v>
      </c>
      <c r="N700" s="70" t="str">
        <f>IF($A$3=" "," ", IFERROR( VLOOKUP($A700,'SUPPLIER DATA BASE'!$A$2:$O$936,11,0),""))</f>
        <v>-</v>
      </c>
      <c r="O700" s="70" t="str">
        <f>IF($A$3=" "," ", IFERROR( VLOOKUP($A700,'SUPPLIER DATA BASE'!$A$2:$O$936,12,0),""))</f>
        <v>-</v>
      </c>
      <c r="P700" s="70" t="str">
        <f>IF($A$3=" "," ", IFERROR( VLOOKUP($A700,'SUPPLIER DATA BASE'!$A$2:$O$936,13,0),""))</f>
        <v>-</v>
      </c>
      <c r="Q700" s="77"/>
      <c r="R700" s="73"/>
      <c r="S700" s="77"/>
      <c r="T700" s="70"/>
      <c r="U700" s="78"/>
      <c r="V700" s="70" t="str">
        <f t="shared" si="6"/>
        <v>FY 25-26</v>
      </c>
      <c r="W700" s="23"/>
      <c r="X700" s="23"/>
    </row>
    <row r="701">
      <c r="A701" s="70" t="s">
        <v>749</v>
      </c>
      <c r="B701" s="70" t="str">
        <f>IF($A$3=" "," ", IFERROR( VLOOKUP($A701,'SUPPLIER DATA BASE'!$A$2:$M$936,3,0),""))</f>
        <v>VAN HEUSEN</v>
      </c>
      <c r="C701" s="70" t="str">
        <f>IF($A$3=" "," ", IFERROR( VLOOKUP($A701,'SUPPLIER DATA BASE'!$A$2:$F$936,6,0),""))</f>
        <v>-</v>
      </c>
      <c r="D701" s="70" t="str">
        <f>IF($A$3=" "," ", IFERROR( VLOOKUP($A701,'SUPPLIER DATA BASE'!$A$2:$G$936,4,0),""))</f>
        <v>-</v>
      </c>
      <c r="E701" s="71" t="str">
        <f>IF($A$3=" "," ", IFERROR( VLOOKUP($A701,'SUPPLIER DATA BASE'!$A$2:$H$936,5,0),""))</f>
        <v>-</v>
      </c>
      <c r="F701" s="72" t="s">
        <v>2162</v>
      </c>
      <c r="G701" s="73">
        <v>46112.0</v>
      </c>
      <c r="H701" s="74">
        <v>18.0</v>
      </c>
      <c r="I701" s="75">
        <v>5352.0</v>
      </c>
      <c r="J701" s="76" t="s">
        <v>2163</v>
      </c>
      <c r="K701" s="70" t="s">
        <v>349</v>
      </c>
      <c r="L701" s="70" t="s">
        <v>349</v>
      </c>
      <c r="M701" s="70" t="str">
        <f t="shared" si="3"/>
        <v>76 Days</v>
      </c>
      <c r="N701" s="70" t="str">
        <f>IF($A$3=" "," ", IFERROR( VLOOKUP($A701,'SUPPLIER DATA BASE'!$A$2:$O$936,11,0),""))</f>
        <v>SUSHILA ENTERPRISES</v>
      </c>
      <c r="O701" s="70" t="str">
        <f>IF($A$3=" "," ", IFERROR( VLOOKUP($A701,'SUPPLIER DATA BASE'!$A$2:$O$936,12,0),""))</f>
        <v>747805000665</v>
      </c>
      <c r="P701" s="70" t="str">
        <f>IF($A$3=" "," ", IFERROR( VLOOKUP($A701,'SUPPLIER DATA BASE'!$A$2:$O$936,13,0),""))</f>
        <v>ICIC0007478</v>
      </c>
      <c r="Q701" s="77"/>
      <c r="R701" s="73"/>
      <c r="S701" s="77"/>
      <c r="T701" s="70"/>
      <c r="U701" s="78"/>
      <c r="V701" s="70" t="str">
        <f t="shared" si="6"/>
        <v>FY 25-26</v>
      </c>
      <c r="W701" s="23"/>
      <c r="X701" s="23"/>
    </row>
    <row r="702">
      <c r="A702" s="70" t="s">
        <v>749</v>
      </c>
      <c r="B702" s="70" t="str">
        <f>IF($A$3=" "," ", IFERROR( VLOOKUP($A702,'SUPPLIER DATA BASE'!$A$2:$M$936,3,0),""))</f>
        <v>VAN HEUSEN</v>
      </c>
      <c r="C702" s="70" t="str">
        <f>IF($A$3=" "," ", IFERROR( VLOOKUP($A702,'SUPPLIER DATA BASE'!$A$2:$F$936,6,0),""))</f>
        <v>-</v>
      </c>
      <c r="D702" s="70" t="str">
        <f>IF($A$3=" "," ", IFERROR( VLOOKUP($A702,'SUPPLIER DATA BASE'!$A$2:$G$936,4,0),""))</f>
        <v>-</v>
      </c>
      <c r="E702" s="71" t="str">
        <f>IF($A$3=" "," ", IFERROR( VLOOKUP($A702,'SUPPLIER DATA BASE'!$A$2:$H$936,5,0),""))</f>
        <v>-</v>
      </c>
      <c r="F702" s="72" t="s">
        <v>2164</v>
      </c>
      <c r="G702" s="73">
        <v>46112.0</v>
      </c>
      <c r="H702" s="74">
        <v>110.0</v>
      </c>
      <c r="I702" s="75">
        <v>27217.0</v>
      </c>
      <c r="J702" s="76" t="s">
        <v>2165</v>
      </c>
      <c r="K702" s="70" t="s">
        <v>349</v>
      </c>
      <c r="L702" s="70" t="s">
        <v>349</v>
      </c>
      <c r="M702" s="70" t="str">
        <f t="shared" si="3"/>
        <v>76 Days</v>
      </c>
      <c r="N702" s="70" t="str">
        <f>IF($A$3=" "," ", IFERROR( VLOOKUP($A702,'SUPPLIER DATA BASE'!$A$2:$O$936,11,0),""))</f>
        <v>SUSHILA ENTERPRISES</v>
      </c>
      <c r="O702" s="70" t="str">
        <f>IF($A$3=" "," ", IFERROR( VLOOKUP($A702,'SUPPLIER DATA BASE'!$A$2:$O$936,12,0),""))</f>
        <v>747805000665</v>
      </c>
      <c r="P702" s="70" t="str">
        <f>IF($A$3=" "," ", IFERROR( VLOOKUP($A702,'SUPPLIER DATA BASE'!$A$2:$O$936,13,0),""))</f>
        <v>ICIC0007478</v>
      </c>
      <c r="Q702" s="77"/>
      <c r="R702" s="73"/>
      <c r="S702" s="77"/>
      <c r="T702" s="70"/>
      <c r="U702" s="78"/>
      <c r="V702" s="70" t="str">
        <f t="shared" si="6"/>
        <v>FY 25-26</v>
      </c>
      <c r="W702" s="23"/>
      <c r="X702" s="23"/>
    </row>
    <row r="703">
      <c r="A703" s="70"/>
      <c r="B703" s="70" t="str">
        <f>IF($A$3=" "," ", IFERROR( VLOOKUP($A703,'SUPPLIER DATA BASE'!$A$2:$M$936,3,0),""))</f>
        <v/>
      </c>
      <c r="C703" s="70" t="str">
        <f>IF($A$3=" "," ", IFERROR( VLOOKUP($A703,'SUPPLIER DATA BASE'!$A$2:$F$936,6,0),""))</f>
        <v/>
      </c>
      <c r="D703" s="70" t="str">
        <f>IF($A$3=" "," ", IFERROR( VLOOKUP($A703,'SUPPLIER DATA BASE'!$A$2:$G$936,4,0),""))</f>
        <v/>
      </c>
      <c r="E703" s="71" t="str">
        <f>IF($A$3=" "," ", IFERROR( VLOOKUP($A703,'SUPPLIER DATA BASE'!$A$2:$H$936,5,0),""))</f>
        <v/>
      </c>
      <c r="F703" s="72">
        <v>4707.0</v>
      </c>
      <c r="G703" s="73">
        <v>46112.0</v>
      </c>
      <c r="H703" s="74">
        <v>7.0</v>
      </c>
      <c r="I703" s="75">
        <v>46148.0</v>
      </c>
      <c r="J703" s="76" t="s">
        <v>2166</v>
      </c>
      <c r="K703" s="70" t="s">
        <v>349</v>
      </c>
      <c r="L703" s="70" t="s">
        <v>349</v>
      </c>
      <c r="M703" s="70" t="str">
        <f t="shared" si="3"/>
        <v>76 Days</v>
      </c>
      <c r="N703" s="70" t="str">
        <f>IF($A$3=" "," ", IFERROR( VLOOKUP($A703,'SUPPLIER DATA BASE'!$A$2:$O$936,11,0),""))</f>
        <v/>
      </c>
      <c r="O703" s="70" t="str">
        <f>IF($A$3=" "," ", IFERROR( VLOOKUP($A703,'SUPPLIER DATA BASE'!$A$2:$O$936,12,0),""))</f>
        <v/>
      </c>
      <c r="P703" s="70" t="str">
        <f>IF($A$3=" "," ", IFERROR( VLOOKUP($A703,'SUPPLIER DATA BASE'!$A$2:$O$936,13,0),""))</f>
        <v/>
      </c>
      <c r="Q703" s="77"/>
      <c r="R703" s="73"/>
      <c r="S703" s="77"/>
      <c r="T703" s="70"/>
      <c r="U703" s="78"/>
      <c r="V703" s="70" t="str">
        <f t="shared" si="6"/>
        <v>FY 25-26</v>
      </c>
      <c r="W703" s="23"/>
      <c r="X703" s="23"/>
    </row>
    <row r="704">
      <c r="A704" s="70" t="s">
        <v>677</v>
      </c>
      <c r="B704" s="70" t="str">
        <f>IF($A$3=" "," ", IFERROR( VLOOKUP($A704,'SUPPLIER DATA BASE'!$A$2:$M$936,3,0),""))</f>
        <v>-</v>
      </c>
      <c r="C704" s="70" t="str">
        <f>IF($A$3=" "," ", IFERROR( VLOOKUP($A704,'SUPPLIER DATA BASE'!$A$2:$F$936,6,0),""))</f>
        <v>-</v>
      </c>
      <c r="D704" s="70" t="str">
        <f>IF($A$3=" "," ", IFERROR( VLOOKUP($A704,'SUPPLIER DATA BASE'!$A$2:$G$936,4,0),""))</f>
        <v>-</v>
      </c>
      <c r="E704" s="71" t="str">
        <f>IF($A$3=" "," ", IFERROR( VLOOKUP($A704,'SUPPLIER DATA BASE'!$A$2:$H$936,5,0),""))</f>
        <v>-</v>
      </c>
      <c r="F704" s="72" t="s">
        <v>2167</v>
      </c>
      <c r="G704" s="73">
        <v>46113.0</v>
      </c>
      <c r="H704" s="74">
        <v>105.0</v>
      </c>
      <c r="I704" s="75">
        <v>90708.0</v>
      </c>
      <c r="J704" s="76" t="s">
        <v>2168</v>
      </c>
      <c r="K704" s="76" t="s">
        <v>2169</v>
      </c>
      <c r="L704" s="73">
        <v>46123.0</v>
      </c>
      <c r="M704" s="70" t="str">
        <f t="shared" si="3"/>
        <v>75 Days</v>
      </c>
      <c r="N704" s="70" t="str">
        <f>IF($A$3=" "," ", IFERROR( VLOOKUP($A704,'SUPPLIER DATA BASE'!$A$2:$O$936,11,0),""))</f>
        <v>SARAOGI SUPER SALES PVT LTD</v>
      </c>
      <c r="O704" s="70" t="str">
        <f>IF($A$3=" "," ", IFERROR( VLOOKUP($A704,'SUPPLIER DATA BASE'!$A$2:$O$936,12,0),""))</f>
        <v>SASUSP011006</v>
      </c>
      <c r="P704" s="70" t="str">
        <f>IF($A$3=" "," ", IFERROR( VLOOKUP($A704,'SUPPLIER DATA BASE'!$A$2:$O$936,13,0),""))</f>
        <v>ICIC0000106</v>
      </c>
      <c r="Q704" s="77"/>
      <c r="R704" s="73"/>
      <c r="S704" s="77"/>
      <c r="T704" s="70"/>
      <c r="U704" s="78"/>
      <c r="V704" s="70" t="str">
        <f t="shared" si="6"/>
        <v>FY 26-27</v>
      </c>
      <c r="W704" s="23"/>
      <c r="X704" s="23"/>
    </row>
    <row r="705">
      <c r="A705" s="70" t="s">
        <v>581</v>
      </c>
      <c r="B705" s="70" t="str">
        <f>IF($A$3=" "," ", IFERROR( VLOOKUP($A705,'SUPPLIER DATA BASE'!$A$2:$M$936,3,0),""))</f>
        <v>-</v>
      </c>
      <c r="C705" s="70" t="str">
        <f>IF($A$3=" "," ", IFERROR( VLOOKUP($A705,'SUPPLIER DATA BASE'!$A$2:$F$936,6,0),""))</f>
        <v>-</v>
      </c>
      <c r="D705" s="70" t="str">
        <f>IF($A$3=" "," ", IFERROR( VLOOKUP($A705,'SUPPLIER DATA BASE'!$A$2:$G$936,4,0),""))</f>
        <v>-</v>
      </c>
      <c r="E705" s="71" t="str">
        <f>IF($A$3=" "," ", IFERROR( VLOOKUP($A705,'SUPPLIER DATA BASE'!$A$2:$H$936,5,0),""))</f>
        <v>-</v>
      </c>
      <c r="F705" s="72" t="s">
        <v>2170</v>
      </c>
      <c r="G705" s="73">
        <v>46113.0</v>
      </c>
      <c r="H705" s="74">
        <v>140.0</v>
      </c>
      <c r="I705" s="75">
        <v>14280.0</v>
      </c>
      <c r="J705" s="70" t="s">
        <v>2171</v>
      </c>
      <c r="K705" s="76" t="s">
        <v>2172</v>
      </c>
      <c r="L705" s="73">
        <v>46116.0</v>
      </c>
      <c r="M705" s="70" t="str">
        <f t="shared" si="3"/>
        <v>75 Days</v>
      </c>
      <c r="N705" s="70" t="str">
        <f>IF($A$3=" "," ", IFERROR( VLOOKUP($A705,'SUPPLIER DATA BASE'!$A$2:$O$936,11,0),""))</f>
        <v>MUKESH AGRAWAL</v>
      </c>
      <c r="O705" s="70" t="str">
        <f>IF($A$3=" "," ", IFERROR( VLOOKUP($A705,'SUPPLIER DATA BASE'!$A$2:$O$936,12,0),""))</f>
        <v>3581044998</v>
      </c>
      <c r="P705" s="70" t="str">
        <f>IF($A$3=" "," ", IFERROR( VLOOKUP($A705,'SUPPLIER DATA BASE'!$A$2:$O$936,13,0),""))</f>
        <v>CBIN0281277</v>
      </c>
      <c r="Q705" s="77"/>
      <c r="R705" s="73"/>
      <c r="S705" s="77"/>
      <c r="T705" s="70"/>
      <c r="U705" s="78"/>
      <c r="V705" s="70" t="str">
        <f t="shared" si="6"/>
        <v>FY 26-27</v>
      </c>
      <c r="W705" s="23"/>
      <c r="X705" s="23"/>
    </row>
    <row r="706">
      <c r="A706" s="70" t="s">
        <v>402</v>
      </c>
      <c r="B706" s="70" t="str">
        <f>IF($A$3=" "," ", IFERROR( VLOOKUP($A706,'SUPPLIER DATA BASE'!$A$2:$M$936,3,0),""))</f>
        <v>KHUSHAL/STATUS QUO</v>
      </c>
      <c r="C706" s="70" t="str">
        <f>IF($A$3=" "," ", IFERROR( VLOOKUP($A706,'SUPPLIER DATA BASE'!$A$2:$F$936,6,0),""))</f>
        <v>-</v>
      </c>
      <c r="D706" s="70" t="str">
        <f>IF($A$3=" "," ", IFERROR( VLOOKUP($A706,'SUPPLIER DATA BASE'!$A$2:$G$936,4,0),""))</f>
        <v>-</v>
      </c>
      <c r="E706" s="71" t="str">
        <f>IF($A$3=" "," ", IFERROR( VLOOKUP($A706,'SUPPLIER DATA BASE'!$A$2:$H$936,5,0),""))</f>
        <v>-</v>
      </c>
      <c r="F706" s="72" t="s">
        <v>2173</v>
      </c>
      <c r="G706" s="73">
        <v>46113.0</v>
      </c>
      <c r="H706" s="74">
        <v>13.0</v>
      </c>
      <c r="I706" s="75">
        <v>57906.0</v>
      </c>
      <c r="J706" s="76" t="s">
        <v>2174</v>
      </c>
      <c r="K706" s="76" t="s">
        <v>2175</v>
      </c>
      <c r="L706" s="73">
        <v>46115.0</v>
      </c>
      <c r="M706" s="70" t="str">
        <f t="shared" si="3"/>
        <v>75 Days</v>
      </c>
      <c r="N706" s="70" t="str">
        <f>IF($A$3=" "," ", IFERROR( VLOOKUP($A706,'SUPPLIER DATA BASE'!$A$2:$O$936,11,0),""))</f>
        <v>D APPAREL</v>
      </c>
      <c r="O706" s="70" t="str">
        <f>IF($A$3=" "," ", IFERROR( VLOOKUP($A706,'SUPPLIER DATA BASE'!$A$2:$O$936,12,0),""))</f>
        <v>722501010050397</v>
      </c>
      <c r="P706" s="70" t="str">
        <f>IF($A$3=" "," ", IFERROR( VLOOKUP($A706,'SUPPLIER DATA BASE'!$A$2:$O$936,13,0),""))</f>
        <v>UBIN0572250</v>
      </c>
      <c r="Q706" s="77"/>
      <c r="R706" s="73"/>
      <c r="S706" s="77"/>
      <c r="T706" s="70"/>
      <c r="U706" s="78"/>
      <c r="V706" s="70" t="str">
        <f t="shared" si="6"/>
        <v>FY 26-27</v>
      </c>
      <c r="W706" s="23"/>
      <c r="X706" s="23"/>
    </row>
    <row r="707">
      <c r="A707" s="70"/>
      <c r="B707" s="70" t="str">
        <f>IF($A$3=" "," ", IFERROR( VLOOKUP($A707,'SUPPLIER DATA BASE'!$A$2:$M$936,3,0),""))</f>
        <v/>
      </c>
      <c r="C707" s="70" t="str">
        <f>IF($A$3=" "," ", IFERROR( VLOOKUP($A707,'SUPPLIER DATA BASE'!$A$2:$F$936,6,0),""))</f>
        <v/>
      </c>
      <c r="D707" s="70" t="str">
        <f>IF($A$3=" "," ", IFERROR( VLOOKUP($A707,'SUPPLIER DATA BASE'!$A$2:$G$936,4,0),""))</f>
        <v/>
      </c>
      <c r="E707" s="71" t="str">
        <f>IF($A$3=" "," ", IFERROR( VLOOKUP($A707,'SUPPLIER DATA BASE'!$A$2:$H$936,5,0),""))</f>
        <v/>
      </c>
      <c r="F707" s="72">
        <v>2444.0</v>
      </c>
      <c r="G707" s="73">
        <v>46113.0</v>
      </c>
      <c r="H707" s="74">
        <v>58.0</v>
      </c>
      <c r="I707" s="75">
        <v>26371.0</v>
      </c>
      <c r="J707" s="76" t="s">
        <v>2176</v>
      </c>
      <c r="K707" s="76" t="s">
        <v>2177</v>
      </c>
      <c r="L707" s="73"/>
      <c r="M707" s="70" t="str">
        <f t="shared" si="3"/>
        <v>75 Days</v>
      </c>
      <c r="N707" s="70" t="str">
        <f>IF($A$3=" "," ", IFERROR( VLOOKUP($A707,'SUPPLIER DATA BASE'!$A$2:$O$936,11,0),""))</f>
        <v/>
      </c>
      <c r="O707" s="70" t="str">
        <f>IF($A$3=" "," ", IFERROR( VLOOKUP($A707,'SUPPLIER DATA BASE'!$A$2:$O$936,12,0),""))</f>
        <v/>
      </c>
      <c r="P707" s="70" t="str">
        <f>IF($A$3=" "," ", IFERROR( VLOOKUP($A707,'SUPPLIER DATA BASE'!$A$2:$O$936,13,0),""))</f>
        <v/>
      </c>
      <c r="Q707" s="77"/>
      <c r="R707" s="73"/>
      <c r="S707" s="77"/>
      <c r="T707" s="70"/>
      <c r="U707" s="78"/>
      <c r="V707" s="70" t="str">
        <f t="shared" si="6"/>
        <v>FY 26-27</v>
      </c>
      <c r="W707" s="23"/>
      <c r="X707" s="23"/>
    </row>
    <row r="708">
      <c r="A708" s="70" t="s">
        <v>789</v>
      </c>
      <c r="B708" s="70" t="str">
        <f>IF($A$3=" "," ", IFERROR( VLOOKUP($A708,'SUPPLIER DATA BASE'!$A$2:$M$936,3,0),""))</f>
        <v>-</v>
      </c>
      <c r="C708" s="70" t="str">
        <f>IF($A$3=" "," ", IFERROR( VLOOKUP($A708,'SUPPLIER DATA BASE'!$A$2:$F$936,6,0),""))</f>
        <v>-</v>
      </c>
      <c r="D708" s="70" t="str">
        <f>IF($A$3=" "," ", IFERROR( VLOOKUP($A708,'SUPPLIER DATA BASE'!$A$2:$G$936,4,0),""))</f>
        <v>-</v>
      </c>
      <c r="E708" s="71" t="str">
        <f>IF($A$3=" "," ", IFERROR( VLOOKUP($A708,'SUPPLIER DATA BASE'!$A$2:$H$936,5,0),""))</f>
        <v>-</v>
      </c>
      <c r="F708" s="72">
        <v>13.0</v>
      </c>
      <c r="G708" s="73">
        <v>46113.0</v>
      </c>
      <c r="H708" s="74">
        <v>33.0</v>
      </c>
      <c r="I708" s="75">
        <v>71753.0</v>
      </c>
      <c r="J708" s="76" t="s">
        <v>2178</v>
      </c>
      <c r="K708" s="76" t="s">
        <v>2179</v>
      </c>
      <c r="L708" s="73"/>
      <c r="M708" s="70" t="str">
        <f t="shared" si="3"/>
        <v>75 Days</v>
      </c>
      <c r="N708" s="70" t="str">
        <f>IF($A$3=" "," ", IFERROR( VLOOKUP($A708,'SUPPLIER DATA BASE'!$A$2:$O$936,11,0),""))</f>
        <v>-</v>
      </c>
      <c r="O708" s="70" t="str">
        <f>IF($A$3=" "," ", IFERROR( VLOOKUP($A708,'SUPPLIER DATA BASE'!$A$2:$O$936,12,0),""))</f>
        <v>-</v>
      </c>
      <c r="P708" s="70" t="str">
        <f>IF($A$3=" "," ", IFERROR( VLOOKUP($A708,'SUPPLIER DATA BASE'!$A$2:$O$936,13,0),""))</f>
        <v>-</v>
      </c>
      <c r="Q708" s="77"/>
      <c r="R708" s="73"/>
      <c r="S708" s="77"/>
      <c r="T708" s="70"/>
      <c r="U708" s="78"/>
      <c r="V708" s="70" t="str">
        <f t="shared" si="6"/>
        <v>FY 26-27</v>
      </c>
      <c r="W708" s="23"/>
      <c r="X708" s="23"/>
    </row>
    <row r="709">
      <c r="A709" s="70" t="s">
        <v>677</v>
      </c>
      <c r="B709" s="70" t="str">
        <f>IF($A$3=" "," ", IFERROR( VLOOKUP($A709,'SUPPLIER DATA BASE'!$A$2:$M$936,3,0),""))</f>
        <v>-</v>
      </c>
      <c r="C709" s="70" t="str">
        <f>IF($A$3=" "," ", IFERROR( VLOOKUP($A709,'SUPPLIER DATA BASE'!$A$2:$F$936,6,0),""))</f>
        <v>-</v>
      </c>
      <c r="D709" s="70" t="str">
        <f>IF($A$3=" "," ", IFERROR( VLOOKUP($A709,'SUPPLIER DATA BASE'!$A$2:$G$936,4,0),""))</f>
        <v>-</v>
      </c>
      <c r="E709" s="71" t="str">
        <f>IF($A$3=" "," ", IFERROR( VLOOKUP($A709,'SUPPLIER DATA BASE'!$A$2:$H$936,5,0),""))</f>
        <v>-</v>
      </c>
      <c r="F709" s="72" t="s">
        <v>2180</v>
      </c>
      <c r="G709" s="73">
        <v>46114.0</v>
      </c>
      <c r="H709" s="74">
        <v>103.0</v>
      </c>
      <c r="I709" s="75">
        <v>95582.0</v>
      </c>
      <c r="J709" s="76" t="s">
        <v>2181</v>
      </c>
      <c r="K709" s="76" t="s">
        <v>2182</v>
      </c>
      <c r="L709" s="73">
        <v>46120.0</v>
      </c>
      <c r="M709" s="70" t="str">
        <f t="shared" si="3"/>
        <v>74 Days</v>
      </c>
      <c r="N709" s="70" t="str">
        <f>IF($A$3=" "," ", IFERROR( VLOOKUP($A709,'SUPPLIER DATA BASE'!$A$2:$O$936,11,0),""))</f>
        <v>SARAOGI SUPER SALES PVT LTD</v>
      </c>
      <c r="O709" s="70" t="str">
        <f>IF($A$3=" "," ", IFERROR( VLOOKUP($A709,'SUPPLIER DATA BASE'!$A$2:$O$936,12,0),""))</f>
        <v>SASUSP011006</v>
      </c>
      <c r="P709" s="70" t="str">
        <f>IF($A$3=" "," ", IFERROR( VLOOKUP($A709,'SUPPLIER DATA BASE'!$A$2:$O$936,13,0),""))</f>
        <v>ICIC0000106</v>
      </c>
      <c r="Q709" s="77"/>
      <c r="R709" s="73"/>
      <c r="S709" s="77"/>
      <c r="T709" s="70"/>
      <c r="U709" s="78"/>
      <c r="V709" s="70" t="str">
        <f t="shared" si="6"/>
        <v>FY 26-27</v>
      </c>
      <c r="W709" s="23"/>
      <c r="X709" s="23"/>
    </row>
    <row r="710">
      <c r="A710" s="70" t="s">
        <v>413</v>
      </c>
      <c r="B710" s="70" t="str">
        <f>IF($A$3=" "," ", IFERROR( VLOOKUP($A710,'SUPPLIER DATA BASE'!$A$2:$M$936,3,0),""))</f>
        <v>KILLER</v>
      </c>
      <c r="C710" s="70" t="str">
        <f>IF($A$3=" "," ", IFERROR( VLOOKUP($A710,'SUPPLIER DATA BASE'!$A$2:$F$936,6,0),""))</f>
        <v>-</v>
      </c>
      <c r="D710" s="70" t="str">
        <f>IF($A$3=" "," ", IFERROR( VLOOKUP($A710,'SUPPLIER DATA BASE'!$A$2:$G$936,4,0),""))</f>
        <v>NO</v>
      </c>
      <c r="E710" s="71" t="str">
        <f>IF($A$3=" "," ", IFERROR( VLOOKUP($A710,'SUPPLIER DATA BASE'!$A$2:$H$936,5,0),""))</f>
        <v>-</v>
      </c>
      <c r="F710" s="72" t="s">
        <v>2183</v>
      </c>
      <c r="G710" s="73">
        <v>46114.0</v>
      </c>
      <c r="H710" s="74">
        <v>72.0</v>
      </c>
      <c r="I710" s="75">
        <v>118678.0</v>
      </c>
      <c r="J710" s="76" t="s">
        <v>2184</v>
      </c>
      <c r="K710" s="76" t="s">
        <v>2185</v>
      </c>
      <c r="L710" s="73">
        <v>46118.0</v>
      </c>
      <c r="M710" s="70" t="str">
        <f t="shared" si="3"/>
        <v>74 Days</v>
      </c>
      <c r="N710" s="70" t="str">
        <f>IF($A$3=" "," ", IFERROR( VLOOKUP($A710,'SUPPLIER DATA BASE'!$A$2:$O$936,11,0),""))</f>
        <v>D D SALES CO</v>
      </c>
      <c r="O710" s="70" t="str">
        <f>IF($A$3=" "," ", IFERROR( VLOOKUP($A710,'SUPPLIER DATA BASE'!$A$2:$O$936,12,0),""))</f>
        <v>29205007835</v>
      </c>
      <c r="P710" s="70" t="str">
        <f>IF($A$3=" "," ", IFERROR( VLOOKUP($A710,'SUPPLIER DATA BASE'!$A$2:$O$936,13,0),""))</f>
        <v>ICIC0000292</v>
      </c>
      <c r="Q710" s="77"/>
      <c r="R710" s="73"/>
      <c r="S710" s="77"/>
      <c r="T710" s="70"/>
      <c r="U710" s="78"/>
      <c r="V710" s="70" t="str">
        <f t="shared" si="6"/>
        <v>FY 26-27</v>
      </c>
      <c r="W710" s="23"/>
      <c r="X710" s="23"/>
    </row>
    <row r="711">
      <c r="A711" s="70" t="s">
        <v>413</v>
      </c>
      <c r="B711" s="70" t="str">
        <f>IF($A$3=" "," ", IFERROR( VLOOKUP($A711,'SUPPLIER DATA BASE'!$A$2:$M$936,3,0),""))</f>
        <v>KILLER</v>
      </c>
      <c r="C711" s="70" t="str">
        <f>IF($A$3=" "," ", IFERROR( VLOOKUP($A711,'SUPPLIER DATA BASE'!$A$2:$F$936,6,0),""))</f>
        <v>-</v>
      </c>
      <c r="D711" s="70" t="str">
        <f>IF($A$3=" "," ", IFERROR( VLOOKUP($A711,'SUPPLIER DATA BASE'!$A$2:$G$936,4,0),""))</f>
        <v>NO</v>
      </c>
      <c r="E711" s="71" t="str">
        <f>IF($A$3=" "," ", IFERROR( VLOOKUP($A711,'SUPPLIER DATA BASE'!$A$2:$H$936,5,0),""))</f>
        <v>-</v>
      </c>
      <c r="F711" s="72" t="s">
        <v>2186</v>
      </c>
      <c r="G711" s="73">
        <v>46114.0</v>
      </c>
      <c r="H711" s="74">
        <v>163.0</v>
      </c>
      <c r="I711" s="75">
        <v>287536.0</v>
      </c>
      <c r="J711" s="76" t="s">
        <v>2187</v>
      </c>
      <c r="K711" s="76" t="s">
        <v>2188</v>
      </c>
      <c r="L711" s="73">
        <v>46118.0</v>
      </c>
      <c r="M711" s="70" t="str">
        <f t="shared" si="3"/>
        <v>74 Days</v>
      </c>
      <c r="N711" s="70" t="str">
        <f>IF($A$3=" "," ", IFERROR( VLOOKUP($A711,'SUPPLIER DATA BASE'!$A$2:$O$936,11,0),""))</f>
        <v>D D SALES CO</v>
      </c>
      <c r="O711" s="70" t="str">
        <f>IF($A$3=" "," ", IFERROR( VLOOKUP($A711,'SUPPLIER DATA BASE'!$A$2:$O$936,12,0),""))</f>
        <v>29205007835</v>
      </c>
      <c r="P711" s="70" t="str">
        <f>IF($A$3=" "," ", IFERROR( VLOOKUP($A711,'SUPPLIER DATA BASE'!$A$2:$O$936,13,0),""))</f>
        <v>ICIC0000292</v>
      </c>
      <c r="Q711" s="77"/>
      <c r="R711" s="73"/>
      <c r="S711" s="77"/>
      <c r="T711" s="70"/>
      <c r="U711" s="78"/>
      <c r="V711" s="70" t="str">
        <f t="shared" si="6"/>
        <v>FY 26-27</v>
      </c>
      <c r="W711" s="23"/>
      <c r="X711" s="23"/>
    </row>
    <row r="712">
      <c r="A712" s="70" t="s">
        <v>413</v>
      </c>
      <c r="B712" s="70" t="str">
        <f>IF($A$3=" "," ", IFERROR( VLOOKUP($A712,'SUPPLIER DATA BASE'!$A$2:$M$936,3,0),""))</f>
        <v>KILLER</v>
      </c>
      <c r="C712" s="70" t="str">
        <f>IF($A$3=" "," ", IFERROR( VLOOKUP($A712,'SUPPLIER DATA BASE'!$A$2:$F$936,6,0),""))</f>
        <v>-</v>
      </c>
      <c r="D712" s="70" t="str">
        <f>IF($A$3=" "," ", IFERROR( VLOOKUP($A712,'SUPPLIER DATA BASE'!$A$2:$G$936,4,0),""))</f>
        <v>NO</v>
      </c>
      <c r="E712" s="71" t="str">
        <f>IF($A$3=" "," ", IFERROR( VLOOKUP($A712,'SUPPLIER DATA BASE'!$A$2:$H$936,5,0),""))</f>
        <v>-</v>
      </c>
      <c r="F712" s="72" t="s">
        <v>2189</v>
      </c>
      <c r="G712" s="73">
        <v>46114.0</v>
      </c>
      <c r="H712" s="74">
        <v>209.0</v>
      </c>
      <c r="I712" s="75">
        <v>383982.0</v>
      </c>
      <c r="J712" s="76" t="s">
        <v>2190</v>
      </c>
      <c r="K712" s="76" t="s">
        <v>2191</v>
      </c>
      <c r="L712" s="73">
        <v>46118.0</v>
      </c>
      <c r="M712" s="70" t="str">
        <f t="shared" si="3"/>
        <v>74 Days</v>
      </c>
      <c r="N712" s="70" t="str">
        <f>IF($A$3=" "," ", IFERROR( VLOOKUP($A712,'SUPPLIER DATA BASE'!$A$2:$O$936,11,0),""))</f>
        <v>D D SALES CO</v>
      </c>
      <c r="O712" s="70" t="str">
        <f>IF($A$3=" "," ", IFERROR( VLOOKUP($A712,'SUPPLIER DATA BASE'!$A$2:$O$936,12,0),""))</f>
        <v>29205007835</v>
      </c>
      <c r="P712" s="70" t="str">
        <f>IF($A$3=" "," ", IFERROR( VLOOKUP($A712,'SUPPLIER DATA BASE'!$A$2:$O$936,13,0),""))</f>
        <v>ICIC0000292</v>
      </c>
      <c r="Q712" s="77"/>
      <c r="R712" s="73"/>
      <c r="S712" s="77"/>
      <c r="T712" s="70"/>
      <c r="U712" s="78"/>
      <c r="V712" s="70" t="str">
        <f t="shared" si="6"/>
        <v>FY 26-27</v>
      </c>
      <c r="W712" s="23"/>
      <c r="X712" s="23"/>
    </row>
    <row r="713">
      <c r="A713" s="70" t="s">
        <v>382</v>
      </c>
      <c r="B713" s="70" t="str">
        <f>IF($A$3=" "," ", IFERROR( VLOOKUP($A713,'SUPPLIER DATA BASE'!$A$2:$M$936,3,0),""))</f>
        <v>LITTLE PINK</v>
      </c>
      <c r="C713" s="70" t="str">
        <f>IF($A$3=" "," ", IFERROR( VLOOKUP($A713,'SUPPLIER DATA BASE'!$A$2:$F$936,6,0),""))</f>
        <v>-</v>
      </c>
      <c r="D713" s="70" t="str">
        <f>IF($A$3=" "," ", IFERROR( VLOOKUP($A713,'SUPPLIER DATA BASE'!$A$2:$G$936,4,0),""))</f>
        <v>-</v>
      </c>
      <c r="E713" s="71" t="str">
        <f>IF($A$3=" "," ", IFERROR( VLOOKUP($A713,'SUPPLIER DATA BASE'!$A$2:$H$936,5,0),""))</f>
        <v>-</v>
      </c>
      <c r="F713" s="72" t="s">
        <v>2192</v>
      </c>
      <c r="G713" s="73">
        <v>46114.0</v>
      </c>
      <c r="H713" s="74">
        <v>28.0</v>
      </c>
      <c r="I713" s="75">
        <v>17266.0</v>
      </c>
      <c r="J713" s="76" t="s">
        <v>2193</v>
      </c>
      <c r="K713" s="76" t="s">
        <v>2194</v>
      </c>
      <c r="L713" s="73">
        <v>46116.0</v>
      </c>
      <c r="M713" s="70" t="str">
        <f t="shared" si="3"/>
        <v>74 Days</v>
      </c>
      <c r="N713" s="70" t="str">
        <f>IF($A$3=" "," ", IFERROR( VLOOKUP($A713,'SUPPLIER DATA BASE'!$A$2:$O$936,11,0),""))</f>
        <v>-</v>
      </c>
      <c r="O713" s="70" t="str">
        <f>IF($A$3=" "," ", IFERROR( VLOOKUP($A713,'SUPPLIER DATA BASE'!$A$2:$O$936,12,0),""))</f>
        <v>-</v>
      </c>
      <c r="P713" s="70" t="str">
        <f>IF($A$3=" "," ", IFERROR( VLOOKUP($A713,'SUPPLIER DATA BASE'!$A$2:$O$936,13,0),""))</f>
        <v>-</v>
      </c>
      <c r="Q713" s="77"/>
      <c r="R713" s="73"/>
      <c r="S713" s="77"/>
      <c r="T713" s="70"/>
      <c r="U713" s="78"/>
      <c r="V713" s="70" t="str">
        <f t="shared" si="6"/>
        <v>FY 26-27</v>
      </c>
      <c r="W713" s="23"/>
      <c r="X713" s="23"/>
    </row>
    <row r="714">
      <c r="A714" s="70" t="s">
        <v>789</v>
      </c>
      <c r="B714" s="70" t="str">
        <f>IF($A$3=" "," ", IFERROR( VLOOKUP($A714,'SUPPLIER DATA BASE'!$A$2:$M$936,3,0),""))</f>
        <v>-</v>
      </c>
      <c r="C714" s="70" t="str">
        <f>IF($A$3=" "," ", IFERROR( VLOOKUP($A714,'SUPPLIER DATA BASE'!$A$2:$F$936,6,0),""))</f>
        <v>-</v>
      </c>
      <c r="D714" s="70" t="str">
        <f>IF($A$3=" "," ", IFERROR( VLOOKUP($A714,'SUPPLIER DATA BASE'!$A$2:$G$936,4,0),""))</f>
        <v>-</v>
      </c>
      <c r="E714" s="71" t="str">
        <f>IF($A$3=" "," ", IFERROR( VLOOKUP($A714,'SUPPLIER DATA BASE'!$A$2:$H$936,5,0),""))</f>
        <v>-</v>
      </c>
      <c r="F714" s="72">
        <v>151.0</v>
      </c>
      <c r="G714" s="73">
        <v>46114.0</v>
      </c>
      <c r="H714" s="74">
        <v>66.0</v>
      </c>
      <c r="I714" s="75">
        <v>124146.0</v>
      </c>
      <c r="J714" s="76" t="s">
        <v>2195</v>
      </c>
      <c r="K714" s="76" t="s">
        <v>2196</v>
      </c>
      <c r="L714" s="73"/>
      <c r="M714" s="70" t="str">
        <f t="shared" si="3"/>
        <v>74 Days</v>
      </c>
      <c r="N714" s="70" t="str">
        <f>IF($A$3=" "," ", IFERROR( VLOOKUP($A714,'SUPPLIER DATA BASE'!$A$2:$O$936,11,0),""))</f>
        <v>-</v>
      </c>
      <c r="O714" s="70" t="str">
        <f>IF($A$3=" "," ", IFERROR( VLOOKUP($A714,'SUPPLIER DATA BASE'!$A$2:$O$936,12,0),""))</f>
        <v>-</v>
      </c>
      <c r="P714" s="70" t="str">
        <f>IF($A$3=" "," ", IFERROR( VLOOKUP($A714,'SUPPLIER DATA BASE'!$A$2:$O$936,13,0),""))</f>
        <v>-</v>
      </c>
      <c r="Q714" s="77"/>
      <c r="R714" s="73"/>
      <c r="S714" s="77"/>
      <c r="T714" s="70"/>
      <c r="U714" s="78"/>
      <c r="V714" s="70" t="str">
        <f t="shared" si="6"/>
        <v>FY 26-27</v>
      </c>
      <c r="W714" s="23"/>
      <c r="X714" s="23"/>
    </row>
    <row r="715">
      <c r="A715" s="70" t="s">
        <v>709</v>
      </c>
      <c r="B715" s="70" t="str">
        <f>IF($A$3=" "," ", IFERROR( VLOOKUP($A715,'SUPPLIER DATA BASE'!$A$2:$M$936,3,0),""))</f>
        <v>MUFTI</v>
      </c>
      <c r="C715" s="70" t="str">
        <f>IF($A$3=" "," ", IFERROR( VLOOKUP($A715,'SUPPLIER DATA BASE'!$A$2:$F$936,6,0),""))</f>
        <v>-</v>
      </c>
      <c r="D715" s="70" t="str">
        <f>IF($A$3=" "," ", IFERROR( VLOOKUP($A715,'SUPPLIER DATA BASE'!$A$2:$G$936,4,0),""))</f>
        <v>-</v>
      </c>
      <c r="E715" s="71" t="str">
        <f>IF($A$3=" "," ", IFERROR( VLOOKUP($A715,'SUPPLIER DATA BASE'!$A$2:$H$936,5,0),""))</f>
        <v>-</v>
      </c>
      <c r="F715" s="72" t="s">
        <v>2197</v>
      </c>
      <c r="G715" s="73">
        <v>46115.0</v>
      </c>
      <c r="H715" s="74">
        <v>110.0</v>
      </c>
      <c r="I715" s="75">
        <v>212657.0</v>
      </c>
      <c r="J715" s="76" t="s">
        <v>2198</v>
      </c>
      <c r="K715" s="76" t="s">
        <v>2199</v>
      </c>
      <c r="L715" s="73"/>
      <c r="M715" s="70" t="str">
        <f t="shared" si="3"/>
        <v>73 Days</v>
      </c>
      <c r="N715" s="70" t="str">
        <f>IF($A$3=" "," ", IFERROR( VLOOKUP($A715,'SUPPLIER DATA BASE'!$A$2:$O$936,11,0),""))</f>
        <v>SHRING APPARELS</v>
      </c>
      <c r="O715" s="70" t="str">
        <f>IF($A$3=" "," ", IFERROR( VLOOKUP($A715,'SUPPLIER DATA BASE'!$A$2:$O$936,12,0),""))</f>
        <v>50200030713091</v>
      </c>
      <c r="P715" s="70" t="str">
        <f>IF($A$3=" "," ", IFERROR( VLOOKUP($A715,'SUPPLIER DATA BASE'!$A$2:$O$936,13,0),""))</f>
        <v>HDFC0000186</v>
      </c>
      <c r="Q715" s="77"/>
      <c r="R715" s="73"/>
      <c r="S715" s="77"/>
      <c r="T715" s="70"/>
      <c r="U715" s="78"/>
      <c r="V715" s="70" t="str">
        <f t="shared" si="6"/>
        <v>FY 26-27</v>
      </c>
      <c r="W715" s="23"/>
      <c r="X715" s="23"/>
    </row>
    <row r="716">
      <c r="A716" s="70" t="s">
        <v>402</v>
      </c>
      <c r="B716" s="70" t="str">
        <f>IF($A$3=" "," ", IFERROR( VLOOKUP($A716,'SUPPLIER DATA BASE'!$A$2:$M$936,3,0),""))</f>
        <v>KHUSHAL/STATUS QUO</v>
      </c>
      <c r="C716" s="70" t="str">
        <f>IF($A$3=" "," ", IFERROR( VLOOKUP($A716,'SUPPLIER DATA BASE'!$A$2:$F$936,6,0),""))</f>
        <v>-</v>
      </c>
      <c r="D716" s="70" t="str">
        <f>IF($A$3=" "," ", IFERROR( VLOOKUP($A716,'SUPPLIER DATA BASE'!$A$2:$G$936,4,0),""))</f>
        <v>-</v>
      </c>
      <c r="E716" s="71" t="str">
        <f>IF($A$3=" "," ", IFERROR( VLOOKUP($A716,'SUPPLIER DATA BASE'!$A$2:$H$936,5,0),""))</f>
        <v>-</v>
      </c>
      <c r="F716" s="72" t="s">
        <v>2200</v>
      </c>
      <c r="G716" s="73">
        <v>46115.0</v>
      </c>
      <c r="H716" s="74">
        <v>94.0</v>
      </c>
      <c r="I716" s="75">
        <v>99702.0</v>
      </c>
      <c r="J716" s="76" t="s">
        <v>2201</v>
      </c>
      <c r="K716" s="76" t="s">
        <v>2202</v>
      </c>
      <c r="L716" s="73">
        <v>46119.0</v>
      </c>
      <c r="M716" s="70" t="str">
        <f t="shared" si="3"/>
        <v>73 Days</v>
      </c>
      <c r="N716" s="70" t="str">
        <f>IF($A$3=" "," ", IFERROR( VLOOKUP($A716,'SUPPLIER DATA BASE'!$A$2:$O$936,11,0),""))</f>
        <v>D APPAREL</v>
      </c>
      <c r="O716" s="70" t="str">
        <f>IF($A$3=" "," ", IFERROR( VLOOKUP($A716,'SUPPLIER DATA BASE'!$A$2:$O$936,12,0),""))</f>
        <v>722501010050397</v>
      </c>
      <c r="P716" s="70" t="str">
        <f>IF($A$3=" "," ", IFERROR( VLOOKUP($A716,'SUPPLIER DATA BASE'!$A$2:$O$936,13,0),""))</f>
        <v>UBIN0572250</v>
      </c>
      <c r="Q716" s="77"/>
      <c r="R716" s="73"/>
      <c r="S716" s="77"/>
      <c r="T716" s="70"/>
      <c r="U716" s="78"/>
      <c r="V716" s="70" t="str">
        <f t="shared" si="6"/>
        <v>FY 26-27</v>
      </c>
      <c r="W716" s="23"/>
      <c r="X716" s="23"/>
    </row>
    <row r="717">
      <c r="A717" s="70" t="s">
        <v>830</v>
      </c>
      <c r="B717" s="70" t="str">
        <f>IF($A$3=" "," ", IFERROR( VLOOKUP($A717,'SUPPLIER DATA BASE'!$A$2:$M$936,3,0),""))</f>
        <v/>
      </c>
      <c r="C717" s="70" t="str">
        <f>IF($A$3=" "," ", IFERROR( VLOOKUP($A717,'SUPPLIER DATA BASE'!$A$2:$F$936,6,0),""))</f>
        <v>DIRECT</v>
      </c>
      <c r="D717" s="70" t="str">
        <f>IF($A$3=" "," ", IFERROR( VLOOKUP($A717,'SUPPLIER DATA BASE'!$A$2:$G$936,4,0),""))</f>
        <v/>
      </c>
      <c r="E717" s="71" t="str">
        <f>IF($A$3=" "," ", IFERROR( VLOOKUP($A717,'SUPPLIER DATA BASE'!$A$2:$H$936,5,0),""))</f>
        <v/>
      </c>
      <c r="F717" s="72" t="s">
        <v>2203</v>
      </c>
      <c r="G717" s="73">
        <v>46115.0</v>
      </c>
      <c r="H717" s="74">
        <v>4.0</v>
      </c>
      <c r="I717" s="75">
        <v>29951.68</v>
      </c>
      <c r="J717" s="76" t="s">
        <v>2204</v>
      </c>
      <c r="K717" s="76" t="s">
        <v>2205</v>
      </c>
      <c r="L717" s="73">
        <v>46119.0</v>
      </c>
      <c r="M717" s="70" t="str">
        <f t="shared" si="3"/>
        <v>73 Days</v>
      </c>
      <c r="N717" s="70" t="str">
        <f>IF($A$3=" "," ", IFERROR( VLOOKUP($A717,'SUPPLIER DATA BASE'!$A$2:$O$936,11,0),""))</f>
        <v>SURYA ETHNIC FASHION(INDIA) PVT. LTD.</v>
      </c>
      <c r="O717" s="70" t="str">
        <f>IF($A$3=" "," ", IFERROR( VLOOKUP($A717,'SUPPLIER DATA BASE'!$A$2:$O$936,12,0),""))</f>
        <v>99909810046731</v>
      </c>
      <c r="P717" s="70" t="str">
        <f>IF($A$3=" "," ", IFERROR( VLOOKUP($A717,'SUPPLIER DATA BASE'!$A$2:$O$936,13,0),""))</f>
        <v>HDFC0001981</v>
      </c>
      <c r="Q717" s="77"/>
      <c r="R717" s="73"/>
      <c r="S717" s="77"/>
      <c r="T717" s="70"/>
      <c r="U717" s="78"/>
      <c r="V717" s="70" t="str">
        <f t="shared" si="6"/>
        <v>FY 26-27</v>
      </c>
      <c r="W717" s="23"/>
      <c r="X717" s="23"/>
    </row>
    <row r="718">
      <c r="A718" s="70" t="s">
        <v>495</v>
      </c>
      <c r="B718" s="70" t="str">
        <f>IF($A$3=" "," ", IFERROR( VLOOKUP($A718,'SUPPLIER DATA BASE'!$A$2:$M$936,3,0),""))</f>
        <v>-</v>
      </c>
      <c r="C718" s="70" t="str">
        <f>IF($A$3=" "," ", IFERROR( VLOOKUP($A718,'SUPPLIER DATA BASE'!$A$2:$F$936,6,0),""))</f>
        <v>-</v>
      </c>
      <c r="D718" s="70" t="str">
        <f>IF($A$3=" "," ", IFERROR( VLOOKUP($A718,'SUPPLIER DATA BASE'!$A$2:$G$936,4,0),""))</f>
        <v>-</v>
      </c>
      <c r="E718" s="71" t="str">
        <f>IF($A$3=" "," ", IFERROR( VLOOKUP($A718,'SUPPLIER DATA BASE'!$A$2:$H$936,5,0),""))</f>
        <v>-</v>
      </c>
      <c r="F718" s="72" t="s">
        <v>2206</v>
      </c>
      <c r="G718" s="73">
        <v>46115.0</v>
      </c>
      <c r="H718" s="74">
        <v>46.0</v>
      </c>
      <c r="I718" s="75">
        <v>150337.0</v>
      </c>
      <c r="J718" s="76" t="s">
        <v>2207</v>
      </c>
      <c r="K718" s="76" t="s">
        <v>2208</v>
      </c>
      <c r="L718" s="73">
        <v>46119.0</v>
      </c>
      <c r="M718" s="70" t="str">
        <f t="shared" si="3"/>
        <v>73 Days</v>
      </c>
      <c r="N718" s="70" t="str">
        <f>IF($A$3=" "," ", IFERROR( VLOOKUP($A718,'SUPPLIER DATA BASE'!$A$2:$O$936,11,0),""))</f>
        <v>JAIN ADISHWAR HOSIERY WORKS LLP</v>
      </c>
      <c r="O718" s="70" t="str">
        <f>IF($A$3=" "," ", IFERROR( VLOOKUP($A718,'SUPPLIER DATA BASE'!$A$2:$O$936,12,0),""))</f>
        <v>99917644444444</v>
      </c>
      <c r="P718" s="70" t="str">
        <f>IF($A$3=" "," ", IFERROR( VLOOKUP($A718,'SUPPLIER DATA BASE'!$A$2:$O$936,13,0),""))</f>
        <v>HDFC0002063</v>
      </c>
      <c r="Q718" s="77"/>
      <c r="R718" s="73"/>
      <c r="S718" s="77"/>
      <c r="T718" s="70"/>
      <c r="U718" s="78"/>
      <c r="V718" s="70" t="str">
        <f t="shared" si="6"/>
        <v>FY 26-27</v>
      </c>
      <c r="W718" s="23"/>
      <c r="X718" s="23"/>
    </row>
    <row r="719">
      <c r="A719" s="70" t="s">
        <v>625</v>
      </c>
      <c r="B719" s="70" t="str">
        <f>IF($A$3=" "," ", IFERROR( VLOOKUP($A719,'SUPPLIER DATA BASE'!$A$2:$M$936,3,0),""))</f>
        <v>-</v>
      </c>
      <c r="C719" s="70" t="str">
        <f>IF($A$3=" "," ", IFERROR( VLOOKUP($A719,'SUPPLIER DATA BASE'!$A$2:$F$936,6,0),""))</f>
        <v>DIRECT</v>
      </c>
      <c r="D719" s="70">
        <f>IF($A$3=" "," ", IFERROR( VLOOKUP($A719,'SUPPLIER DATA BASE'!$A$2:$G$936,4,0),""))</f>
        <v>30</v>
      </c>
      <c r="E719" s="71">
        <f>IF($A$3=" "," ", IFERROR( VLOOKUP($A719,'SUPPLIER DATA BASE'!$A$2:$H$936,5,0),""))</f>
        <v>0.02</v>
      </c>
      <c r="F719" s="72">
        <v>43.0</v>
      </c>
      <c r="G719" s="73">
        <v>46115.0</v>
      </c>
      <c r="H719" s="74">
        <v>26.0</v>
      </c>
      <c r="I719" s="75">
        <v>48014.0</v>
      </c>
      <c r="J719" s="76" t="s">
        <v>2209</v>
      </c>
      <c r="K719" s="76" t="s">
        <v>2210</v>
      </c>
      <c r="L719" s="73">
        <v>46119.0</v>
      </c>
      <c r="M719" s="70" t="str">
        <f t="shared" si="3"/>
        <v>73 Days</v>
      </c>
      <c r="N719" s="70" t="str">
        <f>IF($A$3=" "," ", IFERROR( VLOOKUP($A719,'SUPPLIER DATA BASE'!$A$2:$O$936,11,0),""))</f>
        <v>PLAZER GARMENTS</v>
      </c>
      <c r="O719" s="70" t="str">
        <f>IF($A$3=" "," ", IFERROR( VLOOKUP($A719,'SUPPLIER DATA BASE'!$A$2:$O$936,12,0),""))</f>
        <v>50200065043307</v>
      </c>
      <c r="P719" s="70" t="str">
        <f>IF($A$3=" "," ", IFERROR( VLOOKUP($A719,'SUPPLIER DATA BASE'!$A$2:$O$936,13,0),""))</f>
        <v>HDFC0000150</v>
      </c>
      <c r="Q719" s="77"/>
      <c r="R719" s="73"/>
      <c r="S719" s="77"/>
      <c r="T719" s="70"/>
      <c r="U719" s="78"/>
      <c r="V719" s="70" t="str">
        <f t="shared" si="6"/>
        <v>FY 26-27</v>
      </c>
      <c r="W719" s="23"/>
      <c r="X719" s="23"/>
    </row>
    <row r="720">
      <c r="A720" s="70" t="s">
        <v>799</v>
      </c>
      <c r="B720" s="70" t="str">
        <f>IF($A$3=" "," ", IFERROR( VLOOKUP($A720,'SUPPLIER DATA BASE'!$A$2:$M$936,3,0),""))</f>
        <v>-</v>
      </c>
      <c r="C720" s="70" t="str">
        <f>IF($A$3=" "," ", IFERROR( VLOOKUP($A720,'SUPPLIER DATA BASE'!$A$2:$F$936,6,0),""))</f>
        <v>-</v>
      </c>
      <c r="D720" s="70" t="str">
        <f>IF($A$3=" "," ", IFERROR( VLOOKUP($A720,'SUPPLIER DATA BASE'!$A$2:$G$936,4,0),""))</f>
        <v>-</v>
      </c>
      <c r="E720" s="71" t="str">
        <f>IF($A$3=" "," ", IFERROR( VLOOKUP($A720,'SUPPLIER DATA BASE'!$A$2:$H$936,5,0),""))</f>
        <v>-</v>
      </c>
      <c r="F720" s="72" t="s">
        <v>2211</v>
      </c>
      <c r="G720" s="73">
        <v>46115.0</v>
      </c>
      <c r="H720" s="74">
        <v>87.0</v>
      </c>
      <c r="I720" s="75">
        <v>84463.0</v>
      </c>
      <c r="J720" s="76" t="s">
        <v>2212</v>
      </c>
      <c r="K720" s="76" t="s">
        <v>2213</v>
      </c>
      <c r="L720" s="73">
        <v>46118.0</v>
      </c>
      <c r="M720" s="70" t="str">
        <f t="shared" si="3"/>
        <v>73 Days</v>
      </c>
      <c r="N720" s="70" t="str">
        <f>IF($A$3=" "," ", IFERROR( VLOOKUP($A720,'SUPPLIER DATA BASE'!$A$2:$O$936,11,0),""))</f>
        <v>VISHAL MARKETING &amp; CO.</v>
      </c>
      <c r="O720" s="70" t="str">
        <f>IF($A$3=" "," ", IFERROR( VLOOKUP($A720,'SUPPLIER DATA BASE'!$A$2:$O$936,12,0),""))</f>
        <v>1091008700001025</v>
      </c>
      <c r="P720" s="70" t="str">
        <f>IF($A$3=" "," ", IFERROR( VLOOKUP($A720,'SUPPLIER DATA BASE'!$A$2:$O$936,13,0),""))</f>
        <v>PUNB0109100</v>
      </c>
      <c r="Q720" s="77"/>
      <c r="R720" s="73"/>
      <c r="S720" s="77"/>
      <c r="T720" s="70"/>
      <c r="U720" s="78"/>
      <c r="V720" s="70" t="str">
        <f t="shared" si="6"/>
        <v>FY 26-27</v>
      </c>
      <c r="W720" s="23"/>
      <c r="X720" s="23"/>
    </row>
    <row r="721">
      <c r="A721" s="70" t="s">
        <v>799</v>
      </c>
      <c r="B721" s="70" t="str">
        <f>IF($A$3=" "," ", IFERROR( VLOOKUP($A721,'SUPPLIER DATA BASE'!$A$2:$M$936,3,0),""))</f>
        <v>-</v>
      </c>
      <c r="C721" s="70" t="str">
        <f>IF($A$3=" "," ", IFERROR( VLOOKUP($A721,'SUPPLIER DATA BASE'!$A$2:$F$936,6,0),""))</f>
        <v>-</v>
      </c>
      <c r="D721" s="70" t="str">
        <f>IF($A$3=" "," ", IFERROR( VLOOKUP($A721,'SUPPLIER DATA BASE'!$A$2:$G$936,4,0),""))</f>
        <v>-</v>
      </c>
      <c r="E721" s="71" t="str">
        <f>IF($A$3=" "," ", IFERROR( VLOOKUP($A721,'SUPPLIER DATA BASE'!$A$2:$H$936,5,0),""))</f>
        <v>-</v>
      </c>
      <c r="F721" s="72" t="s">
        <v>2214</v>
      </c>
      <c r="G721" s="73">
        <v>46115.0</v>
      </c>
      <c r="H721" s="74">
        <v>45.0</v>
      </c>
      <c r="I721" s="75">
        <v>50438.0</v>
      </c>
      <c r="J721" s="76" t="s">
        <v>2215</v>
      </c>
      <c r="K721" s="76" t="s">
        <v>2216</v>
      </c>
      <c r="L721" s="73">
        <v>46118.0</v>
      </c>
      <c r="M721" s="70" t="str">
        <f t="shared" si="3"/>
        <v>73 Days</v>
      </c>
      <c r="N721" s="70" t="str">
        <f>IF($A$3=" "," ", IFERROR( VLOOKUP($A721,'SUPPLIER DATA BASE'!$A$2:$O$936,11,0),""))</f>
        <v>VISHAL MARKETING &amp; CO.</v>
      </c>
      <c r="O721" s="70" t="str">
        <f>IF($A$3=" "," ", IFERROR( VLOOKUP($A721,'SUPPLIER DATA BASE'!$A$2:$O$936,12,0),""))</f>
        <v>1091008700001025</v>
      </c>
      <c r="P721" s="70" t="str">
        <f>IF($A$3=" "," ", IFERROR( VLOOKUP($A721,'SUPPLIER DATA BASE'!$A$2:$O$936,13,0),""))</f>
        <v>PUNB0109100</v>
      </c>
      <c r="Q721" s="77"/>
      <c r="R721" s="73"/>
      <c r="S721" s="77"/>
      <c r="T721" s="70"/>
      <c r="U721" s="78"/>
      <c r="V721" s="70" t="str">
        <f t="shared" si="6"/>
        <v>FY 26-27</v>
      </c>
      <c r="W721" s="23"/>
      <c r="X721" s="23"/>
    </row>
    <row r="722">
      <c r="A722" s="70" t="s">
        <v>799</v>
      </c>
      <c r="B722" s="70" t="str">
        <f>IF($A$3=" "," ", IFERROR( VLOOKUP($A722,'SUPPLIER DATA BASE'!$A$2:$M$936,3,0),""))</f>
        <v>-</v>
      </c>
      <c r="C722" s="70" t="str">
        <f>IF($A$3=" "," ", IFERROR( VLOOKUP($A722,'SUPPLIER DATA BASE'!$A$2:$F$936,6,0),""))</f>
        <v>-</v>
      </c>
      <c r="D722" s="70" t="str">
        <f>IF($A$3=" "," ", IFERROR( VLOOKUP($A722,'SUPPLIER DATA BASE'!$A$2:$G$936,4,0),""))</f>
        <v>-</v>
      </c>
      <c r="E722" s="71" t="str">
        <f>IF($A$3=" "," ", IFERROR( VLOOKUP($A722,'SUPPLIER DATA BASE'!$A$2:$H$936,5,0),""))</f>
        <v>-</v>
      </c>
      <c r="F722" s="72" t="s">
        <v>2217</v>
      </c>
      <c r="G722" s="73">
        <v>46115.0</v>
      </c>
      <c r="H722" s="74">
        <v>58.0</v>
      </c>
      <c r="I722" s="75">
        <v>118460.0</v>
      </c>
      <c r="J722" s="76" t="s">
        <v>2218</v>
      </c>
      <c r="K722" s="76" t="s">
        <v>2219</v>
      </c>
      <c r="L722" s="73">
        <v>46118.0</v>
      </c>
      <c r="M722" s="70" t="str">
        <f t="shared" si="3"/>
        <v>73 Days</v>
      </c>
      <c r="N722" s="70" t="str">
        <f>IF($A$3=" "," ", IFERROR( VLOOKUP($A722,'SUPPLIER DATA BASE'!$A$2:$O$936,11,0),""))</f>
        <v>VISHAL MARKETING &amp; CO.</v>
      </c>
      <c r="O722" s="70" t="str">
        <f>IF($A$3=" "," ", IFERROR( VLOOKUP($A722,'SUPPLIER DATA BASE'!$A$2:$O$936,12,0),""))</f>
        <v>1091008700001025</v>
      </c>
      <c r="P722" s="70" t="str">
        <f>IF($A$3=" "," ", IFERROR( VLOOKUP($A722,'SUPPLIER DATA BASE'!$A$2:$O$936,13,0),""))</f>
        <v>PUNB0109100</v>
      </c>
      <c r="Q722" s="77"/>
      <c r="R722" s="73"/>
      <c r="S722" s="77"/>
      <c r="T722" s="70"/>
      <c r="U722" s="78"/>
      <c r="V722" s="70" t="str">
        <f t="shared" si="6"/>
        <v>FY 26-27</v>
      </c>
      <c r="W722" s="23"/>
      <c r="X722" s="23"/>
    </row>
    <row r="723">
      <c r="A723" s="70" t="s">
        <v>799</v>
      </c>
      <c r="B723" s="70" t="str">
        <f>IF($A$3=" "," ", IFERROR( VLOOKUP($A723,'SUPPLIER DATA BASE'!$A$2:$M$936,3,0),""))</f>
        <v>-</v>
      </c>
      <c r="C723" s="70" t="str">
        <f>IF($A$3=" "," ", IFERROR( VLOOKUP($A723,'SUPPLIER DATA BASE'!$A$2:$F$936,6,0),""))</f>
        <v>-</v>
      </c>
      <c r="D723" s="70" t="str">
        <f>IF($A$3=" "," ", IFERROR( VLOOKUP($A723,'SUPPLIER DATA BASE'!$A$2:$G$936,4,0),""))</f>
        <v>-</v>
      </c>
      <c r="E723" s="71" t="str">
        <f>IF($A$3=" "," ", IFERROR( VLOOKUP($A723,'SUPPLIER DATA BASE'!$A$2:$H$936,5,0),""))</f>
        <v>-</v>
      </c>
      <c r="F723" s="72" t="s">
        <v>2220</v>
      </c>
      <c r="G723" s="73">
        <v>46115.0</v>
      </c>
      <c r="H723" s="74">
        <v>58.0</v>
      </c>
      <c r="I723" s="75">
        <v>118460.0</v>
      </c>
      <c r="J723" s="76" t="s">
        <v>2221</v>
      </c>
      <c r="K723" s="76" t="s">
        <v>2222</v>
      </c>
      <c r="L723" s="73">
        <v>46118.0</v>
      </c>
      <c r="M723" s="70" t="str">
        <f t="shared" si="3"/>
        <v>73 Days</v>
      </c>
      <c r="N723" s="70" t="str">
        <f>IF($A$3=" "," ", IFERROR( VLOOKUP($A723,'SUPPLIER DATA BASE'!$A$2:$O$936,11,0),""))</f>
        <v>VISHAL MARKETING &amp; CO.</v>
      </c>
      <c r="O723" s="70" t="str">
        <f>IF($A$3=" "," ", IFERROR( VLOOKUP($A723,'SUPPLIER DATA BASE'!$A$2:$O$936,12,0),""))</f>
        <v>1091008700001025</v>
      </c>
      <c r="P723" s="70" t="str">
        <f>IF($A$3=" "," ", IFERROR( VLOOKUP($A723,'SUPPLIER DATA BASE'!$A$2:$O$936,13,0),""))</f>
        <v>PUNB0109100</v>
      </c>
      <c r="Q723" s="77"/>
      <c r="R723" s="73"/>
      <c r="S723" s="77"/>
      <c r="T723" s="70"/>
      <c r="U723" s="78"/>
      <c r="V723" s="70" t="str">
        <f t="shared" si="6"/>
        <v>FY 26-27</v>
      </c>
      <c r="W723" s="23"/>
      <c r="X723" s="23"/>
    </row>
    <row r="724">
      <c r="A724" s="70" t="s">
        <v>799</v>
      </c>
      <c r="B724" s="70" t="str">
        <f>IF($A$3=" "," ", IFERROR( VLOOKUP($A724,'SUPPLIER DATA BASE'!$A$2:$M$936,3,0),""))</f>
        <v>-</v>
      </c>
      <c r="C724" s="70" t="str">
        <f>IF($A$3=" "," ", IFERROR( VLOOKUP($A724,'SUPPLIER DATA BASE'!$A$2:$F$936,6,0),""))</f>
        <v>-</v>
      </c>
      <c r="D724" s="70" t="str">
        <f>IF($A$3=" "," ", IFERROR( VLOOKUP($A724,'SUPPLIER DATA BASE'!$A$2:$G$936,4,0),""))</f>
        <v>-</v>
      </c>
      <c r="E724" s="71" t="str">
        <f>IF($A$3=" "," ", IFERROR( VLOOKUP($A724,'SUPPLIER DATA BASE'!$A$2:$H$936,5,0),""))</f>
        <v>-</v>
      </c>
      <c r="F724" s="72" t="s">
        <v>2223</v>
      </c>
      <c r="G724" s="73">
        <v>46115.0</v>
      </c>
      <c r="H724" s="74">
        <v>132.0</v>
      </c>
      <c r="I724" s="75">
        <v>244663.0</v>
      </c>
      <c r="J724" s="76" t="s">
        <v>2224</v>
      </c>
      <c r="K724" s="76" t="s">
        <v>2225</v>
      </c>
      <c r="L724" s="73">
        <v>46118.0</v>
      </c>
      <c r="M724" s="70" t="str">
        <f t="shared" si="3"/>
        <v>73 Days</v>
      </c>
      <c r="N724" s="70" t="str">
        <f>IF($A$3=" "," ", IFERROR( VLOOKUP($A724,'SUPPLIER DATA BASE'!$A$2:$O$936,11,0),""))</f>
        <v>VISHAL MARKETING &amp; CO.</v>
      </c>
      <c r="O724" s="70" t="str">
        <f>IF($A$3=" "," ", IFERROR( VLOOKUP($A724,'SUPPLIER DATA BASE'!$A$2:$O$936,12,0),""))</f>
        <v>1091008700001025</v>
      </c>
      <c r="P724" s="70" t="str">
        <f>IF($A$3=" "," ", IFERROR( VLOOKUP($A724,'SUPPLIER DATA BASE'!$A$2:$O$936,13,0),""))</f>
        <v>PUNB0109100</v>
      </c>
      <c r="Q724" s="77"/>
      <c r="R724" s="73"/>
      <c r="S724" s="77"/>
      <c r="T724" s="70"/>
      <c r="U724" s="78"/>
      <c r="V724" s="70" t="str">
        <f t="shared" si="6"/>
        <v>FY 26-27</v>
      </c>
      <c r="W724" s="23"/>
      <c r="X724" s="23"/>
    </row>
    <row r="725">
      <c r="A725" s="70" t="s">
        <v>799</v>
      </c>
      <c r="B725" s="70" t="str">
        <f>IF($A$3=" "," ", IFERROR( VLOOKUP($A725,'SUPPLIER DATA BASE'!$A$2:$M$936,3,0),""))</f>
        <v>-</v>
      </c>
      <c r="C725" s="70" t="str">
        <f>IF($A$3=" "," ", IFERROR( VLOOKUP($A725,'SUPPLIER DATA BASE'!$A$2:$F$936,6,0),""))</f>
        <v>-</v>
      </c>
      <c r="D725" s="70" t="str">
        <f>IF($A$3=" "," ", IFERROR( VLOOKUP($A725,'SUPPLIER DATA BASE'!$A$2:$G$936,4,0),""))</f>
        <v>-</v>
      </c>
      <c r="E725" s="71" t="str">
        <f>IF($A$3=" "," ", IFERROR( VLOOKUP($A725,'SUPPLIER DATA BASE'!$A$2:$H$936,5,0),""))</f>
        <v>-</v>
      </c>
      <c r="F725" s="72" t="s">
        <v>2226</v>
      </c>
      <c r="G725" s="73">
        <v>46115.0</v>
      </c>
      <c r="H725" s="74">
        <v>62.0</v>
      </c>
      <c r="I725" s="75">
        <v>121648.0</v>
      </c>
      <c r="J725" s="76" t="s">
        <v>2227</v>
      </c>
      <c r="K725" s="76" t="s">
        <v>2228</v>
      </c>
      <c r="L725" s="73">
        <v>46118.0</v>
      </c>
      <c r="M725" s="70" t="str">
        <f t="shared" si="3"/>
        <v>73 Days</v>
      </c>
      <c r="N725" s="70" t="str">
        <f>IF($A$3=" "," ", IFERROR( VLOOKUP($A725,'SUPPLIER DATA BASE'!$A$2:$O$936,11,0),""))</f>
        <v>VISHAL MARKETING &amp; CO.</v>
      </c>
      <c r="O725" s="70" t="str">
        <f>IF($A$3=" "," ", IFERROR( VLOOKUP($A725,'SUPPLIER DATA BASE'!$A$2:$O$936,12,0),""))</f>
        <v>1091008700001025</v>
      </c>
      <c r="P725" s="70" t="str">
        <f>IF($A$3=" "," ", IFERROR( VLOOKUP($A725,'SUPPLIER DATA BASE'!$A$2:$O$936,13,0),""))</f>
        <v>PUNB0109100</v>
      </c>
      <c r="Q725" s="77"/>
      <c r="R725" s="73"/>
      <c r="S725" s="77"/>
      <c r="T725" s="70"/>
      <c r="U725" s="78"/>
      <c r="V725" s="70" t="str">
        <f t="shared" si="6"/>
        <v>FY 26-27</v>
      </c>
      <c r="W725" s="23"/>
      <c r="X725" s="23"/>
    </row>
    <row r="726">
      <c r="A726" s="70" t="s">
        <v>495</v>
      </c>
      <c r="B726" s="70" t="str">
        <f>IF($A$3=" "," ", IFERROR( VLOOKUP($A726,'SUPPLIER DATA BASE'!$A$2:$M$936,3,0),""))</f>
        <v>-</v>
      </c>
      <c r="C726" s="70" t="str">
        <f>IF($A$3=" "," ", IFERROR( VLOOKUP($A726,'SUPPLIER DATA BASE'!$A$2:$F$936,6,0),""))</f>
        <v>-</v>
      </c>
      <c r="D726" s="70" t="str">
        <f>IF($A$3=" "," ", IFERROR( VLOOKUP($A726,'SUPPLIER DATA BASE'!$A$2:$G$936,4,0),""))</f>
        <v>-</v>
      </c>
      <c r="E726" s="71" t="str">
        <f>IF($A$3=" "," ", IFERROR( VLOOKUP($A726,'SUPPLIER DATA BASE'!$A$2:$H$936,5,0),""))</f>
        <v>-</v>
      </c>
      <c r="F726" s="72" t="s">
        <v>2229</v>
      </c>
      <c r="G726" s="73">
        <v>46115.0</v>
      </c>
      <c r="H726" s="74">
        <v>109.0</v>
      </c>
      <c r="I726" s="75">
        <v>250923.0</v>
      </c>
      <c r="J726" s="76" t="s">
        <v>2230</v>
      </c>
      <c r="K726" s="76" t="s">
        <v>2231</v>
      </c>
      <c r="L726" s="73"/>
      <c r="M726" s="70" t="str">
        <f t="shared" si="3"/>
        <v>73 Days</v>
      </c>
      <c r="N726" s="70" t="str">
        <f>IF($A$3=" "," ", IFERROR( VLOOKUP($A726,'SUPPLIER DATA BASE'!$A$2:$O$936,11,0),""))</f>
        <v>JAIN ADISHWAR HOSIERY WORKS LLP</v>
      </c>
      <c r="O726" s="70" t="str">
        <f>IF($A$3=" "," ", IFERROR( VLOOKUP($A726,'SUPPLIER DATA BASE'!$A$2:$O$936,12,0),""))</f>
        <v>99917644444444</v>
      </c>
      <c r="P726" s="70" t="str">
        <f>IF($A$3=" "," ", IFERROR( VLOOKUP($A726,'SUPPLIER DATA BASE'!$A$2:$O$936,13,0),""))</f>
        <v>HDFC0002063</v>
      </c>
      <c r="Q726" s="77"/>
      <c r="R726" s="73"/>
      <c r="S726" s="77"/>
      <c r="T726" s="70"/>
      <c r="U726" s="78"/>
      <c r="V726" s="70" t="str">
        <f t="shared" si="6"/>
        <v>FY 26-27</v>
      </c>
      <c r="W726" s="23"/>
      <c r="X726" s="23"/>
    </row>
    <row r="727">
      <c r="A727" s="70" t="s">
        <v>495</v>
      </c>
      <c r="B727" s="70" t="str">
        <f>IF($A$3=" "," ", IFERROR( VLOOKUP($A727,'SUPPLIER DATA BASE'!$A$2:$M$936,3,0),""))</f>
        <v>-</v>
      </c>
      <c r="C727" s="70" t="str">
        <f>IF($A$3=" "," ", IFERROR( VLOOKUP($A727,'SUPPLIER DATA BASE'!$A$2:$F$936,6,0),""))</f>
        <v>-</v>
      </c>
      <c r="D727" s="70" t="str">
        <f>IF($A$3=" "," ", IFERROR( VLOOKUP($A727,'SUPPLIER DATA BASE'!$A$2:$G$936,4,0),""))</f>
        <v>-</v>
      </c>
      <c r="E727" s="71" t="str">
        <f>IF($A$3=" "," ", IFERROR( VLOOKUP($A727,'SUPPLIER DATA BASE'!$A$2:$H$936,5,0),""))</f>
        <v>-</v>
      </c>
      <c r="F727" s="72" t="s">
        <v>2232</v>
      </c>
      <c r="G727" s="73">
        <v>46115.0</v>
      </c>
      <c r="H727" s="74">
        <v>45.0</v>
      </c>
      <c r="I727" s="75">
        <v>150908.0</v>
      </c>
      <c r="J727" s="76" t="s">
        <v>2233</v>
      </c>
      <c r="K727" s="76" t="s">
        <v>2234</v>
      </c>
      <c r="L727" s="73"/>
      <c r="M727" s="70" t="str">
        <f t="shared" si="3"/>
        <v>73 Days</v>
      </c>
      <c r="N727" s="70" t="str">
        <f>IF($A$3=" "," ", IFERROR( VLOOKUP($A727,'SUPPLIER DATA BASE'!$A$2:$O$936,11,0),""))</f>
        <v>JAIN ADISHWAR HOSIERY WORKS LLP</v>
      </c>
      <c r="O727" s="70" t="str">
        <f>IF($A$3=" "," ", IFERROR( VLOOKUP($A727,'SUPPLIER DATA BASE'!$A$2:$O$936,12,0),""))</f>
        <v>99917644444444</v>
      </c>
      <c r="P727" s="70" t="str">
        <f>IF($A$3=" "," ", IFERROR( VLOOKUP($A727,'SUPPLIER DATA BASE'!$A$2:$O$936,13,0),""))</f>
        <v>HDFC0002063</v>
      </c>
      <c r="Q727" s="77"/>
      <c r="R727" s="73"/>
      <c r="S727" s="77"/>
      <c r="T727" s="70"/>
      <c r="U727" s="78"/>
      <c r="V727" s="70" t="str">
        <f t="shared" si="6"/>
        <v>FY 26-27</v>
      </c>
      <c r="W727" s="23"/>
      <c r="X727" s="23"/>
    </row>
    <row r="728">
      <c r="A728" s="70" t="s">
        <v>799</v>
      </c>
      <c r="B728" s="70" t="str">
        <f>IF($A$3=" "," ", IFERROR( VLOOKUP($A728,'SUPPLIER DATA BASE'!$A$2:$M$936,3,0),""))</f>
        <v>-</v>
      </c>
      <c r="C728" s="70" t="str">
        <f>IF($A$3=" "," ", IFERROR( VLOOKUP($A728,'SUPPLIER DATA BASE'!$A$2:$F$936,6,0),""))</f>
        <v>-</v>
      </c>
      <c r="D728" s="70" t="str">
        <f>IF($A$3=" "," ", IFERROR( VLOOKUP($A728,'SUPPLIER DATA BASE'!$A$2:$G$936,4,0),""))</f>
        <v>-</v>
      </c>
      <c r="E728" s="71" t="str">
        <f>IF($A$3=" "," ", IFERROR( VLOOKUP($A728,'SUPPLIER DATA BASE'!$A$2:$H$936,5,0),""))</f>
        <v>-</v>
      </c>
      <c r="F728" s="72" t="s">
        <v>2235</v>
      </c>
      <c r="G728" s="73">
        <v>46115.0</v>
      </c>
      <c r="H728" s="74">
        <v>3.0</v>
      </c>
      <c r="I728" s="75">
        <v>6292.0</v>
      </c>
      <c r="J728" s="76" t="s">
        <v>2236</v>
      </c>
      <c r="K728" s="76" t="s">
        <v>2237</v>
      </c>
      <c r="L728" s="73"/>
      <c r="M728" s="70" t="str">
        <f t="shared" si="3"/>
        <v>73 Days</v>
      </c>
      <c r="N728" s="70" t="str">
        <f>IF($A$3=" "," ", IFERROR( VLOOKUP($A728,'SUPPLIER DATA BASE'!$A$2:$O$936,11,0),""))</f>
        <v>VISHAL MARKETING &amp; CO.</v>
      </c>
      <c r="O728" s="70" t="str">
        <f>IF($A$3=" "," ", IFERROR( VLOOKUP($A728,'SUPPLIER DATA BASE'!$A$2:$O$936,12,0),""))</f>
        <v>1091008700001025</v>
      </c>
      <c r="P728" s="70" t="str">
        <f>IF($A$3=" "," ", IFERROR( VLOOKUP($A728,'SUPPLIER DATA BASE'!$A$2:$O$936,13,0),""))</f>
        <v>PUNB0109100</v>
      </c>
      <c r="Q728" s="77"/>
      <c r="R728" s="73"/>
      <c r="S728" s="77"/>
      <c r="T728" s="70"/>
      <c r="U728" s="78"/>
      <c r="V728" s="70" t="str">
        <f t="shared" si="6"/>
        <v>FY 26-27</v>
      </c>
      <c r="W728" s="23"/>
      <c r="X728" s="23"/>
    </row>
    <row r="729">
      <c r="A729" s="70" t="s">
        <v>799</v>
      </c>
      <c r="B729" s="70" t="str">
        <f>IF($A$3=" "," ", IFERROR( VLOOKUP($A729,'SUPPLIER DATA BASE'!$A$2:$M$936,3,0),""))</f>
        <v>-</v>
      </c>
      <c r="C729" s="70" t="str">
        <f>IF($A$3=" "," ", IFERROR( VLOOKUP($A729,'SUPPLIER DATA BASE'!$A$2:$F$936,6,0),""))</f>
        <v>-</v>
      </c>
      <c r="D729" s="70" t="str">
        <f>IF($A$3=" "," ", IFERROR( VLOOKUP($A729,'SUPPLIER DATA BASE'!$A$2:$G$936,4,0),""))</f>
        <v>-</v>
      </c>
      <c r="E729" s="71" t="str">
        <f>IF($A$3=" "," ", IFERROR( VLOOKUP($A729,'SUPPLIER DATA BASE'!$A$2:$H$936,5,0),""))</f>
        <v>-</v>
      </c>
      <c r="F729" s="72" t="s">
        <v>2238</v>
      </c>
      <c r="G729" s="73">
        <v>46115.0</v>
      </c>
      <c r="H729" s="74">
        <v>44.0</v>
      </c>
      <c r="I729" s="75">
        <v>87209.0</v>
      </c>
      <c r="J729" s="76" t="s">
        <v>2239</v>
      </c>
      <c r="K729" s="76" t="s">
        <v>2240</v>
      </c>
      <c r="L729" s="73"/>
      <c r="M729" s="70" t="str">
        <f t="shared" si="3"/>
        <v>73 Days</v>
      </c>
      <c r="N729" s="70" t="str">
        <f>IF($A$3=" "," ", IFERROR( VLOOKUP($A729,'SUPPLIER DATA BASE'!$A$2:$O$936,11,0),""))</f>
        <v>VISHAL MARKETING &amp; CO.</v>
      </c>
      <c r="O729" s="70" t="str">
        <f>IF($A$3=" "," ", IFERROR( VLOOKUP($A729,'SUPPLIER DATA BASE'!$A$2:$O$936,12,0),""))</f>
        <v>1091008700001025</v>
      </c>
      <c r="P729" s="70" t="str">
        <f>IF($A$3=" "," ", IFERROR( VLOOKUP($A729,'SUPPLIER DATA BASE'!$A$2:$O$936,13,0),""))</f>
        <v>PUNB0109100</v>
      </c>
      <c r="Q729" s="77"/>
      <c r="R729" s="73"/>
      <c r="S729" s="77"/>
      <c r="T729" s="70"/>
      <c r="U729" s="78"/>
      <c r="V729" s="70" t="str">
        <f t="shared" si="6"/>
        <v>FY 26-27</v>
      </c>
      <c r="W729" s="23"/>
      <c r="X729" s="23"/>
    </row>
    <row r="730">
      <c r="A730" s="70" t="s">
        <v>799</v>
      </c>
      <c r="B730" s="70" t="str">
        <f>IF($A$3=" "," ", IFERROR( VLOOKUP($A730,'SUPPLIER DATA BASE'!$A$2:$M$936,3,0),""))</f>
        <v>-</v>
      </c>
      <c r="C730" s="70" t="str">
        <f>IF($A$3=" "," ", IFERROR( VLOOKUP($A730,'SUPPLIER DATA BASE'!$A$2:$F$936,6,0),""))</f>
        <v>-</v>
      </c>
      <c r="D730" s="70" t="str">
        <f>IF($A$3=" "," ", IFERROR( VLOOKUP($A730,'SUPPLIER DATA BASE'!$A$2:$G$936,4,0),""))</f>
        <v>-</v>
      </c>
      <c r="E730" s="71" t="str">
        <f>IF($A$3=" "," ", IFERROR( VLOOKUP($A730,'SUPPLIER DATA BASE'!$A$2:$H$936,5,0),""))</f>
        <v>-</v>
      </c>
      <c r="F730" s="72" t="s">
        <v>2241</v>
      </c>
      <c r="G730" s="73">
        <v>46115.0</v>
      </c>
      <c r="H730" s="74">
        <v>44.0</v>
      </c>
      <c r="I730" s="75">
        <v>87209.0</v>
      </c>
      <c r="J730" s="76" t="s">
        <v>2242</v>
      </c>
      <c r="K730" s="76" t="s">
        <v>2243</v>
      </c>
      <c r="L730" s="73"/>
      <c r="M730" s="70" t="str">
        <f t="shared" si="3"/>
        <v>73 Days</v>
      </c>
      <c r="N730" s="70" t="str">
        <f>IF($A$3=" "," ", IFERROR( VLOOKUP($A730,'SUPPLIER DATA BASE'!$A$2:$O$936,11,0),""))</f>
        <v>VISHAL MARKETING &amp; CO.</v>
      </c>
      <c r="O730" s="70" t="str">
        <f>IF($A$3=" "," ", IFERROR( VLOOKUP($A730,'SUPPLIER DATA BASE'!$A$2:$O$936,12,0),""))</f>
        <v>1091008700001025</v>
      </c>
      <c r="P730" s="70" t="str">
        <f>IF($A$3=" "," ", IFERROR( VLOOKUP($A730,'SUPPLIER DATA BASE'!$A$2:$O$936,13,0),""))</f>
        <v>PUNB0109100</v>
      </c>
      <c r="Q730" s="77"/>
      <c r="R730" s="73"/>
      <c r="S730" s="77"/>
      <c r="T730" s="70"/>
      <c r="U730" s="78"/>
      <c r="V730" s="70" t="str">
        <f t="shared" si="6"/>
        <v>FY 26-27</v>
      </c>
      <c r="W730" s="23"/>
      <c r="X730" s="23"/>
    </row>
    <row r="731">
      <c r="A731" s="70" t="s">
        <v>799</v>
      </c>
      <c r="B731" s="70" t="str">
        <f>IF($A$3=" "," ", IFERROR( VLOOKUP($A731,'SUPPLIER DATA BASE'!$A$2:$M$936,3,0),""))</f>
        <v>-</v>
      </c>
      <c r="C731" s="70" t="str">
        <f>IF($A$3=" "," ", IFERROR( VLOOKUP($A731,'SUPPLIER DATA BASE'!$A$2:$F$936,6,0),""))</f>
        <v>-</v>
      </c>
      <c r="D731" s="70" t="str">
        <f>IF($A$3=" "," ", IFERROR( VLOOKUP($A731,'SUPPLIER DATA BASE'!$A$2:$G$936,4,0),""))</f>
        <v>-</v>
      </c>
      <c r="E731" s="71" t="str">
        <f>IF($A$3=" "," ", IFERROR( VLOOKUP($A731,'SUPPLIER DATA BASE'!$A$2:$H$936,5,0),""))</f>
        <v>-</v>
      </c>
      <c r="F731" s="72" t="s">
        <v>2244</v>
      </c>
      <c r="G731" s="73">
        <v>46115.0</v>
      </c>
      <c r="H731" s="74">
        <v>44.0</v>
      </c>
      <c r="I731" s="75">
        <v>87209.0</v>
      </c>
      <c r="J731" s="76" t="s">
        <v>2245</v>
      </c>
      <c r="K731" s="76" t="s">
        <v>2246</v>
      </c>
      <c r="L731" s="73"/>
      <c r="M731" s="70" t="str">
        <f t="shared" si="3"/>
        <v>73 Days</v>
      </c>
      <c r="N731" s="70" t="str">
        <f>IF($A$3=" "," ", IFERROR( VLOOKUP($A731,'SUPPLIER DATA BASE'!$A$2:$O$936,11,0),""))</f>
        <v>VISHAL MARKETING &amp; CO.</v>
      </c>
      <c r="O731" s="70" t="str">
        <f>IF($A$3=" "," ", IFERROR( VLOOKUP($A731,'SUPPLIER DATA BASE'!$A$2:$O$936,12,0),""))</f>
        <v>1091008700001025</v>
      </c>
      <c r="P731" s="70" t="str">
        <f>IF($A$3=" "," ", IFERROR( VLOOKUP($A731,'SUPPLIER DATA BASE'!$A$2:$O$936,13,0),""))</f>
        <v>PUNB0109100</v>
      </c>
      <c r="Q731" s="77"/>
      <c r="R731" s="73"/>
      <c r="S731" s="77"/>
      <c r="T731" s="70"/>
      <c r="U731" s="78"/>
      <c r="V731" s="70" t="str">
        <f t="shared" si="6"/>
        <v>FY 26-27</v>
      </c>
      <c r="W731" s="23"/>
      <c r="X731" s="23"/>
    </row>
    <row r="732">
      <c r="A732" s="70" t="s">
        <v>677</v>
      </c>
      <c r="B732" s="70" t="str">
        <f>IF($A$3=" "," ", IFERROR( VLOOKUP($A732,'SUPPLIER DATA BASE'!$A$2:$M$936,3,0),""))</f>
        <v>-</v>
      </c>
      <c r="C732" s="70" t="str">
        <f>IF($A$3=" "," ", IFERROR( VLOOKUP($A732,'SUPPLIER DATA BASE'!$A$2:$F$936,6,0),""))</f>
        <v>-</v>
      </c>
      <c r="D732" s="70" t="str">
        <f>IF($A$3=" "," ", IFERROR( VLOOKUP($A732,'SUPPLIER DATA BASE'!$A$2:$G$936,4,0),""))</f>
        <v>-</v>
      </c>
      <c r="E732" s="71" t="str">
        <f>IF($A$3=" "," ", IFERROR( VLOOKUP($A732,'SUPPLIER DATA BASE'!$A$2:$H$936,5,0),""))</f>
        <v>-</v>
      </c>
      <c r="F732" s="72" t="s">
        <v>2247</v>
      </c>
      <c r="G732" s="73">
        <v>46115.0</v>
      </c>
      <c r="H732" s="74">
        <v>110.0</v>
      </c>
      <c r="I732" s="75">
        <v>45715.0</v>
      </c>
      <c r="J732" s="76" t="s">
        <v>2248</v>
      </c>
      <c r="K732" s="76" t="s">
        <v>2249</v>
      </c>
      <c r="L732" s="73"/>
      <c r="M732" s="70" t="str">
        <f t="shared" si="3"/>
        <v>73 Days</v>
      </c>
      <c r="N732" s="70" t="str">
        <f>IF($A$3=" "," ", IFERROR( VLOOKUP($A732,'SUPPLIER DATA BASE'!$A$2:$O$936,11,0),""))</f>
        <v>SARAOGI SUPER SALES PVT LTD</v>
      </c>
      <c r="O732" s="70" t="str">
        <f>IF($A$3=" "," ", IFERROR( VLOOKUP($A732,'SUPPLIER DATA BASE'!$A$2:$O$936,12,0),""))</f>
        <v>SASUSP011006</v>
      </c>
      <c r="P732" s="70" t="str">
        <f>IF($A$3=" "," ", IFERROR( VLOOKUP($A732,'SUPPLIER DATA BASE'!$A$2:$O$936,13,0),""))</f>
        <v>ICIC0000106</v>
      </c>
      <c r="Q732" s="77"/>
      <c r="R732" s="73"/>
      <c r="S732" s="77"/>
      <c r="T732" s="70"/>
      <c r="U732" s="78"/>
      <c r="V732" s="70" t="str">
        <f t="shared" si="6"/>
        <v>FY 26-27</v>
      </c>
      <c r="W732" s="23"/>
      <c r="X732" s="23"/>
    </row>
    <row r="733">
      <c r="A733" s="70" t="s">
        <v>370</v>
      </c>
      <c r="B733" s="70" t="str">
        <f>IF($A$3=" "," ", IFERROR( VLOOKUP($A733,'SUPPLIER DATA BASE'!$A$2:$M$936,3,0),""))</f>
        <v>-</v>
      </c>
      <c r="C733" s="70" t="str">
        <f>IF($A$3=" "," ", IFERROR( VLOOKUP($A733,'SUPPLIER DATA BASE'!$A$2:$F$936,6,0),""))</f>
        <v>SURYAM TEXTILE AGENCY</v>
      </c>
      <c r="D733" s="70">
        <f>IF($A$3=" "," ", IFERROR( VLOOKUP($A733,'SUPPLIER DATA BASE'!$A$2:$G$936,4,0),""))</f>
        <v>30</v>
      </c>
      <c r="E733" s="71">
        <f>IF($A$3=" "," ", IFERROR( VLOOKUP($A733,'SUPPLIER DATA BASE'!$A$2:$H$936,5,0),""))</f>
        <v>0.09</v>
      </c>
      <c r="F733" s="72">
        <v>15.0</v>
      </c>
      <c r="G733" s="73">
        <v>46115.0</v>
      </c>
      <c r="H733" s="74">
        <v>32.0</v>
      </c>
      <c r="I733" s="75">
        <v>13339.0</v>
      </c>
      <c r="J733" s="76" t="s">
        <v>2250</v>
      </c>
      <c r="K733" s="76" t="s">
        <v>2251</v>
      </c>
      <c r="L733" s="73"/>
      <c r="M733" s="70" t="str">
        <f t="shared" si="3"/>
        <v>73 Days</v>
      </c>
      <c r="N733" s="70" t="str">
        <f>IF($A$3=" "," ", IFERROR( VLOOKUP($A733,'SUPPLIER DATA BASE'!$A$2:$O$936,11,0),""))</f>
        <v>AS TEXTILE</v>
      </c>
      <c r="O733" s="70" t="str">
        <f>IF($A$3=" "," ", IFERROR( VLOOKUP($A733,'SUPPLIER DATA BASE'!$A$2:$O$936,12,0),""))</f>
        <v>50200012846193</v>
      </c>
      <c r="P733" s="70" t="str">
        <f>IF($A$3=" "," ", IFERROR( VLOOKUP($A733,'SUPPLIER DATA BASE'!$A$2:$O$936,13,0),""))</f>
        <v>HDFC0001249</v>
      </c>
      <c r="Q733" s="77"/>
      <c r="R733" s="73"/>
      <c r="S733" s="77"/>
      <c r="T733" s="70"/>
      <c r="U733" s="78"/>
      <c r="V733" s="70" t="str">
        <f t="shared" si="6"/>
        <v>FY 26-27</v>
      </c>
      <c r="W733" s="23"/>
      <c r="X733" s="23"/>
    </row>
    <row r="734">
      <c r="A734" s="70" t="s">
        <v>370</v>
      </c>
      <c r="B734" s="70" t="str">
        <f>IF($A$3=" "," ", IFERROR( VLOOKUP($A734,'SUPPLIER DATA BASE'!$A$2:$M$936,3,0),""))</f>
        <v>-</v>
      </c>
      <c r="C734" s="70" t="str">
        <f>IF($A$3=" "," ", IFERROR( VLOOKUP($A734,'SUPPLIER DATA BASE'!$A$2:$F$936,6,0),""))</f>
        <v>SURYAM TEXTILE AGENCY</v>
      </c>
      <c r="D734" s="70">
        <f>IF($A$3=" "," ", IFERROR( VLOOKUP($A734,'SUPPLIER DATA BASE'!$A$2:$G$936,4,0),""))</f>
        <v>30</v>
      </c>
      <c r="E734" s="71">
        <f>IF($A$3=" "," ", IFERROR( VLOOKUP($A734,'SUPPLIER DATA BASE'!$A$2:$H$936,5,0),""))</f>
        <v>0.09</v>
      </c>
      <c r="F734" s="72">
        <v>16.0</v>
      </c>
      <c r="G734" s="73">
        <v>46115.0</v>
      </c>
      <c r="H734" s="74">
        <v>32.0</v>
      </c>
      <c r="I734" s="75">
        <v>13339.0</v>
      </c>
      <c r="J734" s="76" t="s">
        <v>2252</v>
      </c>
      <c r="K734" s="76" t="s">
        <v>2253</v>
      </c>
      <c r="L734" s="73"/>
      <c r="M734" s="70" t="str">
        <f t="shared" si="3"/>
        <v>73 Days</v>
      </c>
      <c r="N734" s="70" t="str">
        <f>IF($A$3=" "," ", IFERROR( VLOOKUP($A734,'SUPPLIER DATA BASE'!$A$2:$O$936,11,0),""))</f>
        <v>AS TEXTILE</v>
      </c>
      <c r="O734" s="70" t="str">
        <f>IF($A$3=" "," ", IFERROR( VLOOKUP($A734,'SUPPLIER DATA BASE'!$A$2:$O$936,12,0),""))</f>
        <v>50200012846193</v>
      </c>
      <c r="P734" s="70" t="str">
        <f>IF($A$3=" "," ", IFERROR( VLOOKUP($A734,'SUPPLIER DATA BASE'!$A$2:$O$936,13,0),""))</f>
        <v>HDFC0001249</v>
      </c>
      <c r="Q734" s="77"/>
      <c r="R734" s="73"/>
      <c r="S734" s="77"/>
      <c r="T734" s="70"/>
      <c r="U734" s="78"/>
      <c r="V734" s="70" t="str">
        <f t="shared" si="6"/>
        <v>FY 26-27</v>
      </c>
      <c r="W734" s="23"/>
      <c r="X734" s="23"/>
    </row>
    <row r="735">
      <c r="A735" s="70" t="s">
        <v>370</v>
      </c>
      <c r="B735" s="70" t="str">
        <f>IF($A$3=" "," ", IFERROR( VLOOKUP($A735,'SUPPLIER DATA BASE'!$A$2:$M$936,3,0),""))</f>
        <v>-</v>
      </c>
      <c r="C735" s="70" t="str">
        <f>IF($A$3=" "," ", IFERROR( VLOOKUP($A735,'SUPPLIER DATA BASE'!$A$2:$F$936,6,0),""))</f>
        <v>SURYAM TEXTILE AGENCY</v>
      </c>
      <c r="D735" s="70">
        <f>IF($A$3=" "," ", IFERROR( VLOOKUP($A735,'SUPPLIER DATA BASE'!$A$2:$G$936,4,0),""))</f>
        <v>30</v>
      </c>
      <c r="E735" s="71">
        <f>IF($A$3=" "," ", IFERROR( VLOOKUP($A735,'SUPPLIER DATA BASE'!$A$2:$H$936,5,0),""))</f>
        <v>0.09</v>
      </c>
      <c r="F735" s="72">
        <v>17.0</v>
      </c>
      <c r="G735" s="73">
        <v>46115.0</v>
      </c>
      <c r="H735" s="74">
        <v>20.0</v>
      </c>
      <c r="I735" s="75">
        <v>16674.0</v>
      </c>
      <c r="J735" s="76" t="s">
        <v>2254</v>
      </c>
      <c r="K735" s="76" t="s">
        <v>2255</v>
      </c>
      <c r="L735" s="73"/>
      <c r="M735" s="70" t="str">
        <f t="shared" si="3"/>
        <v>73 Days</v>
      </c>
      <c r="N735" s="70" t="str">
        <f>IF($A$3=" "," ", IFERROR( VLOOKUP($A735,'SUPPLIER DATA BASE'!$A$2:$O$936,11,0),""))</f>
        <v>AS TEXTILE</v>
      </c>
      <c r="O735" s="70" t="str">
        <f>IF($A$3=" "," ", IFERROR( VLOOKUP($A735,'SUPPLIER DATA BASE'!$A$2:$O$936,12,0),""))</f>
        <v>50200012846193</v>
      </c>
      <c r="P735" s="70" t="str">
        <f>IF($A$3=" "," ", IFERROR( VLOOKUP($A735,'SUPPLIER DATA BASE'!$A$2:$O$936,13,0),""))</f>
        <v>HDFC0001249</v>
      </c>
      <c r="Q735" s="77"/>
      <c r="R735" s="73"/>
      <c r="S735" s="77"/>
      <c r="T735" s="70"/>
      <c r="U735" s="78"/>
      <c r="V735" s="70" t="str">
        <f t="shared" si="6"/>
        <v>FY 26-27</v>
      </c>
      <c r="W735" s="23"/>
      <c r="X735" s="23"/>
    </row>
    <row r="736">
      <c r="A736" s="70" t="s">
        <v>370</v>
      </c>
      <c r="B736" s="70" t="str">
        <f>IF($A$3=" "," ", IFERROR( VLOOKUP($A736,'SUPPLIER DATA BASE'!$A$2:$M$936,3,0),""))</f>
        <v>-</v>
      </c>
      <c r="C736" s="70" t="str">
        <f>IF($A$3=" "," ", IFERROR( VLOOKUP($A736,'SUPPLIER DATA BASE'!$A$2:$F$936,6,0),""))</f>
        <v>SURYAM TEXTILE AGENCY</v>
      </c>
      <c r="D736" s="70">
        <f>IF($A$3=" "," ", IFERROR( VLOOKUP($A736,'SUPPLIER DATA BASE'!$A$2:$G$936,4,0),""))</f>
        <v>30</v>
      </c>
      <c r="E736" s="71">
        <f>IF($A$3=" "," ", IFERROR( VLOOKUP($A736,'SUPPLIER DATA BASE'!$A$2:$H$936,5,0),""))</f>
        <v>0.09</v>
      </c>
      <c r="F736" s="72">
        <v>18.0</v>
      </c>
      <c r="G736" s="73">
        <v>46115.0</v>
      </c>
      <c r="H736" s="74">
        <v>20.0</v>
      </c>
      <c r="I736" s="75">
        <v>16674.0</v>
      </c>
      <c r="J736" s="76" t="s">
        <v>2256</v>
      </c>
      <c r="K736" s="76" t="s">
        <v>2257</v>
      </c>
      <c r="L736" s="73"/>
      <c r="M736" s="70" t="str">
        <f t="shared" si="3"/>
        <v>73 Days</v>
      </c>
      <c r="N736" s="70" t="str">
        <f>IF($A$3=" "," ", IFERROR( VLOOKUP($A736,'SUPPLIER DATA BASE'!$A$2:$O$936,11,0),""))</f>
        <v>AS TEXTILE</v>
      </c>
      <c r="O736" s="70" t="str">
        <f>IF($A$3=" "," ", IFERROR( VLOOKUP($A736,'SUPPLIER DATA BASE'!$A$2:$O$936,12,0),""))</f>
        <v>50200012846193</v>
      </c>
      <c r="P736" s="70" t="str">
        <f>IF($A$3=" "," ", IFERROR( VLOOKUP($A736,'SUPPLIER DATA BASE'!$A$2:$O$936,13,0),""))</f>
        <v>HDFC0001249</v>
      </c>
      <c r="Q736" s="77"/>
      <c r="R736" s="73"/>
      <c r="S736" s="77"/>
      <c r="T736" s="70"/>
      <c r="U736" s="78"/>
      <c r="V736" s="70" t="str">
        <f t="shared" si="6"/>
        <v>FY 26-27</v>
      </c>
      <c r="W736" s="23"/>
      <c r="X736" s="23"/>
    </row>
    <row r="737">
      <c r="A737" s="70" t="s">
        <v>495</v>
      </c>
      <c r="B737" s="70" t="str">
        <f>IF($A$3=" "," ", IFERROR( VLOOKUP($A737,'SUPPLIER DATA BASE'!$A$2:$M$936,3,0),""))</f>
        <v>-</v>
      </c>
      <c r="C737" s="70" t="str">
        <f>IF($A$3=" "," ", IFERROR( VLOOKUP($A737,'SUPPLIER DATA BASE'!$A$2:$F$936,6,0),""))</f>
        <v>-</v>
      </c>
      <c r="D737" s="70" t="str">
        <f>IF($A$3=" "," ", IFERROR( VLOOKUP($A737,'SUPPLIER DATA BASE'!$A$2:$G$936,4,0),""))</f>
        <v>-</v>
      </c>
      <c r="E737" s="71" t="str">
        <f>IF($A$3=" "," ", IFERROR( VLOOKUP($A737,'SUPPLIER DATA BASE'!$A$2:$H$936,5,0),""))</f>
        <v>-</v>
      </c>
      <c r="F737" s="72" t="s">
        <v>2258</v>
      </c>
      <c r="G737" s="73">
        <v>46116.0</v>
      </c>
      <c r="H737" s="74">
        <v>29.0</v>
      </c>
      <c r="I737" s="75">
        <v>62952.0</v>
      </c>
      <c r="J737" s="76" t="s">
        <v>2259</v>
      </c>
      <c r="K737" s="76" t="s">
        <v>2260</v>
      </c>
      <c r="L737" s="73"/>
      <c r="M737" s="70" t="str">
        <f t="shared" si="3"/>
        <v>72 Days</v>
      </c>
      <c r="N737" s="70" t="str">
        <f>IF($A$3=" "," ", IFERROR( VLOOKUP($A737,'SUPPLIER DATA BASE'!$A$2:$O$936,11,0),""))</f>
        <v>JAIN ADISHWAR HOSIERY WORKS LLP</v>
      </c>
      <c r="O737" s="70" t="str">
        <f>IF($A$3=" "," ", IFERROR( VLOOKUP($A737,'SUPPLIER DATA BASE'!$A$2:$O$936,12,0),""))</f>
        <v>99917644444444</v>
      </c>
      <c r="P737" s="70" t="str">
        <f>IF($A$3=" "," ", IFERROR( VLOOKUP($A737,'SUPPLIER DATA BASE'!$A$2:$O$936,13,0),""))</f>
        <v>HDFC0002063</v>
      </c>
      <c r="Q737" s="77"/>
      <c r="R737" s="73"/>
      <c r="S737" s="77"/>
      <c r="T737" s="70"/>
      <c r="U737" s="78"/>
      <c r="V737" s="70" t="str">
        <f t="shared" si="6"/>
        <v>FY 26-27</v>
      </c>
      <c r="W737" s="23"/>
      <c r="X737" s="23"/>
    </row>
    <row r="738">
      <c r="A738" s="70" t="s">
        <v>495</v>
      </c>
      <c r="B738" s="70" t="str">
        <f>IF($A$3=" "," ", IFERROR( VLOOKUP($A738,'SUPPLIER DATA BASE'!$A$2:$M$936,3,0),""))</f>
        <v>-</v>
      </c>
      <c r="C738" s="70" t="str">
        <f>IF($A$3=" "," ", IFERROR( VLOOKUP($A738,'SUPPLIER DATA BASE'!$A$2:$F$936,6,0),""))</f>
        <v>-</v>
      </c>
      <c r="D738" s="70" t="str">
        <f>IF($A$3=" "," ", IFERROR( VLOOKUP($A738,'SUPPLIER DATA BASE'!$A$2:$G$936,4,0),""))</f>
        <v>-</v>
      </c>
      <c r="E738" s="71" t="str">
        <f>IF($A$3=" "," ", IFERROR( VLOOKUP($A738,'SUPPLIER DATA BASE'!$A$2:$H$936,5,0),""))</f>
        <v>-</v>
      </c>
      <c r="F738" s="72" t="s">
        <v>2261</v>
      </c>
      <c r="G738" s="73">
        <v>46116.0</v>
      </c>
      <c r="H738" s="74">
        <v>109.0</v>
      </c>
      <c r="I738" s="75">
        <v>270861.0</v>
      </c>
      <c r="J738" s="76" t="s">
        <v>2262</v>
      </c>
      <c r="K738" s="76" t="s">
        <v>2263</v>
      </c>
      <c r="L738" s="73"/>
      <c r="M738" s="70" t="str">
        <f t="shared" si="3"/>
        <v>72 Days</v>
      </c>
      <c r="N738" s="70" t="str">
        <f>IF($A$3=" "," ", IFERROR( VLOOKUP($A738,'SUPPLIER DATA BASE'!$A$2:$O$936,11,0),""))</f>
        <v>JAIN ADISHWAR HOSIERY WORKS LLP</v>
      </c>
      <c r="O738" s="70" t="str">
        <f>IF($A$3=" "," ", IFERROR( VLOOKUP($A738,'SUPPLIER DATA BASE'!$A$2:$O$936,12,0),""))</f>
        <v>99917644444444</v>
      </c>
      <c r="P738" s="70" t="str">
        <f>IF($A$3=" "," ", IFERROR( VLOOKUP($A738,'SUPPLIER DATA BASE'!$A$2:$O$936,13,0),""))</f>
        <v>HDFC0002063</v>
      </c>
      <c r="Q738" s="77"/>
      <c r="R738" s="73"/>
      <c r="S738" s="77"/>
      <c r="T738" s="70"/>
      <c r="U738" s="78"/>
      <c r="V738" s="70" t="str">
        <f t="shared" si="6"/>
        <v>FY 26-27</v>
      </c>
      <c r="W738" s="23"/>
      <c r="X738" s="23"/>
    </row>
    <row r="739">
      <c r="A739" s="70" t="s">
        <v>495</v>
      </c>
      <c r="B739" s="70" t="str">
        <f>IF($A$3=" "," ", IFERROR( VLOOKUP($A739,'SUPPLIER DATA BASE'!$A$2:$M$936,3,0),""))</f>
        <v>-</v>
      </c>
      <c r="C739" s="70" t="str">
        <f>IF($A$3=" "," ", IFERROR( VLOOKUP($A739,'SUPPLIER DATA BASE'!$A$2:$F$936,6,0),""))</f>
        <v>-</v>
      </c>
      <c r="D739" s="70" t="str">
        <f>IF($A$3=" "," ", IFERROR( VLOOKUP($A739,'SUPPLIER DATA BASE'!$A$2:$G$936,4,0),""))</f>
        <v>-</v>
      </c>
      <c r="E739" s="71" t="str">
        <f>IF($A$3=" "," ", IFERROR( VLOOKUP($A739,'SUPPLIER DATA BASE'!$A$2:$H$936,5,0),""))</f>
        <v>-</v>
      </c>
      <c r="F739" s="72" t="s">
        <v>2264</v>
      </c>
      <c r="G739" s="73">
        <v>46116.0</v>
      </c>
      <c r="H739" s="74">
        <v>36.0</v>
      </c>
      <c r="I739" s="75">
        <v>86244.0</v>
      </c>
      <c r="J739" s="76" t="s">
        <v>2265</v>
      </c>
      <c r="K739" s="76" t="s">
        <v>2266</v>
      </c>
      <c r="L739" s="73"/>
      <c r="M739" s="70" t="str">
        <f t="shared" si="3"/>
        <v>72 Days</v>
      </c>
      <c r="N739" s="70" t="str">
        <f>IF($A$3=" "," ", IFERROR( VLOOKUP($A739,'SUPPLIER DATA BASE'!$A$2:$O$936,11,0),""))</f>
        <v>JAIN ADISHWAR HOSIERY WORKS LLP</v>
      </c>
      <c r="O739" s="70" t="str">
        <f>IF($A$3=" "," ", IFERROR( VLOOKUP($A739,'SUPPLIER DATA BASE'!$A$2:$O$936,12,0),""))</f>
        <v>99917644444444</v>
      </c>
      <c r="P739" s="70" t="str">
        <f>IF($A$3=" "," ", IFERROR( VLOOKUP($A739,'SUPPLIER DATA BASE'!$A$2:$O$936,13,0),""))</f>
        <v>HDFC0002063</v>
      </c>
      <c r="Q739" s="77"/>
      <c r="R739" s="73"/>
      <c r="S739" s="77"/>
      <c r="T739" s="70"/>
      <c r="U739" s="78"/>
      <c r="V739" s="70" t="str">
        <f t="shared" si="6"/>
        <v>FY 26-27</v>
      </c>
      <c r="W739" s="23"/>
      <c r="X739" s="23"/>
    </row>
    <row r="740">
      <c r="A740" s="70" t="s">
        <v>789</v>
      </c>
      <c r="B740" s="70" t="str">
        <f>IF($A$3=" "," ", IFERROR( VLOOKUP($A740,'SUPPLIER DATA BASE'!$A$2:$M$936,3,0),""))</f>
        <v>-</v>
      </c>
      <c r="C740" s="70" t="str">
        <f>IF($A$3=" "," ", IFERROR( VLOOKUP($A740,'SUPPLIER DATA BASE'!$A$2:$F$936,6,0),""))</f>
        <v>-</v>
      </c>
      <c r="D740" s="70" t="str">
        <f>IF($A$3=" "," ", IFERROR( VLOOKUP($A740,'SUPPLIER DATA BASE'!$A$2:$G$936,4,0),""))</f>
        <v>-</v>
      </c>
      <c r="E740" s="71" t="str">
        <f>IF($A$3=" "," ", IFERROR( VLOOKUP($A740,'SUPPLIER DATA BASE'!$A$2:$H$936,5,0),""))</f>
        <v>-</v>
      </c>
      <c r="F740" s="72">
        <v>1112.0</v>
      </c>
      <c r="G740" s="73">
        <v>46116.0</v>
      </c>
      <c r="H740" s="74">
        <v>64.0</v>
      </c>
      <c r="I740" s="75">
        <v>28410.0</v>
      </c>
      <c r="J740" s="76" t="s">
        <v>2267</v>
      </c>
      <c r="K740" s="76" t="s">
        <v>2268</v>
      </c>
      <c r="L740" s="73"/>
      <c r="M740" s="70" t="str">
        <f t="shared" si="3"/>
        <v>72 Days</v>
      </c>
      <c r="N740" s="70" t="str">
        <f>IF($A$3=" "," ", IFERROR( VLOOKUP($A740,'SUPPLIER DATA BASE'!$A$2:$O$936,11,0),""))</f>
        <v>-</v>
      </c>
      <c r="O740" s="70" t="str">
        <f>IF($A$3=" "," ", IFERROR( VLOOKUP($A740,'SUPPLIER DATA BASE'!$A$2:$O$936,12,0),""))</f>
        <v>-</v>
      </c>
      <c r="P740" s="70" t="str">
        <f>IF($A$3=" "," ", IFERROR( VLOOKUP($A740,'SUPPLIER DATA BASE'!$A$2:$O$936,13,0),""))</f>
        <v>-</v>
      </c>
      <c r="Q740" s="77"/>
      <c r="R740" s="73"/>
      <c r="S740" s="77"/>
      <c r="T740" s="70"/>
      <c r="U740" s="78"/>
      <c r="V740" s="70" t="str">
        <f t="shared" si="6"/>
        <v>FY 26-27</v>
      </c>
      <c r="W740" s="23"/>
      <c r="X740" s="23"/>
    </row>
    <row r="741">
      <c r="A741" s="70" t="s">
        <v>413</v>
      </c>
      <c r="B741" s="70" t="str">
        <f>IF($A$3=" "," ", IFERROR( VLOOKUP($A741,'SUPPLIER DATA BASE'!$A$2:$M$936,3,0),""))</f>
        <v>KILLER</v>
      </c>
      <c r="C741" s="70" t="str">
        <f>IF($A$3=" "," ", IFERROR( VLOOKUP($A741,'SUPPLIER DATA BASE'!$A$2:$F$936,6,0),""))</f>
        <v>-</v>
      </c>
      <c r="D741" s="70" t="str">
        <f>IF($A$3=" "," ", IFERROR( VLOOKUP($A741,'SUPPLIER DATA BASE'!$A$2:$G$936,4,0),""))</f>
        <v>NO</v>
      </c>
      <c r="E741" s="71" t="str">
        <f>IF($A$3=" "," ", IFERROR( VLOOKUP($A741,'SUPPLIER DATA BASE'!$A$2:$H$936,5,0),""))</f>
        <v>-</v>
      </c>
      <c r="F741" s="72" t="s">
        <v>2269</v>
      </c>
      <c r="G741" s="73">
        <v>46116.0</v>
      </c>
      <c r="H741" s="74">
        <v>89.0</v>
      </c>
      <c r="I741" s="75">
        <v>102014.0</v>
      </c>
      <c r="J741" s="76" t="s">
        <v>2270</v>
      </c>
      <c r="K741" s="76" t="s">
        <v>2271</v>
      </c>
      <c r="L741" s="73"/>
      <c r="M741" s="70" t="str">
        <f t="shared" si="3"/>
        <v>72 Days</v>
      </c>
      <c r="N741" s="70" t="str">
        <f>IF($A$3=" "," ", IFERROR( VLOOKUP($A741,'SUPPLIER DATA BASE'!$A$2:$O$936,11,0),""))</f>
        <v>D D SALES CO</v>
      </c>
      <c r="O741" s="70" t="str">
        <f>IF($A$3=" "," ", IFERROR( VLOOKUP($A741,'SUPPLIER DATA BASE'!$A$2:$O$936,12,0),""))</f>
        <v>29205007835</v>
      </c>
      <c r="P741" s="70" t="str">
        <f>IF($A$3=" "," ", IFERROR( VLOOKUP($A741,'SUPPLIER DATA BASE'!$A$2:$O$936,13,0),""))</f>
        <v>ICIC0000292</v>
      </c>
      <c r="Q741" s="77"/>
      <c r="R741" s="73"/>
      <c r="S741" s="77"/>
      <c r="T741" s="70"/>
      <c r="U741" s="78"/>
      <c r="V741" s="70" t="str">
        <f t="shared" si="6"/>
        <v>FY 26-27</v>
      </c>
      <c r="W741" s="23"/>
      <c r="X741" s="23"/>
    </row>
    <row r="742">
      <c r="A742" s="70" t="s">
        <v>789</v>
      </c>
      <c r="B742" s="70" t="str">
        <f>IF($A$3=" "," ", IFERROR( VLOOKUP($A742,'SUPPLIER DATA BASE'!$A$2:$M$936,3,0),""))</f>
        <v>-</v>
      </c>
      <c r="C742" s="70" t="str">
        <f>IF($A$3=" "," ", IFERROR( VLOOKUP($A742,'SUPPLIER DATA BASE'!$A$2:$F$936,6,0),""))</f>
        <v>-</v>
      </c>
      <c r="D742" s="70" t="str">
        <f>IF($A$3=" "," ", IFERROR( VLOOKUP($A742,'SUPPLIER DATA BASE'!$A$2:$G$936,4,0),""))</f>
        <v>-</v>
      </c>
      <c r="E742" s="71" t="str">
        <f>IF($A$3=" "," ", IFERROR( VLOOKUP($A742,'SUPPLIER DATA BASE'!$A$2:$H$936,5,0),""))</f>
        <v>-</v>
      </c>
      <c r="F742" s="72">
        <v>1111.0</v>
      </c>
      <c r="G742" s="73">
        <v>46116.0</v>
      </c>
      <c r="H742" s="74">
        <v>62.0</v>
      </c>
      <c r="I742" s="75">
        <v>23756.0</v>
      </c>
      <c r="J742" s="76" t="s">
        <v>2272</v>
      </c>
      <c r="K742" s="76" t="s">
        <v>2273</v>
      </c>
      <c r="L742" s="73"/>
      <c r="M742" s="70" t="str">
        <f t="shared" si="3"/>
        <v>72 Days</v>
      </c>
      <c r="N742" s="70" t="str">
        <f>IF($A$3=" "," ", IFERROR( VLOOKUP($A742,'SUPPLIER DATA BASE'!$A$2:$O$936,11,0),""))</f>
        <v>-</v>
      </c>
      <c r="O742" s="70" t="str">
        <f>IF($A$3=" "," ", IFERROR( VLOOKUP($A742,'SUPPLIER DATA BASE'!$A$2:$O$936,12,0),""))</f>
        <v>-</v>
      </c>
      <c r="P742" s="70" t="str">
        <f>IF($A$3=" "," ", IFERROR( VLOOKUP($A742,'SUPPLIER DATA BASE'!$A$2:$O$936,13,0),""))</f>
        <v>-</v>
      </c>
      <c r="Q742" s="77"/>
      <c r="R742" s="73"/>
      <c r="S742" s="77"/>
      <c r="T742" s="70"/>
      <c r="U742" s="78"/>
      <c r="V742" s="70" t="str">
        <f t="shared" si="6"/>
        <v>FY 26-27</v>
      </c>
      <c r="W742" s="23"/>
      <c r="X742" s="23"/>
    </row>
    <row r="743">
      <c r="A743" s="70" t="s">
        <v>789</v>
      </c>
      <c r="B743" s="70" t="str">
        <f>IF($A$3=" "," ", IFERROR( VLOOKUP($A743,'SUPPLIER DATA BASE'!$A$2:$M$936,3,0),""))</f>
        <v>-</v>
      </c>
      <c r="C743" s="70" t="str">
        <f>IF($A$3=" "," ", IFERROR( VLOOKUP($A743,'SUPPLIER DATA BASE'!$A$2:$F$936,6,0),""))</f>
        <v>-</v>
      </c>
      <c r="D743" s="70" t="str">
        <f>IF($A$3=" "," ", IFERROR( VLOOKUP($A743,'SUPPLIER DATA BASE'!$A$2:$G$936,4,0),""))</f>
        <v>-</v>
      </c>
      <c r="E743" s="71" t="str">
        <f>IF($A$3=" "," ", IFERROR( VLOOKUP($A743,'SUPPLIER DATA BASE'!$A$2:$H$936,5,0),""))</f>
        <v>-</v>
      </c>
      <c r="F743" s="72">
        <v>1121.0</v>
      </c>
      <c r="G743" s="73">
        <v>46116.0</v>
      </c>
      <c r="H743" s="74">
        <v>13.0</v>
      </c>
      <c r="I743" s="90">
        <v>38363.0</v>
      </c>
      <c r="J743" s="76" t="s">
        <v>2274</v>
      </c>
      <c r="K743" s="76" t="s">
        <v>2275</v>
      </c>
      <c r="L743" s="73"/>
      <c r="M743" s="70" t="str">
        <f t="shared" si="3"/>
        <v>72 Days</v>
      </c>
      <c r="N743" s="70" t="str">
        <f>IF($A$3=" "," ", IFERROR( VLOOKUP($A743,'SUPPLIER DATA BASE'!$A$2:$O$936,11,0),""))</f>
        <v>-</v>
      </c>
      <c r="O743" s="70" t="str">
        <f>IF($A$3=" "," ", IFERROR( VLOOKUP($A743,'SUPPLIER DATA BASE'!$A$2:$O$936,12,0),""))</f>
        <v>-</v>
      </c>
      <c r="P743" s="70" t="str">
        <f>IF($A$3=" "," ", IFERROR( VLOOKUP($A743,'SUPPLIER DATA BASE'!$A$2:$O$936,13,0),""))</f>
        <v>-</v>
      </c>
      <c r="Q743" s="77"/>
      <c r="R743" s="73"/>
      <c r="S743" s="77"/>
      <c r="T743" s="70"/>
      <c r="U743" s="78"/>
      <c r="V743" s="70" t="str">
        <f t="shared" si="6"/>
        <v>FY 26-27</v>
      </c>
      <c r="W743" s="23"/>
      <c r="X743" s="23"/>
    </row>
    <row r="744">
      <c r="A744" s="70" t="s">
        <v>495</v>
      </c>
      <c r="B744" s="70" t="str">
        <f>IF($A$3=" "," ", IFERROR( VLOOKUP($A744,'SUPPLIER DATA BASE'!$A$2:$M$936,3,0),""))</f>
        <v>-</v>
      </c>
      <c r="C744" s="70" t="str">
        <f>IF($A$3=" "," ", IFERROR( VLOOKUP($A744,'SUPPLIER DATA BASE'!$A$2:$F$936,6,0),""))</f>
        <v>-</v>
      </c>
      <c r="D744" s="70" t="str">
        <f>IF($A$3=" "," ", IFERROR( VLOOKUP($A744,'SUPPLIER DATA BASE'!$A$2:$G$936,4,0),""))</f>
        <v>-</v>
      </c>
      <c r="E744" s="71" t="str">
        <f>IF($A$3=" "," ", IFERROR( VLOOKUP($A744,'SUPPLIER DATA BASE'!$A$2:$H$936,5,0),""))</f>
        <v>-</v>
      </c>
      <c r="F744" s="72" t="s">
        <v>2276</v>
      </c>
      <c r="G744" s="73">
        <v>46118.0</v>
      </c>
      <c r="H744" s="74">
        <v>36.0</v>
      </c>
      <c r="I744" s="90">
        <v>42485.0</v>
      </c>
      <c r="J744" s="76" t="s">
        <v>2277</v>
      </c>
      <c r="K744" s="76" t="s">
        <v>2278</v>
      </c>
      <c r="L744" s="73"/>
      <c r="M744" s="70" t="str">
        <f t="shared" si="3"/>
        <v>70 Days</v>
      </c>
      <c r="N744" s="70" t="str">
        <f>IF($A$3=" "," ", IFERROR( VLOOKUP($A744,'SUPPLIER DATA BASE'!$A$2:$O$936,11,0),""))</f>
        <v>JAIN ADISHWAR HOSIERY WORKS LLP</v>
      </c>
      <c r="O744" s="70" t="str">
        <f>IF($A$3=" "," ", IFERROR( VLOOKUP($A744,'SUPPLIER DATA BASE'!$A$2:$O$936,12,0),""))</f>
        <v>99917644444444</v>
      </c>
      <c r="P744" s="70" t="str">
        <f>IF($A$3=" "," ", IFERROR( VLOOKUP($A744,'SUPPLIER DATA BASE'!$A$2:$O$936,13,0),""))</f>
        <v>HDFC0002063</v>
      </c>
      <c r="Q744" s="77"/>
      <c r="R744" s="73"/>
      <c r="S744" s="77"/>
      <c r="T744" s="70"/>
      <c r="U744" s="78"/>
      <c r="V744" s="70" t="str">
        <f t="shared" si="6"/>
        <v>FY 26-27</v>
      </c>
      <c r="W744" s="23"/>
      <c r="X744" s="23"/>
    </row>
    <row r="745">
      <c r="A745" s="70" t="s">
        <v>692</v>
      </c>
      <c r="B745" s="70" t="str">
        <f>IF($A$3=" "," ", IFERROR( VLOOKUP($A745,'SUPPLIER DATA BASE'!$A$2:$M$936,3,0),""))</f>
        <v>JOCKEY</v>
      </c>
      <c r="C745" s="70" t="str">
        <f>IF($A$3=" "," ", IFERROR( VLOOKUP($A745,'SUPPLIER DATA BASE'!$A$2:$F$936,6,0),""))</f>
        <v>DIRECT</v>
      </c>
      <c r="D745" s="70">
        <f>IF($A$3=" "," ", IFERROR( VLOOKUP($A745,'SUPPLIER DATA BASE'!$A$2:$G$936,4,0),""))</f>
        <v>30</v>
      </c>
      <c r="E745" s="71">
        <f>IF($A$3=" "," ", IFERROR( VLOOKUP($A745,'SUPPLIER DATA BASE'!$A$2:$H$936,5,0),""))</f>
        <v>2</v>
      </c>
      <c r="F745" s="72" t="s">
        <v>2279</v>
      </c>
      <c r="G745" s="73">
        <v>46118.0</v>
      </c>
      <c r="H745" s="74">
        <v>65.0</v>
      </c>
      <c r="I745" s="75">
        <v>22881.72</v>
      </c>
      <c r="J745" s="76" t="s">
        <v>2280</v>
      </c>
      <c r="K745" s="76" t="s">
        <v>2281</v>
      </c>
      <c r="L745" s="73"/>
      <c r="M745" s="70" t="str">
        <f t="shared" si="3"/>
        <v>70 Days</v>
      </c>
      <c r="N745" s="70" t="str">
        <f>IF($A$3=" "," ", IFERROR( VLOOKUP($A745,'SUPPLIER DATA BASE'!$A$2:$O$936,11,0),""))</f>
        <v>SHREE NARAYANI ENTERPRISE</v>
      </c>
      <c r="O745" s="70" t="str">
        <f>IF($A$3=" "," ", IFERROR( VLOOKUP($A745,'SUPPLIER DATA BASE'!$A$2:$O$936,12,0),""))</f>
        <v>29205005382</v>
      </c>
      <c r="P745" s="70" t="str">
        <f>IF($A$3=" "," ", IFERROR( VLOOKUP($A745,'SUPPLIER DATA BASE'!$A$2:$O$936,13,0),""))</f>
        <v>ICIC0000292</v>
      </c>
      <c r="Q745" s="77"/>
      <c r="R745" s="73"/>
      <c r="S745" s="77"/>
      <c r="T745" s="70"/>
      <c r="U745" s="78"/>
      <c r="V745" s="70" t="str">
        <f t="shared" si="6"/>
        <v>FY 26-27</v>
      </c>
      <c r="W745" s="23"/>
      <c r="X745" s="23"/>
    </row>
    <row r="746">
      <c r="A746" s="70" t="s">
        <v>606</v>
      </c>
      <c r="B746" s="70" t="str">
        <f>IF($A$3=" "," ", IFERROR( VLOOKUP($A746,'SUPPLIER DATA BASE'!$A$2:$M$936,3,0),""))</f>
        <v>-</v>
      </c>
      <c r="C746" s="70" t="str">
        <f>IF($A$3=" "," ", IFERROR( VLOOKUP($A746,'SUPPLIER DATA BASE'!$A$2:$F$936,6,0),""))</f>
        <v>-</v>
      </c>
      <c r="D746" s="70" t="str">
        <f>IF($A$3=" "," ", IFERROR( VLOOKUP($A746,'SUPPLIER DATA BASE'!$A$2:$G$936,4,0),""))</f>
        <v>-</v>
      </c>
      <c r="E746" s="71" t="str">
        <f>IF($A$3=" "," ", IFERROR( VLOOKUP($A746,'SUPPLIER DATA BASE'!$A$2:$H$936,5,0),""))</f>
        <v>-</v>
      </c>
      <c r="F746" s="72" t="s">
        <v>2282</v>
      </c>
      <c r="G746" s="73">
        <v>46118.0</v>
      </c>
      <c r="H746" s="74">
        <v>16.0</v>
      </c>
      <c r="I746" s="75">
        <v>9744.0</v>
      </c>
      <c r="J746" s="76" t="s">
        <v>2283</v>
      </c>
      <c r="K746" s="76" t="s">
        <v>2284</v>
      </c>
      <c r="L746" s="73"/>
      <c r="M746" s="70" t="str">
        <f t="shared" si="3"/>
        <v>70 Days</v>
      </c>
      <c r="N746" s="70" t="str">
        <f>IF($A$3=" "," ", IFERROR( VLOOKUP($A746,'SUPPLIER DATA BASE'!$A$2:$O$936,11,0),""))</f>
        <v>P M SONS</v>
      </c>
      <c r="O746" s="70" t="str">
        <f>IF($A$3=" "," ", IFERROR( VLOOKUP($A746,'SUPPLIER DATA BASE'!$A$2:$O$936,12,0),""))</f>
        <v>8084600000325</v>
      </c>
      <c r="P746" s="70" t="str">
        <f>IF($A$3=" "," ", IFERROR( VLOOKUP($A746,'SUPPLIER DATA BASE'!$A$2:$O$936,13,0),""))</f>
        <v>YESB0000080</v>
      </c>
      <c r="Q746" s="77"/>
      <c r="R746" s="73"/>
      <c r="S746" s="77"/>
      <c r="T746" s="70"/>
      <c r="U746" s="78"/>
      <c r="V746" s="70" t="str">
        <f t="shared" si="6"/>
        <v>FY 26-27</v>
      </c>
      <c r="W746" s="23"/>
      <c r="X746" s="23"/>
    </row>
    <row r="747">
      <c r="A747" s="70" t="s">
        <v>623</v>
      </c>
      <c r="B747" s="70" t="str">
        <f>IF($A$3=" "," ", IFERROR( VLOOKUP($A747,'SUPPLIER DATA BASE'!$A$2:$M$936,3,0),""))</f>
        <v>-</v>
      </c>
      <c r="C747" s="70" t="str">
        <f>IF($A$3=" "," ", IFERROR( VLOOKUP($A747,'SUPPLIER DATA BASE'!$A$2:$F$936,6,0),""))</f>
        <v>-</v>
      </c>
      <c r="D747" s="70" t="str">
        <f>IF($A$3=" "," ", IFERROR( VLOOKUP($A747,'SUPPLIER DATA BASE'!$A$2:$G$936,4,0),""))</f>
        <v>-</v>
      </c>
      <c r="E747" s="71" t="str">
        <f>IF($A$3=" "," ", IFERROR( VLOOKUP($A747,'SUPPLIER DATA BASE'!$A$2:$H$936,5,0),""))</f>
        <v>-</v>
      </c>
      <c r="F747" s="72">
        <v>71.0</v>
      </c>
      <c r="G747" s="73">
        <v>46118.0</v>
      </c>
      <c r="H747" s="74">
        <v>28.0</v>
      </c>
      <c r="I747" s="75">
        <v>44484.0</v>
      </c>
      <c r="J747" s="76" t="s">
        <v>2285</v>
      </c>
      <c r="K747" s="76" t="s">
        <v>2286</v>
      </c>
      <c r="L747" s="73"/>
      <c r="M747" s="70" t="str">
        <f t="shared" si="3"/>
        <v>70 Days</v>
      </c>
      <c r="N747" s="70" t="str">
        <f>IF($A$3=" "," ", IFERROR( VLOOKUP($A747,'SUPPLIER DATA BASE'!$A$2:$O$936,11,0),""))</f>
        <v>PLAZER FABRICS</v>
      </c>
      <c r="O747" s="70" t="str">
        <f>IF($A$3=" "," ", IFERROR( VLOOKUP($A747,'SUPPLIER DATA BASE'!$A$2:$O$936,12,0),""))</f>
        <v>50200014256984</v>
      </c>
      <c r="P747" s="70" t="str">
        <f>IF($A$3=" "," ", IFERROR( VLOOKUP($A747,'SUPPLIER DATA BASE'!$A$2:$O$936,13,0),""))</f>
        <v>HDFC0002834</v>
      </c>
      <c r="Q747" s="77"/>
      <c r="R747" s="73"/>
      <c r="S747" s="77"/>
      <c r="T747" s="70"/>
      <c r="U747" s="78"/>
      <c r="V747" s="70" t="str">
        <f t="shared" si="6"/>
        <v>FY 26-27</v>
      </c>
      <c r="W747" s="23"/>
      <c r="X747" s="23"/>
    </row>
    <row r="748">
      <c r="A748" s="70" t="s">
        <v>783</v>
      </c>
      <c r="B748" s="70" t="str">
        <f>IF($A$3=" "," ", IFERROR( VLOOKUP($A748,'SUPPLIER DATA BASE'!$A$2:$M$936,3,0),""))</f>
        <v>JOCKEY</v>
      </c>
      <c r="C748" s="70" t="str">
        <f>IF($A$3=" "," ", IFERROR( VLOOKUP($A748,'SUPPLIER DATA BASE'!$A$2:$F$936,6,0),""))</f>
        <v>DIRECT</v>
      </c>
      <c r="D748" s="70">
        <f>IF($A$3=" "," ", IFERROR( VLOOKUP($A748,'SUPPLIER DATA BASE'!$A$2:$G$936,4,0),""))</f>
        <v>21</v>
      </c>
      <c r="E748" s="71">
        <f>IF($A$3=" "," ", IFERROR( VLOOKUP($A748,'SUPPLIER DATA BASE'!$A$2:$H$936,5,0),""))</f>
        <v>0.02</v>
      </c>
      <c r="F748" s="72" t="s">
        <v>2287</v>
      </c>
      <c r="G748" s="73">
        <v>46118.0</v>
      </c>
      <c r="H748" s="74">
        <v>1.0</v>
      </c>
      <c r="I748" s="75">
        <v>422.0</v>
      </c>
      <c r="J748" s="76" t="s">
        <v>2288</v>
      </c>
      <c r="K748" s="76" t="s">
        <v>2289</v>
      </c>
      <c r="L748" s="73"/>
      <c r="M748" s="70" t="str">
        <f t="shared" si="3"/>
        <v>70 Days</v>
      </c>
      <c r="N748" s="70" t="str">
        <f>IF($A$3=" "," ", IFERROR( VLOOKUP($A748,'SUPPLIER DATA BASE'!$A$2:$O$936,11,0),""))</f>
        <v>V N TEXTILE</v>
      </c>
      <c r="O748" s="70" t="str">
        <f>IF($A$3=" "," ", IFERROR( VLOOKUP($A748,'SUPPLIER DATA BASE'!$A$2:$O$936,12,0),""))</f>
        <v>252005000323</v>
      </c>
      <c r="P748" s="70" t="str">
        <f>IF($A$3=" "," ", IFERROR( VLOOKUP($A748,'SUPPLIER DATA BASE'!$A$2:$O$936,13,0),""))</f>
        <v>ICIC0002520</v>
      </c>
      <c r="Q748" s="77"/>
      <c r="R748" s="73"/>
      <c r="S748" s="77"/>
      <c r="T748" s="70"/>
      <c r="U748" s="78"/>
      <c r="V748" s="70" t="str">
        <f t="shared" si="6"/>
        <v>FY 26-27</v>
      </c>
      <c r="W748" s="23"/>
      <c r="X748" s="23"/>
    </row>
    <row r="749">
      <c r="A749" s="70" t="s">
        <v>783</v>
      </c>
      <c r="B749" s="70" t="str">
        <f>IF($A$3=" "," ", IFERROR( VLOOKUP($A749,'SUPPLIER DATA BASE'!$A$2:$M$936,3,0),""))</f>
        <v>JOCKEY</v>
      </c>
      <c r="C749" s="70" t="str">
        <f>IF($A$3=" "," ", IFERROR( VLOOKUP($A749,'SUPPLIER DATA BASE'!$A$2:$F$936,6,0),""))</f>
        <v>DIRECT</v>
      </c>
      <c r="D749" s="70">
        <f>IF($A$3=" "," ", IFERROR( VLOOKUP($A749,'SUPPLIER DATA BASE'!$A$2:$G$936,4,0),""))</f>
        <v>21</v>
      </c>
      <c r="E749" s="71">
        <f>IF($A$3=" "," ", IFERROR( VLOOKUP($A749,'SUPPLIER DATA BASE'!$A$2:$H$936,5,0),""))</f>
        <v>0.02</v>
      </c>
      <c r="F749" s="72" t="s">
        <v>2290</v>
      </c>
      <c r="G749" s="73">
        <v>46118.0</v>
      </c>
      <c r="H749" s="74">
        <v>23.0</v>
      </c>
      <c r="I749" s="75">
        <v>17202.01</v>
      </c>
      <c r="J749" s="76" t="s">
        <v>2291</v>
      </c>
      <c r="K749" s="76" t="s">
        <v>2292</v>
      </c>
      <c r="L749" s="73"/>
      <c r="M749" s="70" t="str">
        <f t="shared" si="3"/>
        <v>70 Days</v>
      </c>
      <c r="N749" s="70" t="str">
        <f>IF($A$3=" "," ", IFERROR( VLOOKUP($A749,'SUPPLIER DATA BASE'!$A$2:$O$936,11,0),""))</f>
        <v>V N TEXTILE</v>
      </c>
      <c r="O749" s="70" t="str">
        <f>IF($A$3=" "," ", IFERROR( VLOOKUP($A749,'SUPPLIER DATA BASE'!$A$2:$O$936,12,0),""))</f>
        <v>252005000323</v>
      </c>
      <c r="P749" s="70" t="str">
        <f>IF($A$3=" "," ", IFERROR( VLOOKUP($A749,'SUPPLIER DATA BASE'!$A$2:$O$936,13,0),""))</f>
        <v>ICIC0002520</v>
      </c>
      <c r="Q749" s="77"/>
      <c r="R749" s="73"/>
      <c r="S749" s="77"/>
      <c r="T749" s="70"/>
      <c r="U749" s="78"/>
      <c r="V749" s="70" t="str">
        <f t="shared" si="6"/>
        <v>FY 26-27</v>
      </c>
      <c r="W749" s="23"/>
      <c r="X749" s="23"/>
    </row>
    <row r="750">
      <c r="A750" s="70" t="s">
        <v>410</v>
      </c>
      <c r="B750" s="70" t="str">
        <f>IF($A$3=" "," ", IFERROR( VLOOKUP($A750,'SUPPLIER DATA BASE'!$A$2:$M$936,3,0),""))</f>
        <v>JOCKEY</v>
      </c>
      <c r="C750" s="70" t="str">
        <f>IF($A$3=" "," ", IFERROR( VLOOKUP($A750,'SUPPLIER DATA BASE'!$A$2:$F$936,6,0),""))</f>
        <v>-</v>
      </c>
      <c r="D750" s="70" t="str">
        <f>IF($A$3=" "," ", IFERROR( VLOOKUP($A750,'SUPPLIER DATA BASE'!$A$2:$G$936,4,0),""))</f>
        <v>-</v>
      </c>
      <c r="E750" s="71" t="str">
        <f>IF($A$3=" "," ", IFERROR( VLOOKUP($A750,'SUPPLIER DATA BASE'!$A$2:$H$936,5,0),""))</f>
        <v>-</v>
      </c>
      <c r="F750" s="72" t="s">
        <v>2293</v>
      </c>
      <c r="G750" s="73">
        <v>46118.0</v>
      </c>
      <c r="H750" s="74">
        <v>60.0</v>
      </c>
      <c r="I750" s="75">
        <v>24253.0</v>
      </c>
      <c r="J750" s="76" t="s">
        <v>2294</v>
      </c>
      <c r="K750" s="76" t="s">
        <v>2295</v>
      </c>
      <c r="L750" s="73"/>
      <c r="M750" s="70" t="str">
        <f t="shared" si="3"/>
        <v>70 Days</v>
      </c>
      <c r="N750" s="70" t="str">
        <f>IF($A$3=" "," ", IFERROR( VLOOKUP($A750,'SUPPLIER DATA BASE'!$A$2:$O$936,11,0),""))</f>
        <v>-</v>
      </c>
      <c r="O750" s="70" t="str">
        <f>IF($A$3=" "," ", IFERROR( VLOOKUP($A750,'SUPPLIER DATA BASE'!$A$2:$O$936,12,0),""))</f>
        <v>-</v>
      </c>
      <c r="P750" s="70" t="str">
        <f>IF($A$3=" "," ", IFERROR( VLOOKUP($A750,'SUPPLIER DATA BASE'!$A$2:$O$936,13,0),""))</f>
        <v>-</v>
      </c>
      <c r="Q750" s="77"/>
      <c r="R750" s="73"/>
      <c r="S750" s="77"/>
      <c r="T750" s="70"/>
      <c r="U750" s="78"/>
      <c r="V750" s="70" t="str">
        <f t="shared" si="6"/>
        <v>FY 26-27</v>
      </c>
      <c r="W750" s="23"/>
      <c r="X750" s="23"/>
    </row>
    <row r="751">
      <c r="A751" s="70" t="s">
        <v>756</v>
      </c>
      <c r="B751" s="70" t="str">
        <f>IF($A$3=" "," ", IFERROR( VLOOKUP($A751,'SUPPLIER DATA BASE'!$A$2:$M$936,3,0),""))</f>
        <v>JOCKEY</v>
      </c>
      <c r="C751" s="70" t="str">
        <f>IF($A$3=" "," ", IFERROR( VLOOKUP($A751,'SUPPLIER DATA BASE'!$A$2:$F$936,6,0),""))</f>
        <v>DIRECT</v>
      </c>
      <c r="D751" s="70">
        <f>IF($A$3=" "," ", IFERROR( VLOOKUP($A751,'SUPPLIER DATA BASE'!$A$2:$G$936,4,0),""))</f>
        <v>15</v>
      </c>
      <c r="E751" s="71">
        <f>IF($A$3=" "," ", IFERROR( VLOOKUP($A751,'SUPPLIER DATA BASE'!$A$2:$H$936,5,0),""))</f>
        <v>0.02</v>
      </c>
      <c r="F751" s="72" t="s">
        <v>2296</v>
      </c>
      <c r="G751" s="73">
        <v>46118.0</v>
      </c>
      <c r="H751" s="74">
        <v>40.0</v>
      </c>
      <c r="I751" s="75">
        <v>13962.0</v>
      </c>
      <c r="J751" s="76" t="s">
        <v>2297</v>
      </c>
      <c r="K751" s="76" t="s">
        <v>2298</v>
      </c>
      <c r="L751" s="73"/>
      <c r="M751" s="70" t="str">
        <f t="shared" si="3"/>
        <v>70 Days</v>
      </c>
      <c r="N751" s="70" t="str">
        <f>IF($A$3=" "," ", IFERROR( VLOOKUP($A751,'SUPPLIER DATA BASE'!$A$2:$O$936,11,0),""))</f>
        <v>-</v>
      </c>
      <c r="O751" s="70" t="str">
        <f>IF($A$3=" "," ", IFERROR( VLOOKUP($A751,'SUPPLIER DATA BASE'!$A$2:$O$936,12,0),""))</f>
        <v>-</v>
      </c>
      <c r="P751" s="70" t="str">
        <f>IF($A$3=" "," ", IFERROR( VLOOKUP($A751,'SUPPLIER DATA BASE'!$A$2:$O$936,13,0),""))</f>
        <v>-</v>
      </c>
      <c r="Q751" s="77"/>
      <c r="R751" s="73"/>
      <c r="S751" s="77"/>
      <c r="T751" s="70"/>
      <c r="U751" s="78"/>
      <c r="V751" s="70" t="str">
        <f t="shared" si="6"/>
        <v>FY 26-27</v>
      </c>
      <c r="W751" s="23"/>
      <c r="X751" s="23"/>
    </row>
    <row r="752">
      <c r="A752" s="70" t="s">
        <v>609</v>
      </c>
      <c r="B752" s="70" t="str">
        <f>IF($A$3=" "," ", IFERROR( VLOOKUP($A752,'SUPPLIER DATA BASE'!$A$2:$M$936,3,0),""))</f>
        <v>-</v>
      </c>
      <c r="C752" s="70" t="str">
        <f>IF($A$3=" "," ", IFERROR( VLOOKUP($A752,'SUPPLIER DATA BASE'!$A$2:$F$936,6,0),""))</f>
        <v>-</v>
      </c>
      <c r="D752" s="70" t="str">
        <f>IF($A$3=" "," ", IFERROR( VLOOKUP($A752,'SUPPLIER DATA BASE'!$A$2:$G$936,4,0),""))</f>
        <v>-</v>
      </c>
      <c r="E752" s="71" t="str">
        <f>IF($A$3=" "," ", IFERROR( VLOOKUP($A752,'SUPPLIER DATA BASE'!$A$2:$H$936,5,0),""))</f>
        <v>-</v>
      </c>
      <c r="F752" s="72">
        <v>649.0</v>
      </c>
      <c r="G752" s="73">
        <v>46118.0</v>
      </c>
      <c r="H752" s="74">
        <v>32.0</v>
      </c>
      <c r="I752" s="75">
        <v>51561.0</v>
      </c>
      <c r="J752" s="76" t="s">
        <v>2299</v>
      </c>
      <c r="K752" s="76" t="s">
        <v>2300</v>
      </c>
      <c r="L752" s="73"/>
      <c r="M752" s="70" t="str">
        <f t="shared" si="3"/>
        <v>70 Days</v>
      </c>
      <c r="N752" s="70" t="str">
        <f>IF($A$3=" "," ", IFERROR( VLOOKUP($A752,'SUPPLIER DATA BASE'!$A$2:$O$936,11,0),""))</f>
        <v>P R MODI AND SONS</v>
      </c>
      <c r="O752" s="70" t="str">
        <f>IF($A$3=" "," ", IFERROR( VLOOKUP($A752,'SUPPLIER DATA BASE'!$A$2:$O$936,12,0),""))</f>
        <v>490930150000030</v>
      </c>
      <c r="P752" s="70" t="str">
        <f>IF($A$3=" "," ", IFERROR( VLOOKUP($A752,'SUPPLIER DATA BASE'!$A$2:$O$936,13,0),""))</f>
        <v>BKID0004909</v>
      </c>
      <c r="Q752" s="77"/>
      <c r="R752" s="73"/>
      <c r="S752" s="77"/>
      <c r="T752" s="70"/>
      <c r="U752" s="78"/>
      <c r="V752" s="70" t="str">
        <f t="shared" si="6"/>
        <v>FY 26-27</v>
      </c>
      <c r="W752" s="23"/>
      <c r="X752" s="23"/>
    </row>
    <row r="753">
      <c r="A753" s="70" t="s">
        <v>541</v>
      </c>
      <c r="B753" s="70" t="str">
        <f>IF($A$3=" "," ", IFERROR( VLOOKUP($A753,'SUPPLIER DATA BASE'!$A$2:$M$936,3,0),""))</f>
        <v>TWILLS</v>
      </c>
      <c r="C753" s="70" t="str">
        <f>IF($A$3=" "," ", IFERROR( VLOOKUP($A753,'SUPPLIER DATA BASE'!$A$2:$F$936,6,0),""))</f>
        <v>-</v>
      </c>
      <c r="D753" s="70" t="str">
        <f>IF($A$3=" "," ", IFERROR( VLOOKUP($A753,'SUPPLIER DATA BASE'!$A$2:$G$936,4,0),""))</f>
        <v>-</v>
      </c>
      <c r="E753" s="71" t="str">
        <f>IF($A$3=" "," ", IFERROR( VLOOKUP($A753,'SUPPLIER DATA BASE'!$A$2:$H$936,5,0),""))</f>
        <v>-</v>
      </c>
      <c r="F753" s="72" t="s">
        <v>2301</v>
      </c>
      <c r="G753" s="73">
        <v>46119.0</v>
      </c>
      <c r="H753" s="74">
        <v>60.0</v>
      </c>
      <c r="I753" s="75">
        <v>48718.0</v>
      </c>
      <c r="J753" s="76" t="s">
        <v>2302</v>
      </c>
      <c r="K753" s="76" t="s">
        <v>2303</v>
      </c>
      <c r="L753" s="73"/>
      <c r="M753" s="70" t="str">
        <f t="shared" si="3"/>
        <v>69 Days</v>
      </c>
      <c r="N753" s="70" t="str">
        <f>IF($A$3=" "," ", IFERROR( VLOOKUP($A753,'SUPPLIER DATA BASE'!$A$2:$O$936,11,0),""))</f>
        <v>M. N. GARMENTS</v>
      </c>
      <c r="O753" s="70" t="str">
        <f>IF($A$3=" "," ", IFERROR( VLOOKUP($A753,'SUPPLIER DATA BASE'!$A$2:$O$936,12,0),""))</f>
        <v>50200058436598</v>
      </c>
      <c r="P753" s="70" t="str">
        <f>IF($A$3=" "," ", IFERROR( VLOOKUP($A753,'SUPPLIER DATA BASE'!$A$2:$O$936,13,0),""))</f>
        <v>HDFC0001470</v>
      </c>
      <c r="Q753" s="77"/>
      <c r="R753" s="73"/>
      <c r="S753" s="77"/>
      <c r="T753" s="70"/>
      <c r="U753" s="78"/>
      <c r="V753" s="70" t="str">
        <f t="shared" si="6"/>
        <v>FY 26-27</v>
      </c>
      <c r="W753" s="23"/>
      <c r="X753" s="23"/>
    </row>
    <row r="754">
      <c r="A754" s="70" t="s">
        <v>402</v>
      </c>
      <c r="B754" s="70" t="str">
        <f>IF($A$3=" "," ", IFERROR( VLOOKUP($A754,'SUPPLIER DATA BASE'!$A$2:$M$936,3,0),""))</f>
        <v>KHUSHAL/STATUS QUO</v>
      </c>
      <c r="C754" s="70" t="str">
        <f>IF($A$3=" "," ", IFERROR( VLOOKUP($A754,'SUPPLIER DATA BASE'!$A$2:$F$936,6,0),""))</f>
        <v>-</v>
      </c>
      <c r="D754" s="70" t="str">
        <f>IF($A$3=" "," ", IFERROR( VLOOKUP($A754,'SUPPLIER DATA BASE'!$A$2:$G$936,4,0),""))</f>
        <v>-</v>
      </c>
      <c r="E754" s="71" t="str">
        <f>IF($A$3=" "," ", IFERROR( VLOOKUP($A754,'SUPPLIER DATA BASE'!$A$2:$H$936,5,0),""))</f>
        <v>-</v>
      </c>
      <c r="F754" s="72" t="s">
        <v>2304</v>
      </c>
      <c r="G754" s="73">
        <v>46119.0</v>
      </c>
      <c r="H754" s="74">
        <v>84.0</v>
      </c>
      <c r="I754" s="75">
        <v>78372.0</v>
      </c>
      <c r="J754" s="76" t="s">
        <v>2305</v>
      </c>
      <c r="K754" s="76" t="s">
        <v>2306</v>
      </c>
      <c r="L754" s="73"/>
      <c r="M754" s="70" t="str">
        <f t="shared" si="3"/>
        <v>69 Days</v>
      </c>
      <c r="N754" s="70" t="str">
        <f>IF($A$3=" "," ", IFERROR( VLOOKUP($A754,'SUPPLIER DATA BASE'!$A$2:$O$936,11,0),""))</f>
        <v>D APPAREL</v>
      </c>
      <c r="O754" s="70" t="str">
        <f>IF($A$3=" "," ", IFERROR( VLOOKUP($A754,'SUPPLIER DATA BASE'!$A$2:$O$936,12,0),""))</f>
        <v>722501010050397</v>
      </c>
      <c r="P754" s="70" t="str">
        <f>IF($A$3=" "," ", IFERROR( VLOOKUP($A754,'SUPPLIER DATA BASE'!$A$2:$O$936,13,0),""))</f>
        <v>UBIN0572250</v>
      </c>
      <c r="Q754" s="77"/>
      <c r="R754" s="73"/>
      <c r="S754" s="77"/>
      <c r="T754" s="70"/>
      <c r="U754" s="78"/>
      <c r="V754" s="70" t="str">
        <f t="shared" si="6"/>
        <v>FY 26-27</v>
      </c>
      <c r="W754" s="23"/>
      <c r="X754" s="23"/>
    </row>
    <row r="755">
      <c r="A755" s="70" t="s">
        <v>370</v>
      </c>
      <c r="B755" s="70" t="str">
        <f>IF($A$3=" "," ", IFERROR( VLOOKUP($A755,'SUPPLIER DATA BASE'!$A$2:$M$936,3,0),""))</f>
        <v>-</v>
      </c>
      <c r="C755" s="70" t="str">
        <f>IF($A$3=" "," ", IFERROR( VLOOKUP($A755,'SUPPLIER DATA BASE'!$A$2:$F$936,6,0),""))</f>
        <v>SURYAM TEXTILE AGENCY</v>
      </c>
      <c r="D755" s="70">
        <f>IF($A$3=" "," ", IFERROR( VLOOKUP($A755,'SUPPLIER DATA BASE'!$A$2:$G$936,4,0),""))</f>
        <v>30</v>
      </c>
      <c r="E755" s="71">
        <f>IF($A$3=" "," ", IFERROR( VLOOKUP($A755,'SUPPLIER DATA BASE'!$A$2:$H$936,5,0),""))</f>
        <v>0.09</v>
      </c>
      <c r="F755" s="72">
        <v>21.0</v>
      </c>
      <c r="G755" s="73">
        <v>46119.0</v>
      </c>
      <c r="H755" s="74">
        <v>4.0</v>
      </c>
      <c r="I755" s="75">
        <v>10072.0</v>
      </c>
      <c r="J755" s="76" t="s">
        <v>2307</v>
      </c>
      <c r="K755" s="76" t="s">
        <v>2308</v>
      </c>
      <c r="L755" s="73"/>
      <c r="M755" s="70" t="str">
        <f t="shared" si="3"/>
        <v>69 Days</v>
      </c>
      <c r="N755" s="70" t="str">
        <f>IF($A$3=" "," ", IFERROR( VLOOKUP($A755,'SUPPLIER DATA BASE'!$A$2:$O$936,11,0),""))</f>
        <v>AS TEXTILE</v>
      </c>
      <c r="O755" s="70" t="str">
        <f>IF($A$3=" "," ", IFERROR( VLOOKUP($A755,'SUPPLIER DATA BASE'!$A$2:$O$936,12,0),""))</f>
        <v>50200012846193</v>
      </c>
      <c r="P755" s="70" t="str">
        <f>IF($A$3=" "," ", IFERROR( VLOOKUP($A755,'SUPPLIER DATA BASE'!$A$2:$O$936,13,0),""))</f>
        <v>HDFC0001249</v>
      </c>
      <c r="Q755" s="77"/>
      <c r="R755" s="73"/>
      <c r="S755" s="77"/>
      <c r="T755" s="70"/>
      <c r="U755" s="78"/>
      <c r="V755" s="70" t="str">
        <f t="shared" si="6"/>
        <v>FY 26-27</v>
      </c>
      <c r="W755" s="23"/>
      <c r="X755" s="23"/>
    </row>
    <row r="756">
      <c r="A756" s="70" t="s">
        <v>658</v>
      </c>
      <c r="B756" s="70" t="str">
        <f>IF($A$3=" "," ", IFERROR( VLOOKUP($A756,'SUPPLIER DATA BASE'!$A$2:$M$936,3,0),""))</f>
        <v>-</v>
      </c>
      <c r="C756" s="70" t="str">
        <f>IF($A$3=" "," ", IFERROR( VLOOKUP($A756,'SUPPLIER DATA BASE'!$A$2:$F$936,6,0),""))</f>
        <v>-</v>
      </c>
      <c r="D756" s="70" t="str">
        <f>IF($A$3=" "," ", IFERROR( VLOOKUP($A756,'SUPPLIER DATA BASE'!$A$2:$G$936,4,0),""))</f>
        <v>-</v>
      </c>
      <c r="E756" s="71" t="str">
        <f>IF($A$3=" "," ", IFERROR( VLOOKUP($A756,'SUPPLIER DATA BASE'!$A$2:$H$936,5,0),""))</f>
        <v>-</v>
      </c>
      <c r="F756" s="72" t="s">
        <v>2309</v>
      </c>
      <c r="G756" s="73">
        <v>46119.0</v>
      </c>
      <c r="H756" s="74">
        <v>132.0</v>
      </c>
      <c r="I756" s="75">
        <v>101452.0</v>
      </c>
      <c r="J756" s="76" t="s">
        <v>2310</v>
      </c>
      <c r="K756" s="76" t="s">
        <v>2311</v>
      </c>
      <c r="L756" s="73"/>
      <c r="M756" s="70" t="str">
        <f t="shared" si="3"/>
        <v>69 Days</v>
      </c>
      <c r="N756" s="70" t="str">
        <f>IF($A$3=" "," ", IFERROR( VLOOKUP($A756,'SUPPLIER DATA BASE'!$A$2:$O$936,11,0),""))</f>
        <v>-</v>
      </c>
      <c r="O756" s="70" t="str">
        <f>IF($A$3=" "," ", IFERROR( VLOOKUP($A756,'SUPPLIER DATA BASE'!$A$2:$O$936,12,0),""))</f>
        <v>-</v>
      </c>
      <c r="P756" s="70" t="str">
        <f>IF($A$3=" "," ", IFERROR( VLOOKUP($A756,'SUPPLIER DATA BASE'!$A$2:$O$936,13,0),""))</f>
        <v>-</v>
      </c>
      <c r="Q756" s="77"/>
      <c r="R756" s="73"/>
      <c r="S756" s="77"/>
      <c r="T756" s="70"/>
      <c r="U756" s="78"/>
      <c r="V756" s="70" t="str">
        <f t="shared" si="6"/>
        <v>FY 26-27</v>
      </c>
      <c r="W756" s="23"/>
      <c r="X756" s="23"/>
    </row>
    <row r="757">
      <c r="A757" s="70" t="s">
        <v>495</v>
      </c>
      <c r="B757" s="70" t="str">
        <f>IF($A$3=" "," ", IFERROR( VLOOKUP($A757,'SUPPLIER DATA BASE'!$A$2:$M$936,3,0),""))</f>
        <v>-</v>
      </c>
      <c r="C757" s="70" t="str">
        <f>IF($A$3=" "," ", IFERROR( VLOOKUP($A757,'SUPPLIER DATA BASE'!$A$2:$F$936,6,0),""))</f>
        <v>-</v>
      </c>
      <c r="D757" s="70" t="str">
        <f>IF($A$3=" "," ", IFERROR( VLOOKUP($A757,'SUPPLIER DATA BASE'!$A$2:$G$936,4,0),""))</f>
        <v>-</v>
      </c>
      <c r="E757" s="71" t="str">
        <f>IF($A$3=" "," ", IFERROR( VLOOKUP($A757,'SUPPLIER DATA BASE'!$A$2:$H$936,5,0),""))</f>
        <v>-</v>
      </c>
      <c r="F757" s="72" t="s">
        <v>2312</v>
      </c>
      <c r="G757" s="73">
        <v>46120.0</v>
      </c>
      <c r="H757" s="74">
        <v>34.0</v>
      </c>
      <c r="I757" s="75">
        <v>78315.0</v>
      </c>
      <c r="J757" s="76" t="s">
        <v>2313</v>
      </c>
      <c r="K757" s="76" t="s">
        <v>2314</v>
      </c>
      <c r="L757" s="73"/>
      <c r="M757" s="70" t="str">
        <f t="shared" si="3"/>
        <v>68 Days</v>
      </c>
      <c r="N757" s="70" t="str">
        <f>IF($A$3=" "," ", IFERROR( VLOOKUP($A757,'SUPPLIER DATA BASE'!$A$2:$O$936,11,0),""))</f>
        <v>JAIN ADISHWAR HOSIERY WORKS LLP</v>
      </c>
      <c r="O757" s="70" t="str">
        <f>IF($A$3=" "," ", IFERROR( VLOOKUP($A757,'SUPPLIER DATA BASE'!$A$2:$O$936,12,0),""))</f>
        <v>99917644444444</v>
      </c>
      <c r="P757" s="70" t="str">
        <f>IF($A$3=" "," ", IFERROR( VLOOKUP($A757,'SUPPLIER DATA BASE'!$A$2:$O$936,13,0),""))</f>
        <v>HDFC0002063</v>
      </c>
      <c r="Q757" s="77"/>
      <c r="R757" s="73"/>
      <c r="S757" s="77"/>
      <c r="T757" s="70"/>
      <c r="U757" s="78"/>
      <c r="V757" s="70" t="str">
        <f t="shared" si="6"/>
        <v>FY 26-27</v>
      </c>
      <c r="W757" s="23"/>
      <c r="X757" s="23"/>
    </row>
    <row r="758">
      <c r="A758" s="70" t="s">
        <v>620</v>
      </c>
      <c r="B758" s="70" t="str">
        <f>IF($A$3=" "," ", IFERROR( VLOOKUP($A758,'SUPPLIER DATA BASE'!$A$2:$M$936,3,0),""))</f>
        <v>DMG/KRMS/TME/S</v>
      </c>
      <c r="C758" s="70" t="str">
        <f>IF($A$3=" "," ", IFERROR( VLOOKUP($A758,'SUPPLIER DATA BASE'!$A$2:$F$936,6,0),""))</f>
        <v>-</v>
      </c>
      <c r="D758" s="70" t="str">
        <f>IF($A$3=" "," ", IFERROR( VLOOKUP($A758,'SUPPLIER DATA BASE'!$A$2:$G$936,4,0),""))</f>
        <v>-</v>
      </c>
      <c r="E758" s="71" t="str">
        <f>IF($A$3=" "," ", IFERROR( VLOOKUP($A758,'SUPPLIER DATA BASE'!$A$2:$H$936,5,0),""))</f>
        <v>-</v>
      </c>
      <c r="F758" s="72" t="s">
        <v>2315</v>
      </c>
      <c r="G758" s="73">
        <v>46120.0</v>
      </c>
      <c r="H758" s="74">
        <v>22.0</v>
      </c>
      <c r="I758" s="75">
        <v>15551.0</v>
      </c>
      <c r="J758" s="76" t="s">
        <v>2316</v>
      </c>
      <c r="K758" s="76" t="s">
        <v>2317</v>
      </c>
      <c r="L758" s="73"/>
      <c r="M758" s="70" t="str">
        <f t="shared" si="3"/>
        <v>68 Days</v>
      </c>
      <c r="N758" s="70" t="str">
        <f>IF($A$3=" "," ", IFERROR( VLOOKUP($A758,'SUPPLIER DATA BASE'!$A$2:$O$936,11,0),""))</f>
        <v>PAYAL GARMENTS</v>
      </c>
      <c r="O758" s="70" t="str">
        <f>IF($A$3=" "," ", IFERROR( VLOOKUP($A758,'SUPPLIER DATA BASE'!$A$2:$O$936,12,0),""))</f>
        <v>99921800000005</v>
      </c>
      <c r="P758" s="70" t="str">
        <f>IF($A$3=" "," ", IFERROR( VLOOKUP($A758,'SUPPLIER DATA BASE'!$A$2:$O$936,13,0),""))</f>
        <v>HDFC0002834</v>
      </c>
      <c r="Q758" s="77"/>
      <c r="R758" s="73"/>
      <c r="S758" s="77"/>
      <c r="T758" s="70"/>
      <c r="U758" s="78"/>
      <c r="V758" s="70" t="str">
        <f t="shared" si="6"/>
        <v>FY 26-27</v>
      </c>
      <c r="W758" s="23"/>
      <c r="X758" s="23"/>
    </row>
    <row r="759">
      <c r="A759" s="70" t="s">
        <v>709</v>
      </c>
      <c r="B759" s="70" t="str">
        <f>IF($A$3=" "," ", IFERROR( VLOOKUP($A759,'SUPPLIER DATA BASE'!$A$2:$M$936,3,0),""))</f>
        <v>MUFTI</v>
      </c>
      <c r="C759" s="70" t="str">
        <f>IF($A$3=" "," ", IFERROR( VLOOKUP($A759,'SUPPLIER DATA BASE'!$A$2:$F$936,6,0),""))</f>
        <v>-</v>
      </c>
      <c r="D759" s="70" t="str">
        <f>IF($A$3=" "," ", IFERROR( VLOOKUP($A759,'SUPPLIER DATA BASE'!$A$2:$G$936,4,0),""))</f>
        <v>-</v>
      </c>
      <c r="E759" s="71" t="str">
        <f>IF($A$3=" "," ", IFERROR( VLOOKUP($A759,'SUPPLIER DATA BASE'!$A$2:$H$936,5,0),""))</f>
        <v>-</v>
      </c>
      <c r="F759" s="72" t="s">
        <v>2318</v>
      </c>
      <c r="G759" s="73">
        <v>46120.0</v>
      </c>
      <c r="H759" s="74">
        <v>66.0</v>
      </c>
      <c r="I759" s="75">
        <v>130095.0</v>
      </c>
      <c r="J759" s="76" t="s">
        <v>2319</v>
      </c>
      <c r="K759" s="76" t="s">
        <v>2320</v>
      </c>
      <c r="L759" s="73"/>
      <c r="M759" s="70" t="str">
        <f t="shared" si="3"/>
        <v>68 Days</v>
      </c>
      <c r="N759" s="70" t="str">
        <f>IF($A$3=" "," ", IFERROR( VLOOKUP($A759,'SUPPLIER DATA BASE'!$A$2:$O$936,11,0),""))</f>
        <v>SHRING APPARELS</v>
      </c>
      <c r="O759" s="70" t="str">
        <f>IF($A$3=" "," ", IFERROR( VLOOKUP($A759,'SUPPLIER DATA BASE'!$A$2:$O$936,12,0),""))</f>
        <v>50200030713091</v>
      </c>
      <c r="P759" s="70" t="str">
        <f>IF($A$3=" "," ", IFERROR( VLOOKUP($A759,'SUPPLIER DATA BASE'!$A$2:$O$936,13,0),""))</f>
        <v>HDFC0000186</v>
      </c>
      <c r="Q759" s="77"/>
      <c r="R759" s="73"/>
      <c r="S759" s="77"/>
      <c r="T759" s="70"/>
      <c r="U759" s="78"/>
      <c r="V759" s="70" t="str">
        <f t="shared" si="6"/>
        <v>FY 26-27</v>
      </c>
      <c r="W759" s="23"/>
      <c r="X759" s="23"/>
    </row>
    <row r="760">
      <c r="A760" s="70" t="s">
        <v>495</v>
      </c>
      <c r="B760" s="70" t="str">
        <f>IF($A$3=" "," ", IFERROR( VLOOKUP($A760,'SUPPLIER DATA BASE'!$A$2:$M$936,3,0),""))</f>
        <v>-</v>
      </c>
      <c r="C760" s="70" t="str">
        <f>IF($A$3=" "," ", IFERROR( VLOOKUP($A760,'SUPPLIER DATA BASE'!$A$2:$F$936,6,0),""))</f>
        <v>-</v>
      </c>
      <c r="D760" s="70" t="str">
        <f>IF($A$3=" "," ", IFERROR( VLOOKUP($A760,'SUPPLIER DATA BASE'!$A$2:$G$936,4,0),""))</f>
        <v>-</v>
      </c>
      <c r="E760" s="71" t="str">
        <f>IF($A$3=" "," ", IFERROR( VLOOKUP($A760,'SUPPLIER DATA BASE'!$A$2:$H$936,5,0),""))</f>
        <v>-</v>
      </c>
      <c r="F760" s="72" t="s">
        <v>2321</v>
      </c>
      <c r="G760" s="73">
        <v>46120.0</v>
      </c>
      <c r="H760" s="74">
        <v>13.0</v>
      </c>
      <c r="I760" s="75">
        <v>49291.0</v>
      </c>
      <c r="J760" s="76" t="s">
        <v>2322</v>
      </c>
      <c r="K760" s="76" t="s">
        <v>2323</v>
      </c>
      <c r="L760" s="73"/>
      <c r="M760" s="70" t="str">
        <f t="shared" si="3"/>
        <v>68 Days</v>
      </c>
      <c r="N760" s="70" t="str">
        <f>IF($A$3=" "," ", IFERROR( VLOOKUP($A760,'SUPPLIER DATA BASE'!$A$2:$O$936,11,0),""))</f>
        <v>JAIN ADISHWAR HOSIERY WORKS LLP</v>
      </c>
      <c r="O760" s="70" t="str">
        <f>IF($A$3=" "," ", IFERROR( VLOOKUP($A760,'SUPPLIER DATA BASE'!$A$2:$O$936,12,0),""))</f>
        <v>99917644444444</v>
      </c>
      <c r="P760" s="70" t="str">
        <f>IF($A$3=" "," ", IFERROR( VLOOKUP($A760,'SUPPLIER DATA BASE'!$A$2:$O$936,13,0),""))</f>
        <v>HDFC0002063</v>
      </c>
      <c r="Q760" s="77"/>
      <c r="R760" s="73"/>
      <c r="S760" s="77"/>
      <c r="T760" s="70"/>
      <c r="U760" s="78"/>
      <c r="V760" s="70" t="str">
        <f t="shared" si="6"/>
        <v>FY 26-27</v>
      </c>
      <c r="W760" s="23"/>
      <c r="X760" s="23"/>
    </row>
    <row r="761">
      <c r="A761" s="70" t="s">
        <v>402</v>
      </c>
      <c r="B761" s="70" t="str">
        <f>IF($A$3=" "," ", IFERROR( VLOOKUP($A761,'SUPPLIER DATA BASE'!$A$2:$M$936,3,0),""))</f>
        <v>KHUSHAL/STATUS QUO</v>
      </c>
      <c r="C761" s="70" t="str">
        <f>IF($A$3=" "," ", IFERROR( VLOOKUP($A761,'SUPPLIER DATA BASE'!$A$2:$F$936,6,0),""))</f>
        <v>-</v>
      </c>
      <c r="D761" s="70" t="str">
        <f>IF($A$3=" "," ", IFERROR( VLOOKUP($A761,'SUPPLIER DATA BASE'!$A$2:$G$936,4,0),""))</f>
        <v>-</v>
      </c>
      <c r="E761" s="71" t="str">
        <f>IF($A$3=" "," ", IFERROR( VLOOKUP($A761,'SUPPLIER DATA BASE'!$A$2:$H$936,5,0),""))</f>
        <v>-</v>
      </c>
      <c r="F761" s="72" t="s">
        <v>2324</v>
      </c>
      <c r="G761" s="73">
        <v>46120.0</v>
      </c>
      <c r="H761" s="74">
        <v>33.0</v>
      </c>
      <c r="I761" s="75">
        <v>35945.0</v>
      </c>
      <c r="J761" s="76" t="s">
        <v>2325</v>
      </c>
      <c r="K761" s="76" t="s">
        <v>2326</v>
      </c>
      <c r="L761" s="73"/>
      <c r="M761" s="70" t="str">
        <f t="shared" si="3"/>
        <v>68 Days</v>
      </c>
      <c r="N761" s="70" t="str">
        <f>IF($A$3=" "," ", IFERROR( VLOOKUP($A761,'SUPPLIER DATA BASE'!$A$2:$O$936,11,0),""))</f>
        <v>D APPAREL</v>
      </c>
      <c r="O761" s="70" t="str">
        <f>IF($A$3=" "," ", IFERROR( VLOOKUP($A761,'SUPPLIER DATA BASE'!$A$2:$O$936,12,0),""))</f>
        <v>722501010050397</v>
      </c>
      <c r="P761" s="70" t="str">
        <f>IF($A$3=" "," ", IFERROR( VLOOKUP($A761,'SUPPLIER DATA BASE'!$A$2:$O$936,13,0),""))</f>
        <v>UBIN0572250</v>
      </c>
      <c r="Q761" s="77"/>
      <c r="R761" s="73"/>
      <c r="S761" s="77"/>
      <c r="T761" s="70"/>
      <c r="U761" s="78"/>
      <c r="V761" s="70" t="str">
        <f t="shared" si="6"/>
        <v>FY 26-27</v>
      </c>
      <c r="W761" s="23"/>
      <c r="X761" s="23"/>
    </row>
    <row r="762">
      <c r="A762" s="70" t="s">
        <v>471</v>
      </c>
      <c r="B762" s="70" t="str">
        <f>IF($A$3=" "," ", IFERROR( VLOOKUP($A762,'SUPPLIER DATA BASE'!$A$2:$M$936,3,0),""))</f>
        <v>PEPPER MINT</v>
      </c>
      <c r="C762" s="70" t="str">
        <f>IF($A$3=" "," ", IFERROR( VLOOKUP($A762,'SUPPLIER DATA BASE'!$A$2:$F$936,6,0),""))</f>
        <v>-</v>
      </c>
      <c r="D762" s="70" t="str">
        <f>IF($A$3=" "," ", IFERROR( VLOOKUP($A762,'SUPPLIER DATA BASE'!$A$2:$G$936,4,0),""))</f>
        <v>-</v>
      </c>
      <c r="E762" s="71" t="str">
        <f>IF($A$3=" "," ", IFERROR( VLOOKUP($A762,'SUPPLIER DATA BASE'!$A$2:$H$936,5,0),""))</f>
        <v>-</v>
      </c>
      <c r="F762" s="72" t="s">
        <v>2327</v>
      </c>
      <c r="G762" s="73">
        <v>46120.0</v>
      </c>
      <c r="H762" s="74">
        <v>24.0</v>
      </c>
      <c r="I762" s="75">
        <v>35507.74</v>
      </c>
      <c r="J762" s="76" t="s">
        <v>2328</v>
      </c>
      <c r="K762" s="76" t="s">
        <v>2329</v>
      </c>
      <c r="L762" s="73"/>
      <c r="M762" s="70" t="str">
        <f t="shared" si="3"/>
        <v>68 Days</v>
      </c>
      <c r="N762" s="70" t="str">
        <f>IF($A$3=" "," ", IFERROR( VLOOKUP($A762,'SUPPLIER DATA BASE'!$A$2:$O$936,11,0),""))</f>
        <v>GEETANSHI APPARELS</v>
      </c>
      <c r="O762" s="70" t="str">
        <f>IF($A$3=" "," ", IFERROR( VLOOKUP($A762,'SUPPLIER DATA BASE'!$A$2:$O$936,12,0),""))</f>
        <v>50200083410855</v>
      </c>
      <c r="P762" s="70" t="str">
        <f>IF($A$3=" "," ", IFERROR( VLOOKUP($A762,'SUPPLIER DATA BASE'!$A$2:$O$936,13,0),""))</f>
        <v>HDFC0005189</v>
      </c>
      <c r="Q762" s="77"/>
      <c r="R762" s="73"/>
      <c r="S762" s="77"/>
      <c r="T762" s="70"/>
      <c r="U762" s="78"/>
      <c r="V762" s="70" t="str">
        <f t="shared" si="6"/>
        <v>FY 26-27</v>
      </c>
      <c r="W762" s="23"/>
      <c r="X762" s="23"/>
    </row>
    <row r="763">
      <c r="A763" s="70" t="s">
        <v>484</v>
      </c>
      <c r="B763" s="70" t="str">
        <f>IF($A$3=" "," ", IFERROR( VLOOKUP($A763,'SUPPLIER DATA BASE'!$A$2:$M$936,3,0),""))</f>
        <v>HYPHEN</v>
      </c>
      <c r="C763" s="70" t="str">
        <f>IF($A$3=" "," ", IFERROR( VLOOKUP($A763,'SUPPLIER DATA BASE'!$A$2:$F$936,6,0),""))</f>
        <v>-</v>
      </c>
      <c r="D763" s="70" t="str">
        <f>IF($A$3=" "," ", IFERROR( VLOOKUP($A763,'SUPPLIER DATA BASE'!$A$2:$G$936,4,0),""))</f>
        <v>-</v>
      </c>
      <c r="E763" s="71" t="str">
        <f>IF($A$3=" "," ", IFERROR( VLOOKUP($A763,'SUPPLIER DATA BASE'!$A$2:$H$936,5,0),""))</f>
        <v>-</v>
      </c>
      <c r="F763" s="72" t="s">
        <v>2330</v>
      </c>
      <c r="G763" s="73">
        <v>46120.0</v>
      </c>
      <c r="H763" s="74">
        <v>9.0</v>
      </c>
      <c r="I763" s="75">
        <v>33273.0</v>
      </c>
      <c r="J763" s="76" t="s">
        <v>2331</v>
      </c>
      <c r="K763" s="76" t="s">
        <v>2332</v>
      </c>
      <c r="L763" s="73"/>
      <c r="M763" s="70" t="str">
        <f t="shared" si="3"/>
        <v>68 Days</v>
      </c>
      <c r="N763" s="70" t="str">
        <f>IF($A$3=" "," ", IFERROR( VLOOKUP($A763,'SUPPLIER DATA BASE'!$A$2:$O$936,11,0),""))</f>
        <v>HYPHEN GARMENTS PVT. LTD.</v>
      </c>
      <c r="O763" s="70" t="str">
        <f>IF($A$3=" "," ", IFERROR( VLOOKUP($A763,'SUPPLIER DATA BASE'!$A$2:$O$936,12,0),""))</f>
        <v>0303261100828</v>
      </c>
      <c r="P763" s="70" t="str">
        <f>IF($A$3=" "," ", IFERROR( VLOOKUP($A763,'SUPPLIER DATA BASE'!$A$2:$O$936,13,0),""))</f>
        <v>CNRB0000303</v>
      </c>
      <c r="Q763" s="77"/>
      <c r="R763" s="73"/>
      <c r="S763" s="77"/>
      <c r="T763" s="70"/>
      <c r="U763" s="78"/>
      <c r="V763" s="70" t="str">
        <f t="shared" si="6"/>
        <v>FY 26-27</v>
      </c>
      <c r="W763" s="23"/>
      <c r="X763" s="23"/>
    </row>
    <row r="764">
      <c r="A764" s="70" t="s">
        <v>625</v>
      </c>
      <c r="B764" s="70" t="str">
        <f>IF($A$3=" "," ", IFERROR( VLOOKUP($A764,'SUPPLIER DATA BASE'!$A$2:$M$936,3,0),""))</f>
        <v>-</v>
      </c>
      <c r="C764" s="70" t="str">
        <f>IF($A$3=" "," ", IFERROR( VLOOKUP($A764,'SUPPLIER DATA BASE'!$A$2:$F$936,6,0),""))</f>
        <v>DIRECT</v>
      </c>
      <c r="D764" s="70">
        <f>IF($A$3=" "," ", IFERROR( VLOOKUP($A764,'SUPPLIER DATA BASE'!$A$2:$G$936,4,0),""))</f>
        <v>30</v>
      </c>
      <c r="E764" s="71">
        <f>IF($A$3=" "," ", IFERROR( VLOOKUP($A764,'SUPPLIER DATA BASE'!$A$2:$H$936,5,0),""))</f>
        <v>0.02</v>
      </c>
      <c r="F764" s="72">
        <v>118.0</v>
      </c>
      <c r="G764" s="73">
        <v>46120.0</v>
      </c>
      <c r="H764" s="74">
        <v>19.0</v>
      </c>
      <c r="I764" s="75">
        <v>43194.0</v>
      </c>
      <c r="J764" s="76" t="s">
        <v>2333</v>
      </c>
      <c r="K764" s="76" t="s">
        <v>2334</v>
      </c>
      <c r="L764" s="73">
        <v>46121.0</v>
      </c>
      <c r="M764" s="70" t="str">
        <f t="shared" si="3"/>
        <v>68 Days</v>
      </c>
      <c r="N764" s="70" t="str">
        <f>IF($A$3=" "," ", IFERROR( VLOOKUP($A764,'SUPPLIER DATA BASE'!$A$2:$O$936,11,0),""))</f>
        <v>PLAZER GARMENTS</v>
      </c>
      <c r="O764" s="70" t="str">
        <f>IF($A$3=" "," ", IFERROR( VLOOKUP($A764,'SUPPLIER DATA BASE'!$A$2:$O$936,12,0),""))</f>
        <v>50200065043307</v>
      </c>
      <c r="P764" s="70" t="str">
        <f>IF($A$3=" "," ", IFERROR( VLOOKUP($A764,'SUPPLIER DATA BASE'!$A$2:$O$936,13,0),""))</f>
        <v>HDFC0000150</v>
      </c>
      <c r="Q764" s="77"/>
      <c r="R764" s="73"/>
      <c r="S764" s="77"/>
      <c r="T764" s="70"/>
      <c r="U764" s="78"/>
      <c r="V764" s="70" t="str">
        <f t="shared" si="6"/>
        <v>FY 26-27</v>
      </c>
      <c r="W764" s="23"/>
      <c r="X764" s="23"/>
    </row>
    <row r="765">
      <c r="A765" s="70" t="s">
        <v>743</v>
      </c>
      <c r="B765" s="70" t="str">
        <f>IF($A$3=" "," ", IFERROR( VLOOKUP($A765,'SUPPLIER DATA BASE'!$A$2:$M$936,3,0),""))</f>
        <v>PETTY COAT</v>
      </c>
      <c r="C765" s="70" t="str">
        <f>IF($A$3=" "," ", IFERROR( VLOOKUP($A765,'SUPPLIER DATA BASE'!$A$2:$F$936,6,0),""))</f>
        <v>-</v>
      </c>
      <c r="D765" s="70" t="str">
        <f>IF($A$3=" "," ", IFERROR( VLOOKUP($A765,'SUPPLIER DATA BASE'!$A$2:$G$936,4,0),""))</f>
        <v>-</v>
      </c>
      <c r="E765" s="71" t="str">
        <f>IF($A$3=" "," ", IFERROR( VLOOKUP($A765,'SUPPLIER DATA BASE'!$A$2:$H$936,5,0),""))</f>
        <v>-</v>
      </c>
      <c r="F765" s="72">
        <v>27.0</v>
      </c>
      <c r="G765" s="73">
        <v>46120.0</v>
      </c>
      <c r="H765" s="74">
        <v>310.0</v>
      </c>
      <c r="I765" s="75">
        <v>35805.0</v>
      </c>
      <c r="J765" s="76" t="s">
        <v>2335</v>
      </c>
      <c r="K765" s="76" t="s">
        <v>2336</v>
      </c>
      <c r="L765" s="73"/>
      <c r="M765" s="70" t="str">
        <f t="shared" si="3"/>
        <v>68 Days</v>
      </c>
      <c r="N765" s="70" t="str">
        <f>IF($A$3=" "," ", IFERROR( VLOOKUP($A765,'SUPPLIER DATA BASE'!$A$2:$O$936,11,0),""))</f>
        <v>SRI RADHEY MACHING CENTER</v>
      </c>
      <c r="O765" s="70" t="str">
        <f>IF($A$3=" "," ", IFERROR( VLOOKUP($A765,'SUPPLIER DATA BASE'!$A$2:$O$936,12,0),""))</f>
        <v>3626026563</v>
      </c>
      <c r="P765" s="70" t="str">
        <f>IF($A$3=" "," ", IFERROR( VLOOKUP($A765,'SUPPLIER DATA BASE'!$A$2:$O$936,13,0),""))</f>
        <v>CBIN0281393</v>
      </c>
      <c r="Q765" s="77"/>
      <c r="R765" s="73"/>
      <c r="S765" s="77"/>
      <c r="T765" s="70"/>
      <c r="U765" s="78"/>
      <c r="V765" s="70" t="str">
        <f t="shared" si="6"/>
        <v>FY 26-27</v>
      </c>
      <c r="W765" s="23"/>
      <c r="X765" s="23"/>
    </row>
    <row r="766">
      <c r="A766" s="70" t="s">
        <v>799</v>
      </c>
      <c r="B766" s="70" t="str">
        <f>IF($A$3=" "," ", IFERROR( VLOOKUP($A766,'SUPPLIER DATA BASE'!$A$2:$M$936,3,0),""))</f>
        <v>-</v>
      </c>
      <c r="C766" s="70" t="str">
        <f>IF($A$3=" "," ", IFERROR( VLOOKUP($A766,'SUPPLIER DATA BASE'!$A$2:$F$936,6,0),""))</f>
        <v>-</v>
      </c>
      <c r="D766" s="70" t="str">
        <f>IF($A$3=" "," ", IFERROR( VLOOKUP($A766,'SUPPLIER DATA BASE'!$A$2:$G$936,4,0),""))</f>
        <v>-</v>
      </c>
      <c r="E766" s="71" t="str">
        <f>IF($A$3=" "," ", IFERROR( VLOOKUP($A766,'SUPPLIER DATA BASE'!$A$2:$H$936,5,0),""))</f>
        <v>-</v>
      </c>
      <c r="F766" s="72" t="s">
        <v>2337</v>
      </c>
      <c r="G766" s="73">
        <v>46120.0</v>
      </c>
      <c r="H766" s="74">
        <v>10.0</v>
      </c>
      <c r="I766" s="75">
        <v>6710.0</v>
      </c>
      <c r="J766" s="76" t="s">
        <v>2338</v>
      </c>
      <c r="K766" s="76" t="s">
        <v>2339</v>
      </c>
      <c r="L766" s="73"/>
      <c r="M766" s="70" t="str">
        <f t="shared" si="3"/>
        <v>68 Days</v>
      </c>
      <c r="N766" s="70" t="str">
        <f>IF($A$3=" "," ", IFERROR( VLOOKUP($A766,'SUPPLIER DATA BASE'!$A$2:$O$936,11,0),""))</f>
        <v>VISHAL MARKETING &amp; CO.</v>
      </c>
      <c r="O766" s="70" t="str">
        <f>IF($A$3=" "," ", IFERROR( VLOOKUP($A766,'SUPPLIER DATA BASE'!$A$2:$O$936,12,0),""))</f>
        <v>1091008700001025</v>
      </c>
      <c r="P766" s="70" t="str">
        <f>IF($A$3=" "," ", IFERROR( VLOOKUP($A766,'SUPPLIER DATA BASE'!$A$2:$O$936,13,0),""))</f>
        <v>PUNB0109100</v>
      </c>
      <c r="Q766" s="77"/>
      <c r="R766" s="73"/>
      <c r="S766" s="77"/>
      <c r="T766" s="70"/>
      <c r="U766" s="78"/>
      <c r="V766" s="70" t="str">
        <f t="shared" si="6"/>
        <v>FY 26-27</v>
      </c>
      <c r="W766" s="23"/>
      <c r="X766" s="23"/>
    </row>
    <row r="767">
      <c r="A767" s="70" t="s">
        <v>402</v>
      </c>
      <c r="B767" s="70" t="str">
        <f>IF($A$3=" "," ", IFERROR( VLOOKUP($A767,'SUPPLIER DATA BASE'!$A$2:$M$936,3,0),""))</f>
        <v>KHUSHAL/STATUS QUO</v>
      </c>
      <c r="C767" s="70" t="str">
        <f>IF($A$3=" "," ", IFERROR( VLOOKUP($A767,'SUPPLIER DATA BASE'!$A$2:$F$936,6,0),""))</f>
        <v>-</v>
      </c>
      <c r="D767" s="70" t="str">
        <f>IF($A$3=" "," ", IFERROR( VLOOKUP($A767,'SUPPLIER DATA BASE'!$A$2:$G$936,4,0),""))</f>
        <v>-</v>
      </c>
      <c r="E767" s="71" t="str">
        <f>IF($A$3=" "," ", IFERROR( VLOOKUP($A767,'SUPPLIER DATA BASE'!$A$2:$H$936,5,0),""))</f>
        <v>-</v>
      </c>
      <c r="F767" s="72" t="s">
        <v>2340</v>
      </c>
      <c r="G767" s="73">
        <v>46120.0</v>
      </c>
      <c r="H767" s="74">
        <v>66.0</v>
      </c>
      <c r="I767" s="75">
        <v>71287.0</v>
      </c>
      <c r="J767" s="76" t="s">
        <v>2341</v>
      </c>
      <c r="K767" s="76" t="s">
        <v>2342</v>
      </c>
      <c r="L767" s="73"/>
      <c r="M767" s="70" t="str">
        <f t="shared" si="3"/>
        <v>68 Days</v>
      </c>
      <c r="N767" s="70" t="str">
        <f>IF($A$3=" "," ", IFERROR( VLOOKUP($A767,'SUPPLIER DATA BASE'!$A$2:$O$936,11,0),""))</f>
        <v>D APPAREL</v>
      </c>
      <c r="O767" s="70" t="str">
        <f>IF($A$3=" "," ", IFERROR( VLOOKUP($A767,'SUPPLIER DATA BASE'!$A$2:$O$936,12,0),""))</f>
        <v>722501010050397</v>
      </c>
      <c r="P767" s="70" t="str">
        <f>IF($A$3=" "," ", IFERROR( VLOOKUP($A767,'SUPPLIER DATA BASE'!$A$2:$O$936,13,0),""))</f>
        <v>UBIN0572250</v>
      </c>
      <c r="Q767" s="77"/>
      <c r="R767" s="73"/>
      <c r="S767" s="77"/>
      <c r="T767" s="70"/>
      <c r="U767" s="78"/>
      <c r="V767" s="70" t="str">
        <f t="shared" si="6"/>
        <v>FY 26-27</v>
      </c>
      <c r="W767" s="23"/>
      <c r="X767" s="23"/>
    </row>
    <row r="768">
      <c r="A768" s="70" t="s">
        <v>402</v>
      </c>
      <c r="B768" s="70" t="str">
        <f>IF($A$3=" "," ", IFERROR( VLOOKUP($A768,'SUPPLIER DATA BASE'!$A$2:$M$936,3,0),""))</f>
        <v>KHUSHAL/STATUS QUO</v>
      </c>
      <c r="C768" s="70" t="str">
        <f>IF($A$3=" "," ", IFERROR( VLOOKUP($A768,'SUPPLIER DATA BASE'!$A$2:$F$936,6,0),""))</f>
        <v>-</v>
      </c>
      <c r="D768" s="70" t="str">
        <f>IF($A$3=" "," ", IFERROR( VLOOKUP($A768,'SUPPLIER DATA BASE'!$A$2:$G$936,4,0),""))</f>
        <v>-</v>
      </c>
      <c r="E768" s="71" t="str">
        <f>IF($A$3=" "," ", IFERROR( VLOOKUP($A768,'SUPPLIER DATA BASE'!$A$2:$H$936,5,0),""))</f>
        <v>-</v>
      </c>
      <c r="F768" s="72" t="s">
        <v>2343</v>
      </c>
      <c r="G768" s="73">
        <v>46120.0</v>
      </c>
      <c r="H768" s="74">
        <v>8.0</v>
      </c>
      <c r="I768" s="75">
        <v>32386.0</v>
      </c>
      <c r="J768" s="76" t="s">
        <v>2344</v>
      </c>
      <c r="K768" s="76" t="s">
        <v>2345</v>
      </c>
      <c r="L768" s="73"/>
      <c r="M768" s="70" t="str">
        <f t="shared" si="3"/>
        <v>68 Days</v>
      </c>
      <c r="N768" s="70" t="str">
        <f>IF($A$3=" "," ", IFERROR( VLOOKUP($A768,'SUPPLIER DATA BASE'!$A$2:$O$936,11,0),""))</f>
        <v>D APPAREL</v>
      </c>
      <c r="O768" s="70" t="str">
        <f>IF($A$3=" "," ", IFERROR( VLOOKUP($A768,'SUPPLIER DATA BASE'!$A$2:$O$936,12,0),""))</f>
        <v>722501010050397</v>
      </c>
      <c r="P768" s="70" t="str">
        <f>IF($A$3=" "," ", IFERROR( VLOOKUP($A768,'SUPPLIER DATA BASE'!$A$2:$O$936,13,0),""))</f>
        <v>UBIN0572250</v>
      </c>
      <c r="Q768" s="77"/>
      <c r="R768" s="73"/>
      <c r="S768" s="77"/>
      <c r="T768" s="70"/>
      <c r="U768" s="78"/>
      <c r="V768" s="70" t="str">
        <f t="shared" si="6"/>
        <v>FY 26-27</v>
      </c>
      <c r="W768" s="23"/>
      <c r="X768" s="23"/>
    </row>
    <row r="769">
      <c r="A769" s="70" t="s">
        <v>799</v>
      </c>
      <c r="B769" s="70" t="str">
        <f>IF($A$3=" "," ", IFERROR( VLOOKUP($A769,'SUPPLIER DATA BASE'!$A$2:$M$936,3,0),""))</f>
        <v>-</v>
      </c>
      <c r="C769" s="70" t="str">
        <f>IF($A$3=" "," ", IFERROR( VLOOKUP($A769,'SUPPLIER DATA BASE'!$A$2:$F$936,6,0),""))</f>
        <v>-</v>
      </c>
      <c r="D769" s="70" t="str">
        <f>IF($A$3=" "," ", IFERROR( VLOOKUP($A769,'SUPPLIER DATA BASE'!$A$2:$G$936,4,0),""))</f>
        <v>-</v>
      </c>
      <c r="E769" s="71" t="str">
        <f>IF($A$3=" "," ", IFERROR( VLOOKUP($A769,'SUPPLIER DATA BASE'!$A$2:$H$936,5,0),""))</f>
        <v>-</v>
      </c>
      <c r="F769" s="72" t="s">
        <v>2346</v>
      </c>
      <c r="G769" s="73">
        <v>46120.0</v>
      </c>
      <c r="H769" s="74">
        <v>34.0</v>
      </c>
      <c r="I769" s="75">
        <v>51598.0</v>
      </c>
      <c r="J769" s="76" t="s">
        <v>2347</v>
      </c>
      <c r="K769" s="76" t="s">
        <v>2348</v>
      </c>
      <c r="L769" s="73"/>
      <c r="M769" s="70" t="str">
        <f t="shared" si="3"/>
        <v>68 Days</v>
      </c>
      <c r="N769" s="70" t="str">
        <f>IF($A$3=" "," ", IFERROR( VLOOKUP($A769,'SUPPLIER DATA BASE'!$A$2:$O$936,11,0),""))</f>
        <v>VISHAL MARKETING &amp; CO.</v>
      </c>
      <c r="O769" s="70" t="str">
        <f>IF($A$3=" "," ", IFERROR( VLOOKUP($A769,'SUPPLIER DATA BASE'!$A$2:$O$936,12,0),""))</f>
        <v>1091008700001025</v>
      </c>
      <c r="P769" s="70" t="str">
        <f>IF($A$3=" "," ", IFERROR( VLOOKUP($A769,'SUPPLIER DATA BASE'!$A$2:$O$936,13,0),""))</f>
        <v>PUNB0109100</v>
      </c>
      <c r="Q769" s="77"/>
      <c r="R769" s="73"/>
      <c r="S769" s="77"/>
      <c r="T769" s="70"/>
      <c r="U769" s="78"/>
      <c r="V769" s="70" t="str">
        <f t="shared" si="6"/>
        <v>FY 26-27</v>
      </c>
      <c r="W769" s="23"/>
      <c r="X769" s="23"/>
    </row>
    <row r="770">
      <c r="A770" s="70" t="s">
        <v>799</v>
      </c>
      <c r="B770" s="70" t="str">
        <f>IF($A$3=" "," ", IFERROR( VLOOKUP($A770,'SUPPLIER DATA BASE'!$A$2:$M$936,3,0),""))</f>
        <v>-</v>
      </c>
      <c r="C770" s="70" t="str">
        <f>IF($A$3=" "," ", IFERROR( VLOOKUP($A770,'SUPPLIER DATA BASE'!$A$2:$F$936,6,0),""))</f>
        <v>-</v>
      </c>
      <c r="D770" s="70" t="str">
        <f>IF($A$3=" "," ", IFERROR( VLOOKUP($A770,'SUPPLIER DATA BASE'!$A$2:$G$936,4,0),""))</f>
        <v>-</v>
      </c>
      <c r="E770" s="71" t="str">
        <f>IF($A$3=" "," ", IFERROR( VLOOKUP($A770,'SUPPLIER DATA BASE'!$A$2:$H$936,5,0),""))</f>
        <v>-</v>
      </c>
      <c r="F770" s="72" t="s">
        <v>2349</v>
      </c>
      <c r="G770" s="73">
        <v>46120.0</v>
      </c>
      <c r="H770" s="74">
        <v>16.0</v>
      </c>
      <c r="I770" s="75">
        <v>30911.0</v>
      </c>
      <c r="J770" s="76" t="s">
        <v>2350</v>
      </c>
      <c r="K770" s="76" t="s">
        <v>2351</v>
      </c>
      <c r="L770" s="73"/>
      <c r="M770" s="70" t="str">
        <f t="shared" si="3"/>
        <v>68 Days</v>
      </c>
      <c r="N770" s="70" t="str">
        <f>IF($A$3=" "," ", IFERROR( VLOOKUP($A770,'SUPPLIER DATA BASE'!$A$2:$O$936,11,0),""))</f>
        <v>VISHAL MARKETING &amp; CO.</v>
      </c>
      <c r="O770" s="70" t="str">
        <f>IF($A$3=" "," ", IFERROR( VLOOKUP($A770,'SUPPLIER DATA BASE'!$A$2:$O$936,12,0),""))</f>
        <v>1091008700001025</v>
      </c>
      <c r="P770" s="70" t="str">
        <f>IF($A$3=" "," ", IFERROR( VLOOKUP($A770,'SUPPLIER DATA BASE'!$A$2:$O$936,13,0),""))</f>
        <v>PUNB0109100</v>
      </c>
      <c r="Q770" s="77"/>
      <c r="R770" s="73"/>
      <c r="S770" s="77"/>
      <c r="T770" s="70"/>
      <c r="U770" s="78"/>
      <c r="V770" s="70" t="str">
        <f t="shared" si="6"/>
        <v>FY 26-27</v>
      </c>
      <c r="W770" s="23"/>
      <c r="X770" s="23"/>
    </row>
    <row r="771">
      <c r="A771" s="70" t="s">
        <v>354</v>
      </c>
      <c r="B771" s="70" t="str">
        <f>IF($A$3=" "," ", IFERROR( VLOOKUP($A771,'SUPPLIER DATA BASE'!$A$2:$M$936,3,0),""))</f>
        <v>-</v>
      </c>
      <c r="C771" s="70" t="str">
        <f>IF($A$3=" "," ", IFERROR( VLOOKUP($A771,'SUPPLIER DATA BASE'!$A$2:$F$936,6,0),""))</f>
        <v>-</v>
      </c>
      <c r="D771" s="70" t="str">
        <f>IF($A$3=" "," ", IFERROR( VLOOKUP($A771,'SUPPLIER DATA BASE'!$A$2:$G$936,4,0),""))</f>
        <v>-</v>
      </c>
      <c r="E771" s="71" t="str">
        <f>IF($A$3=" "," ", IFERROR( VLOOKUP($A771,'SUPPLIER DATA BASE'!$A$2:$H$936,5,0),""))</f>
        <v>-</v>
      </c>
      <c r="F771" s="72" t="s">
        <v>2352</v>
      </c>
      <c r="G771" s="73">
        <v>46120.0</v>
      </c>
      <c r="H771" s="74">
        <v>29.0</v>
      </c>
      <c r="I771" s="75">
        <v>39447.07</v>
      </c>
      <c r="J771" s="76" t="s">
        <v>2353</v>
      </c>
      <c r="K771" s="76" t="s">
        <v>2354</v>
      </c>
      <c r="L771" s="73"/>
      <c r="M771" s="70" t="str">
        <f t="shared" si="3"/>
        <v>68 Days</v>
      </c>
      <c r="N771" s="70" t="str">
        <f>IF($A$3=" "," ", IFERROR( VLOOKUP($A771,'SUPPLIER DATA BASE'!$A$2:$O$936,11,0),""))</f>
        <v>-</v>
      </c>
      <c r="O771" s="70" t="str">
        <f>IF($A$3=" "," ", IFERROR( VLOOKUP($A771,'SUPPLIER DATA BASE'!$A$2:$O$936,12,0),""))</f>
        <v>-</v>
      </c>
      <c r="P771" s="70" t="str">
        <f>IF($A$3=" "," ", IFERROR( VLOOKUP($A771,'SUPPLIER DATA BASE'!$A$2:$O$936,13,0),""))</f>
        <v>-</v>
      </c>
      <c r="Q771" s="77"/>
      <c r="R771" s="73"/>
      <c r="S771" s="77"/>
      <c r="T771" s="70"/>
      <c r="U771" s="78"/>
      <c r="V771" s="70" t="str">
        <f t="shared" si="6"/>
        <v>FY 26-27</v>
      </c>
      <c r="W771" s="23"/>
      <c r="X771" s="23"/>
    </row>
    <row r="772">
      <c r="A772" s="70" t="s">
        <v>354</v>
      </c>
      <c r="B772" s="70" t="str">
        <f>IF($A$3=" "," ", IFERROR( VLOOKUP($A772,'SUPPLIER DATA BASE'!$A$2:$M$936,3,0),""))</f>
        <v>-</v>
      </c>
      <c r="C772" s="70" t="str">
        <f>IF($A$3=" "," ", IFERROR( VLOOKUP($A772,'SUPPLIER DATA BASE'!$A$2:$F$936,6,0),""))</f>
        <v>-</v>
      </c>
      <c r="D772" s="70" t="str">
        <f>IF($A$3=" "," ", IFERROR( VLOOKUP($A772,'SUPPLIER DATA BASE'!$A$2:$G$936,4,0),""))</f>
        <v>-</v>
      </c>
      <c r="E772" s="71" t="str">
        <f>IF($A$3=" "," ", IFERROR( VLOOKUP($A772,'SUPPLIER DATA BASE'!$A$2:$H$936,5,0),""))</f>
        <v>-</v>
      </c>
      <c r="F772" s="72" t="s">
        <v>2355</v>
      </c>
      <c r="G772" s="73">
        <v>46120.0</v>
      </c>
      <c r="H772" s="74">
        <v>91.0</v>
      </c>
      <c r="I772" s="75">
        <v>154381.29</v>
      </c>
      <c r="J772" s="76" t="s">
        <v>2356</v>
      </c>
      <c r="K772" s="76" t="s">
        <v>2357</v>
      </c>
      <c r="L772" s="73"/>
      <c r="M772" s="70" t="str">
        <f t="shared" si="3"/>
        <v>68 Days</v>
      </c>
      <c r="N772" s="70" t="str">
        <f>IF($A$3=" "," ", IFERROR( VLOOKUP($A772,'SUPPLIER DATA BASE'!$A$2:$O$936,11,0),""))</f>
        <v>-</v>
      </c>
      <c r="O772" s="70" t="str">
        <f>IF($A$3=" "," ", IFERROR( VLOOKUP($A772,'SUPPLIER DATA BASE'!$A$2:$O$936,12,0),""))</f>
        <v>-</v>
      </c>
      <c r="P772" s="70" t="str">
        <f>IF($A$3=" "," ", IFERROR( VLOOKUP($A772,'SUPPLIER DATA BASE'!$A$2:$O$936,13,0),""))</f>
        <v>-</v>
      </c>
      <c r="Q772" s="77"/>
      <c r="R772" s="73"/>
      <c r="S772" s="77"/>
      <c r="T772" s="70"/>
      <c r="U772" s="78"/>
      <c r="V772" s="70" t="str">
        <f t="shared" si="6"/>
        <v>FY 26-27</v>
      </c>
      <c r="W772" s="23"/>
      <c r="X772" s="23"/>
    </row>
    <row r="773">
      <c r="A773" s="70" t="s">
        <v>354</v>
      </c>
      <c r="B773" s="70" t="str">
        <f>IF($A$3=" "," ", IFERROR( VLOOKUP($A773,'SUPPLIER DATA BASE'!$A$2:$M$936,3,0),""))</f>
        <v>-</v>
      </c>
      <c r="C773" s="70" t="str">
        <f>IF($A$3=" "," ", IFERROR( VLOOKUP($A773,'SUPPLIER DATA BASE'!$A$2:$F$936,6,0),""))</f>
        <v>-</v>
      </c>
      <c r="D773" s="70" t="str">
        <f>IF($A$3=" "," ", IFERROR( VLOOKUP($A773,'SUPPLIER DATA BASE'!$A$2:$G$936,4,0),""))</f>
        <v>-</v>
      </c>
      <c r="E773" s="71" t="str">
        <f>IF($A$3=" "," ", IFERROR( VLOOKUP($A773,'SUPPLIER DATA BASE'!$A$2:$H$936,5,0),""))</f>
        <v>-</v>
      </c>
      <c r="F773" s="72" t="s">
        <v>2358</v>
      </c>
      <c r="G773" s="73">
        <v>46120.0</v>
      </c>
      <c r="H773" s="74">
        <v>399.0</v>
      </c>
      <c r="I773" s="75">
        <v>769592.4</v>
      </c>
      <c r="J773" s="76" t="s">
        <v>2359</v>
      </c>
      <c r="K773" s="76" t="s">
        <v>2360</v>
      </c>
      <c r="L773" s="73"/>
      <c r="M773" s="70" t="str">
        <f t="shared" si="3"/>
        <v>68 Days</v>
      </c>
      <c r="N773" s="70" t="str">
        <f>IF($A$3=" "," ", IFERROR( VLOOKUP($A773,'SUPPLIER DATA BASE'!$A$2:$O$936,11,0),""))</f>
        <v>-</v>
      </c>
      <c r="O773" s="70" t="str">
        <f>IF($A$3=" "," ", IFERROR( VLOOKUP($A773,'SUPPLIER DATA BASE'!$A$2:$O$936,12,0),""))</f>
        <v>-</v>
      </c>
      <c r="P773" s="70" t="str">
        <f>IF($A$3=" "," ", IFERROR( VLOOKUP($A773,'SUPPLIER DATA BASE'!$A$2:$O$936,13,0),""))</f>
        <v>-</v>
      </c>
      <c r="Q773" s="77"/>
      <c r="R773" s="73"/>
      <c r="S773" s="77"/>
      <c r="T773" s="70"/>
      <c r="U773" s="78"/>
      <c r="V773" s="70" t="str">
        <f t="shared" si="6"/>
        <v>FY 26-27</v>
      </c>
      <c r="W773" s="23"/>
      <c r="X773" s="23"/>
    </row>
    <row r="774">
      <c r="A774" s="70" t="s">
        <v>354</v>
      </c>
      <c r="B774" s="70" t="str">
        <f>IF($A$3=" "," ", IFERROR( VLOOKUP($A774,'SUPPLIER DATA BASE'!$A$2:$M$936,3,0),""))</f>
        <v>-</v>
      </c>
      <c r="C774" s="70" t="str">
        <f>IF($A$3=" "," ", IFERROR( VLOOKUP($A774,'SUPPLIER DATA BASE'!$A$2:$F$936,6,0),""))</f>
        <v>-</v>
      </c>
      <c r="D774" s="70" t="str">
        <f>IF($A$3=" "," ", IFERROR( VLOOKUP($A774,'SUPPLIER DATA BASE'!$A$2:$G$936,4,0),""))</f>
        <v>-</v>
      </c>
      <c r="E774" s="71" t="str">
        <f>IF($A$3=" "," ", IFERROR( VLOOKUP($A774,'SUPPLIER DATA BASE'!$A$2:$H$936,5,0),""))</f>
        <v>-</v>
      </c>
      <c r="F774" s="72" t="s">
        <v>2361</v>
      </c>
      <c r="G774" s="73">
        <v>46120.0</v>
      </c>
      <c r="H774" s="74">
        <v>12.0</v>
      </c>
      <c r="I774" s="75">
        <v>25551.63</v>
      </c>
      <c r="J774" s="76" t="s">
        <v>2362</v>
      </c>
      <c r="K774" s="76" t="s">
        <v>2363</v>
      </c>
      <c r="L774" s="73"/>
      <c r="M774" s="70" t="str">
        <f t="shared" si="3"/>
        <v>68 Days</v>
      </c>
      <c r="N774" s="70" t="str">
        <f>IF($A$3=" "," ", IFERROR( VLOOKUP($A774,'SUPPLIER DATA BASE'!$A$2:$O$936,11,0),""))</f>
        <v>-</v>
      </c>
      <c r="O774" s="70" t="str">
        <f>IF($A$3=" "," ", IFERROR( VLOOKUP($A774,'SUPPLIER DATA BASE'!$A$2:$O$936,12,0),""))</f>
        <v>-</v>
      </c>
      <c r="P774" s="70" t="str">
        <f>IF($A$3=" "," ", IFERROR( VLOOKUP($A774,'SUPPLIER DATA BASE'!$A$2:$O$936,13,0),""))</f>
        <v>-</v>
      </c>
      <c r="Q774" s="77"/>
      <c r="R774" s="73"/>
      <c r="S774" s="77"/>
      <c r="T774" s="70"/>
      <c r="U774" s="78"/>
      <c r="V774" s="70" t="str">
        <f t="shared" si="6"/>
        <v>FY 26-27</v>
      </c>
      <c r="W774" s="23"/>
      <c r="X774" s="23"/>
    </row>
    <row r="775">
      <c r="A775" s="70" t="s">
        <v>354</v>
      </c>
      <c r="B775" s="70" t="str">
        <f>IF($A$3=" "," ", IFERROR( VLOOKUP($A775,'SUPPLIER DATA BASE'!$A$2:$M$936,3,0),""))</f>
        <v>-</v>
      </c>
      <c r="C775" s="70" t="str">
        <f>IF($A$3=" "," ", IFERROR( VLOOKUP($A775,'SUPPLIER DATA BASE'!$A$2:$F$936,6,0),""))</f>
        <v>-</v>
      </c>
      <c r="D775" s="70" t="str">
        <f>IF($A$3=" "," ", IFERROR( VLOOKUP($A775,'SUPPLIER DATA BASE'!$A$2:$G$936,4,0),""))</f>
        <v>-</v>
      </c>
      <c r="E775" s="71" t="str">
        <f>IF($A$3=" "," ", IFERROR( VLOOKUP($A775,'SUPPLIER DATA BASE'!$A$2:$H$936,5,0),""))</f>
        <v>-</v>
      </c>
      <c r="F775" s="72" t="s">
        <v>2364</v>
      </c>
      <c r="G775" s="73">
        <v>46120.0</v>
      </c>
      <c r="H775" s="74">
        <v>361.0</v>
      </c>
      <c r="I775" s="75">
        <v>699112.99</v>
      </c>
      <c r="J775" s="76" t="s">
        <v>2365</v>
      </c>
      <c r="K775" s="76" t="s">
        <v>2366</v>
      </c>
      <c r="L775" s="73"/>
      <c r="M775" s="70" t="str">
        <f t="shared" si="3"/>
        <v>68 Days</v>
      </c>
      <c r="N775" s="70" t="str">
        <f>IF($A$3=" "," ", IFERROR( VLOOKUP($A775,'SUPPLIER DATA BASE'!$A$2:$O$936,11,0),""))</f>
        <v>-</v>
      </c>
      <c r="O775" s="70" t="str">
        <f>IF($A$3=" "," ", IFERROR( VLOOKUP($A775,'SUPPLIER DATA BASE'!$A$2:$O$936,12,0),""))</f>
        <v>-</v>
      </c>
      <c r="P775" s="70" t="str">
        <f>IF($A$3=" "," ", IFERROR( VLOOKUP($A775,'SUPPLIER DATA BASE'!$A$2:$O$936,13,0),""))</f>
        <v>-</v>
      </c>
      <c r="Q775" s="77"/>
      <c r="R775" s="73"/>
      <c r="S775" s="77"/>
      <c r="T775" s="70"/>
      <c r="U775" s="78"/>
      <c r="V775" s="70" t="str">
        <f t="shared" si="6"/>
        <v>FY 26-27</v>
      </c>
      <c r="W775" s="23"/>
      <c r="X775" s="23"/>
    </row>
    <row r="776">
      <c r="A776" s="70" t="s">
        <v>354</v>
      </c>
      <c r="B776" s="70" t="str">
        <f>IF($A$3=" "," ", IFERROR( VLOOKUP($A776,'SUPPLIER DATA BASE'!$A$2:$M$936,3,0),""))</f>
        <v>-</v>
      </c>
      <c r="C776" s="70" t="str">
        <f>IF($A$3=" "," ", IFERROR( VLOOKUP($A776,'SUPPLIER DATA BASE'!$A$2:$F$936,6,0),""))</f>
        <v>-</v>
      </c>
      <c r="D776" s="70" t="str">
        <f>IF($A$3=" "," ", IFERROR( VLOOKUP($A776,'SUPPLIER DATA BASE'!$A$2:$G$936,4,0),""))</f>
        <v>-</v>
      </c>
      <c r="E776" s="71" t="str">
        <f>IF($A$3=" "," ", IFERROR( VLOOKUP($A776,'SUPPLIER DATA BASE'!$A$2:$H$936,5,0),""))</f>
        <v>-</v>
      </c>
      <c r="F776" s="72" t="s">
        <v>2367</v>
      </c>
      <c r="G776" s="73">
        <v>46120.0</v>
      </c>
      <c r="H776" s="74">
        <v>6.0</v>
      </c>
      <c r="I776" s="75">
        <v>12479.74</v>
      </c>
      <c r="J776" s="76" t="s">
        <v>2368</v>
      </c>
      <c r="K776" s="76" t="s">
        <v>2369</v>
      </c>
      <c r="L776" s="73"/>
      <c r="M776" s="70" t="str">
        <f t="shared" si="3"/>
        <v>68 Days</v>
      </c>
      <c r="N776" s="70" t="str">
        <f>IF($A$3=" "," ", IFERROR( VLOOKUP($A776,'SUPPLIER DATA BASE'!$A$2:$O$936,11,0),""))</f>
        <v>-</v>
      </c>
      <c r="O776" s="70" t="str">
        <f>IF($A$3=" "," ", IFERROR( VLOOKUP($A776,'SUPPLIER DATA BASE'!$A$2:$O$936,12,0),""))</f>
        <v>-</v>
      </c>
      <c r="P776" s="70" t="str">
        <f>IF($A$3=" "," ", IFERROR( VLOOKUP($A776,'SUPPLIER DATA BASE'!$A$2:$O$936,13,0),""))</f>
        <v>-</v>
      </c>
      <c r="Q776" s="77"/>
      <c r="R776" s="73"/>
      <c r="S776" s="77"/>
      <c r="T776" s="70"/>
      <c r="U776" s="78"/>
      <c r="V776" s="70" t="str">
        <f t="shared" si="6"/>
        <v>FY 26-27</v>
      </c>
      <c r="W776" s="23"/>
      <c r="X776" s="23"/>
    </row>
    <row r="777">
      <c r="A777" s="70" t="s">
        <v>354</v>
      </c>
      <c r="B777" s="70" t="str">
        <f>IF($A$3=" "," ", IFERROR( VLOOKUP($A777,'SUPPLIER DATA BASE'!$A$2:$M$936,3,0),""))</f>
        <v>-</v>
      </c>
      <c r="C777" s="70" t="str">
        <f>IF($A$3=" "," ", IFERROR( VLOOKUP($A777,'SUPPLIER DATA BASE'!$A$2:$F$936,6,0),""))</f>
        <v>-</v>
      </c>
      <c r="D777" s="70" t="str">
        <f>IF($A$3=" "," ", IFERROR( VLOOKUP($A777,'SUPPLIER DATA BASE'!$A$2:$G$936,4,0),""))</f>
        <v>-</v>
      </c>
      <c r="E777" s="71" t="str">
        <f>IF($A$3=" "," ", IFERROR( VLOOKUP($A777,'SUPPLIER DATA BASE'!$A$2:$H$936,5,0),""))</f>
        <v>-</v>
      </c>
      <c r="F777" s="72" t="s">
        <v>2370</v>
      </c>
      <c r="G777" s="73">
        <v>46120.0</v>
      </c>
      <c r="H777" s="74">
        <v>58.0</v>
      </c>
      <c r="I777" s="75">
        <v>80172.53</v>
      </c>
      <c r="J777" s="76" t="s">
        <v>2371</v>
      </c>
      <c r="K777" s="76" t="s">
        <v>2372</v>
      </c>
      <c r="L777" s="73"/>
      <c r="M777" s="70" t="str">
        <f t="shared" si="3"/>
        <v>68 Days</v>
      </c>
      <c r="N777" s="70" t="str">
        <f>IF($A$3=" "," ", IFERROR( VLOOKUP($A777,'SUPPLIER DATA BASE'!$A$2:$O$936,11,0),""))</f>
        <v>-</v>
      </c>
      <c r="O777" s="70" t="str">
        <f>IF($A$3=" "," ", IFERROR( VLOOKUP($A777,'SUPPLIER DATA BASE'!$A$2:$O$936,12,0),""))</f>
        <v>-</v>
      </c>
      <c r="P777" s="70" t="str">
        <f>IF($A$3=" "," ", IFERROR( VLOOKUP($A777,'SUPPLIER DATA BASE'!$A$2:$O$936,13,0),""))</f>
        <v>-</v>
      </c>
      <c r="Q777" s="77"/>
      <c r="R777" s="73"/>
      <c r="S777" s="77"/>
      <c r="T777" s="70"/>
      <c r="U777" s="78"/>
      <c r="V777" s="70" t="str">
        <f t="shared" si="6"/>
        <v>FY 26-27</v>
      </c>
      <c r="W777" s="23"/>
      <c r="X777" s="23"/>
    </row>
    <row r="778">
      <c r="A778" s="70" t="s">
        <v>354</v>
      </c>
      <c r="B778" s="70" t="str">
        <f>IF($A$3=" "," ", IFERROR( VLOOKUP($A778,'SUPPLIER DATA BASE'!$A$2:$M$936,3,0),""))</f>
        <v>-</v>
      </c>
      <c r="C778" s="70" t="str">
        <f>IF($A$3=" "," ", IFERROR( VLOOKUP($A778,'SUPPLIER DATA BASE'!$A$2:$F$936,6,0),""))</f>
        <v>-</v>
      </c>
      <c r="D778" s="70" t="str">
        <f>IF($A$3=" "," ", IFERROR( VLOOKUP($A778,'SUPPLIER DATA BASE'!$A$2:$G$936,4,0),""))</f>
        <v>-</v>
      </c>
      <c r="E778" s="71" t="str">
        <f>IF($A$3=" "," ", IFERROR( VLOOKUP($A778,'SUPPLIER DATA BASE'!$A$2:$H$936,5,0),""))</f>
        <v>-</v>
      </c>
      <c r="F778" s="72" t="s">
        <v>2373</v>
      </c>
      <c r="G778" s="73">
        <v>46120.0</v>
      </c>
      <c r="H778" s="74">
        <v>9.0</v>
      </c>
      <c r="I778" s="75">
        <v>17759.69</v>
      </c>
      <c r="J778" s="76" t="s">
        <v>2374</v>
      </c>
      <c r="K778" s="76" t="s">
        <v>2375</v>
      </c>
      <c r="L778" s="73"/>
      <c r="M778" s="70" t="str">
        <f t="shared" si="3"/>
        <v>68 Days</v>
      </c>
      <c r="N778" s="70" t="str">
        <f>IF($A$3=" "," ", IFERROR( VLOOKUP($A778,'SUPPLIER DATA BASE'!$A$2:$O$936,11,0),""))</f>
        <v>-</v>
      </c>
      <c r="O778" s="70" t="str">
        <f>IF($A$3=" "," ", IFERROR( VLOOKUP($A778,'SUPPLIER DATA BASE'!$A$2:$O$936,12,0),""))</f>
        <v>-</v>
      </c>
      <c r="P778" s="70" t="str">
        <f>IF($A$3=" "," ", IFERROR( VLOOKUP($A778,'SUPPLIER DATA BASE'!$A$2:$O$936,13,0),""))</f>
        <v>-</v>
      </c>
      <c r="Q778" s="77"/>
      <c r="R778" s="73"/>
      <c r="S778" s="77"/>
      <c r="T778" s="70"/>
      <c r="U778" s="78"/>
      <c r="V778" s="70" t="str">
        <f t="shared" si="6"/>
        <v>FY 26-27</v>
      </c>
      <c r="W778" s="23"/>
      <c r="X778" s="23"/>
    </row>
    <row r="779">
      <c r="A779" s="70" t="s">
        <v>354</v>
      </c>
      <c r="B779" s="70" t="str">
        <f>IF($A$3=" "," ", IFERROR( VLOOKUP($A779,'SUPPLIER DATA BASE'!$A$2:$M$936,3,0),""))</f>
        <v>-</v>
      </c>
      <c r="C779" s="70" t="str">
        <f>IF($A$3=" "," ", IFERROR( VLOOKUP($A779,'SUPPLIER DATA BASE'!$A$2:$F$936,6,0),""))</f>
        <v>-</v>
      </c>
      <c r="D779" s="70" t="str">
        <f>IF($A$3=" "," ", IFERROR( VLOOKUP($A779,'SUPPLIER DATA BASE'!$A$2:$G$936,4,0),""))</f>
        <v>-</v>
      </c>
      <c r="E779" s="71" t="str">
        <f>IF($A$3=" "," ", IFERROR( VLOOKUP($A779,'SUPPLIER DATA BASE'!$A$2:$H$936,5,0),""))</f>
        <v>-</v>
      </c>
      <c r="F779" s="72" t="s">
        <v>2376</v>
      </c>
      <c r="G779" s="73">
        <v>46120.0</v>
      </c>
      <c r="H779" s="74">
        <v>66.0</v>
      </c>
      <c r="I779" s="75">
        <v>116451.44</v>
      </c>
      <c r="J779" s="76" t="s">
        <v>2377</v>
      </c>
      <c r="K779" s="76" t="s">
        <v>2378</v>
      </c>
      <c r="L779" s="73"/>
      <c r="M779" s="70" t="str">
        <f t="shared" si="3"/>
        <v>68 Days</v>
      </c>
      <c r="N779" s="70" t="str">
        <f>IF($A$3=" "," ", IFERROR( VLOOKUP($A779,'SUPPLIER DATA BASE'!$A$2:$O$936,11,0),""))</f>
        <v>-</v>
      </c>
      <c r="O779" s="70" t="str">
        <f>IF($A$3=" "," ", IFERROR( VLOOKUP($A779,'SUPPLIER DATA BASE'!$A$2:$O$936,12,0),""))</f>
        <v>-</v>
      </c>
      <c r="P779" s="70" t="str">
        <f>IF($A$3=" "," ", IFERROR( VLOOKUP($A779,'SUPPLIER DATA BASE'!$A$2:$O$936,13,0),""))</f>
        <v>-</v>
      </c>
      <c r="Q779" s="77"/>
      <c r="R779" s="73"/>
      <c r="S779" s="77"/>
      <c r="T779" s="70"/>
      <c r="U779" s="78"/>
      <c r="V779" s="70" t="str">
        <f t="shared" si="6"/>
        <v>FY 26-27</v>
      </c>
      <c r="W779" s="23"/>
      <c r="X779" s="23"/>
    </row>
    <row r="780">
      <c r="A780" s="70" t="s">
        <v>354</v>
      </c>
      <c r="B780" s="70" t="str">
        <f>IF($A$3=" "," ", IFERROR( VLOOKUP($A780,'SUPPLIER DATA BASE'!$A$2:$M$936,3,0),""))</f>
        <v>-</v>
      </c>
      <c r="C780" s="70" t="str">
        <f>IF($A$3=" "," ", IFERROR( VLOOKUP($A780,'SUPPLIER DATA BASE'!$A$2:$F$936,6,0),""))</f>
        <v>-</v>
      </c>
      <c r="D780" s="70" t="str">
        <f>IF($A$3=" "," ", IFERROR( VLOOKUP($A780,'SUPPLIER DATA BASE'!$A$2:$G$936,4,0),""))</f>
        <v>-</v>
      </c>
      <c r="E780" s="71" t="str">
        <f>IF($A$3=" "," ", IFERROR( VLOOKUP($A780,'SUPPLIER DATA BASE'!$A$2:$H$936,5,0),""))</f>
        <v>-</v>
      </c>
      <c r="F780" s="72" t="s">
        <v>2379</v>
      </c>
      <c r="G780" s="73">
        <v>46120.0</v>
      </c>
      <c r="H780" s="74">
        <v>18.0</v>
      </c>
      <c r="I780" s="75">
        <v>42312.92</v>
      </c>
      <c r="J780" s="76" t="s">
        <v>2380</v>
      </c>
      <c r="K780" s="76" t="s">
        <v>2381</v>
      </c>
      <c r="L780" s="73"/>
      <c r="M780" s="70" t="str">
        <f t="shared" si="3"/>
        <v>68 Days</v>
      </c>
      <c r="N780" s="70" t="str">
        <f>IF($A$3=" "," ", IFERROR( VLOOKUP($A780,'SUPPLIER DATA BASE'!$A$2:$O$936,11,0),""))</f>
        <v>-</v>
      </c>
      <c r="O780" s="70" t="str">
        <f>IF($A$3=" "," ", IFERROR( VLOOKUP($A780,'SUPPLIER DATA BASE'!$A$2:$O$936,12,0),""))</f>
        <v>-</v>
      </c>
      <c r="P780" s="70" t="str">
        <f>IF($A$3=" "," ", IFERROR( VLOOKUP($A780,'SUPPLIER DATA BASE'!$A$2:$O$936,13,0),""))</f>
        <v>-</v>
      </c>
      <c r="Q780" s="77"/>
      <c r="R780" s="73"/>
      <c r="S780" s="77"/>
      <c r="T780" s="70"/>
      <c r="U780" s="78"/>
      <c r="V780" s="70" t="str">
        <f t="shared" si="6"/>
        <v>FY 26-27</v>
      </c>
      <c r="W780" s="23"/>
      <c r="X780" s="23"/>
    </row>
    <row r="781">
      <c r="A781" s="70" t="s">
        <v>354</v>
      </c>
      <c r="B781" s="70" t="str">
        <f>IF($A$3=" "," ", IFERROR( VLOOKUP($A781,'SUPPLIER DATA BASE'!$A$2:$M$936,3,0),""))</f>
        <v>-</v>
      </c>
      <c r="C781" s="70" t="str">
        <f>IF($A$3=" "," ", IFERROR( VLOOKUP($A781,'SUPPLIER DATA BASE'!$A$2:$F$936,6,0),""))</f>
        <v>-</v>
      </c>
      <c r="D781" s="70" t="str">
        <f>IF($A$3=" "," ", IFERROR( VLOOKUP($A781,'SUPPLIER DATA BASE'!$A$2:$G$936,4,0),""))</f>
        <v>-</v>
      </c>
      <c r="E781" s="71" t="str">
        <f>IF($A$3=" "," ", IFERROR( VLOOKUP($A781,'SUPPLIER DATA BASE'!$A$2:$H$936,5,0),""))</f>
        <v>-</v>
      </c>
      <c r="F781" s="72" t="s">
        <v>2382</v>
      </c>
      <c r="G781" s="73">
        <v>46120.0</v>
      </c>
      <c r="H781" s="74">
        <v>14.0</v>
      </c>
      <c r="I781" s="75">
        <v>26845.11</v>
      </c>
      <c r="J781" s="76" t="s">
        <v>2383</v>
      </c>
      <c r="K781" s="76" t="s">
        <v>2384</v>
      </c>
      <c r="L781" s="73"/>
      <c r="M781" s="70" t="str">
        <f t="shared" si="3"/>
        <v>68 Days</v>
      </c>
      <c r="N781" s="70" t="str">
        <f>IF($A$3=" "," ", IFERROR( VLOOKUP($A781,'SUPPLIER DATA BASE'!$A$2:$O$936,11,0),""))</f>
        <v>-</v>
      </c>
      <c r="O781" s="70" t="str">
        <f>IF($A$3=" "," ", IFERROR( VLOOKUP($A781,'SUPPLIER DATA BASE'!$A$2:$O$936,12,0),""))</f>
        <v>-</v>
      </c>
      <c r="P781" s="70" t="str">
        <f>IF($A$3=" "," ", IFERROR( VLOOKUP($A781,'SUPPLIER DATA BASE'!$A$2:$O$936,13,0),""))</f>
        <v>-</v>
      </c>
      <c r="Q781" s="77"/>
      <c r="R781" s="73"/>
      <c r="S781" s="77"/>
      <c r="T781" s="70"/>
      <c r="U781" s="78"/>
      <c r="V781" s="70" t="str">
        <f t="shared" si="6"/>
        <v>FY 26-27</v>
      </c>
      <c r="W781" s="23"/>
      <c r="X781" s="23"/>
    </row>
    <row r="782">
      <c r="A782" s="70" t="s">
        <v>354</v>
      </c>
      <c r="B782" s="70" t="str">
        <f>IF($A$3=" "," ", IFERROR( VLOOKUP($A782,'SUPPLIER DATA BASE'!$A$2:$M$936,3,0),""))</f>
        <v>-</v>
      </c>
      <c r="C782" s="70" t="str">
        <f>IF($A$3=" "," ", IFERROR( VLOOKUP($A782,'SUPPLIER DATA BASE'!$A$2:$F$936,6,0),""))</f>
        <v>-</v>
      </c>
      <c r="D782" s="70" t="str">
        <f>IF($A$3=" "," ", IFERROR( VLOOKUP($A782,'SUPPLIER DATA BASE'!$A$2:$G$936,4,0),""))</f>
        <v>-</v>
      </c>
      <c r="E782" s="71" t="str">
        <f>IF($A$3=" "," ", IFERROR( VLOOKUP($A782,'SUPPLIER DATA BASE'!$A$2:$H$936,5,0),""))</f>
        <v>-</v>
      </c>
      <c r="F782" s="72" t="s">
        <v>2385</v>
      </c>
      <c r="G782" s="73">
        <v>46120.0</v>
      </c>
      <c r="H782" s="74">
        <v>93.0</v>
      </c>
      <c r="I782" s="75">
        <v>171560.45</v>
      </c>
      <c r="J782" s="76" t="s">
        <v>2386</v>
      </c>
      <c r="K782" s="76" t="s">
        <v>2387</v>
      </c>
      <c r="L782" s="73"/>
      <c r="M782" s="70" t="str">
        <f t="shared" si="3"/>
        <v>68 Days</v>
      </c>
      <c r="N782" s="70" t="str">
        <f>IF($A$3=" "," ", IFERROR( VLOOKUP($A782,'SUPPLIER DATA BASE'!$A$2:$O$936,11,0),""))</f>
        <v>-</v>
      </c>
      <c r="O782" s="70" t="str">
        <f>IF($A$3=" "," ", IFERROR( VLOOKUP($A782,'SUPPLIER DATA BASE'!$A$2:$O$936,12,0),""))</f>
        <v>-</v>
      </c>
      <c r="P782" s="70" t="str">
        <f>IF($A$3=" "," ", IFERROR( VLOOKUP($A782,'SUPPLIER DATA BASE'!$A$2:$O$936,13,0),""))</f>
        <v>-</v>
      </c>
      <c r="Q782" s="77"/>
      <c r="R782" s="73"/>
      <c r="S782" s="77"/>
      <c r="T782" s="70"/>
      <c r="U782" s="78"/>
      <c r="V782" s="70" t="str">
        <f t="shared" si="6"/>
        <v>FY 26-27</v>
      </c>
      <c r="W782" s="23"/>
      <c r="X782" s="23"/>
    </row>
    <row r="783">
      <c r="A783" s="70" t="s">
        <v>354</v>
      </c>
      <c r="B783" s="70" t="str">
        <f>IF($A$3=" "," ", IFERROR( VLOOKUP($A783,'SUPPLIER DATA BASE'!$A$2:$M$936,3,0),""))</f>
        <v>-</v>
      </c>
      <c r="C783" s="70" t="str">
        <f>IF($A$3=" "," ", IFERROR( VLOOKUP($A783,'SUPPLIER DATA BASE'!$A$2:$F$936,6,0),""))</f>
        <v>-</v>
      </c>
      <c r="D783" s="70" t="str">
        <f>IF($A$3=" "," ", IFERROR( VLOOKUP($A783,'SUPPLIER DATA BASE'!$A$2:$G$936,4,0),""))</f>
        <v>-</v>
      </c>
      <c r="E783" s="71" t="str">
        <f>IF($A$3=" "," ", IFERROR( VLOOKUP($A783,'SUPPLIER DATA BASE'!$A$2:$H$936,5,0),""))</f>
        <v>-</v>
      </c>
      <c r="F783" s="72" t="s">
        <v>2388</v>
      </c>
      <c r="G783" s="73">
        <v>46120.0</v>
      </c>
      <c r="H783" s="74">
        <v>7.0</v>
      </c>
      <c r="I783" s="75">
        <v>12048.8</v>
      </c>
      <c r="J783" s="76" t="s">
        <v>2389</v>
      </c>
      <c r="K783" s="76" t="s">
        <v>2390</v>
      </c>
      <c r="L783" s="73"/>
      <c r="M783" s="70" t="str">
        <f t="shared" si="3"/>
        <v>68 Days</v>
      </c>
      <c r="N783" s="70" t="str">
        <f>IF($A$3=" "," ", IFERROR( VLOOKUP($A783,'SUPPLIER DATA BASE'!$A$2:$O$936,11,0),""))</f>
        <v>-</v>
      </c>
      <c r="O783" s="70" t="str">
        <f>IF($A$3=" "," ", IFERROR( VLOOKUP($A783,'SUPPLIER DATA BASE'!$A$2:$O$936,12,0),""))</f>
        <v>-</v>
      </c>
      <c r="P783" s="70" t="str">
        <f>IF($A$3=" "," ", IFERROR( VLOOKUP($A783,'SUPPLIER DATA BASE'!$A$2:$O$936,13,0),""))</f>
        <v>-</v>
      </c>
      <c r="Q783" s="77"/>
      <c r="R783" s="73"/>
      <c r="S783" s="77"/>
      <c r="T783" s="70"/>
      <c r="U783" s="78"/>
      <c r="V783" s="70" t="str">
        <f t="shared" si="6"/>
        <v>FY 26-27</v>
      </c>
      <c r="W783" s="23"/>
      <c r="X783" s="23"/>
    </row>
    <row r="784">
      <c r="A784" s="70" t="s">
        <v>354</v>
      </c>
      <c r="B784" s="70" t="str">
        <f>IF($A$3=" "," ", IFERROR( VLOOKUP($A784,'SUPPLIER DATA BASE'!$A$2:$M$936,3,0),""))</f>
        <v>-</v>
      </c>
      <c r="C784" s="70" t="str">
        <f>IF($A$3=" "," ", IFERROR( VLOOKUP($A784,'SUPPLIER DATA BASE'!$A$2:$F$936,6,0),""))</f>
        <v>-</v>
      </c>
      <c r="D784" s="70" t="str">
        <f>IF($A$3=" "," ", IFERROR( VLOOKUP($A784,'SUPPLIER DATA BASE'!$A$2:$G$936,4,0),""))</f>
        <v>-</v>
      </c>
      <c r="E784" s="71" t="str">
        <f>IF($A$3=" "," ", IFERROR( VLOOKUP($A784,'SUPPLIER DATA BASE'!$A$2:$H$936,5,0),""))</f>
        <v>-</v>
      </c>
      <c r="F784" s="72" t="s">
        <v>2391</v>
      </c>
      <c r="G784" s="73">
        <v>46120.0</v>
      </c>
      <c r="H784" s="74">
        <v>54.0</v>
      </c>
      <c r="I784" s="75">
        <v>100440.03</v>
      </c>
      <c r="J784" s="76" t="s">
        <v>2392</v>
      </c>
      <c r="K784" s="76" t="s">
        <v>2393</v>
      </c>
      <c r="L784" s="73"/>
      <c r="M784" s="70" t="str">
        <f t="shared" si="3"/>
        <v>68 Days</v>
      </c>
      <c r="N784" s="70" t="str">
        <f>IF($A$3=" "," ", IFERROR( VLOOKUP($A784,'SUPPLIER DATA BASE'!$A$2:$O$936,11,0),""))</f>
        <v>-</v>
      </c>
      <c r="O784" s="70" t="str">
        <f>IF($A$3=" "," ", IFERROR( VLOOKUP($A784,'SUPPLIER DATA BASE'!$A$2:$O$936,12,0),""))</f>
        <v>-</v>
      </c>
      <c r="P784" s="70" t="str">
        <f>IF($A$3=" "," ", IFERROR( VLOOKUP($A784,'SUPPLIER DATA BASE'!$A$2:$O$936,13,0),""))</f>
        <v>-</v>
      </c>
      <c r="Q784" s="77"/>
      <c r="R784" s="73"/>
      <c r="S784" s="77"/>
      <c r="T784" s="70"/>
      <c r="U784" s="78"/>
      <c r="V784" s="70" t="str">
        <f t="shared" si="6"/>
        <v>FY 26-27</v>
      </c>
      <c r="W784" s="23"/>
      <c r="X784" s="23"/>
    </row>
    <row r="785">
      <c r="A785" s="70" t="s">
        <v>853</v>
      </c>
      <c r="B785" s="70" t="str">
        <f>IF($A$3=" "," ", IFERROR( VLOOKUP($A785,'SUPPLIER DATA BASE'!$A$2:$M$936,3,0),""))</f>
        <v/>
      </c>
      <c r="C785" s="70" t="str">
        <f>IF($A$3=" "," ", IFERROR( VLOOKUP($A785,'SUPPLIER DATA BASE'!$A$2:$F$936,6,0),""))</f>
        <v/>
      </c>
      <c r="D785" s="70" t="str">
        <f>IF($A$3=" "," ", IFERROR( VLOOKUP($A785,'SUPPLIER DATA BASE'!$A$2:$G$936,4,0),""))</f>
        <v/>
      </c>
      <c r="E785" s="71" t="str">
        <f>IF($A$3=" "," ", IFERROR( VLOOKUP($A785,'SUPPLIER DATA BASE'!$A$2:$H$936,5,0),""))</f>
        <v/>
      </c>
      <c r="F785" s="72" t="s">
        <v>2394</v>
      </c>
      <c r="G785" s="73">
        <v>46120.0</v>
      </c>
      <c r="H785" s="74">
        <v>60.0</v>
      </c>
      <c r="I785" s="75">
        <v>25585.0</v>
      </c>
      <c r="J785" s="76" t="s">
        <v>2395</v>
      </c>
      <c r="K785" s="76" t="s">
        <v>2396</v>
      </c>
      <c r="L785" s="73"/>
      <c r="M785" s="70" t="str">
        <f t="shared" si="3"/>
        <v>68 Days</v>
      </c>
      <c r="N785" s="70" t="str">
        <f>IF($A$3=" "," ", IFERROR( VLOOKUP($A785,'SUPPLIER DATA BASE'!$A$2:$O$936,11,0),""))</f>
        <v/>
      </c>
      <c r="O785" s="70" t="str">
        <f>IF($A$3=" "," ", IFERROR( VLOOKUP($A785,'SUPPLIER DATA BASE'!$A$2:$O$936,12,0),""))</f>
        <v/>
      </c>
      <c r="P785" s="70" t="str">
        <f>IF($A$3=" "," ", IFERROR( VLOOKUP($A785,'SUPPLIER DATA BASE'!$A$2:$O$936,13,0),""))</f>
        <v/>
      </c>
      <c r="Q785" s="77"/>
      <c r="R785" s="73"/>
      <c r="S785" s="77"/>
      <c r="T785" s="70"/>
      <c r="U785" s="78"/>
      <c r="V785" s="70" t="str">
        <f t="shared" si="6"/>
        <v>FY 26-27</v>
      </c>
      <c r="W785" s="23"/>
      <c r="X785" s="23"/>
    </row>
    <row r="786">
      <c r="A786" s="70"/>
      <c r="B786" s="70" t="str">
        <f>IF($A$3=" "," ", IFERROR( VLOOKUP($A786,'SUPPLIER DATA BASE'!$A$2:$M$936,3,0),""))</f>
        <v/>
      </c>
      <c r="C786" s="70" t="str">
        <f>IF($A$3=" "," ", IFERROR( VLOOKUP($A786,'SUPPLIER DATA BASE'!$A$2:$F$936,6,0),""))</f>
        <v/>
      </c>
      <c r="D786" s="70" t="str">
        <f>IF($A$3=" "," ", IFERROR( VLOOKUP($A786,'SUPPLIER DATA BASE'!$A$2:$G$936,4,0),""))</f>
        <v/>
      </c>
      <c r="E786" s="71" t="str">
        <f>IF($A$3=" "," ", IFERROR( VLOOKUP($A786,'SUPPLIER DATA BASE'!$A$2:$H$936,5,0),""))</f>
        <v/>
      </c>
      <c r="F786" s="72" t="s">
        <v>2397</v>
      </c>
      <c r="G786" s="73">
        <v>46120.0</v>
      </c>
      <c r="H786" s="74">
        <v>20.0</v>
      </c>
      <c r="I786" s="75">
        <v>19546.0</v>
      </c>
      <c r="J786" s="76" t="s">
        <v>2398</v>
      </c>
      <c r="K786" s="76" t="s">
        <v>2399</v>
      </c>
      <c r="L786" s="73"/>
      <c r="M786" s="70" t="str">
        <f t="shared" si="3"/>
        <v>68 Days</v>
      </c>
      <c r="N786" s="70" t="str">
        <f>IF($A$3=" "," ", IFERROR( VLOOKUP($A786,'SUPPLIER DATA BASE'!$A$2:$O$936,11,0),""))</f>
        <v/>
      </c>
      <c r="O786" s="70" t="str">
        <f>IF($A$3=" "," ", IFERROR( VLOOKUP($A786,'SUPPLIER DATA BASE'!$A$2:$O$936,12,0),""))</f>
        <v/>
      </c>
      <c r="P786" s="70" t="str">
        <f>IF($A$3=" "," ", IFERROR( VLOOKUP($A786,'SUPPLIER DATA BASE'!$A$2:$O$936,13,0),""))</f>
        <v/>
      </c>
      <c r="Q786" s="77"/>
      <c r="R786" s="73"/>
      <c r="S786" s="77"/>
      <c r="T786" s="70"/>
      <c r="U786" s="78"/>
      <c r="V786" s="70" t="str">
        <f t="shared" si="6"/>
        <v>FY 26-27</v>
      </c>
      <c r="W786" s="23"/>
      <c r="X786" s="23"/>
    </row>
    <row r="787">
      <c r="A787" s="70" t="s">
        <v>370</v>
      </c>
      <c r="B787" s="70" t="str">
        <f>IF($A$3=" "," ", IFERROR( VLOOKUP($A787,'SUPPLIER DATA BASE'!$A$2:$M$936,3,0),""))</f>
        <v>-</v>
      </c>
      <c r="C787" s="70" t="str">
        <f>IF($A$3=" "," ", IFERROR( VLOOKUP($A787,'SUPPLIER DATA BASE'!$A$2:$F$936,6,0),""))</f>
        <v>SURYAM TEXTILE AGENCY</v>
      </c>
      <c r="D787" s="70">
        <f>IF($A$3=" "," ", IFERROR( VLOOKUP($A787,'SUPPLIER DATA BASE'!$A$2:$G$936,4,0),""))</f>
        <v>30</v>
      </c>
      <c r="E787" s="71">
        <f>IF($A$3=" "," ", IFERROR( VLOOKUP($A787,'SUPPLIER DATA BASE'!$A$2:$H$936,5,0),""))</f>
        <v>0.09</v>
      </c>
      <c r="F787" s="72">
        <v>23.0</v>
      </c>
      <c r="G787" s="73">
        <v>46120.0</v>
      </c>
      <c r="H787" s="74">
        <v>4.0</v>
      </c>
      <c r="I787" s="75">
        <v>20286.0</v>
      </c>
      <c r="J787" s="76" t="s">
        <v>2400</v>
      </c>
      <c r="K787" s="76" t="s">
        <v>2401</v>
      </c>
      <c r="L787" s="73"/>
      <c r="M787" s="70" t="str">
        <f t="shared" si="3"/>
        <v>68 Days</v>
      </c>
      <c r="N787" s="70" t="str">
        <f>IF($A$3=" "," ", IFERROR( VLOOKUP($A787,'SUPPLIER DATA BASE'!$A$2:$O$936,11,0),""))</f>
        <v>AS TEXTILE</v>
      </c>
      <c r="O787" s="70" t="str">
        <f>IF($A$3=" "," ", IFERROR( VLOOKUP($A787,'SUPPLIER DATA BASE'!$A$2:$O$936,12,0),""))</f>
        <v>50200012846193</v>
      </c>
      <c r="P787" s="70" t="str">
        <f>IF($A$3=" "," ", IFERROR( VLOOKUP($A787,'SUPPLIER DATA BASE'!$A$2:$O$936,13,0),""))</f>
        <v>HDFC0001249</v>
      </c>
      <c r="Q787" s="77"/>
      <c r="R787" s="73"/>
      <c r="S787" s="77"/>
      <c r="T787" s="70"/>
      <c r="U787" s="78"/>
      <c r="V787" s="70" t="str">
        <f t="shared" si="6"/>
        <v>FY 26-27</v>
      </c>
      <c r="W787" s="23"/>
      <c r="X787" s="23"/>
    </row>
    <row r="788">
      <c r="A788" s="70" t="s">
        <v>370</v>
      </c>
      <c r="B788" s="70" t="str">
        <f>IF($A$3=" "," ", IFERROR( VLOOKUP($A788,'SUPPLIER DATA BASE'!$A$2:$M$936,3,0),""))</f>
        <v>-</v>
      </c>
      <c r="C788" s="70" t="str">
        <f>IF($A$3=" "," ", IFERROR( VLOOKUP($A788,'SUPPLIER DATA BASE'!$A$2:$F$936,6,0),""))</f>
        <v>SURYAM TEXTILE AGENCY</v>
      </c>
      <c r="D788" s="70">
        <f>IF($A$3=" "," ", IFERROR( VLOOKUP($A788,'SUPPLIER DATA BASE'!$A$2:$G$936,4,0),""))</f>
        <v>30</v>
      </c>
      <c r="E788" s="71">
        <f>IF($A$3=" "," ", IFERROR( VLOOKUP($A788,'SUPPLIER DATA BASE'!$A$2:$H$936,5,0),""))</f>
        <v>0.09</v>
      </c>
      <c r="F788" s="72">
        <v>26.0</v>
      </c>
      <c r="G788" s="73">
        <v>46120.0</v>
      </c>
      <c r="H788" s="74">
        <v>4.0</v>
      </c>
      <c r="I788" s="75">
        <v>6518.0</v>
      </c>
      <c r="J788" s="76" t="s">
        <v>2402</v>
      </c>
      <c r="K788" s="76" t="s">
        <v>2403</v>
      </c>
      <c r="L788" s="73"/>
      <c r="M788" s="70" t="str">
        <f t="shared" si="3"/>
        <v>68 Days</v>
      </c>
      <c r="N788" s="70" t="str">
        <f>IF($A$3=" "," ", IFERROR( VLOOKUP($A788,'SUPPLIER DATA BASE'!$A$2:$O$936,11,0),""))</f>
        <v>AS TEXTILE</v>
      </c>
      <c r="O788" s="70" t="str">
        <f>IF($A$3=" "," ", IFERROR( VLOOKUP($A788,'SUPPLIER DATA BASE'!$A$2:$O$936,12,0),""))</f>
        <v>50200012846193</v>
      </c>
      <c r="P788" s="70" t="str">
        <f>IF($A$3=" "," ", IFERROR( VLOOKUP($A788,'SUPPLIER DATA BASE'!$A$2:$O$936,13,0),""))</f>
        <v>HDFC0001249</v>
      </c>
      <c r="Q788" s="77"/>
      <c r="R788" s="73"/>
      <c r="S788" s="77"/>
      <c r="T788" s="70"/>
      <c r="U788" s="78"/>
      <c r="V788" s="70" t="str">
        <f t="shared" si="6"/>
        <v>FY 26-27</v>
      </c>
      <c r="W788" s="23"/>
      <c r="X788" s="23"/>
    </row>
    <row r="789">
      <c r="A789" s="70" t="s">
        <v>370</v>
      </c>
      <c r="B789" s="70" t="str">
        <f>IF($A$3=" "," ", IFERROR( VLOOKUP($A789,'SUPPLIER DATA BASE'!$A$2:$M$936,3,0),""))</f>
        <v>-</v>
      </c>
      <c r="C789" s="70" t="str">
        <f>IF($A$3=" "," ", IFERROR( VLOOKUP($A789,'SUPPLIER DATA BASE'!$A$2:$F$936,6,0),""))</f>
        <v>SURYAM TEXTILE AGENCY</v>
      </c>
      <c r="D789" s="70">
        <f>IF($A$3=" "," ", IFERROR( VLOOKUP($A789,'SUPPLIER DATA BASE'!$A$2:$G$936,4,0),""))</f>
        <v>30</v>
      </c>
      <c r="E789" s="71">
        <f>IF($A$3=" "," ", IFERROR( VLOOKUP($A789,'SUPPLIER DATA BASE'!$A$2:$H$936,5,0),""))</f>
        <v>0.09</v>
      </c>
      <c r="F789" s="72">
        <v>29.0</v>
      </c>
      <c r="G789" s="73">
        <v>46120.0</v>
      </c>
      <c r="H789" s="74">
        <v>6.0</v>
      </c>
      <c r="I789" s="75">
        <v>10868.0</v>
      </c>
      <c r="J789" s="76" t="s">
        <v>2404</v>
      </c>
      <c r="K789" s="76" t="s">
        <v>2405</v>
      </c>
      <c r="L789" s="73"/>
      <c r="M789" s="70" t="str">
        <f t="shared" si="3"/>
        <v>68 Days</v>
      </c>
      <c r="N789" s="70" t="str">
        <f>IF($A$3=" "," ", IFERROR( VLOOKUP($A789,'SUPPLIER DATA BASE'!$A$2:$O$936,11,0),""))</f>
        <v>AS TEXTILE</v>
      </c>
      <c r="O789" s="70" t="str">
        <f>IF($A$3=" "," ", IFERROR( VLOOKUP($A789,'SUPPLIER DATA BASE'!$A$2:$O$936,12,0),""))</f>
        <v>50200012846193</v>
      </c>
      <c r="P789" s="70" t="str">
        <f>IF($A$3=" "," ", IFERROR( VLOOKUP($A789,'SUPPLIER DATA BASE'!$A$2:$O$936,13,0),""))</f>
        <v>HDFC0001249</v>
      </c>
      <c r="Q789" s="77"/>
      <c r="R789" s="73"/>
      <c r="S789" s="77"/>
      <c r="T789" s="70"/>
      <c r="U789" s="78"/>
      <c r="V789" s="70" t="str">
        <f t="shared" si="6"/>
        <v>FY 26-27</v>
      </c>
      <c r="W789" s="23"/>
      <c r="X789" s="23"/>
    </row>
    <row r="790">
      <c r="A790" s="70" t="s">
        <v>625</v>
      </c>
      <c r="B790" s="70" t="str">
        <f>IF($A$3=" "," ", IFERROR( VLOOKUP($A790,'SUPPLIER DATA BASE'!$A$2:$M$936,3,0),""))</f>
        <v>-</v>
      </c>
      <c r="C790" s="70" t="str">
        <f>IF($A$3=" "," ", IFERROR( VLOOKUP($A790,'SUPPLIER DATA BASE'!$A$2:$F$936,6,0),""))</f>
        <v>DIRECT</v>
      </c>
      <c r="D790" s="70">
        <f>IF($A$3=" "," ", IFERROR( VLOOKUP($A790,'SUPPLIER DATA BASE'!$A$2:$G$936,4,0),""))</f>
        <v>30</v>
      </c>
      <c r="E790" s="71">
        <f>IF($A$3=" "," ", IFERROR( VLOOKUP($A790,'SUPPLIER DATA BASE'!$A$2:$H$936,5,0),""))</f>
        <v>0.02</v>
      </c>
      <c r="F790" s="72">
        <v>151.0</v>
      </c>
      <c r="G790" s="73">
        <v>46121.0</v>
      </c>
      <c r="H790" s="74">
        <v>6.0</v>
      </c>
      <c r="I790" s="75">
        <v>26878.0</v>
      </c>
      <c r="J790" s="76" t="s">
        <v>2406</v>
      </c>
      <c r="K790" s="76" t="s">
        <v>2407</v>
      </c>
      <c r="L790" s="73"/>
      <c r="M790" s="70" t="str">
        <f t="shared" si="3"/>
        <v>67 Days</v>
      </c>
      <c r="N790" s="70" t="str">
        <f>IF($A$3=" "," ", IFERROR( VLOOKUP($A790,'SUPPLIER DATA BASE'!$A$2:$O$936,11,0),""))</f>
        <v>PLAZER GARMENTS</v>
      </c>
      <c r="O790" s="70" t="str">
        <f>IF($A$3=" "," ", IFERROR( VLOOKUP($A790,'SUPPLIER DATA BASE'!$A$2:$O$936,12,0),""))</f>
        <v>50200065043307</v>
      </c>
      <c r="P790" s="70" t="str">
        <f>IF($A$3=" "," ", IFERROR( VLOOKUP($A790,'SUPPLIER DATA BASE'!$A$2:$O$936,13,0),""))</f>
        <v>HDFC0000150</v>
      </c>
      <c r="Q790" s="77"/>
      <c r="R790" s="73"/>
      <c r="S790" s="77"/>
      <c r="T790" s="70"/>
      <c r="U790" s="78"/>
      <c r="V790" s="70" t="str">
        <f t="shared" si="6"/>
        <v>FY 26-27</v>
      </c>
      <c r="W790" s="23"/>
      <c r="X790" s="23"/>
    </row>
    <row r="791">
      <c r="A791" s="70" t="s">
        <v>702</v>
      </c>
      <c r="B791" s="70" t="str">
        <f>IF($A$3=" "," ", IFERROR( VLOOKUP($A791,'SUPPLIER DATA BASE'!$A$2:$M$936,3,0),""))</f>
        <v>JOCKEY</v>
      </c>
      <c r="C791" s="70" t="str">
        <f>IF($A$3=" "," ", IFERROR( VLOOKUP($A791,'SUPPLIER DATA BASE'!$A$2:$F$936,6,0),""))</f>
        <v>-</v>
      </c>
      <c r="D791" s="70">
        <f>IF($A$3=" "," ", IFERROR( VLOOKUP($A791,'SUPPLIER DATA BASE'!$A$2:$G$936,4,0),""))</f>
        <v>15</v>
      </c>
      <c r="E791" s="71">
        <f>IF($A$3=" "," ", IFERROR( VLOOKUP($A791,'SUPPLIER DATA BASE'!$A$2:$H$936,5,0),""))</f>
        <v>0.02</v>
      </c>
      <c r="F791" s="72" t="s">
        <v>2408</v>
      </c>
      <c r="G791" s="73">
        <v>46121.0</v>
      </c>
      <c r="H791" s="74">
        <v>40.0</v>
      </c>
      <c r="I791" s="75">
        <v>7346.0</v>
      </c>
      <c r="J791" s="76" t="s">
        <v>2409</v>
      </c>
      <c r="K791" s="76" t="s">
        <v>2410</v>
      </c>
      <c r="L791" s="73"/>
      <c r="M791" s="70" t="str">
        <f t="shared" si="3"/>
        <v>67 Days</v>
      </c>
      <c r="N791" s="70" t="str">
        <f>IF($A$3=" "," ", IFERROR( VLOOKUP($A791,'SUPPLIER DATA BASE'!$A$2:$O$936,11,0),""))</f>
        <v>SHRI MAHAVIR ENTERPRISES</v>
      </c>
      <c r="O791" s="70" t="str">
        <f>IF($A$3=" "," ", IFERROR( VLOOKUP($A791,'SUPPLIER DATA BASE'!$A$2:$O$936,12,0),""))</f>
        <v>048905500722</v>
      </c>
      <c r="P791" s="70" t="str">
        <f>IF($A$3=" "," ", IFERROR( VLOOKUP($A791,'SUPPLIER DATA BASE'!$A$2:$O$936,13,0),""))</f>
        <v>ICIC0000489</v>
      </c>
      <c r="Q791" s="77"/>
      <c r="R791" s="73"/>
      <c r="S791" s="77"/>
      <c r="T791" s="70"/>
      <c r="U791" s="78"/>
      <c r="V791" s="70" t="str">
        <f t="shared" si="6"/>
        <v>FY 26-27</v>
      </c>
      <c r="W791" s="23"/>
      <c r="X791" s="23"/>
    </row>
    <row r="792">
      <c r="A792" s="70" t="s">
        <v>743</v>
      </c>
      <c r="B792" s="70" t="str">
        <f>IF($A$3=" "," ", IFERROR( VLOOKUP($A792,'SUPPLIER DATA BASE'!$A$2:$M$936,3,0),""))</f>
        <v>PETTY COAT</v>
      </c>
      <c r="C792" s="70" t="str">
        <f>IF($A$3=" "," ", IFERROR( VLOOKUP($A792,'SUPPLIER DATA BASE'!$A$2:$F$936,6,0),""))</f>
        <v>-</v>
      </c>
      <c r="D792" s="70" t="str">
        <f>IF($A$3=" "," ", IFERROR( VLOOKUP($A792,'SUPPLIER DATA BASE'!$A$2:$G$936,4,0),""))</f>
        <v>-</v>
      </c>
      <c r="E792" s="71" t="str">
        <f>IF($A$3=" "," ", IFERROR( VLOOKUP($A792,'SUPPLIER DATA BASE'!$A$2:$H$936,5,0),""))</f>
        <v>-</v>
      </c>
      <c r="F792" s="72">
        <v>31.0</v>
      </c>
      <c r="G792" s="73">
        <v>46121.0</v>
      </c>
      <c r="H792" s="74">
        <v>150.0</v>
      </c>
      <c r="I792" s="75">
        <v>19373.0</v>
      </c>
      <c r="J792" s="76" t="s">
        <v>2411</v>
      </c>
      <c r="K792" s="76" t="s">
        <v>2412</v>
      </c>
      <c r="L792" s="73"/>
      <c r="M792" s="70" t="str">
        <f t="shared" si="3"/>
        <v>67 Days</v>
      </c>
      <c r="N792" s="70" t="str">
        <f>IF($A$3=" "," ", IFERROR( VLOOKUP($A792,'SUPPLIER DATA BASE'!$A$2:$O$936,11,0),""))</f>
        <v>SRI RADHEY MACHING CENTER</v>
      </c>
      <c r="O792" s="70" t="str">
        <f>IF($A$3=" "," ", IFERROR( VLOOKUP($A792,'SUPPLIER DATA BASE'!$A$2:$O$936,12,0),""))</f>
        <v>3626026563</v>
      </c>
      <c r="P792" s="70" t="str">
        <f>IF($A$3=" "," ", IFERROR( VLOOKUP($A792,'SUPPLIER DATA BASE'!$A$2:$O$936,13,0),""))</f>
        <v>CBIN0281393</v>
      </c>
      <c r="Q792" s="77"/>
      <c r="R792" s="73"/>
      <c r="S792" s="77"/>
      <c r="T792" s="70"/>
      <c r="U792" s="78"/>
      <c r="V792" s="70" t="str">
        <f t="shared" si="6"/>
        <v>FY 26-27</v>
      </c>
      <c r="W792" s="23"/>
      <c r="X792" s="23"/>
    </row>
    <row r="793">
      <c r="A793" s="70" t="s">
        <v>702</v>
      </c>
      <c r="B793" s="70" t="str">
        <f>IF($A$3=" "," ", IFERROR( VLOOKUP($A793,'SUPPLIER DATA BASE'!$A$2:$M$936,3,0),""))</f>
        <v>JOCKEY</v>
      </c>
      <c r="C793" s="70" t="str">
        <f>IF($A$3=" "," ", IFERROR( VLOOKUP($A793,'SUPPLIER DATA BASE'!$A$2:$F$936,6,0),""))</f>
        <v>-</v>
      </c>
      <c r="D793" s="70">
        <f>IF($A$3=" "," ", IFERROR( VLOOKUP($A793,'SUPPLIER DATA BASE'!$A$2:$G$936,4,0),""))</f>
        <v>15</v>
      </c>
      <c r="E793" s="71">
        <f>IF($A$3=" "," ", IFERROR( VLOOKUP($A793,'SUPPLIER DATA BASE'!$A$2:$H$936,5,0),""))</f>
        <v>0.02</v>
      </c>
      <c r="F793" s="72" t="s">
        <v>2413</v>
      </c>
      <c r="G793" s="73">
        <v>46121.0</v>
      </c>
      <c r="H793" s="74">
        <v>90.0</v>
      </c>
      <c r="I793" s="75">
        <v>28839.0</v>
      </c>
      <c r="J793" s="76" t="s">
        <v>2414</v>
      </c>
      <c r="K793" s="76" t="s">
        <v>2415</v>
      </c>
      <c r="L793" s="73"/>
      <c r="M793" s="70" t="str">
        <f t="shared" si="3"/>
        <v>67 Days</v>
      </c>
      <c r="N793" s="70" t="str">
        <f>IF($A$3=" "," ", IFERROR( VLOOKUP($A793,'SUPPLIER DATA BASE'!$A$2:$O$936,11,0),""))</f>
        <v>SHRI MAHAVIR ENTERPRISES</v>
      </c>
      <c r="O793" s="70" t="str">
        <f>IF($A$3=" "," ", IFERROR( VLOOKUP($A793,'SUPPLIER DATA BASE'!$A$2:$O$936,12,0),""))</f>
        <v>048905500722</v>
      </c>
      <c r="P793" s="70" t="str">
        <f>IF($A$3=" "," ", IFERROR( VLOOKUP($A793,'SUPPLIER DATA BASE'!$A$2:$O$936,13,0),""))</f>
        <v>ICIC0000489</v>
      </c>
      <c r="Q793" s="77"/>
      <c r="R793" s="73"/>
      <c r="S793" s="77"/>
      <c r="T793" s="70"/>
      <c r="U793" s="78"/>
      <c r="V793" s="70" t="str">
        <f t="shared" si="6"/>
        <v>FY 26-27</v>
      </c>
      <c r="W793" s="23"/>
      <c r="X793" s="23"/>
    </row>
    <row r="794">
      <c r="A794" s="70" t="s">
        <v>702</v>
      </c>
      <c r="B794" s="70" t="str">
        <f>IF($A$3=" "," ", IFERROR( VLOOKUP($A794,'SUPPLIER DATA BASE'!$A$2:$M$936,3,0),""))</f>
        <v>JOCKEY</v>
      </c>
      <c r="C794" s="70" t="str">
        <f>IF($A$3=" "," ", IFERROR( VLOOKUP($A794,'SUPPLIER DATA BASE'!$A$2:$F$936,6,0),""))</f>
        <v>-</v>
      </c>
      <c r="D794" s="70">
        <f>IF($A$3=" "," ", IFERROR( VLOOKUP($A794,'SUPPLIER DATA BASE'!$A$2:$G$936,4,0),""))</f>
        <v>15</v>
      </c>
      <c r="E794" s="71">
        <f>IF($A$3=" "," ", IFERROR( VLOOKUP($A794,'SUPPLIER DATA BASE'!$A$2:$H$936,5,0),""))</f>
        <v>0.02</v>
      </c>
      <c r="F794" s="72" t="s">
        <v>2416</v>
      </c>
      <c r="G794" s="73">
        <v>46121.0</v>
      </c>
      <c r="H794" s="74">
        <v>41.0</v>
      </c>
      <c r="I794" s="75">
        <v>8633.0</v>
      </c>
      <c r="J794" s="76" t="s">
        <v>2417</v>
      </c>
      <c r="K794" s="76" t="s">
        <v>2418</v>
      </c>
      <c r="L794" s="73"/>
      <c r="M794" s="70" t="str">
        <f t="shared" si="3"/>
        <v>67 Days</v>
      </c>
      <c r="N794" s="70" t="str">
        <f>IF($A$3=" "," ", IFERROR( VLOOKUP($A794,'SUPPLIER DATA BASE'!$A$2:$O$936,11,0),""))</f>
        <v>SHRI MAHAVIR ENTERPRISES</v>
      </c>
      <c r="O794" s="70" t="str">
        <f>IF($A$3=" "," ", IFERROR( VLOOKUP($A794,'SUPPLIER DATA BASE'!$A$2:$O$936,12,0),""))</f>
        <v>048905500722</v>
      </c>
      <c r="P794" s="70" t="str">
        <f>IF($A$3=" "," ", IFERROR( VLOOKUP($A794,'SUPPLIER DATA BASE'!$A$2:$O$936,13,0),""))</f>
        <v>ICIC0000489</v>
      </c>
      <c r="Q794" s="77"/>
      <c r="R794" s="73"/>
      <c r="S794" s="77"/>
      <c r="T794" s="70"/>
      <c r="U794" s="78"/>
      <c r="V794" s="70" t="str">
        <f t="shared" si="6"/>
        <v>FY 26-27</v>
      </c>
      <c r="W794" s="23"/>
      <c r="X794" s="23"/>
    </row>
    <row r="795">
      <c r="A795" s="70" t="s">
        <v>702</v>
      </c>
      <c r="B795" s="70" t="str">
        <f>IF($A$3=" "," ", IFERROR( VLOOKUP($A795,'SUPPLIER DATA BASE'!$A$2:$M$936,3,0),""))</f>
        <v>JOCKEY</v>
      </c>
      <c r="C795" s="70" t="str">
        <f>IF($A$3=" "," ", IFERROR( VLOOKUP($A795,'SUPPLIER DATA BASE'!$A$2:$F$936,6,0),""))</f>
        <v>-</v>
      </c>
      <c r="D795" s="70">
        <f>IF($A$3=" "," ", IFERROR( VLOOKUP($A795,'SUPPLIER DATA BASE'!$A$2:$G$936,4,0),""))</f>
        <v>15</v>
      </c>
      <c r="E795" s="71">
        <f>IF($A$3=" "," ", IFERROR( VLOOKUP($A795,'SUPPLIER DATA BASE'!$A$2:$H$936,5,0),""))</f>
        <v>0.02</v>
      </c>
      <c r="F795" s="72" t="s">
        <v>2419</v>
      </c>
      <c r="G795" s="73">
        <v>46121.0</v>
      </c>
      <c r="H795" s="74">
        <v>45.0</v>
      </c>
      <c r="I795" s="75">
        <v>23686.0</v>
      </c>
      <c r="J795" s="76" t="s">
        <v>2420</v>
      </c>
      <c r="K795" s="76" t="s">
        <v>2421</v>
      </c>
      <c r="L795" s="73"/>
      <c r="M795" s="70" t="str">
        <f t="shared" si="3"/>
        <v>67 Days</v>
      </c>
      <c r="N795" s="70" t="str">
        <f>IF($A$3=" "," ", IFERROR( VLOOKUP($A795,'SUPPLIER DATA BASE'!$A$2:$O$936,11,0),""))</f>
        <v>SHRI MAHAVIR ENTERPRISES</v>
      </c>
      <c r="O795" s="70" t="str">
        <f>IF($A$3=" "," ", IFERROR( VLOOKUP($A795,'SUPPLIER DATA BASE'!$A$2:$O$936,12,0),""))</f>
        <v>048905500722</v>
      </c>
      <c r="P795" s="70" t="str">
        <f>IF($A$3=" "," ", IFERROR( VLOOKUP($A795,'SUPPLIER DATA BASE'!$A$2:$O$936,13,0),""))</f>
        <v>ICIC0000489</v>
      </c>
      <c r="Q795" s="77"/>
      <c r="R795" s="73"/>
      <c r="S795" s="77"/>
      <c r="T795" s="70"/>
      <c r="U795" s="78"/>
      <c r="V795" s="70" t="str">
        <f t="shared" si="6"/>
        <v>FY 26-27</v>
      </c>
      <c r="W795" s="23"/>
      <c r="X795" s="23"/>
    </row>
    <row r="796">
      <c r="A796" s="70" t="s">
        <v>702</v>
      </c>
      <c r="B796" s="70" t="str">
        <f>IF($A$3=" "," ", IFERROR( VLOOKUP($A796,'SUPPLIER DATA BASE'!$A$2:$M$936,3,0),""))</f>
        <v>JOCKEY</v>
      </c>
      <c r="C796" s="70" t="str">
        <f>IF($A$3=" "," ", IFERROR( VLOOKUP($A796,'SUPPLIER DATA BASE'!$A$2:$F$936,6,0),""))</f>
        <v>-</v>
      </c>
      <c r="D796" s="70">
        <f>IF($A$3=" "," ", IFERROR( VLOOKUP($A796,'SUPPLIER DATA BASE'!$A$2:$G$936,4,0),""))</f>
        <v>15</v>
      </c>
      <c r="E796" s="71">
        <f>IF($A$3=" "," ", IFERROR( VLOOKUP($A796,'SUPPLIER DATA BASE'!$A$2:$H$936,5,0),""))</f>
        <v>0.02</v>
      </c>
      <c r="F796" s="72" t="s">
        <v>2422</v>
      </c>
      <c r="G796" s="73">
        <v>46121.0</v>
      </c>
      <c r="H796" s="74">
        <v>60.0</v>
      </c>
      <c r="I796" s="75">
        <v>12243.0</v>
      </c>
      <c r="J796" s="76" t="s">
        <v>2423</v>
      </c>
      <c r="K796" s="76" t="s">
        <v>2424</v>
      </c>
      <c r="L796" s="73"/>
      <c r="M796" s="70" t="str">
        <f t="shared" si="3"/>
        <v>67 Days</v>
      </c>
      <c r="N796" s="70" t="str">
        <f>IF($A$3=" "," ", IFERROR( VLOOKUP($A796,'SUPPLIER DATA BASE'!$A$2:$O$936,11,0),""))</f>
        <v>SHRI MAHAVIR ENTERPRISES</v>
      </c>
      <c r="O796" s="70" t="str">
        <f>IF($A$3=" "," ", IFERROR( VLOOKUP($A796,'SUPPLIER DATA BASE'!$A$2:$O$936,12,0),""))</f>
        <v>048905500722</v>
      </c>
      <c r="P796" s="70" t="str">
        <f>IF($A$3=" "," ", IFERROR( VLOOKUP($A796,'SUPPLIER DATA BASE'!$A$2:$O$936,13,0),""))</f>
        <v>ICIC0000489</v>
      </c>
      <c r="Q796" s="77"/>
      <c r="R796" s="73"/>
      <c r="S796" s="77"/>
      <c r="T796" s="70"/>
      <c r="U796" s="78"/>
      <c r="V796" s="70" t="str">
        <f t="shared" si="6"/>
        <v>FY 26-27</v>
      </c>
      <c r="W796" s="23"/>
      <c r="X796" s="23"/>
    </row>
    <row r="797">
      <c r="A797" s="70" t="s">
        <v>702</v>
      </c>
      <c r="B797" s="70" t="str">
        <f>IF($A$3=" "," ", IFERROR( VLOOKUP($A797,'SUPPLIER DATA BASE'!$A$2:$M$936,3,0),""))</f>
        <v>JOCKEY</v>
      </c>
      <c r="C797" s="70" t="str">
        <f>IF($A$3=" "," ", IFERROR( VLOOKUP($A797,'SUPPLIER DATA BASE'!$A$2:$F$936,6,0),""))</f>
        <v>-</v>
      </c>
      <c r="D797" s="70">
        <f>IF($A$3=" "," ", IFERROR( VLOOKUP($A797,'SUPPLIER DATA BASE'!$A$2:$G$936,4,0),""))</f>
        <v>15</v>
      </c>
      <c r="E797" s="71">
        <f>IF($A$3=" "," ", IFERROR( VLOOKUP($A797,'SUPPLIER DATA BASE'!$A$2:$H$936,5,0),""))</f>
        <v>0.02</v>
      </c>
      <c r="F797" s="72" t="s">
        <v>2425</v>
      </c>
      <c r="G797" s="73">
        <v>46121.0</v>
      </c>
      <c r="H797" s="74">
        <v>70.0</v>
      </c>
      <c r="I797" s="75">
        <v>7697.0</v>
      </c>
      <c r="J797" s="76" t="s">
        <v>2426</v>
      </c>
      <c r="K797" s="76" t="s">
        <v>2427</v>
      </c>
      <c r="L797" s="73"/>
      <c r="M797" s="70" t="str">
        <f t="shared" si="3"/>
        <v>67 Days</v>
      </c>
      <c r="N797" s="70" t="str">
        <f>IF($A$3=" "," ", IFERROR( VLOOKUP($A797,'SUPPLIER DATA BASE'!$A$2:$O$936,11,0),""))</f>
        <v>SHRI MAHAVIR ENTERPRISES</v>
      </c>
      <c r="O797" s="70" t="str">
        <f>IF($A$3=" "," ", IFERROR( VLOOKUP($A797,'SUPPLIER DATA BASE'!$A$2:$O$936,12,0),""))</f>
        <v>048905500722</v>
      </c>
      <c r="P797" s="70" t="str">
        <f>IF($A$3=" "," ", IFERROR( VLOOKUP($A797,'SUPPLIER DATA BASE'!$A$2:$O$936,13,0),""))</f>
        <v>ICIC0000489</v>
      </c>
      <c r="Q797" s="77"/>
      <c r="R797" s="73"/>
      <c r="S797" s="77"/>
      <c r="T797" s="70"/>
      <c r="U797" s="78"/>
      <c r="V797" s="70" t="str">
        <f t="shared" si="6"/>
        <v>FY 26-27</v>
      </c>
      <c r="W797" s="23"/>
      <c r="X797" s="23"/>
    </row>
    <row r="798">
      <c r="A798" s="70" t="s">
        <v>354</v>
      </c>
      <c r="B798" s="70" t="str">
        <f>IF($A$3=" "," ", IFERROR( VLOOKUP($A798,'SUPPLIER DATA BASE'!$A$2:$M$936,3,0),""))</f>
        <v>-</v>
      </c>
      <c r="C798" s="70" t="str">
        <f>IF($A$3=" "," ", IFERROR( VLOOKUP($A798,'SUPPLIER DATA BASE'!$A$2:$F$936,6,0),""))</f>
        <v>-</v>
      </c>
      <c r="D798" s="70" t="str">
        <f>IF($A$3=" "," ", IFERROR( VLOOKUP($A798,'SUPPLIER DATA BASE'!$A$2:$G$936,4,0),""))</f>
        <v>-</v>
      </c>
      <c r="E798" s="71" t="str">
        <f>IF($A$3=" "," ", IFERROR( VLOOKUP($A798,'SUPPLIER DATA BASE'!$A$2:$H$936,5,0),""))</f>
        <v>-</v>
      </c>
      <c r="F798" s="72" t="s">
        <v>2428</v>
      </c>
      <c r="G798" s="73">
        <v>46121.0</v>
      </c>
      <c r="H798" s="74">
        <v>15.0</v>
      </c>
      <c r="I798" s="75">
        <v>23138.23</v>
      </c>
      <c r="J798" s="76" t="s">
        <v>2429</v>
      </c>
      <c r="K798" s="76" t="s">
        <v>2430</v>
      </c>
      <c r="L798" s="73"/>
      <c r="M798" s="70" t="str">
        <f t="shared" si="3"/>
        <v>67 Days</v>
      </c>
      <c r="N798" s="70" t="str">
        <f>IF($A$3=" "," ", IFERROR( VLOOKUP($A798,'SUPPLIER DATA BASE'!$A$2:$O$936,11,0),""))</f>
        <v>-</v>
      </c>
      <c r="O798" s="70" t="str">
        <f>IF($A$3=" "," ", IFERROR( VLOOKUP($A798,'SUPPLIER DATA BASE'!$A$2:$O$936,12,0),""))</f>
        <v>-</v>
      </c>
      <c r="P798" s="70" t="str">
        <f>IF($A$3=" "," ", IFERROR( VLOOKUP($A798,'SUPPLIER DATA BASE'!$A$2:$O$936,13,0),""))</f>
        <v>-</v>
      </c>
      <c r="Q798" s="77"/>
      <c r="R798" s="73"/>
      <c r="S798" s="77"/>
      <c r="T798" s="70"/>
      <c r="U798" s="78"/>
      <c r="V798" s="70" t="str">
        <f t="shared" si="6"/>
        <v>FY 26-27</v>
      </c>
      <c r="W798" s="23"/>
      <c r="X798" s="23"/>
    </row>
    <row r="799">
      <c r="A799" s="70" t="s">
        <v>354</v>
      </c>
      <c r="B799" s="70" t="str">
        <f>IF($A$3=" "," ", IFERROR( VLOOKUP($A799,'SUPPLIER DATA BASE'!$A$2:$M$936,3,0),""))</f>
        <v>-</v>
      </c>
      <c r="C799" s="70" t="str">
        <f>IF($A$3=" "," ", IFERROR( VLOOKUP($A799,'SUPPLIER DATA BASE'!$A$2:$F$936,6,0),""))</f>
        <v>-</v>
      </c>
      <c r="D799" s="70" t="str">
        <f>IF($A$3=" "," ", IFERROR( VLOOKUP($A799,'SUPPLIER DATA BASE'!$A$2:$G$936,4,0),""))</f>
        <v>-</v>
      </c>
      <c r="E799" s="71" t="str">
        <f>IF($A$3=" "," ", IFERROR( VLOOKUP($A799,'SUPPLIER DATA BASE'!$A$2:$H$936,5,0),""))</f>
        <v>-</v>
      </c>
      <c r="F799" s="72" t="s">
        <v>2431</v>
      </c>
      <c r="G799" s="73">
        <v>46121.0</v>
      </c>
      <c r="H799" s="74">
        <v>5.0</v>
      </c>
      <c r="I799" s="75">
        <v>2494.77</v>
      </c>
      <c r="J799" s="76" t="s">
        <v>2432</v>
      </c>
      <c r="K799" s="76" t="s">
        <v>2433</v>
      </c>
      <c r="L799" s="73"/>
      <c r="M799" s="70" t="str">
        <f t="shared" si="3"/>
        <v>67 Days</v>
      </c>
      <c r="N799" s="70" t="str">
        <f>IF($A$3=" "," ", IFERROR( VLOOKUP($A799,'SUPPLIER DATA BASE'!$A$2:$O$936,11,0),""))</f>
        <v>-</v>
      </c>
      <c r="O799" s="70" t="str">
        <f>IF($A$3=" "," ", IFERROR( VLOOKUP($A799,'SUPPLIER DATA BASE'!$A$2:$O$936,12,0),""))</f>
        <v>-</v>
      </c>
      <c r="P799" s="70" t="str">
        <f>IF($A$3=" "," ", IFERROR( VLOOKUP($A799,'SUPPLIER DATA BASE'!$A$2:$O$936,13,0),""))</f>
        <v>-</v>
      </c>
      <c r="Q799" s="77"/>
      <c r="R799" s="73"/>
      <c r="S799" s="77"/>
      <c r="T799" s="70"/>
      <c r="U799" s="78"/>
      <c r="V799" s="70" t="str">
        <f t="shared" si="6"/>
        <v>FY 26-27</v>
      </c>
      <c r="W799" s="23"/>
      <c r="X799" s="23"/>
    </row>
    <row r="800">
      <c r="A800" s="70" t="s">
        <v>354</v>
      </c>
      <c r="B800" s="70" t="str">
        <f>IF($A$3=" "," ", IFERROR( VLOOKUP($A800,'SUPPLIER DATA BASE'!$A$2:$M$936,3,0),""))</f>
        <v>-</v>
      </c>
      <c r="C800" s="70" t="str">
        <f>IF($A$3=" "," ", IFERROR( VLOOKUP($A800,'SUPPLIER DATA BASE'!$A$2:$F$936,6,0),""))</f>
        <v>-</v>
      </c>
      <c r="D800" s="70" t="str">
        <f>IF($A$3=" "," ", IFERROR( VLOOKUP($A800,'SUPPLIER DATA BASE'!$A$2:$G$936,4,0),""))</f>
        <v>-</v>
      </c>
      <c r="E800" s="71" t="str">
        <f>IF($A$3=" "," ", IFERROR( VLOOKUP($A800,'SUPPLIER DATA BASE'!$A$2:$H$936,5,0),""))</f>
        <v>-</v>
      </c>
      <c r="F800" s="72" t="s">
        <v>2434</v>
      </c>
      <c r="G800" s="73">
        <v>46121.0</v>
      </c>
      <c r="H800" s="74">
        <v>20.0</v>
      </c>
      <c r="I800" s="75">
        <v>9979.08</v>
      </c>
      <c r="J800" s="76" t="s">
        <v>2435</v>
      </c>
      <c r="K800" s="76" t="s">
        <v>2436</v>
      </c>
      <c r="L800" s="73"/>
      <c r="M800" s="70" t="str">
        <f t="shared" si="3"/>
        <v>67 Days</v>
      </c>
      <c r="N800" s="70" t="str">
        <f>IF($A$3=" "," ", IFERROR( VLOOKUP($A800,'SUPPLIER DATA BASE'!$A$2:$O$936,11,0),""))</f>
        <v>-</v>
      </c>
      <c r="O800" s="70" t="str">
        <f>IF($A$3=" "," ", IFERROR( VLOOKUP($A800,'SUPPLIER DATA BASE'!$A$2:$O$936,12,0),""))</f>
        <v>-</v>
      </c>
      <c r="P800" s="70" t="str">
        <f>IF($A$3=" "," ", IFERROR( VLOOKUP($A800,'SUPPLIER DATA BASE'!$A$2:$O$936,13,0),""))</f>
        <v>-</v>
      </c>
      <c r="Q800" s="77"/>
      <c r="R800" s="73"/>
      <c r="S800" s="77"/>
      <c r="T800" s="70"/>
      <c r="U800" s="78"/>
      <c r="V800" s="70" t="str">
        <f t="shared" si="6"/>
        <v>FY 26-27</v>
      </c>
      <c r="W800" s="23"/>
      <c r="X800" s="23"/>
    </row>
    <row r="801">
      <c r="A801" s="70" t="s">
        <v>354</v>
      </c>
      <c r="B801" s="70" t="str">
        <f>IF($A$3=" "," ", IFERROR( VLOOKUP($A801,'SUPPLIER DATA BASE'!$A$2:$M$936,3,0),""))</f>
        <v>-</v>
      </c>
      <c r="C801" s="70" t="str">
        <f>IF($A$3=" "," ", IFERROR( VLOOKUP($A801,'SUPPLIER DATA BASE'!$A$2:$F$936,6,0),""))</f>
        <v>-</v>
      </c>
      <c r="D801" s="70" t="str">
        <f>IF($A$3=" "," ", IFERROR( VLOOKUP($A801,'SUPPLIER DATA BASE'!$A$2:$G$936,4,0),""))</f>
        <v>-</v>
      </c>
      <c r="E801" s="71" t="str">
        <f>IF($A$3=" "," ", IFERROR( VLOOKUP($A801,'SUPPLIER DATA BASE'!$A$2:$H$936,5,0),""))</f>
        <v>-</v>
      </c>
      <c r="F801" s="72" t="s">
        <v>2437</v>
      </c>
      <c r="G801" s="73">
        <v>46121.0</v>
      </c>
      <c r="H801" s="74">
        <v>15.0</v>
      </c>
      <c r="I801" s="75">
        <v>7484.31</v>
      </c>
      <c r="J801" s="76" t="s">
        <v>2438</v>
      </c>
      <c r="K801" s="76" t="s">
        <v>2439</v>
      </c>
      <c r="L801" s="73"/>
      <c r="M801" s="70" t="str">
        <f t="shared" si="3"/>
        <v>67 Days</v>
      </c>
      <c r="N801" s="70" t="str">
        <f>IF($A$3=" "," ", IFERROR( VLOOKUP($A801,'SUPPLIER DATA BASE'!$A$2:$O$936,11,0),""))</f>
        <v>-</v>
      </c>
      <c r="O801" s="70" t="str">
        <f>IF($A$3=" "," ", IFERROR( VLOOKUP($A801,'SUPPLIER DATA BASE'!$A$2:$O$936,12,0),""))</f>
        <v>-</v>
      </c>
      <c r="P801" s="70" t="str">
        <f>IF($A$3=" "," ", IFERROR( VLOOKUP($A801,'SUPPLIER DATA BASE'!$A$2:$O$936,13,0),""))</f>
        <v>-</v>
      </c>
      <c r="Q801" s="77"/>
      <c r="R801" s="73"/>
      <c r="S801" s="77"/>
      <c r="T801" s="70"/>
      <c r="U801" s="78"/>
      <c r="V801" s="70" t="str">
        <f t="shared" si="6"/>
        <v>FY 26-27</v>
      </c>
      <c r="W801" s="23"/>
      <c r="X801" s="23"/>
    </row>
    <row r="802">
      <c r="A802" s="70" t="s">
        <v>354</v>
      </c>
      <c r="B802" s="70" t="str">
        <f>IF($A$3=" "," ", IFERROR( VLOOKUP($A802,'SUPPLIER DATA BASE'!$A$2:$M$936,3,0),""))</f>
        <v>-</v>
      </c>
      <c r="C802" s="70" t="str">
        <f>IF($A$3=" "," ", IFERROR( VLOOKUP($A802,'SUPPLIER DATA BASE'!$A$2:$F$936,6,0),""))</f>
        <v>-</v>
      </c>
      <c r="D802" s="70" t="str">
        <f>IF($A$3=" "," ", IFERROR( VLOOKUP($A802,'SUPPLIER DATA BASE'!$A$2:$G$936,4,0),""))</f>
        <v>-</v>
      </c>
      <c r="E802" s="71" t="str">
        <f>IF($A$3=" "," ", IFERROR( VLOOKUP($A802,'SUPPLIER DATA BASE'!$A$2:$H$936,5,0),""))</f>
        <v>-</v>
      </c>
      <c r="F802" s="72" t="s">
        <v>2440</v>
      </c>
      <c r="G802" s="73">
        <v>46121.0</v>
      </c>
      <c r="H802" s="74">
        <v>13.0</v>
      </c>
      <c r="I802" s="75">
        <v>16108.51</v>
      </c>
      <c r="J802" s="76" t="s">
        <v>2441</v>
      </c>
      <c r="K802" s="76" t="s">
        <v>2442</v>
      </c>
      <c r="L802" s="73"/>
      <c r="M802" s="70" t="str">
        <f t="shared" si="3"/>
        <v>67 Days</v>
      </c>
      <c r="N802" s="70" t="str">
        <f>IF($A$3=" "," ", IFERROR( VLOOKUP($A802,'SUPPLIER DATA BASE'!$A$2:$O$936,11,0),""))</f>
        <v>-</v>
      </c>
      <c r="O802" s="70" t="str">
        <f>IF($A$3=" "," ", IFERROR( VLOOKUP($A802,'SUPPLIER DATA BASE'!$A$2:$O$936,12,0),""))</f>
        <v>-</v>
      </c>
      <c r="P802" s="70" t="str">
        <f>IF($A$3=" "," ", IFERROR( VLOOKUP($A802,'SUPPLIER DATA BASE'!$A$2:$O$936,13,0),""))</f>
        <v>-</v>
      </c>
      <c r="Q802" s="77"/>
      <c r="R802" s="73"/>
      <c r="S802" s="77"/>
      <c r="T802" s="70"/>
      <c r="U802" s="78"/>
      <c r="V802" s="70" t="str">
        <f t="shared" si="6"/>
        <v>FY 26-27</v>
      </c>
      <c r="W802" s="23"/>
      <c r="X802" s="23"/>
    </row>
    <row r="803">
      <c r="A803" s="70" t="s">
        <v>354</v>
      </c>
      <c r="B803" s="70" t="str">
        <f>IF($A$3=" "," ", IFERROR( VLOOKUP($A803,'SUPPLIER DATA BASE'!$A$2:$M$936,3,0),""))</f>
        <v>-</v>
      </c>
      <c r="C803" s="70" t="str">
        <f>IF($A$3=" "," ", IFERROR( VLOOKUP($A803,'SUPPLIER DATA BASE'!$A$2:$F$936,6,0),""))</f>
        <v>-</v>
      </c>
      <c r="D803" s="70" t="str">
        <f>IF($A$3=" "," ", IFERROR( VLOOKUP($A803,'SUPPLIER DATA BASE'!$A$2:$G$936,4,0),""))</f>
        <v>-</v>
      </c>
      <c r="E803" s="71" t="str">
        <f>IF($A$3=" "," ", IFERROR( VLOOKUP($A803,'SUPPLIER DATA BASE'!$A$2:$H$936,5,0),""))</f>
        <v>-</v>
      </c>
      <c r="F803" s="72" t="s">
        <v>2443</v>
      </c>
      <c r="G803" s="73">
        <v>46121.0</v>
      </c>
      <c r="H803" s="74">
        <v>17.0</v>
      </c>
      <c r="I803" s="75">
        <v>21202.74</v>
      </c>
      <c r="J803" s="76" t="s">
        <v>2444</v>
      </c>
      <c r="K803" s="76" t="s">
        <v>2445</v>
      </c>
      <c r="L803" s="73"/>
      <c r="M803" s="70" t="str">
        <f t="shared" si="3"/>
        <v>67 Days</v>
      </c>
      <c r="N803" s="70" t="str">
        <f>IF($A$3=" "," ", IFERROR( VLOOKUP($A803,'SUPPLIER DATA BASE'!$A$2:$O$936,11,0),""))</f>
        <v>-</v>
      </c>
      <c r="O803" s="70" t="str">
        <f>IF($A$3=" "," ", IFERROR( VLOOKUP($A803,'SUPPLIER DATA BASE'!$A$2:$O$936,12,0),""))</f>
        <v>-</v>
      </c>
      <c r="P803" s="70" t="str">
        <f>IF($A$3=" "," ", IFERROR( VLOOKUP($A803,'SUPPLIER DATA BASE'!$A$2:$O$936,13,0),""))</f>
        <v>-</v>
      </c>
      <c r="Q803" s="77"/>
      <c r="R803" s="73"/>
      <c r="S803" s="77"/>
      <c r="T803" s="70"/>
      <c r="U803" s="78"/>
      <c r="V803" s="70" t="str">
        <f t="shared" si="6"/>
        <v>FY 26-27</v>
      </c>
      <c r="W803" s="23"/>
      <c r="X803" s="23"/>
    </row>
    <row r="804">
      <c r="A804" s="70" t="s">
        <v>354</v>
      </c>
      <c r="B804" s="70" t="str">
        <f>IF($A$3=" "," ", IFERROR( VLOOKUP($A804,'SUPPLIER DATA BASE'!$A$2:$M$936,3,0),""))</f>
        <v>-</v>
      </c>
      <c r="C804" s="70" t="str">
        <f>IF($A$3=" "," ", IFERROR( VLOOKUP($A804,'SUPPLIER DATA BASE'!$A$2:$F$936,6,0),""))</f>
        <v>-</v>
      </c>
      <c r="D804" s="70" t="str">
        <f>IF($A$3=" "," ", IFERROR( VLOOKUP($A804,'SUPPLIER DATA BASE'!$A$2:$G$936,4,0),""))</f>
        <v>-</v>
      </c>
      <c r="E804" s="71" t="str">
        <f>IF($A$3=" "," ", IFERROR( VLOOKUP($A804,'SUPPLIER DATA BASE'!$A$2:$H$936,5,0),""))</f>
        <v>-</v>
      </c>
      <c r="F804" s="72" t="s">
        <v>2446</v>
      </c>
      <c r="G804" s="73">
        <v>46121.0</v>
      </c>
      <c r="H804" s="74">
        <v>9.0</v>
      </c>
      <c r="I804" s="75">
        <v>38033.65</v>
      </c>
      <c r="J804" s="76" t="s">
        <v>2447</v>
      </c>
      <c r="K804" s="76" t="s">
        <v>2448</v>
      </c>
      <c r="L804" s="73"/>
      <c r="M804" s="70" t="str">
        <f t="shared" si="3"/>
        <v>67 Days</v>
      </c>
      <c r="N804" s="70" t="str">
        <f>IF($A$3=" "," ", IFERROR( VLOOKUP($A804,'SUPPLIER DATA BASE'!$A$2:$O$936,11,0),""))</f>
        <v>-</v>
      </c>
      <c r="O804" s="70" t="str">
        <f>IF($A$3=" "," ", IFERROR( VLOOKUP($A804,'SUPPLIER DATA BASE'!$A$2:$O$936,12,0),""))</f>
        <v>-</v>
      </c>
      <c r="P804" s="70" t="str">
        <f>IF($A$3=" "," ", IFERROR( VLOOKUP($A804,'SUPPLIER DATA BASE'!$A$2:$O$936,13,0),""))</f>
        <v>-</v>
      </c>
      <c r="Q804" s="77"/>
      <c r="R804" s="73"/>
      <c r="S804" s="77"/>
      <c r="T804" s="70"/>
      <c r="U804" s="78"/>
      <c r="V804" s="70" t="str">
        <f t="shared" si="6"/>
        <v>FY 26-27</v>
      </c>
      <c r="W804" s="23"/>
      <c r="X804" s="23"/>
    </row>
    <row r="805">
      <c r="A805" s="70" t="s">
        <v>354</v>
      </c>
      <c r="B805" s="70" t="str">
        <f>IF($A$3=" "," ", IFERROR( VLOOKUP($A805,'SUPPLIER DATA BASE'!$A$2:$M$936,3,0),""))</f>
        <v>-</v>
      </c>
      <c r="C805" s="70" t="str">
        <f>IF($A$3=" "," ", IFERROR( VLOOKUP($A805,'SUPPLIER DATA BASE'!$A$2:$F$936,6,0),""))</f>
        <v>-</v>
      </c>
      <c r="D805" s="70" t="str">
        <f>IF($A$3=" "," ", IFERROR( VLOOKUP($A805,'SUPPLIER DATA BASE'!$A$2:$G$936,4,0),""))</f>
        <v>-</v>
      </c>
      <c r="E805" s="71" t="str">
        <f>IF($A$3=" "," ", IFERROR( VLOOKUP($A805,'SUPPLIER DATA BASE'!$A$2:$H$936,5,0),""))</f>
        <v>-</v>
      </c>
      <c r="F805" s="72" t="s">
        <v>2449</v>
      </c>
      <c r="G805" s="73">
        <v>46121.0</v>
      </c>
      <c r="H805" s="74">
        <v>156.0</v>
      </c>
      <c r="I805" s="75">
        <v>313462.14</v>
      </c>
      <c r="J805" s="76" t="s">
        <v>2450</v>
      </c>
      <c r="K805" s="76" t="s">
        <v>2451</v>
      </c>
      <c r="L805" s="73"/>
      <c r="M805" s="70" t="str">
        <f t="shared" si="3"/>
        <v>67 Days</v>
      </c>
      <c r="N805" s="70" t="str">
        <f>IF($A$3=" "," ", IFERROR( VLOOKUP($A805,'SUPPLIER DATA BASE'!$A$2:$O$936,11,0),""))</f>
        <v>-</v>
      </c>
      <c r="O805" s="70" t="str">
        <f>IF($A$3=" "," ", IFERROR( VLOOKUP($A805,'SUPPLIER DATA BASE'!$A$2:$O$936,12,0),""))</f>
        <v>-</v>
      </c>
      <c r="P805" s="70" t="str">
        <f>IF($A$3=" "," ", IFERROR( VLOOKUP($A805,'SUPPLIER DATA BASE'!$A$2:$O$936,13,0),""))</f>
        <v>-</v>
      </c>
      <c r="Q805" s="77"/>
      <c r="R805" s="73"/>
      <c r="S805" s="77"/>
      <c r="T805" s="70"/>
      <c r="U805" s="78"/>
      <c r="V805" s="70" t="str">
        <f t="shared" si="6"/>
        <v>FY 26-27</v>
      </c>
      <c r="W805" s="23"/>
      <c r="X805" s="23"/>
    </row>
    <row r="806">
      <c r="A806" s="70" t="s">
        <v>354</v>
      </c>
      <c r="B806" s="70" t="str">
        <f>IF($A$3=" "," ", IFERROR( VLOOKUP($A806,'SUPPLIER DATA BASE'!$A$2:$M$936,3,0),""))</f>
        <v>-</v>
      </c>
      <c r="C806" s="70" t="str">
        <f>IF($A$3=" "," ", IFERROR( VLOOKUP($A806,'SUPPLIER DATA BASE'!$A$2:$F$936,6,0),""))</f>
        <v>-</v>
      </c>
      <c r="D806" s="70" t="str">
        <f>IF($A$3=" "," ", IFERROR( VLOOKUP($A806,'SUPPLIER DATA BASE'!$A$2:$G$936,4,0),""))</f>
        <v>-</v>
      </c>
      <c r="E806" s="71" t="str">
        <f>IF($A$3=" "," ", IFERROR( VLOOKUP($A806,'SUPPLIER DATA BASE'!$A$2:$H$936,5,0),""))</f>
        <v>-</v>
      </c>
      <c r="F806" s="72" t="s">
        <v>2452</v>
      </c>
      <c r="G806" s="73">
        <v>46121.0</v>
      </c>
      <c r="H806" s="74">
        <v>5.0</v>
      </c>
      <c r="I806" s="75">
        <v>2494.77</v>
      </c>
      <c r="J806" s="76" t="s">
        <v>2453</v>
      </c>
      <c r="K806" s="76" t="s">
        <v>2454</v>
      </c>
      <c r="L806" s="73"/>
      <c r="M806" s="70" t="str">
        <f t="shared" si="3"/>
        <v>67 Days</v>
      </c>
      <c r="N806" s="70" t="str">
        <f>IF($A$3=" "," ", IFERROR( VLOOKUP($A806,'SUPPLIER DATA BASE'!$A$2:$O$936,11,0),""))</f>
        <v>-</v>
      </c>
      <c r="O806" s="70" t="str">
        <f>IF($A$3=" "," ", IFERROR( VLOOKUP($A806,'SUPPLIER DATA BASE'!$A$2:$O$936,12,0),""))</f>
        <v>-</v>
      </c>
      <c r="P806" s="70" t="str">
        <f>IF($A$3=" "," ", IFERROR( VLOOKUP($A806,'SUPPLIER DATA BASE'!$A$2:$O$936,13,0),""))</f>
        <v>-</v>
      </c>
      <c r="Q806" s="77"/>
      <c r="R806" s="73"/>
      <c r="S806" s="77"/>
      <c r="T806" s="70"/>
      <c r="U806" s="78"/>
      <c r="V806" s="70" t="str">
        <f t="shared" si="6"/>
        <v>FY 26-27</v>
      </c>
      <c r="W806" s="23"/>
      <c r="X806" s="23"/>
    </row>
    <row r="807">
      <c r="A807" s="70" t="s">
        <v>354</v>
      </c>
      <c r="B807" s="70" t="str">
        <f>IF($A$3=" "," ", IFERROR( VLOOKUP($A807,'SUPPLIER DATA BASE'!$A$2:$M$936,3,0),""))</f>
        <v>-</v>
      </c>
      <c r="C807" s="70" t="str">
        <f>IF($A$3=" "," ", IFERROR( VLOOKUP($A807,'SUPPLIER DATA BASE'!$A$2:$F$936,6,0),""))</f>
        <v>-</v>
      </c>
      <c r="D807" s="70" t="str">
        <f>IF($A$3=" "," ", IFERROR( VLOOKUP($A807,'SUPPLIER DATA BASE'!$A$2:$G$936,4,0),""))</f>
        <v>-</v>
      </c>
      <c r="E807" s="71" t="str">
        <f>IF($A$3=" "," ", IFERROR( VLOOKUP($A807,'SUPPLIER DATA BASE'!$A$2:$H$936,5,0),""))</f>
        <v>-</v>
      </c>
      <c r="F807" s="72" t="s">
        <v>2455</v>
      </c>
      <c r="G807" s="73">
        <v>46121.0</v>
      </c>
      <c r="H807" s="74">
        <v>15.0</v>
      </c>
      <c r="I807" s="75">
        <v>23138.23</v>
      </c>
      <c r="J807" s="76" t="s">
        <v>2456</v>
      </c>
      <c r="K807" s="76" t="s">
        <v>2457</v>
      </c>
      <c r="L807" s="73"/>
      <c r="M807" s="70" t="str">
        <f t="shared" si="3"/>
        <v>67 Days</v>
      </c>
      <c r="N807" s="70" t="str">
        <f>IF($A$3=" "," ", IFERROR( VLOOKUP($A807,'SUPPLIER DATA BASE'!$A$2:$O$936,11,0),""))</f>
        <v>-</v>
      </c>
      <c r="O807" s="70" t="str">
        <f>IF($A$3=" "," ", IFERROR( VLOOKUP($A807,'SUPPLIER DATA BASE'!$A$2:$O$936,12,0),""))</f>
        <v>-</v>
      </c>
      <c r="P807" s="70" t="str">
        <f>IF($A$3=" "," ", IFERROR( VLOOKUP($A807,'SUPPLIER DATA BASE'!$A$2:$O$936,13,0),""))</f>
        <v>-</v>
      </c>
      <c r="Q807" s="77"/>
      <c r="R807" s="73"/>
      <c r="S807" s="77"/>
      <c r="T807" s="70"/>
      <c r="U807" s="78"/>
      <c r="V807" s="70" t="str">
        <f t="shared" si="6"/>
        <v>FY 26-27</v>
      </c>
      <c r="W807" s="23"/>
      <c r="X807" s="23"/>
    </row>
    <row r="808">
      <c r="A808" s="70" t="s">
        <v>354</v>
      </c>
      <c r="B808" s="70" t="str">
        <f>IF($A$3=" "," ", IFERROR( VLOOKUP($A808,'SUPPLIER DATA BASE'!$A$2:$M$936,3,0),""))</f>
        <v>-</v>
      </c>
      <c r="C808" s="70" t="str">
        <f>IF($A$3=" "," ", IFERROR( VLOOKUP($A808,'SUPPLIER DATA BASE'!$A$2:$F$936,6,0),""))</f>
        <v>-</v>
      </c>
      <c r="D808" s="70" t="str">
        <f>IF($A$3=" "," ", IFERROR( VLOOKUP($A808,'SUPPLIER DATA BASE'!$A$2:$G$936,4,0),""))</f>
        <v>-</v>
      </c>
      <c r="E808" s="71" t="str">
        <f>IF($A$3=" "," ", IFERROR( VLOOKUP($A808,'SUPPLIER DATA BASE'!$A$2:$H$936,5,0),""))</f>
        <v>-</v>
      </c>
      <c r="F808" s="72" t="s">
        <v>2458</v>
      </c>
      <c r="G808" s="73">
        <v>46121.0</v>
      </c>
      <c r="H808" s="74">
        <v>15.0</v>
      </c>
      <c r="I808" s="75">
        <v>12734.21</v>
      </c>
      <c r="J808" s="76" t="s">
        <v>2459</v>
      </c>
      <c r="K808" s="76" t="s">
        <v>2460</v>
      </c>
      <c r="L808" s="73"/>
      <c r="M808" s="70" t="str">
        <f t="shared" si="3"/>
        <v>67 Days</v>
      </c>
      <c r="N808" s="70" t="str">
        <f>IF($A$3=" "," ", IFERROR( VLOOKUP($A808,'SUPPLIER DATA BASE'!$A$2:$O$936,11,0),""))</f>
        <v>-</v>
      </c>
      <c r="O808" s="70" t="str">
        <f>IF($A$3=" "," ", IFERROR( VLOOKUP($A808,'SUPPLIER DATA BASE'!$A$2:$O$936,12,0),""))</f>
        <v>-</v>
      </c>
      <c r="P808" s="70" t="str">
        <f>IF($A$3=" "," ", IFERROR( VLOOKUP($A808,'SUPPLIER DATA BASE'!$A$2:$O$936,13,0),""))</f>
        <v>-</v>
      </c>
      <c r="Q808" s="77"/>
      <c r="R808" s="73"/>
      <c r="S808" s="77"/>
      <c r="T808" s="70"/>
      <c r="U808" s="78"/>
      <c r="V808" s="70" t="str">
        <f t="shared" si="6"/>
        <v>FY 26-27</v>
      </c>
      <c r="W808" s="23"/>
      <c r="X808" s="23"/>
    </row>
    <row r="809">
      <c r="A809" s="70" t="s">
        <v>354</v>
      </c>
      <c r="B809" s="70" t="str">
        <f>IF($A$3=" "," ", IFERROR( VLOOKUP($A809,'SUPPLIER DATA BASE'!$A$2:$M$936,3,0),""))</f>
        <v>-</v>
      </c>
      <c r="C809" s="70" t="str">
        <f>IF($A$3=" "," ", IFERROR( VLOOKUP($A809,'SUPPLIER DATA BASE'!$A$2:$F$936,6,0),""))</f>
        <v>-</v>
      </c>
      <c r="D809" s="70" t="str">
        <f>IF($A$3=" "," ", IFERROR( VLOOKUP($A809,'SUPPLIER DATA BASE'!$A$2:$G$936,4,0),""))</f>
        <v>-</v>
      </c>
      <c r="E809" s="71" t="str">
        <f>IF($A$3=" "," ", IFERROR( VLOOKUP($A809,'SUPPLIER DATA BASE'!$A$2:$H$936,5,0),""))</f>
        <v>-</v>
      </c>
      <c r="F809" s="72" t="s">
        <v>2461</v>
      </c>
      <c r="G809" s="73">
        <v>46121.0</v>
      </c>
      <c r="H809" s="74">
        <v>33.0</v>
      </c>
      <c r="I809" s="75">
        <v>163190.65</v>
      </c>
      <c r="J809" s="76" t="s">
        <v>2462</v>
      </c>
      <c r="K809" s="76" t="s">
        <v>2463</v>
      </c>
      <c r="L809" s="73"/>
      <c r="M809" s="70" t="str">
        <f t="shared" si="3"/>
        <v>67 Days</v>
      </c>
      <c r="N809" s="70" t="str">
        <f>IF($A$3=" "," ", IFERROR( VLOOKUP($A809,'SUPPLIER DATA BASE'!$A$2:$O$936,11,0),""))</f>
        <v>-</v>
      </c>
      <c r="O809" s="70" t="str">
        <f>IF($A$3=" "," ", IFERROR( VLOOKUP($A809,'SUPPLIER DATA BASE'!$A$2:$O$936,12,0),""))</f>
        <v>-</v>
      </c>
      <c r="P809" s="70" t="str">
        <f>IF($A$3=" "," ", IFERROR( VLOOKUP($A809,'SUPPLIER DATA BASE'!$A$2:$O$936,13,0),""))</f>
        <v>-</v>
      </c>
      <c r="Q809" s="77"/>
      <c r="R809" s="73"/>
      <c r="S809" s="77"/>
      <c r="T809" s="70"/>
      <c r="U809" s="78"/>
      <c r="V809" s="70" t="str">
        <f t="shared" si="6"/>
        <v>FY 26-27</v>
      </c>
      <c r="W809" s="23"/>
      <c r="X809" s="23"/>
    </row>
    <row r="810">
      <c r="A810" s="70" t="s">
        <v>354</v>
      </c>
      <c r="B810" s="70" t="str">
        <f>IF($A$3=" "," ", IFERROR( VLOOKUP($A810,'SUPPLIER DATA BASE'!$A$2:$M$936,3,0),""))</f>
        <v>-</v>
      </c>
      <c r="C810" s="70" t="str">
        <f>IF($A$3=" "," ", IFERROR( VLOOKUP($A810,'SUPPLIER DATA BASE'!$A$2:$F$936,6,0),""))</f>
        <v>-</v>
      </c>
      <c r="D810" s="70" t="str">
        <f>IF($A$3=" "," ", IFERROR( VLOOKUP($A810,'SUPPLIER DATA BASE'!$A$2:$G$936,4,0),""))</f>
        <v>-</v>
      </c>
      <c r="E810" s="71" t="str">
        <f>IF($A$3=" "," ", IFERROR( VLOOKUP($A810,'SUPPLIER DATA BASE'!$A$2:$H$936,5,0),""))</f>
        <v>-</v>
      </c>
      <c r="F810" s="72" t="s">
        <v>2464</v>
      </c>
      <c r="G810" s="73">
        <v>46121.0</v>
      </c>
      <c r="H810" s="74">
        <v>34.0</v>
      </c>
      <c r="I810" s="75">
        <v>48298.68</v>
      </c>
      <c r="J810" s="76" t="s">
        <v>2465</v>
      </c>
      <c r="K810" s="76" t="s">
        <v>2466</v>
      </c>
      <c r="L810" s="73"/>
      <c r="M810" s="70" t="str">
        <f t="shared" si="3"/>
        <v>67 Days</v>
      </c>
      <c r="N810" s="70" t="str">
        <f>IF($A$3=" "," ", IFERROR( VLOOKUP($A810,'SUPPLIER DATA BASE'!$A$2:$O$936,11,0),""))</f>
        <v>-</v>
      </c>
      <c r="O810" s="70" t="str">
        <f>IF($A$3=" "," ", IFERROR( VLOOKUP($A810,'SUPPLIER DATA BASE'!$A$2:$O$936,12,0),""))</f>
        <v>-</v>
      </c>
      <c r="P810" s="70" t="str">
        <f>IF($A$3=" "," ", IFERROR( VLOOKUP($A810,'SUPPLIER DATA BASE'!$A$2:$O$936,13,0),""))</f>
        <v>-</v>
      </c>
      <c r="Q810" s="77"/>
      <c r="R810" s="73"/>
      <c r="S810" s="77"/>
      <c r="T810" s="70"/>
      <c r="U810" s="78"/>
      <c r="V810" s="70" t="str">
        <f t="shared" si="6"/>
        <v>FY 26-27</v>
      </c>
      <c r="W810" s="23"/>
      <c r="X810" s="23"/>
    </row>
    <row r="811">
      <c r="A811" s="70" t="s">
        <v>354</v>
      </c>
      <c r="B811" s="70" t="str">
        <f>IF($A$3=" "," ", IFERROR( VLOOKUP($A811,'SUPPLIER DATA BASE'!$A$2:$M$936,3,0),""))</f>
        <v>-</v>
      </c>
      <c r="C811" s="70" t="str">
        <f>IF($A$3=" "," ", IFERROR( VLOOKUP($A811,'SUPPLIER DATA BASE'!$A$2:$F$936,6,0),""))</f>
        <v>-</v>
      </c>
      <c r="D811" s="70" t="str">
        <f>IF($A$3=" "," ", IFERROR( VLOOKUP($A811,'SUPPLIER DATA BASE'!$A$2:$G$936,4,0),""))</f>
        <v>-</v>
      </c>
      <c r="E811" s="71" t="str">
        <f>IF($A$3=" "," ", IFERROR( VLOOKUP($A811,'SUPPLIER DATA BASE'!$A$2:$H$936,5,0),""))</f>
        <v>-</v>
      </c>
      <c r="F811" s="72" t="s">
        <v>2467</v>
      </c>
      <c r="G811" s="73">
        <v>46121.0</v>
      </c>
      <c r="H811" s="74">
        <v>14.0</v>
      </c>
      <c r="I811" s="75">
        <v>19000.68</v>
      </c>
      <c r="J811" s="76" t="s">
        <v>2468</v>
      </c>
      <c r="K811" s="76" t="s">
        <v>2469</v>
      </c>
      <c r="L811" s="73"/>
      <c r="M811" s="70" t="str">
        <f t="shared" si="3"/>
        <v>67 Days</v>
      </c>
      <c r="N811" s="70" t="str">
        <f>IF($A$3=" "," ", IFERROR( VLOOKUP($A811,'SUPPLIER DATA BASE'!$A$2:$O$936,11,0),""))</f>
        <v>-</v>
      </c>
      <c r="O811" s="70" t="str">
        <f>IF($A$3=" "," ", IFERROR( VLOOKUP($A811,'SUPPLIER DATA BASE'!$A$2:$O$936,12,0),""))</f>
        <v>-</v>
      </c>
      <c r="P811" s="70" t="str">
        <f>IF($A$3=" "," ", IFERROR( VLOOKUP($A811,'SUPPLIER DATA BASE'!$A$2:$O$936,13,0),""))</f>
        <v>-</v>
      </c>
      <c r="Q811" s="77"/>
      <c r="R811" s="73"/>
      <c r="S811" s="77"/>
      <c r="T811" s="70"/>
      <c r="U811" s="78"/>
      <c r="V811" s="70" t="str">
        <f t="shared" si="6"/>
        <v>FY 26-27</v>
      </c>
      <c r="W811" s="23"/>
      <c r="X811" s="23"/>
    </row>
    <row r="812">
      <c r="A812" s="70" t="s">
        <v>354</v>
      </c>
      <c r="B812" s="70" t="str">
        <f>IF($A$3=" "," ", IFERROR( VLOOKUP($A812,'SUPPLIER DATA BASE'!$A$2:$M$936,3,0),""))</f>
        <v>-</v>
      </c>
      <c r="C812" s="70" t="str">
        <f>IF($A$3=" "," ", IFERROR( VLOOKUP($A812,'SUPPLIER DATA BASE'!$A$2:$F$936,6,0),""))</f>
        <v>-</v>
      </c>
      <c r="D812" s="70" t="str">
        <f>IF($A$3=" "," ", IFERROR( VLOOKUP($A812,'SUPPLIER DATA BASE'!$A$2:$G$936,4,0),""))</f>
        <v>-</v>
      </c>
      <c r="E812" s="71" t="str">
        <f>IF($A$3=" "," ", IFERROR( VLOOKUP($A812,'SUPPLIER DATA BASE'!$A$2:$H$936,5,0),""))</f>
        <v>-</v>
      </c>
      <c r="F812" s="72" t="s">
        <v>2470</v>
      </c>
      <c r="G812" s="73">
        <v>46121.0</v>
      </c>
      <c r="H812" s="74">
        <v>161.0</v>
      </c>
      <c r="I812" s="75">
        <v>308142.72</v>
      </c>
      <c r="J812" s="76" t="s">
        <v>2471</v>
      </c>
      <c r="K812" s="76" t="s">
        <v>2472</v>
      </c>
      <c r="L812" s="73"/>
      <c r="M812" s="70" t="str">
        <f t="shared" si="3"/>
        <v>67 Days</v>
      </c>
      <c r="N812" s="70" t="str">
        <f>IF($A$3=" "," ", IFERROR( VLOOKUP($A812,'SUPPLIER DATA BASE'!$A$2:$O$936,11,0),""))</f>
        <v>-</v>
      </c>
      <c r="O812" s="70" t="str">
        <f>IF($A$3=" "," ", IFERROR( VLOOKUP($A812,'SUPPLIER DATA BASE'!$A$2:$O$936,12,0),""))</f>
        <v>-</v>
      </c>
      <c r="P812" s="70" t="str">
        <f>IF($A$3=" "," ", IFERROR( VLOOKUP($A812,'SUPPLIER DATA BASE'!$A$2:$O$936,13,0),""))</f>
        <v>-</v>
      </c>
      <c r="Q812" s="77"/>
      <c r="R812" s="73"/>
      <c r="S812" s="77"/>
      <c r="T812" s="70"/>
      <c r="U812" s="78"/>
      <c r="V812" s="70" t="str">
        <f t="shared" si="6"/>
        <v>FY 26-27</v>
      </c>
      <c r="W812" s="23"/>
      <c r="X812" s="23"/>
    </row>
    <row r="813">
      <c r="A813" s="70" t="s">
        <v>354</v>
      </c>
      <c r="B813" s="70" t="str">
        <f>IF($A$3=" "," ", IFERROR( VLOOKUP($A813,'SUPPLIER DATA BASE'!$A$2:$M$936,3,0),""))</f>
        <v>-</v>
      </c>
      <c r="C813" s="70" t="str">
        <f>IF($A$3=" "," ", IFERROR( VLOOKUP($A813,'SUPPLIER DATA BASE'!$A$2:$F$936,6,0),""))</f>
        <v>-</v>
      </c>
      <c r="D813" s="70" t="str">
        <f>IF($A$3=" "," ", IFERROR( VLOOKUP($A813,'SUPPLIER DATA BASE'!$A$2:$G$936,4,0),""))</f>
        <v>-</v>
      </c>
      <c r="E813" s="71" t="str">
        <f>IF($A$3=" "," ", IFERROR( VLOOKUP($A813,'SUPPLIER DATA BASE'!$A$2:$H$936,5,0),""))</f>
        <v>-</v>
      </c>
      <c r="F813" s="72" t="s">
        <v>2473</v>
      </c>
      <c r="G813" s="73">
        <v>46121.0</v>
      </c>
      <c r="H813" s="74">
        <v>20.0</v>
      </c>
      <c r="I813" s="75">
        <v>35749.11</v>
      </c>
      <c r="J813" s="76" t="s">
        <v>2474</v>
      </c>
      <c r="K813" s="76" t="s">
        <v>2475</v>
      </c>
      <c r="L813" s="73"/>
      <c r="M813" s="70" t="str">
        <f t="shared" si="3"/>
        <v>67 Days</v>
      </c>
      <c r="N813" s="70" t="str">
        <f>IF($A$3=" "," ", IFERROR( VLOOKUP($A813,'SUPPLIER DATA BASE'!$A$2:$O$936,11,0),""))</f>
        <v>-</v>
      </c>
      <c r="O813" s="70" t="str">
        <f>IF($A$3=" "," ", IFERROR( VLOOKUP($A813,'SUPPLIER DATA BASE'!$A$2:$O$936,12,0),""))</f>
        <v>-</v>
      </c>
      <c r="P813" s="70" t="str">
        <f>IF($A$3=" "," ", IFERROR( VLOOKUP($A813,'SUPPLIER DATA BASE'!$A$2:$O$936,13,0),""))</f>
        <v>-</v>
      </c>
      <c r="Q813" s="77"/>
      <c r="R813" s="73"/>
      <c r="S813" s="77"/>
      <c r="T813" s="70"/>
      <c r="U813" s="78"/>
      <c r="V813" s="70" t="str">
        <f t="shared" si="6"/>
        <v>FY 26-27</v>
      </c>
      <c r="W813" s="23"/>
      <c r="X813" s="23"/>
    </row>
    <row r="814">
      <c r="A814" s="70" t="s">
        <v>354</v>
      </c>
      <c r="B814" s="70" t="str">
        <f>IF($A$3=" "," ", IFERROR( VLOOKUP($A814,'SUPPLIER DATA BASE'!$A$2:$M$936,3,0),""))</f>
        <v>-</v>
      </c>
      <c r="C814" s="70" t="str">
        <f>IF($A$3=" "," ", IFERROR( VLOOKUP($A814,'SUPPLIER DATA BASE'!$A$2:$F$936,6,0),""))</f>
        <v>-</v>
      </c>
      <c r="D814" s="70" t="str">
        <f>IF($A$3=" "," ", IFERROR( VLOOKUP($A814,'SUPPLIER DATA BASE'!$A$2:$G$936,4,0),""))</f>
        <v>-</v>
      </c>
      <c r="E814" s="71" t="str">
        <f>IF($A$3=" "," ", IFERROR( VLOOKUP($A814,'SUPPLIER DATA BASE'!$A$2:$H$936,5,0),""))</f>
        <v>-</v>
      </c>
      <c r="F814" s="72" t="s">
        <v>2476</v>
      </c>
      <c r="G814" s="73">
        <v>46121.0</v>
      </c>
      <c r="H814" s="74">
        <v>7.0</v>
      </c>
      <c r="I814" s="75">
        <v>54616.24</v>
      </c>
      <c r="J814" s="76" t="s">
        <v>2477</v>
      </c>
      <c r="K814" s="76" t="s">
        <v>2478</v>
      </c>
      <c r="L814" s="73"/>
      <c r="M814" s="70" t="str">
        <f t="shared" si="3"/>
        <v>67 Days</v>
      </c>
      <c r="N814" s="70" t="str">
        <f>IF($A$3=" "," ", IFERROR( VLOOKUP($A814,'SUPPLIER DATA BASE'!$A$2:$O$936,11,0),""))</f>
        <v>-</v>
      </c>
      <c r="O814" s="70" t="str">
        <f>IF($A$3=" "," ", IFERROR( VLOOKUP($A814,'SUPPLIER DATA BASE'!$A$2:$O$936,12,0),""))</f>
        <v>-</v>
      </c>
      <c r="P814" s="70" t="str">
        <f>IF($A$3=" "," ", IFERROR( VLOOKUP($A814,'SUPPLIER DATA BASE'!$A$2:$O$936,13,0),""))</f>
        <v>-</v>
      </c>
      <c r="Q814" s="77"/>
      <c r="R814" s="73"/>
      <c r="S814" s="77"/>
      <c r="T814" s="70"/>
      <c r="U814" s="78"/>
      <c r="V814" s="70" t="str">
        <f t="shared" si="6"/>
        <v>FY 26-27</v>
      </c>
      <c r="W814" s="23"/>
      <c r="X814" s="23"/>
    </row>
    <row r="815">
      <c r="A815" s="70" t="s">
        <v>354</v>
      </c>
      <c r="B815" s="70" t="str">
        <f>IF($A$3=" "," ", IFERROR( VLOOKUP($A815,'SUPPLIER DATA BASE'!$A$2:$M$936,3,0),""))</f>
        <v>-</v>
      </c>
      <c r="C815" s="70" t="str">
        <f>IF($A$3=" "," ", IFERROR( VLOOKUP($A815,'SUPPLIER DATA BASE'!$A$2:$F$936,6,0),""))</f>
        <v>-</v>
      </c>
      <c r="D815" s="70" t="str">
        <f>IF($A$3=" "," ", IFERROR( VLOOKUP($A815,'SUPPLIER DATA BASE'!$A$2:$G$936,4,0),""))</f>
        <v>-</v>
      </c>
      <c r="E815" s="71" t="str">
        <f>IF($A$3=" "," ", IFERROR( VLOOKUP($A815,'SUPPLIER DATA BASE'!$A$2:$H$936,5,0),""))</f>
        <v>-</v>
      </c>
      <c r="F815" s="72" t="s">
        <v>2479</v>
      </c>
      <c r="G815" s="73">
        <v>46121.0</v>
      </c>
      <c r="H815" s="74">
        <v>221.0</v>
      </c>
      <c r="I815" s="75">
        <v>448362.74</v>
      </c>
      <c r="J815" s="76" t="s">
        <v>2480</v>
      </c>
      <c r="K815" s="76" t="s">
        <v>2481</v>
      </c>
      <c r="L815" s="73"/>
      <c r="M815" s="70" t="str">
        <f t="shared" si="3"/>
        <v>67 Days</v>
      </c>
      <c r="N815" s="70" t="str">
        <f>IF($A$3=" "," ", IFERROR( VLOOKUP($A815,'SUPPLIER DATA BASE'!$A$2:$O$936,11,0),""))</f>
        <v>-</v>
      </c>
      <c r="O815" s="70" t="str">
        <f>IF($A$3=" "," ", IFERROR( VLOOKUP($A815,'SUPPLIER DATA BASE'!$A$2:$O$936,12,0),""))</f>
        <v>-</v>
      </c>
      <c r="P815" s="70" t="str">
        <f>IF($A$3=" "," ", IFERROR( VLOOKUP($A815,'SUPPLIER DATA BASE'!$A$2:$O$936,13,0),""))</f>
        <v>-</v>
      </c>
      <c r="Q815" s="77"/>
      <c r="R815" s="73"/>
      <c r="S815" s="77"/>
      <c r="T815" s="70"/>
      <c r="U815" s="78"/>
      <c r="V815" s="70" t="str">
        <f t="shared" si="6"/>
        <v>FY 26-27</v>
      </c>
      <c r="W815" s="23"/>
      <c r="X815" s="23"/>
    </row>
    <row r="816">
      <c r="A816" s="70" t="s">
        <v>354</v>
      </c>
      <c r="B816" s="70" t="str">
        <f>IF($A$3=" "," ", IFERROR( VLOOKUP($A816,'SUPPLIER DATA BASE'!$A$2:$M$936,3,0),""))</f>
        <v>-</v>
      </c>
      <c r="C816" s="70" t="str">
        <f>IF($A$3=" "," ", IFERROR( VLOOKUP($A816,'SUPPLIER DATA BASE'!$A$2:$F$936,6,0),""))</f>
        <v>-</v>
      </c>
      <c r="D816" s="70" t="str">
        <f>IF($A$3=" "," ", IFERROR( VLOOKUP($A816,'SUPPLIER DATA BASE'!$A$2:$G$936,4,0),""))</f>
        <v>-</v>
      </c>
      <c r="E816" s="71" t="str">
        <f>IF($A$3=" "," ", IFERROR( VLOOKUP($A816,'SUPPLIER DATA BASE'!$A$2:$H$936,5,0),""))</f>
        <v>-</v>
      </c>
      <c r="F816" s="72" t="s">
        <v>2482</v>
      </c>
      <c r="G816" s="73">
        <v>46121.0</v>
      </c>
      <c r="H816" s="74">
        <v>117.0</v>
      </c>
      <c r="I816" s="75">
        <v>224698.89</v>
      </c>
      <c r="J816" s="76" t="s">
        <v>2483</v>
      </c>
      <c r="K816" s="76" t="s">
        <v>2484</v>
      </c>
      <c r="L816" s="73"/>
      <c r="M816" s="70" t="str">
        <f t="shared" si="3"/>
        <v>67 Days</v>
      </c>
      <c r="N816" s="70" t="str">
        <f>IF($A$3=" "," ", IFERROR( VLOOKUP($A816,'SUPPLIER DATA BASE'!$A$2:$O$936,11,0),""))</f>
        <v>-</v>
      </c>
      <c r="O816" s="70" t="str">
        <f>IF($A$3=" "," ", IFERROR( VLOOKUP($A816,'SUPPLIER DATA BASE'!$A$2:$O$936,12,0),""))</f>
        <v>-</v>
      </c>
      <c r="P816" s="70" t="str">
        <f>IF($A$3=" "," ", IFERROR( VLOOKUP($A816,'SUPPLIER DATA BASE'!$A$2:$O$936,13,0),""))</f>
        <v>-</v>
      </c>
      <c r="Q816" s="77"/>
      <c r="R816" s="73"/>
      <c r="S816" s="77"/>
      <c r="T816" s="70"/>
      <c r="U816" s="78"/>
      <c r="V816" s="70" t="str">
        <f t="shared" si="6"/>
        <v>FY 26-27</v>
      </c>
      <c r="W816" s="23"/>
      <c r="X816" s="23"/>
    </row>
    <row r="817">
      <c r="A817" s="70" t="s">
        <v>354</v>
      </c>
      <c r="B817" s="70" t="str">
        <f>IF($A$3=" "," ", IFERROR( VLOOKUP($A817,'SUPPLIER DATA BASE'!$A$2:$M$936,3,0),""))</f>
        <v>-</v>
      </c>
      <c r="C817" s="70" t="str">
        <f>IF($A$3=" "," ", IFERROR( VLOOKUP($A817,'SUPPLIER DATA BASE'!$A$2:$F$936,6,0),""))</f>
        <v>-</v>
      </c>
      <c r="D817" s="70" t="str">
        <f>IF($A$3=" "," ", IFERROR( VLOOKUP($A817,'SUPPLIER DATA BASE'!$A$2:$G$936,4,0),""))</f>
        <v>-</v>
      </c>
      <c r="E817" s="71" t="str">
        <f>IF($A$3=" "," ", IFERROR( VLOOKUP($A817,'SUPPLIER DATA BASE'!$A$2:$H$936,5,0),""))</f>
        <v>-</v>
      </c>
      <c r="F817" s="72" t="s">
        <v>2485</v>
      </c>
      <c r="G817" s="73">
        <v>46121.0</v>
      </c>
      <c r="H817" s="74">
        <v>92.0</v>
      </c>
      <c r="I817" s="75">
        <v>182576.83</v>
      </c>
      <c r="J817" s="76" t="s">
        <v>2486</v>
      </c>
      <c r="K817" s="76" t="s">
        <v>2487</v>
      </c>
      <c r="L817" s="73"/>
      <c r="M817" s="70" t="str">
        <f t="shared" si="3"/>
        <v>67 Days</v>
      </c>
      <c r="N817" s="70" t="str">
        <f>IF($A$3=" "," ", IFERROR( VLOOKUP($A817,'SUPPLIER DATA BASE'!$A$2:$O$936,11,0),""))</f>
        <v>-</v>
      </c>
      <c r="O817" s="70" t="str">
        <f>IF($A$3=" "," ", IFERROR( VLOOKUP($A817,'SUPPLIER DATA BASE'!$A$2:$O$936,12,0),""))</f>
        <v>-</v>
      </c>
      <c r="P817" s="70" t="str">
        <f>IF($A$3=" "," ", IFERROR( VLOOKUP($A817,'SUPPLIER DATA BASE'!$A$2:$O$936,13,0),""))</f>
        <v>-</v>
      </c>
      <c r="Q817" s="77"/>
      <c r="R817" s="73"/>
      <c r="S817" s="77"/>
      <c r="T817" s="70"/>
      <c r="U817" s="78"/>
      <c r="V817" s="70" t="str">
        <f t="shared" si="6"/>
        <v>FY 26-27</v>
      </c>
      <c r="W817" s="23"/>
      <c r="X817" s="23"/>
    </row>
    <row r="818">
      <c r="A818" s="70" t="s">
        <v>354</v>
      </c>
      <c r="B818" s="70" t="str">
        <f>IF($A$3=" "," ", IFERROR( VLOOKUP($A818,'SUPPLIER DATA BASE'!$A$2:$M$936,3,0),""))</f>
        <v>-</v>
      </c>
      <c r="C818" s="70" t="str">
        <f>IF($A$3=" "," ", IFERROR( VLOOKUP($A818,'SUPPLIER DATA BASE'!$A$2:$F$936,6,0),""))</f>
        <v>-</v>
      </c>
      <c r="D818" s="70" t="str">
        <f>IF($A$3=" "," ", IFERROR( VLOOKUP($A818,'SUPPLIER DATA BASE'!$A$2:$G$936,4,0),""))</f>
        <v>-</v>
      </c>
      <c r="E818" s="71" t="str">
        <f>IF($A$3=" "," ", IFERROR( VLOOKUP($A818,'SUPPLIER DATA BASE'!$A$2:$H$936,5,0),""))</f>
        <v>-</v>
      </c>
      <c r="F818" s="72" t="s">
        <v>2488</v>
      </c>
      <c r="G818" s="73">
        <v>46121.0</v>
      </c>
      <c r="H818" s="74">
        <v>13.0</v>
      </c>
      <c r="I818" s="75">
        <v>23491.05</v>
      </c>
      <c r="J818" s="76" t="s">
        <v>2489</v>
      </c>
      <c r="K818" s="76" t="s">
        <v>2490</v>
      </c>
      <c r="L818" s="73"/>
      <c r="M818" s="70" t="str">
        <f t="shared" si="3"/>
        <v>67 Days</v>
      </c>
      <c r="N818" s="70" t="str">
        <f>IF($A$3=" "," ", IFERROR( VLOOKUP($A818,'SUPPLIER DATA BASE'!$A$2:$O$936,11,0),""))</f>
        <v>-</v>
      </c>
      <c r="O818" s="70" t="str">
        <f>IF($A$3=" "," ", IFERROR( VLOOKUP($A818,'SUPPLIER DATA BASE'!$A$2:$O$936,12,0),""))</f>
        <v>-</v>
      </c>
      <c r="P818" s="70" t="str">
        <f>IF($A$3=" "," ", IFERROR( VLOOKUP($A818,'SUPPLIER DATA BASE'!$A$2:$O$936,13,0),""))</f>
        <v>-</v>
      </c>
      <c r="Q818" s="77"/>
      <c r="R818" s="73"/>
      <c r="S818" s="77"/>
      <c r="T818" s="70"/>
      <c r="U818" s="78"/>
      <c r="V818" s="70" t="str">
        <f t="shared" si="6"/>
        <v>FY 26-27</v>
      </c>
      <c r="W818" s="23"/>
      <c r="X818" s="23"/>
    </row>
    <row r="819">
      <c r="A819" s="70" t="s">
        <v>354</v>
      </c>
      <c r="B819" s="70" t="str">
        <f>IF($A$3=" "," ", IFERROR( VLOOKUP($A819,'SUPPLIER DATA BASE'!$A$2:$M$936,3,0),""))</f>
        <v>-</v>
      </c>
      <c r="C819" s="70" t="str">
        <f>IF($A$3=" "," ", IFERROR( VLOOKUP($A819,'SUPPLIER DATA BASE'!$A$2:$F$936,6,0),""))</f>
        <v>-</v>
      </c>
      <c r="D819" s="70" t="str">
        <f>IF($A$3=" "," ", IFERROR( VLOOKUP($A819,'SUPPLIER DATA BASE'!$A$2:$G$936,4,0),""))</f>
        <v>-</v>
      </c>
      <c r="E819" s="71" t="str">
        <f>IF($A$3=" "," ", IFERROR( VLOOKUP($A819,'SUPPLIER DATA BASE'!$A$2:$H$936,5,0),""))</f>
        <v>-</v>
      </c>
      <c r="F819" s="72" t="s">
        <v>2491</v>
      </c>
      <c r="G819" s="73">
        <v>46121.0</v>
      </c>
      <c r="H819" s="74">
        <v>25.0</v>
      </c>
      <c r="I819" s="75">
        <v>34903.92</v>
      </c>
      <c r="J819" s="76" t="s">
        <v>2492</v>
      </c>
      <c r="K819" s="76" t="s">
        <v>2493</v>
      </c>
      <c r="L819" s="73"/>
      <c r="M819" s="70" t="str">
        <f t="shared" si="3"/>
        <v>67 Days</v>
      </c>
      <c r="N819" s="70" t="str">
        <f>IF($A$3=" "," ", IFERROR( VLOOKUP($A819,'SUPPLIER DATA BASE'!$A$2:$O$936,11,0),""))</f>
        <v>-</v>
      </c>
      <c r="O819" s="70" t="str">
        <f>IF($A$3=" "," ", IFERROR( VLOOKUP($A819,'SUPPLIER DATA BASE'!$A$2:$O$936,12,0),""))</f>
        <v>-</v>
      </c>
      <c r="P819" s="70" t="str">
        <f>IF($A$3=" "," ", IFERROR( VLOOKUP($A819,'SUPPLIER DATA BASE'!$A$2:$O$936,13,0),""))</f>
        <v>-</v>
      </c>
      <c r="Q819" s="77"/>
      <c r="R819" s="73"/>
      <c r="S819" s="77"/>
      <c r="T819" s="70"/>
      <c r="U819" s="78"/>
      <c r="V819" s="70" t="str">
        <f t="shared" si="6"/>
        <v>FY 26-27</v>
      </c>
      <c r="W819" s="23"/>
      <c r="X819" s="23"/>
    </row>
    <row r="820">
      <c r="A820" s="70" t="s">
        <v>354</v>
      </c>
      <c r="B820" s="70" t="str">
        <f>IF($A$3=" "," ", IFERROR( VLOOKUP($A820,'SUPPLIER DATA BASE'!$A$2:$M$936,3,0),""))</f>
        <v>-</v>
      </c>
      <c r="C820" s="70" t="str">
        <f>IF($A$3=" "," ", IFERROR( VLOOKUP($A820,'SUPPLIER DATA BASE'!$A$2:$F$936,6,0),""))</f>
        <v>-</v>
      </c>
      <c r="D820" s="70" t="str">
        <f>IF($A$3=" "," ", IFERROR( VLOOKUP($A820,'SUPPLIER DATA BASE'!$A$2:$G$936,4,0),""))</f>
        <v>-</v>
      </c>
      <c r="E820" s="71" t="str">
        <f>IF($A$3=" "," ", IFERROR( VLOOKUP($A820,'SUPPLIER DATA BASE'!$A$2:$H$936,5,0),""))</f>
        <v>-</v>
      </c>
      <c r="F820" s="72" t="s">
        <v>2494</v>
      </c>
      <c r="G820" s="73">
        <v>46121.0</v>
      </c>
      <c r="H820" s="74">
        <v>5.0</v>
      </c>
      <c r="I820" s="75">
        <v>2494.77</v>
      </c>
      <c r="J820" s="76" t="s">
        <v>2495</v>
      </c>
      <c r="K820" s="76" t="s">
        <v>2496</v>
      </c>
      <c r="L820" s="73"/>
      <c r="M820" s="70" t="str">
        <f t="shared" si="3"/>
        <v>67 Days</v>
      </c>
      <c r="N820" s="70" t="str">
        <f>IF($A$3=" "," ", IFERROR( VLOOKUP($A820,'SUPPLIER DATA BASE'!$A$2:$O$936,11,0),""))</f>
        <v>-</v>
      </c>
      <c r="O820" s="70" t="str">
        <f>IF($A$3=" "," ", IFERROR( VLOOKUP($A820,'SUPPLIER DATA BASE'!$A$2:$O$936,12,0),""))</f>
        <v>-</v>
      </c>
      <c r="P820" s="70" t="str">
        <f>IF($A$3=" "," ", IFERROR( VLOOKUP($A820,'SUPPLIER DATA BASE'!$A$2:$O$936,13,0),""))</f>
        <v>-</v>
      </c>
      <c r="Q820" s="77"/>
      <c r="R820" s="73"/>
      <c r="S820" s="77"/>
      <c r="T820" s="70"/>
      <c r="U820" s="78"/>
      <c r="V820" s="70" t="str">
        <f t="shared" si="6"/>
        <v>FY 26-27</v>
      </c>
      <c r="W820" s="23"/>
      <c r="X820" s="23"/>
    </row>
    <row r="821">
      <c r="A821" s="70" t="s">
        <v>354</v>
      </c>
      <c r="B821" s="70" t="str">
        <f>IF($A$3=" "," ", IFERROR( VLOOKUP($A821,'SUPPLIER DATA BASE'!$A$2:$M$936,3,0),""))</f>
        <v>-</v>
      </c>
      <c r="C821" s="70" t="str">
        <f>IF($A$3=" "," ", IFERROR( VLOOKUP($A821,'SUPPLIER DATA BASE'!$A$2:$F$936,6,0),""))</f>
        <v>-</v>
      </c>
      <c r="D821" s="70" t="str">
        <f>IF($A$3=" "," ", IFERROR( VLOOKUP($A821,'SUPPLIER DATA BASE'!$A$2:$G$936,4,0),""))</f>
        <v>-</v>
      </c>
      <c r="E821" s="71" t="str">
        <f>IF($A$3=" "," ", IFERROR( VLOOKUP($A821,'SUPPLIER DATA BASE'!$A$2:$H$936,5,0),""))</f>
        <v>-</v>
      </c>
      <c r="F821" s="72" t="s">
        <v>2497</v>
      </c>
      <c r="G821" s="73">
        <v>46121.0</v>
      </c>
      <c r="H821" s="74">
        <v>146.0</v>
      </c>
      <c r="I821" s="75">
        <v>281155.98</v>
      </c>
      <c r="J821" s="76" t="s">
        <v>2498</v>
      </c>
      <c r="K821" s="76" t="s">
        <v>2499</v>
      </c>
      <c r="L821" s="73"/>
      <c r="M821" s="70" t="str">
        <f t="shared" si="3"/>
        <v>67 Days</v>
      </c>
      <c r="N821" s="70" t="str">
        <f>IF($A$3=" "," ", IFERROR( VLOOKUP($A821,'SUPPLIER DATA BASE'!$A$2:$O$936,11,0),""))</f>
        <v>-</v>
      </c>
      <c r="O821" s="70" t="str">
        <f>IF($A$3=" "," ", IFERROR( VLOOKUP($A821,'SUPPLIER DATA BASE'!$A$2:$O$936,12,0),""))</f>
        <v>-</v>
      </c>
      <c r="P821" s="70" t="str">
        <f>IF($A$3=" "," ", IFERROR( VLOOKUP($A821,'SUPPLIER DATA BASE'!$A$2:$O$936,13,0),""))</f>
        <v>-</v>
      </c>
      <c r="Q821" s="77"/>
      <c r="R821" s="73"/>
      <c r="S821" s="77"/>
      <c r="T821" s="70"/>
      <c r="U821" s="78"/>
      <c r="V821" s="70" t="str">
        <f t="shared" si="6"/>
        <v>FY 26-27</v>
      </c>
      <c r="W821" s="23"/>
      <c r="X821" s="23"/>
    </row>
    <row r="822">
      <c r="A822" s="70" t="s">
        <v>495</v>
      </c>
      <c r="B822" s="70" t="str">
        <f>IF($A$3=" "," ", IFERROR( VLOOKUP($A822,'SUPPLIER DATA BASE'!$A$2:$M$936,3,0),""))</f>
        <v>-</v>
      </c>
      <c r="C822" s="70" t="str">
        <f>IF($A$3=" "," ", IFERROR( VLOOKUP($A822,'SUPPLIER DATA BASE'!$A$2:$F$936,6,0),""))</f>
        <v>-</v>
      </c>
      <c r="D822" s="70" t="str">
        <f>IF($A$3=" "," ", IFERROR( VLOOKUP($A822,'SUPPLIER DATA BASE'!$A$2:$G$936,4,0),""))</f>
        <v>-</v>
      </c>
      <c r="E822" s="71" t="str">
        <f>IF($A$3=" "," ", IFERROR( VLOOKUP($A822,'SUPPLIER DATA BASE'!$A$2:$H$936,5,0),""))</f>
        <v>-</v>
      </c>
      <c r="F822" s="72" t="s">
        <v>2500</v>
      </c>
      <c r="G822" s="73">
        <v>46122.0</v>
      </c>
      <c r="H822" s="74">
        <v>22.0</v>
      </c>
      <c r="I822" s="75">
        <v>22134.0</v>
      </c>
      <c r="J822" s="76" t="s">
        <v>2501</v>
      </c>
      <c r="K822" s="76" t="s">
        <v>2502</v>
      </c>
      <c r="L822" s="73"/>
      <c r="M822" s="70" t="str">
        <f t="shared" si="3"/>
        <v>66 Days</v>
      </c>
      <c r="N822" s="70" t="str">
        <f>IF($A$3=" "," ", IFERROR( VLOOKUP($A822,'SUPPLIER DATA BASE'!$A$2:$O$936,11,0),""))</f>
        <v>JAIN ADISHWAR HOSIERY WORKS LLP</v>
      </c>
      <c r="O822" s="70" t="str">
        <f>IF($A$3=" "," ", IFERROR( VLOOKUP($A822,'SUPPLIER DATA BASE'!$A$2:$O$936,12,0),""))</f>
        <v>99917644444444</v>
      </c>
      <c r="P822" s="70" t="str">
        <f>IF($A$3=" "," ", IFERROR( VLOOKUP($A822,'SUPPLIER DATA BASE'!$A$2:$O$936,13,0),""))</f>
        <v>HDFC0002063</v>
      </c>
      <c r="Q822" s="77"/>
      <c r="R822" s="73"/>
      <c r="S822" s="77"/>
      <c r="T822" s="70"/>
      <c r="U822" s="78"/>
      <c r="V822" s="70" t="str">
        <f t="shared" si="6"/>
        <v>FY 26-27</v>
      </c>
      <c r="W822" s="23"/>
      <c r="X822" s="23"/>
    </row>
    <row r="823">
      <c r="A823" s="70" t="s">
        <v>495</v>
      </c>
      <c r="B823" s="70" t="str">
        <f>IF($A$3=" "," ", IFERROR( VLOOKUP($A823,'SUPPLIER DATA BASE'!$A$2:$M$936,3,0),""))</f>
        <v>-</v>
      </c>
      <c r="C823" s="70" t="str">
        <f>IF($A$3=" "," ", IFERROR( VLOOKUP($A823,'SUPPLIER DATA BASE'!$A$2:$F$936,6,0),""))</f>
        <v>-</v>
      </c>
      <c r="D823" s="70" t="str">
        <f>IF($A$3=" "," ", IFERROR( VLOOKUP($A823,'SUPPLIER DATA BASE'!$A$2:$G$936,4,0),""))</f>
        <v>-</v>
      </c>
      <c r="E823" s="71" t="str">
        <f>IF($A$3=" "," ", IFERROR( VLOOKUP($A823,'SUPPLIER DATA BASE'!$A$2:$H$936,5,0),""))</f>
        <v>-</v>
      </c>
      <c r="F823" s="72" t="s">
        <v>2503</v>
      </c>
      <c r="G823" s="73">
        <v>46122.0</v>
      </c>
      <c r="H823" s="74">
        <v>14.0</v>
      </c>
      <c r="I823" s="75">
        <v>51386.0</v>
      </c>
      <c r="J823" s="76" t="s">
        <v>2504</v>
      </c>
      <c r="K823" s="76" t="s">
        <v>2505</v>
      </c>
      <c r="L823" s="73">
        <v>46126.0</v>
      </c>
      <c r="M823" s="70" t="str">
        <f t="shared" si="3"/>
        <v>66 Days</v>
      </c>
      <c r="N823" s="70" t="str">
        <f>IF($A$3=" "," ", IFERROR( VLOOKUP($A823,'SUPPLIER DATA BASE'!$A$2:$O$936,11,0),""))</f>
        <v>JAIN ADISHWAR HOSIERY WORKS LLP</v>
      </c>
      <c r="O823" s="70" t="str">
        <f>IF($A$3=" "," ", IFERROR( VLOOKUP($A823,'SUPPLIER DATA BASE'!$A$2:$O$936,12,0),""))</f>
        <v>99917644444444</v>
      </c>
      <c r="P823" s="70" t="str">
        <f>IF($A$3=" "," ", IFERROR( VLOOKUP($A823,'SUPPLIER DATA BASE'!$A$2:$O$936,13,0),""))</f>
        <v>HDFC0002063</v>
      </c>
      <c r="Q823" s="77"/>
      <c r="R823" s="73"/>
      <c r="S823" s="77"/>
      <c r="T823" s="70"/>
      <c r="U823" s="78"/>
      <c r="V823" s="70" t="str">
        <f t="shared" si="6"/>
        <v>FY 26-27</v>
      </c>
      <c r="W823" s="23"/>
      <c r="X823" s="23"/>
    </row>
    <row r="824">
      <c r="A824" s="70" t="s">
        <v>354</v>
      </c>
      <c r="B824" s="70" t="str">
        <f>IF($A$3=" "," ", IFERROR( VLOOKUP($A824,'SUPPLIER DATA BASE'!$A$2:$M$936,3,0),""))</f>
        <v>-</v>
      </c>
      <c r="C824" s="70" t="str">
        <f>IF($A$3=" "," ", IFERROR( VLOOKUP($A824,'SUPPLIER DATA BASE'!$A$2:$F$936,6,0),""))</f>
        <v>-</v>
      </c>
      <c r="D824" s="70" t="str">
        <f>IF($A$3=" "," ", IFERROR( VLOOKUP($A824,'SUPPLIER DATA BASE'!$A$2:$G$936,4,0),""))</f>
        <v>-</v>
      </c>
      <c r="E824" s="71" t="str">
        <f>IF($A$3=" "," ", IFERROR( VLOOKUP($A824,'SUPPLIER DATA BASE'!$A$2:$H$936,5,0),""))</f>
        <v>-</v>
      </c>
      <c r="F824" s="72" t="s">
        <v>2506</v>
      </c>
      <c r="G824" s="73">
        <v>46122.0</v>
      </c>
      <c r="H824" s="74">
        <v>29.0</v>
      </c>
      <c r="I824" s="75">
        <v>29735.22</v>
      </c>
      <c r="J824" s="76" t="s">
        <v>2507</v>
      </c>
      <c r="K824" s="76" t="s">
        <v>2508</v>
      </c>
      <c r="L824" s="73"/>
      <c r="M824" s="70" t="str">
        <f t="shared" si="3"/>
        <v>66 Days</v>
      </c>
      <c r="N824" s="70" t="str">
        <f>IF($A$3=" "," ", IFERROR( VLOOKUP($A824,'SUPPLIER DATA BASE'!$A$2:$O$936,11,0),""))</f>
        <v>-</v>
      </c>
      <c r="O824" s="70" t="str">
        <f>IF($A$3=" "," ", IFERROR( VLOOKUP($A824,'SUPPLIER DATA BASE'!$A$2:$O$936,12,0),""))</f>
        <v>-</v>
      </c>
      <c r="P824" s="70" t="str">
        <f>IF($A$3=" "," ", IFERROR( VLOOKUP($A824,'SUPPLIER DATA BASE'!$A$2:$O$936,13,0),""))</f>
        <v>-</v>
      </c>
      <c r="Q824" s="77"/>
      <c r="R824" s="73"/>
      <c r="S824" s="77"/>
      <c r="T824" s="70"/>
      <c r="U824" s="78"/>
      <c r="V824" s="70" t="str">
        <f t="shared" si="6"/>
        <v>FY 26-27</v>
      </c>
      <c r="W824" s="23"/>
      <c r="X824" s="23"/>
    </row>
    <row r="825">
      <c r="A825" s="70" t="s">
        <v>354</v>
      </c>
      <c r="B825" s="70" t="str">
        <f>IF($A$3=" "," ", IFERROR( VLOOKUP($A825,'SUPPLIER DATA BASE'!$A$2:$M$936,3,0),""))</f>
        <v>-</v>
      </c>
      <c r="C825" s="70" t="str">
        <f>IF($A$3=" "," ", IFERROR( VLOOKUP($A825,'SUPPLIER DATA BASE'!$A$2:$F$936,6,0),""))</f>
        <v>-</v>
      </c>
      <c r="D825" s="70" t="str">
        <f>IF($A$3=" "," ", IFERROR( VLOOKUP($A825,'SUPPLIER DATA BASE'!$A$2:$G$936,4,0),""))</f>
        <v>-</v>
      </c>
      <c r="E825" s="71" t="str">
        <f>IF($A$3=" "," ", IFERROR( VLOOKUP($A825,'SUPPLIER DATA BASE'!$A$2:$H$936,5,0),""))</f>
        <v>-</v>
      </c>
      <c r="F825" s="72" t="s">
        <v>2509</v>
      </c>
      <c r="G825" s="73">
        <v>46122.0</v>
      </c>
      <c r="H825" s="74">
        <v>8.0</v>
      </c>
      <c r="I825" s="75">
        <v>13219.01</v>
      </c>
      <c r="J825" s="76" t="s">
        <v>2510</v>
      </c>
      <c r="K825" s="76" t="s">
        <v>2511</v>
      </c>
      <c r="L825" s="73"/>
      <c r="M825" s="70" t="str">
        <f t="shared" si="3"/>
        <v>66 Days</v>
      </c>
      <c r="N825" s="70" t="str">
        <f>IF($A$3=" "," ", IFERROR( VLOOKUP($A825,'SUPPLIER DATA BASE'!$A$2:$O$936,11,0),""))</f>
        <v>-</v>
      </c>
      <c r="O825" s="70" t="str">
        <f>IF($A$3=" "," ", IFERROR( VLOOKUP($A825,'SUPPLIER DATA BASE'!$A$2:$O$936,12,0),""))</f>
        <v>-</v>
      </c>
      <c r="P825" s="70" t="str">
        <f>IF($A$3=" "," ", IFERROR( VLOOKUP($A825,'SUPPLIER DATA BASE'!$A$2:$O$936,13,0),""))</f>
        <v>-</v>
      </c>
      <c r="Q825" s="77"/>
      <c r="R825" s="73"/>
      <c r="S825" s="77"/>
      <c r="T825" s="70"/>
      <c r="U825" s="78"/>
      <c r="V825" s="70" t="str">
        <f t="shared" si="6"/>
        <v>FY 26-27</v>
      </c>
      <c r="W825" s="23"/>
      <c r="X825" s="23"/>
    </row>
    <row r="826">
      <c r="A826" s="70" t="s">
        <v>354</v>
      </c>
      <c r="B826" s="70" t="str">
        <f>IF($A$3=" "," ", IFERROR( VLOOKUP($A826,'SUPPLIER DATA BASE'!$A$2:$M$936,3,0),""))</f>
        <v>-</v>
      </c>
      <c r="C826" s="70" t="str">
        <f>IF($A$3=" "," ", IFERROR( VLOOKUP($A826,'SUPPLIER DATA BASE'!$A$2:$F$936,6,0),""))</f>
        <v>-</v>
      </c>
      <c r="D826" s="70" t="str">
        <f>IF($A$3=" "," ", IFERROR( VLOOKUP($A826,'SUPPLIER DATA BASE'!$A$2:$G$936,4,0),""))</f>
        <v>-</v>
      </c>
      <c r="E826" s="71" t="str">
        <f>IF($A$3=" "," ", IFERROR( VLOOKUP($A826,'SUPPLIER DATA BASE'!$A$2:$H$936,5,0),""))</f>
        <v>-</v>
      </c>
      <c r="F826" s="72" t="s">
        <v>2512</v>
      </c>
      <c r="G826" s="73">
        <v>46122.0</v>
      </c>
      <c r="H826" s="74">
        <v>4.0</v>
      </c>
      <c r="I826" s="75">
        <v>11701.86</v>
      </c>
      <c r="J826" s="76" t="s">
        <v>2513</v>
      </c>
      <c r="K826" s="76" t="s">
        <v>2514</v>
      </c>
      <c r="L826" s="73"/>
      <c r="M826" s="70" t="str">
        <f t="shared" si="3"/>
        <v>66 Days</v>
      </c>
      <c r="N826" s="70" t="str">
        <f>IF($A$3=" "," ", IFERROR( VLOOKUP($A826,'SUPPLIER DATA BASE'!$A$2:$O$936,11,0),""))</f>
        <v>-</v>
      </c>
      <c r="O826" s="70" t="str">
        <f>IF($A$3=" "," ", IFERROR( VLOOKUP($A826,'SUPPLIER DATA BASE'!$A$2:$O$936,12,0),""))</f>
        <v>-</v>
      </c>
      <c r="P826" s="70" t="str">
        <f>IF($A$3=" "," ", IFERROR( VLOOKUP($A826,'SUPPLIER DATA BASE'!$A$2:$O$936,13,0),""))</f>
        <v>-</v>
      </c>
      <c r="Q826" s="77"/>
      <c r="R826" s="73"/>
      <c r="S826" s="77"/>
      <c r="T826" s="70"/>
      <c r="U826" s="78"/>
      <c r="V826" s="70" t="str">
        <f t="shared" si="6"/>
        <v>FY 26-27</v>
      </c>
      <c r="W826" s="23"/>
      <c r="X826" s="23"/>
    </row>
    <row r="827">
      <c r="A827" s="70" t="s">
        <v>499</v>
      </c>
      <c r="B827" s="70" t="str">
        <f>IF($A$3=" "," ", IFERROR( VLOOKUP($A827,'SUPPLIER DATA BASE'!$A$2:$M$936,3,0),""))</f>
        <v>-</v>
      </c>
      <c r="C827" s="70" t="str">
        <f>IF($A$3=" "," ", IFERROR( VLOOKUP($A827,'SUPPLIER DATA BASE'!$A$2:$F$936,6,0),""))</f>
        <v>SURYAM TEXTILE AGENCY</v>
      </c>
      <c r="D827" s="70" t="str">
        <f>IF($A$3=" "," ", IFERROR( VLOOKUP($A827,'SUPPLIER DATA BASE'!$A$2:$G$936,4,0),""))</f>
        <v>NO</v>
      </c>
      <c r="E827" s="71" t="str">
        <f>IF($A$3=" "," ", IFERROR( VLOOKUP($A827,'SUPPLIER DATA BASE'!$A$2:$H$936,5,0),""))</f>
        <v>-</v>
      </c>
      <c r="F827" s="72">
        <v>453.0</v>
      </c>
      <c r="G827" s="73">
        <v>46122.0</v>
      </c>
      <c r="H827" s="74">
        <v>11.0</v>
      </c>
      <c r="I827" s="75">
        <v>42887.0</v>
      </c>
      <c r="J827" s="76" t="s">
        <v>2515</v>
      </c>
      <c r="K827" s="76" t="s">
        <v>2516</v>
      </c>
      <c r="L827" s="73"/>
      <c r="M827" s="70" t="str">
        <f t="shared" si="3"/>
        <v>66 Days</v>
      </c>
      <c r="N827" s="70" t="str">
        <f>IF($A$3=" "," ", IFERROR( VLOOKUP($A827,'SUPPLIER DATA BASE'!$A$2:$O$936,11,0),""))</f>
        <v>JAY AMBEY SAREES</v>
      </c>
      <c r="O827" s="70" t="str">
        <f>IF($A$3=" "," ", IFERROR( VLOOKUP($A827,'SUPPLIER DATA BASE'!$A$2:$O$936,12,0),""))</f>
        <v>50200027562802</v>
      </c>
      <c r="P827" s="70" t="str">
        <f>IF($A$3=" "," ", IFERROR( VLOOKUP($A827,'SUPPLIER DATA BASE'!$A$2:$O$936,13,0),""))</f>
        <v>HDFC0009027</v>
      </c>
      <c r="Q827" s="77"/>
      <c r="R827" s="73"/>
      <c r="S827" s="77"/>
      <c r="T827" s="70"/>
      <c r="U827" s="78"/>
      <c r="V827" s="70" t="str">
        <f t="shared" si="6"/>
        <v>FY 26-27</v>
      </c>
      <c r="W827" s="23"/>
      <c r="X827" s="23"/>
    </row>
    <row r="828">
      <c r="A828" s="70" t="s">
        <v>354</v>
      </c>
      <c r="B828" s="70" t="str">
        <f>IF($A$3=" "," ", IFERROR( VLOOKUP($A828,'SUPPLIER DATA BASE'!$A$2:$M$936,3,0),""))</f>
        <v>-</v>
      </c>
      <c r="C828" s="70" t="str">
        <f>IF($A$3=" "," ", IFERROR( VLOOKUP($A828,'SUPPLIER DATA BASE'!$A$2:$F$936,6,0),""))</f>
        <v>-</v>
      </c>
      <c r="D828" s="70" t="str">
        <f>IF($A$3=" "," ", IFERROR( VLOOKUP($A828,'SUPPLIER DATA BASE'!$A$2:$G$936,4,0),""))</f>
        <v>-</v>
      </c>
      <c r="E828" s="71" t="str">
        <f>IF($A$3=" "," ", IFERROR( VLOOKUP($A828,'SUPPLIER DATA BASE'!$A$2:$H$936,5,0),""))</f>
        <v>-</v>
      </c>
      <c r="F828" s="72" t="s">
        <v>2517</v>
      </c>
      <c r="G828" s="73">
        <v>46122.0</v>
      </c>
      <c r="H828" s="74">
        <v>7.0</v>
      </c>
      <c r="I828" s="75">
        <v>4127.83</v>
      </c>
      <c r="J828" s="76" t="s">
        <v>2518</v>
      </c>
      <c r="K828" s="76" t="s">
        <v>2519</v>
      </c>
      <c r="L828" s="73"/>
      <c r="M828" s="70" t="str">
        <f t="shared" si="3"/>
        <v>66 Days</v>
      </c>
      <c r="N828" s="70" t="str">
        <f>IF($A$3=" "," ", IFERROR( VLOOKUP($A828,'SUPPLIER DATA BASE'!$A$2:$O$936,11,0),""))</f>
        <v>-</v>
      </c>
      <c r="O828" s="70" t="str">
        <f>IF($A$3=" "," ", IFERROR( VLOOKUP($A828,'SUPPLIER DATA BASE'!$A$2:$O$936,12,0),""))</f>
        <v>-</v>
      </c>
      <c r="P828" s="70" t="str">
        <f>IF($A$3=" "," ", IFERROR( VLOOKUP($A828,'SUPPLIER DATA BASE'!$A$2:$O$936,13,0),""))</f>
        <v>-</v>
      </c>
      <c r="Q828" s="77"/>
      <c r="R828" s="73"/>
      <c r="S828" s="77"/>
      <c r="T828" s="70"/>
      <c r="U828" s="78"/>
      <c r="V828" s="70" t="str">
        <f t="shared" si="6"/>
        <v>FY 26-27</v>
      </c>
      <c r="W828" s="23"/>
      <c r="X828" s="23"/>
    </row>
    <row r="829">
      <c r="A829" s="70" t="s">
        <v>354</v>
      </c>
      <c r="B829" s="70" t="str">
        <f>IF($A$3=" "," ", IFERROR( VLOOKUP($A829,'SUPPLIER DATA BASE'!$A$2:$M$936,3,0),""))</f>
        <v>-</v>
      </c>
      <c r="C829" s="70" t="str">
        <f>IF($A$3=" "," ", IFERROR( VLOOKUP($A829,'SUPPLIER DATA BASE'!$A$2:$F$936,6,0),""))</f>
        <v>-</v>
      </c>
      <c r="D829" s="70" t="str">
        <f>IF($A$3=" "," ", IFERROR( VLOOKUP($A829,'SUPPLIER DATA BASE'!$A$2:$G$936,4,0),""))</f>
        <v>-</v>
      </c>
      <c r="E829" s="71" t="str">
        <f>IF($A$3=" "," ", IFERROR( VLOOKUP($A829,'SUPPLIER DATA BASE'!$A$2:$H$936,5,0),""))</f>
        <v>-</v>
      </c>
      <c r="F829" s="72" t="s">
        <v>2520</v>
      </c>
      <c r="G829" s="73">
        <v>46122.0</v>
      </c>
      <c r="H829" s="74">
        <v>6.0</v>
      </c>
      <c r="I829" s="75">
        <v>18203.03</v>
      </c>
      <c r="J829" s="76" t="s">
        <v>2521</v>
      </c>
      <c r="K829" s="76" t="s">
        <v>2522</v>
      </c>
      <c r="L829" s="73"/>
      <c r="M829" s="70" t="str">
        <f t="shared" si="3"/>
        <v>66 Days</v>
      </c>
      <c r="N829" s="70" t="str">
        <f>IF($A$3=" "," ", IFERROR( VLOOKUP($A829,'SUPPLIER DATA BASE'!$A$2:$O$936,11,0),""))</f>
        <v>-</v>
      </c>
      <c r="O829" s="70" t="str">
        <f>IF($A$3=" "," ", IFERROR( VLOOKUP($A829,'SUPPLIER DATA BASE'!$A$2:$O$936,12,0),""))</f>
        <v>-</v>
      </c>
      <c r="P829" s="70" t="str">
        <f>IF($A$3=" "," ", IFERROR( VLOOKUP($A829,'SUPPLIER DATA BASE'!$A$2:$O$936,13,0),""))</f>
        <v>-</v>
      </c>
      <c r="Q829" s="77"/>
      <c r="R829" s="73"/>
      <c r="S829" s="77"/>
      <c r="T829" s="70"/>
      <c r="U829" s="78"/>
      <c r="V829" s="70" t="str">
        <f t="shared" si="6"/>
        <v>FY 26-27</v>
      </c>
      <c r="W829" s="23"/>
      <c r="X829" s="23"/>
    </row>
    <row r="830">
      <c r="A830" s="70" t="s">
        <v>354</v>
      </c>
      <c r="B830" s="70" t="str">
        <f>IF($A$3=" "," ", IFERROR( VLOOKUP($A830,'SUPPLIER DATA BASE'!$A$2:$M$936,3,0),""))</f>
        <v>-</v>
      </c>
      <c r="C830" s="70" t="str">
        <f>IF($A$3=" "," ", IFERROR( VLOOKUP($A830,'SUPPLIER DATA BASE'!$A$2:$F$936,6,0),""))</f>
        <v>-</v>
      </c>
      <c r="D830" s="70" t="str">
        <f>IF($A$3=" "," ", IFERROR( VLOOKUP($A830,'SUPPLIER DATA BASE'!$A$2:$G$936,4,0),""))</f>
        <v>-</v>
      </c>
      <c r="E830" s="71" t="str">
        <f>IF($A$3=" "," ", IFERROR( VLOOKUP($A830,'SUPPLIER DATA BASE'!$A$2:$H$936,5,0),""))</f>
        <v>-</v>
      </c>
      <c r="F830" s="72" t="s">
        <v>2523</v>
      </c>
      <c r="G830" s="73">
        <v>46122.0</v>
      </c>
      <c r="H830" s="74">
        <v>16.0</v>
      </c>
      <c r="I830" s="75">
        <v>28503.15</v>
      </c>
      <c r="J830" s="76" t="s">
        <v>2524</v>
      </c>
      <c r="K830" s="76" t="s">
        <v>2525</v>
      </c>
      <c r="L830" s="73"/>
      <c r="M830" s="70" t="str">
        <f t="shared" si="3"/>
        <v>66 Days</v>
      </c>
      <c r="N830" s="70" t="str">
        <f>IF($A$3=" "," ", IFERROR( VLOOKUP($A830,'SUPPLIER DATA BASE'!$A$2:$O$936,11,0),""))</f>
        <v>-</v>
      </c>
      <c r="O830" s="70" t="str">
        <f>IF($A$3=" "," ", IFERROR( VLOOKUP($A830,'SUPPLIER DATA BASE'!$A$2:$O$936,12,0),""))</f>
        <v>-</v>
      </c>
      <c r="P830" s="70" t="str">
        <f>IF($A$3=" "," ", IFERROR( VLOOKUP($A830,'SUPPLIER DATA BASE'!$A$2:$O$936,13,0),""))</f>
        <v>-</v>
      </c>
      <c r="Q830" s="77"/>
      <c r="R830" s="73"/>
      <c r="S830" s="77"/>
      <c r="T830" s="70"/>
      <c r="U830" s="78"/>
      <c r="V830" s="70" t="str">
        <f t="shared" si="6"/>
        <v>FY 26-27</v>
      </c>
      <c r="W830" s="23"/>
      <c r="X830" s="23"/>
    </row>
    <row r="831">
      <c r="A831" s="70" t="s">
        <v>354</v>
      </c>
      <c r="B831" s="70" t="str">
        <f>IF($A$3=" "," ", IFERROR( VLOOKUP($A831,'SUPPLIER DATA BASE'!$A$2:$M$936,3,0),""))</f>
        <v>-</v>
      </c>
      <c r="C831" s="70" t="str">
        <f>IF($A$3=" "," ", IFERROR( VLOOKUP($A831,'SUPPLIER DATA BASE'!$A$2:$F$936,6,0),""))</f>
        <v>-</v>
      </c>
      <c r="D831" s="70" t="str">
        <f>IF($A$3=" "," ", IFERROR( VLOOKUP($A831,'SUPPLIER DATA BASE'!$A$2:$G$936,4,0),""))</f>
        <v>-</v>
      </c>
      <c r="E831" s="71" t="str">
        <f>IF($A$3=" "," ", IFERROR( VLOOKUP($A831,'SUPPLIER DATA BASE'!$A$2:$H$936,5,0),""))</f>
        <v>-</v>
      </c>
      <c r="F831" s="72" t="s">
        <v>2526</v>
      </c>
      <c r="G831" s="73">
        <v>46122.0</v>
      </c>
      <c r="H831" s="74">
        <v>1.0</v>
      </c>
      <c r="I831" s="75">
        <v>1808.05</v>
      </c>
      <c r="J831" s="76" t="s">
        <v>2527</v>
      </c>
      <c r="K831" s="76" t="s">
        <v>2528</v>
      </c>
      <c r="L831" s="73"/>
      <c r="M831" s="70" t="str">
        <f t="shared" si="3"/>
        <v>66 Days</v>
      </c>
      <c r="N831" s="70" t="str">
        <f>IF($A$3=" "," ", IFERROR( VLOOKUP($A831,'SUPPLIER DATA BASE'!$A$2:$O$936,11,0),""))</f>
        <v>-</v>
      </c>
      <c r="O831" s="70" t="str">
        <f>IF($A$3=" "," ", IFERROR( VLOOKUP($A831,'SUPPLIER DATA BASE'!$A$2:$O$936,12,0),""))</f>
        <v>-</v>
      </c>
      <c r="P831" s="70" t="str">
        <f>IF($A$3=" "," ", IFERROR( VLOOKUP($A831,'SUPPLIER DATA BASE'!$A$2:$O$936,13,0),""))</f>
        <v>-</v>
      </c>
      <c r="Q831" s="77"/>
      <c r="R831" s="73"/>
      <c r="S831" s="77"/>
      <c r="T831" s="70"/>
      <c r="U831" s="78"/>
      <c r="V831" s="70" t="str">
        <f t="shared" si="6"/>
        <v>FY 26-27</v>
      </c>
      <c r="W831" s="23"/>
      <c r="X831" s="23"/>
    </row>
    <row r="832">
      <c r="A832" s="70" t="s">
        <v>354</v>
      </c>
      <c r="B832" s="70" t="str">
        <f>IF($A$3=" "," ", IFERROR( VLOOKUP($A832,'SUPPLIER DATA BASE'!$A$2:$M$936,3,0),""))</f>
        <v>-</v>
      </c>
      <c r="C832" s="70" t="str">
        <f>IF($A$3=" "," ", IFERROR( VLOOKUP($A832,'SUPPLIER DATA BASE'!$A$2:$F$936,6,0),""))</f>
        <v>-</v>
      </c>
      <c r="D832" s="70" t="str">
        <f>IF($A$3=" "," ", IFERROR( VLOOKUP($A832,'SUPPLIER DATA BASE'!$A$2:$G$936,4,0),""))</f>
        <v>-</v>
      </c>
      <c r="E832" s="71" t="str">
        <f>IF($A$3=" "," ", IFERROR( VLOOKUP($A832,'SUPPLIER DATA BASE'!$A$2:$H$936,5,0),""))</f>
        <v>-</v>
      </c>
      <c r="F832" s="72" t="s">
        <v>2529</v>
      </c>
      <c r="G832" s="73">
        <v>46122.0</v>
      </c>
      <c r="H832" s="74">
        <v>24.0</v>
      </c>
      <c r="I832" s="75">
        <v>40620.19</v>
      </c>
      <c r="J832" s="76" t="s">
        <v>2530</v>
      </c>
      <c r="K832" s="76" t="s">
        <v>2531</v>
      </c>
      <c r="L832" s="73"/>
      <c r="M832" s="70" t="str">
        <f t="shared" si="3"/>
        <v>66 Days</v>
      </c>
      <c r="N832" s="70" t="str">
        <f>IF($A$3=" "," ", IFERROR( VLOOKUP($A832,'SUPPLIER DATA BASE'!$A$2:$O$936,11,0),""))</f>
        <v>-</v>
      </c>
      <c r="O832" s="70" t="str">
        <f>IF($A$3=" "," ", IFERROR( VLOOKUP($A832,'SUPPLIER DATA BASE'!$A$2:$O$936,12,0),""))</f>
        <v>-</v>
      </c>
      <c r="P832" s="70" t="str">
        <f>IF($A$3=" "," ", IFERROR( VLOOKUP($A832,'SUPPLIER DATA BASE'!$A$2:$O$936,13,0),""))</f>
        <v>-</v>
      </c>
      <c r="Q832" s="77"/>
      <c r="R832" s="73"/>
      <c r="S832" s="77"/>
      <c r="T832" s="70"/>
      <c r="U832" s="78"/>
      <c r="V832" s="70" t="str">
        <f t="shared" si="6"/>
        <v>FY 26-27</v>
      </c>
      <c r="W832" s="23"/>
      <c r="X832" s="23"/>
    </row>
    <row r="833">
      <c r="A833" s="70" t="s">
        <v>354</v>
      </c>
      <c r="B833" s="70" t="str">
        <f>IF($A$3=" "," ", IFERROR( VLOOKUP($A833,'SUPPLIER DATA BASE'!$A$2:$M$936,3,0),""))</f>
        <v>-</v>
      </c>
      <c r="C833" s="70" t="str">
        <f>IF($A$3=" "," ", IFERROR( VLOOKUP($A833,'SUPPLIER DATA BASE'!$A$2:$F$936,6,0),""))</f>
        <v>-</v>
      </c>
      <c r="D833" s="70" t="str">
        <f>IF($A$3=" "," ", IFERROR( VLOOKUP($A833,'SUPPLIER DATA BASE'!$A$2:$G$936,4,0),""))</f>
        <v>-</v>
      </c>
      <c r="E833" s="71" t="str">
        <f>IF($A$3=" "," ", IFERROR( VLOOKUP($A833,'SUPPLIER DATA BASE'!$A$2:$H$936,5,0),""))</f>
        <v>-</v>
      </c>
      <c r="F833" s="72" t="s">
        <v>2532</v>
      </c>
      <c r="G833" s="73">
        <v>46122.0</v>
      </c>
      <c r="H833" s="74">
        <v>8.0</v>
      </c>
      <c r="I833" s="75">
        <v>7157.76</v>
      </c>
      <c r="J833" s="76" t="s">
        <v>2533</v>
      </c>
      <c r="K833" s="76" t="s">
        <v>2534</v>
      </c>
      <c r="L833" s="73"/>
      <c r="M833" s="70" t="str">
        <f t="shared" si="3"/>
        <v>66 Days</v>
      </c>
      <c r="N833" s="70" t="str">
        <f>IF($A$3=" "," ", IFERROR( VLOOKUP($A833,'SUPPLIER DATA BASE'!$A$2:$O$936,11,0),""))</f>
        <v>-</v>
      </c>
      <c r="O833" s="70" t="str">
        <f>IF($A$3=" "," ", IFERROR( VLOOKUP($A833,'SUPPLIER DATA BASE'!$A$2:$O$936,12,0),""))</f>
        <v>-</v>
      </c>
      <c r="P833" s="70" t="str">
        <f>IF($A$3=" "," ", IFERROR( VLOOKUP($A833,'SUPPLIER DATA BASE'!$A$2:$O$936,13,0),""))</f>
        <v>-</v>
      </c>
      <c r="Q833" s="77"/>
      <c r="R833" s="73"/>
      <c r="S833" s="77"/>
      <c r="T833" s="70"/>
      <c r="U833" s="78"/>
      <c r="V833" s="70" t="str">
        <f t="shared" si="6"/>
        <v>FY 26-27</v>
      </c>
      <c r="W833" s="23"/>
      <c r="X833" s="23"/>
    </row>
    <row r="834">
      <c r="A834" s="70" t="s">
        <v>354</v>
      </c>
      <c r="B834" s="70" t="str">
        <f>IF($A$3=" "," ", IFERROR( VLOOKUP($A834,'SUPPLIER DATA BASE'!$A$2:$M$936,3,0),""))</f>
        <v>-</v>
      </c>
      <c r="C834" s="70" t="str">
        <f>IF($A$3=" "," ", IFERROR( VLOOKUP($A834,'SUPPLIER DATA BASE'!$A$2:$F$936,6,0),""))</f>
        <v>-</v>
      </c>
      <c r="D834" s="70" t="str">
        <f>IF($A$3=" "," ", IFERROR( VLOOKUP($A834,'SUPPLIER DATA BASE'!$A$2:$G$936,4,0),""))</f>
        <v>-</v>
      </c>
      <c r="E834" s="71" t="str">
        <f>IF($A$3=" "," ", IFERROR( VLOOKUP($A834,'SUPPLIER DATA BASE'!$A$2:$H$936,5,0),""))</f>
        <v>-</v>
      </c>
      <c r="F834" s="72" t="s">
        <v>2535</v>
      </c>
      <c r="G834" s="73">
        <v>46122.0</v>
      </c>
      <c r="H834" s="74">
        <v>10.0</v>
      </c>
      <c r="I834" s="75">
        <v>4989.54</v>
      </c>
      <c r="J834" s="76" t="s">
        <v>2536</v>
      </c>
      <c r="K834" s="76" t="s">
        <v>2537</v>
      </c>
      <c r="L834" s="73"/>
      <c r="M834" s="70" t="str">
        <f t="shared" si="3"/>
        <v>66 Days</v>
      </c>
      <c r="N834" s="70" t="str">
        <f>IF($A$3=" "," ", IFERROR( VLOOKUP($A834,'SUPPLIER DATA BASE'!$A$2:$O$936,11,0),""))</f>
        <v>-</v>
      </c>
      <c r="O834" s="70" t="str">
        <f>IF($A$3=" "," ", IFERROR( VLOOKUP($A834,'SUPPLIER DATA BASE'!$A$2:$O$936,12,0),""))</f>
        <v>-</v>
      </c>
      <c r="P834" s="70" t="str">
        <f>IF($A$3=" "," ", IFERROR( VLOOKUP($A834,'SUPPLIER DATA BASE'!$A$2:$O$936,13,0),""))</f>
        <v>-</v>
      </c>
      <c r="Q834" s="77"/>
      <c r="R834" s="73"/>
      <c r="S834" s="77"/>
      <c r="T834" s="70"/>
      <c r="U834" s="78"/>
      <c r="V834" s="70" t="str">
        <f t="shared" si="6"/>
        <v>FY 26-27</v>
      </c>
      <c r="W834" s="23"/>
      <c r="X834" s="23"/>
    </row>
    <row r="835">
      <c r="A835" s="70" t="s">
        <v>354</v>
      </c>
      <c r="B835" s="70" t="str">
        <f>IF($A$3=" "," ", IFERROR( VLOOKUP($A835,'SUPPLIER DATA BASE'!$A$2:$M$936,3,0),""))</f>
        <v>-</v>
      </c>
      <c r="C835" s="70" t="str">
        <f>IF($A$3=" "," ", IFERROR( VLOOKUP($A835,'SUPPLIER DATA BASE'!$A$2:$F$936,6,0),""))</f>
        <v>-</v>
      </c>
      <c r="D835" s="70" t="str">
        <f>IF($A$3=" "," ", IFERROR( VLOOKUP($A835,'SUPPLIER DATA BASE'!$A$2:$G$936,4,0),""))</f>
        <v>-</v>
      </c>
      <c r="E835" s="71" t="str">
        <f>IF($A$3=" "," ", IFERROR( VLOOKUP($A835,'SUPPLIER DATA BASE'!$A$2:$H$936,5,0),""))</f>
        <v>-</v>
      </c>
      <c r="F835" s="72" t="s">
        <v>2538</v>
      </c>
      <c r="G835" s="73">
        <v>46122.0</v>
      </c>
      <c r="H835" s="74">
        <v>18.0</v>
      </c>
      <c r="I835" s="75">
        <v>28296.48</v>
      </c>
      <c r="J835" s="76" t="s">
        <v>2539</v>
      </c>
      <c r="K835" s="76" t="s">
        <v>2540</v>
      </c>
      <c r="L835" s="73"/>
      <c r="M835" s="70" t="str">
        <f t="shared" si="3"/>
        <v>66 Days</v>
      </c>
      <c r="N835" s="70" t="str">
        <f>IF($A$3=" "," ", IFERROR( VLOOKUP($A835,'SUPPLIER DATA BASE'!$A$2:$O$936,11,0),""))</f>
        <v>-</v>
      </c>
      <c r="O835" s="70" t="str">
        <f>IF($A$3=" "," ", IFERROR( VLOOKUP($A835,'SUPPLIER DATA BASE'!$A$2:$O$936,12,0),""))</f>
        <v>-</v>
      </c>
      <c r="P835" s="70" t="str">
        <f>IF($A$3=" "," ", IFERROR( VLOOKUP($A835,'SUPPLIER DATA BASE'!$A$2:$O$936,13,0),""))</f>
        <v>-</v>
      </c>
      <c r="Q835" s="77"/>
      <c r="R835" s="73"/>
      <c r="S835" s="77"/>
      <c r="T835" s="70"/>
      <c r="U835" s="78"/>
      <c r="V835" s="70" t="str">
        <f t="shared" si="6"/>
        <v>FY 26-27</v>
      </c>
      <c r="W835" s="23"/>
      <c r="X835" s="23"/>
    </row>
    <row r="836">
      <c r="A836" s="70" t="s">
        <v>856</v>
      </c>
      <c r="B836" s="70" t="str">
        <f>IF($A$3=" "," ", IFERROR( VLOOKUP($A836,'SUPPLIER DATA BASE'!$A$2:$M$936,3,0),""))</f>
        <v>WELSPUN</v>
      </c>
      <c r="C836" s="70" t="str">
        <f>IF($A$3=" "," ", IFERROR( VLOOKUP($A836,'SUPPLIER DATA BASE'!$A$2:$F$936,6,0),""))</f>
        <v/>
      </c>
      <c r="D836" s="70">
        <f>IF($A$3=" "," ", IFERROR( VLOOKUP($A836,'SUPPLIER DATA BASE'!$A$2:$G$936,4,0),""))</f>
        <v>15</v>
      </c>
      <c r="E836" s="71">
        <f>IF($A$3=" "," ", IFERROR( VLOOKUP($A836,'SUPPLIER DATA BASE'!$A$2:$H$936,5,0),""))</f>
        <v>0.05</v>
      </c>
      <c r="F836" s="72" t="s">
        <v>2541</v>
      </c>
      <c r="G836" s="73">
        <v>46122.0</v>
      </c>
      <c r="H836" s="74">
        <v>238.0</v>
      </c>
      <c r="I836" s="75">
        <v>148524.0</v>
      </c>
      <c r="J836" s="76" t="s">
        <v>2542</v>
      </c>
      <c r="K836" s="76" t="s">
        <v>2543</v>
      </c>
      <c r="L836" s="73"/>
      <c r="M836" s="70" t="str">
        <f t="shared" si="3"/>
        <v>66 Days</v>
      </c>
      <c r="N836" s="70" t="str">
        <f>IF($A$3=" "," ", IFERROR( VLOOKUP($A836,'SUPPLIER DATA BASE'!$A$2:$O$936,11,0),""))</f>
        <v>C2D DISTRIBUTORS</v>
      </c>
      <c r="O836" s="70" t="str">
        <f>IF($A$3=" "," ", IFERROR( VLOOKUP($A836,'SUPPLIER DATA BASE'!$A$2:$O$936,12,0),""))</f>
        <v>50507532165</v>
      </c>
      <c r="P836" s="70" t="str">
        <f>IF($A$3=" "," ", IFERROR( VLOOKUP($A836,'SUPPLIER DATA BASE'!$A$2:$O$936,13,0),""))</f>
        <v>IDIB000D600</v>
      </c>
      <c r="Q836" s="77"/>
      <c r="R836" s="73"/>
      <c r="S836" s="77"/>
      <c r="T836" s="70"/>
      <c r="U836" s="78"/>
      <c r="V836" s="70" t="str">
        <f t="shared" si="6"/>
        <v>FY 26-27</v>
      </c>
      <c r="W836" s="23"/>
      <c r="X836" s="23"/>
    </row>
    <row r="837">
      <c r="A837" s="70" t="s">
        <v>623</v>
      </c>
      <c r="B837" s="70" t="str">
        <f>IF($A$3=" "," ", IFERROR( VLOOKUP($A837,'SUPPLIER DATA BASE'!$A$2:$M$936,3,0),""))</f>
        <v>-</v>
      </c>
      <c r="C837" s="70" t="str">
        <f>IF($A$3=" "," ", IFERROR( VLOOKUP($A837,'SUPPLIER DATA BASE'!$A$2:$F$936,6,0),""))</f>
        <v>-</v>
      </c>
      <c r="D837" s="70" t="str">
        <f>IF($A$3=" "," ", IFERROR( VLOOKUP($A837,'SUPPLIER DATA BASE'!$A$2:$G$936,4,0),""))</f>
        <v>-</v>
      </c>
      <c r="E837" s="71" t="str">
        <f>IF($A$3=" "," ", IFERROR( VLOOKUP($A837,'SUPPLIER DATA BASE'!$A$2:$H$936,5,0),""))</f>
        <v>-</v>
      </c>
      <c r="F837" s="72">
        <v>144.0</v>
      </c>
      <c r="G837" s="73">
        <v>46123.0</v>
      </c>
      <c r="H837" s="74">
        <v>34.0</v>
      </c>
      <c r="I837" s="75">
        <v>41481.0</v>
      </c>
      <c r="J837" s="76" t="s">
        <v>2544</v>
      </c>
      <c r="K837" s="76" t="s">
        <v>2545</v>
      </c>
      <c r="L837" s="73">
        <v>46125.0</v>
      </c>
      <c r="M837" s="70" t="str">
        <f t="shared" si="3"/>
        <v>65 Days</v>
      </c>
      <c r="N837" s="70" t="str">
        <f>IF($A$3=" "," ", IFERROR( VLOOKUP($A837,'SUPPLIER DATA BASE'!$A$2:$O$936,11,0),""))</f>
        <v>PLAZER FABRICS</v>
      </c>
      <c r="O837" s="70" t="str">
        <f>IF($A$3=" "," ", IFERROR( VLOOKUP($A837,'SUPPLIER DATA BASE'!$A$2:$O$936,12,0),""))</f>
        <v>50200014256984</v>
      </c>
      <c r="P837" s="70" t="str">
        <f>IF($A$3=" "," ", IFERROR( VLOOKUP($A837,'SUPPLIER DATA BASE'!$A$2:$O$936,13,0),""))</f>
        <v>HDFC0002834</v>
      </c>
      <c r="Q837" s="77"/>
      <c r="R837" s="73"/>
      <c r="S837" s="77"/>
      <c r="T837" s="70"/>
      <c r="U837" s="78"/>
      <c r="V837" s="70" t="str">
        <f t="shared" si="6"/>
        <v>FY 26-27</v>
      </c>
      <c r="W837" s="23"/>
      <c r="X837" s="23"/>
    </row>
    <row r="838">
      <c r="A838" s="70" t="s">
        <v>761</v>
      </c>
      <c r="B838" s="70" t="str">
        <f>IF($A$3=" "," ", IFERROR( VLOOKUP($A838,'SUPPLIER DATA BASE'!$A$2:$M$936,3,0),""))</f>
        <v>JOCKEY, LIBAS, ROCKIT, INTIGRITI, AMERICAN TOURISTER</v>
      </c>
      <c r="C838" s="70" t="str">
        <f>IF($A$3=" "," ", IFERROR( VLOOKUP($A838,'SUPPLIER DATA BASE'!$A$2:$F$936,6,0),""))</f>
        <v>DIRECT</v>
      </c>
      <c r="D838" s="70">
        <f>IF($A$3=" "," ", IFERROR( VLOOKUP($A838,'SUPPLIER DATA BASE'!$A$2:$G$936,4,0),""))</f>
        <v>7</v>
      </c>
      <c r="E838" s="71">
        <f>IF($A$3=" "," ", IFERROR( VLOOKUP($A838,'SUPPLIER DATA BASE'!$A$2:$H$936,5,0),""))</f>
        <v>0.02</v>
      </c>
      <c r="F838" s="72" t="s">
        <v>2546</v>
      </c>
      <c r="G838" s="73">
        <v>46123.0</v>
      </c>
      <c r="H838" s="74">
        <v>71.0</v>
      </c>
      <c r="I838" s="75">
        <v>83578.0</v>
      </c>
      <c r="J838" s="76" t="s">
        <v>2547</v>
      </c>
      <c r="K838" s="76" t="s">
        <v>2548</v>
      </c>
      <c r="L838" s="73"/>
      <c r="M838" s="70" t="str">
        <f t="shared" si="3"/>
        <v>65 Days</v>
      </c>
      <c r="N838" s="70" t="str">
        <f>IF($A$3=" "," ", IFERROR( VLOOKUP($A838,'SUPPLIER DATA BASE'!$A$2:$O$936,11,0),""))</f>
        <v>TAYAL GARMENTS PVT. LTD.</v>
      </c>
      <c r="O838" s="70" t="str">
        <f>IF($A$3=" "," ", IFERROR( VLOOKUP($A838,'SUPPLIER DATA BASE'!$A$2:$O$936,12,0),""))</f>
        <v>1199911999</v>
      </c>
      <c r="P838" s="70" t="str">
        <f>IF($A$3=" "," ", IFERROR( VLOOKUP($A838,'SUPPLIER DATA BASE'!$A$2:$O$936,13,0),""))</f>
        <v>KKBK0005632</v>
      </c>
      <c r="Q838" s="77"/>
      <c r="R838" s="73"/>
      <c r="S838" s="77"/>
      <c r="T838" s="70"/>
      <c r="U838" s="78"/>
      <c r="V838" s="70" t="str">
        <f t="shared" si="6"/>
        <v>FY 26-27</v>
      </c>
      <c r="W838" s="23"/>
      <c r="X838" s="23"/>
    </row>
    <row r="839">
      <c r="A839" s="70" t="s">
        <v>354</v>
      </c>
      <c r="B839" s="70" t="str">
        <f>IF($A$3=" "," ", IFERROR( VLOOKUP($A839,'SUPPLIER DATA BASE'!$A$2:$M$936,3,0),""))</f>
        <v>-</v>
      </c>
      <c r="C839" s="70" t="str">
        <f>IF($A$3=" "," ", IFERROR( VLOOKUP($A839,'SUPPLIER DATA BASE'!$A$2:$F$936,6,0),""))</f>
        <v>-</v>
      </c>
      <c r="D839" s="70" t="str">
        <f>IF($A$3=" "," ", IFERROR( VLOOKUP($A839,'SUPPLIER DATA BASE'!$A$2:$G$936,4,0),""))</f>
        <v>-</v>
      </c>
      <c r="E839" s="71" t="str">
        <f>IF($A$3=" "," ", IFERROR( VLOOKUP($A839,'SUPPLIER DATA BASE'!$A$2:$H$936,5,0),""))</f>
        <v>-</v>
      </c>
      <c r="F839" s="72" t="s">
        <v>2549</v>
      </c>
      <c r="G839" s="73">
        <v>46123.0</v>
      </c>
      <c r="H839" s="74">
        <v>10.0</v>
      </c>
      <c r="I839" s="75">
        <v>8489.48</v>
      </c>
      <c r="J839" s="76" t="s">
        <v>2550</v>
      </c>
      <c r="K839" s="76" t="s">
        <v>2551</v>
      </c>
      <c r="L839" s="73"/>
      <c r="M839" s="70" t="str">
        <f t="shared" si="3"/>
        <v>65 Days</v>
      </c>
      <c r="N839" s="70" t="str">
        <f>IF($A$3=" "," ", IFERROR( VLOOKUP($A839,'SUPPLIER DATA BASE'!$A$2:$O$936,11,0),""))</f>
        <v>-</v>
      </c>
      <c r="O839" s="70" t="str">
        <f>IF($A$3=" "," ", IFERROR( VLOOKUP($A839,'SUPPLIER DATA BASE'!$A$2:$O$936,12,0),""))</f>
        <v>-</v>
      </c>
      <c r="P839" s="70" t="str">
        <f>IF($A$3=" "," ", IFERROR( VLOOKUP($A839,'SUPPLIER DATA BASE'!$A$2:$O$936,13,0),""))</f>
        <v>-</v>
      </c>
      <c r="Q839" s="77"/>
      <c r="R839" s="73"/>
      <c r="S839" s="77"/>
      <c r="T839" s="70"/>
      <c r="U839" s="78"/>
      <c r="V839" s="70" t="str">
        <f t="shared" si="6"/>
        <v>FY 26-27</v>
      </c>
      <c r="W839" s="23"/>
      <c r="X839" s="23"/>
    </row>
    <row r="840">
      <c r="A840" s="70"/>
      <c r="B840" s="70" t="str">
        <f>IF($A$3=" "," ", IFERROR( VLOOKUP($A840,'SUPPLIER DATA BASE'!$A$2:$M$936,3,0),""))</f>
        <v/>
      </c>
      <c r="C840" s="70" t="str">
        <f>IF($A$3=" "," ", IFERROR( VLOOKUP($A840,'SUPPLIER DATA BASE'!$A$2:$F$936,6,0),""))</f>
        <v/>
      </c>
      <c r="D840" s="70" t="str">
        <f>IF($A$3=" "," ", IFERROR( VLOOKUP($A840,'SUPPLIER DATA BASE'!$A$2:$G$936,4,0),""))</f>
        <v/>
      </c>
      <c r="E840" s="71" t="str">
        <f>IF($A$3=" "," ", IFERROR( VLOOKUP($A840,'SUPPLIER DATA BASE'!$A$2:$H$936,5,0),""))</f>
        <v/>
      </c>
      <c r="F840" s="72">
        <v>29.0</v>
      </c>
      <c r="G840" s="73">
        <v>46123.0</v>
      </c>
      <c r="H840" s="74">
        <v>30.0</v>
      </c>
      <c r="I840" s="75">
        <v>31941.0</v>
      </c>
      <c r="J840" s="76" t="s">
        <v>2552</v>
      </c>
      <c r="K840" s="76" t="s">
        <v>2553</v>
      </c>
      <c r="L840" s="73"/>
      <c r="M840" s="70" t="str">
        <f t="shared" si="3"/>
        <v>65 Days</v>
      </c>
      <c r="N840" s="70" t="str">
        <f>IF($A$3=" "," ", IFERROR( VLOOKUP($A840,'SUPPLIER DATA BASE'!$A$2:$O$936,11,0),""))</f>
        <v/>
      </c>
      <c r="O840" s="70" t="str">
        <f>IF($A$3=" "," ", IFERROR( VLOOKUP($A840,'SUPPLIER DATA BASE'!$A$2:$O$936,12,0),""))</f>
        <v/>
      </c>
      <c r="P840" s="70" t="str">
        <f>IF($A$3=" "," ", IFERROR( VLOOKUP($A840,'SUPPLIER DATA BASE'!$A$2:$O$936,13,0),""))</f>
        <v/>
      </c>
      <c r="Q840" s="77"/>
      <c r="R840" s="73"/>
      <c r="S840" s="77"/>
      <c r="T840" s="70"/>
      <c r="U840" s="78"/>
      <c r="V840" s="70" t="str">
        <f t="shared" si="6"/>
        <v>FY 26-27</v>
      </c>
      <c r="W840" s="23"/>
      <c r="X840" s="23"/>
    </row>
    <row r="841">
      <c r="A841" s="70" t="s">
        <v>354</v>
      </c>
      <c r="B841" s="70" t="str">
        <f>IF($A$3=" "," ", IFERROR( VLOOKUP($A841,'SUPPLIER DATA BASE'!$A$2:$M$936,3,0),""))</f>
        <v>-</v>
      </c>
      <c r="C841" s="70" t="str">
        <f>IF($A$3=" "," ", IFERROR( VLOOKUP($A841,'SUPPLIER DATA BASE'!$A$2:$F$936,6,0),""))</f>
        <v>-</v>
      </c>
      <c r="D841" s="70" t="str">
        <f>IF($A$3=" "," ", IFERROR( VLOOKUP($A841,'SUPPLIER DATA BASE'!$A$2:$G$936,4,0),""))</f>
        <v>-</v>
      </c>
      <c r="E841" s="71" t="str">
        <f>IF($A$3=" "," ", IFERROR( VLOOKUP($A841,'SUPPLIER DATA BASE'!$A$2:$H$936,5,0),""))</f>
        <v>-</v>
      </c>
      <c r="F841" s="72" t="s">
        <v>2554</v>
      </c>
      <c r="G841" s="73">
        <v>46123.0</v>
      </c>
      <c r="H841" s="74">
        <v>10.0</v>
      </c>
      <c r="I841" s="75">
        <v>8489.48</v>
      </c>
      <c r="J841" s="76" t="s">
        <v>2555</v>
      </c>
      <c r="K841" s="76" t="s">
        <v>2556</v>
      </c>
      <c r="L841" s="73"/>
      <c r="M841" s="70" t="str">
        <f t="shared" si="3"/>
        <v>65 Days</v>
      </c>
      <c r="N841" s="70" t="str">
        <f>IF($A$3=" "," ", IFERROR( VLOOKUP($A841,'SUPPLIER DATA BASE'!$A$2:$O$936,11,0),""))</f>
        <v>-</v>
      </c>
      <c r="O841" s="70" t="str">
        <f>IF($A$3=" "," ", IFERROR( VLOOKUP($A841,'SUPPLIER DATA BASE'!$A$2:$O$936,12,0),""))</f>
        <v>-</v>
      </c>
      <c r="P841" s="70" t="str">
        <f>IF($A$3=" "," ", IFERROR( VLOOKUP($A841,'SUPPLIER DATA BASE'!$A$2:$O$936,13,0),""))</f>
        <v>-</v>
      </c>
      <c r="Q841" s="77"/>
      <c r="R841" s="73"/>
      <c r="S841" s="77"/>
      <c r="T841" s="70"/>
      <c r="U841" s="78"/>
      <c r="V841" s="70" t="str">
        <f t="shared" si="6"/>
        <v>FY 26-27</v>
      </c>
      <c r="W841" s="23"/>
      <c r="X841" s="23"/>
    </row>
    <row r="842">
      <c r="A842" s="70" t="s">
        <v>354</v>
      </c>
      <c r="B842" s="70" t="str">
        <f>IF($A$3=" "," ", IFERROR( VLOOKUP($A842,'SUPPLIER DATA BASE'!$A$2:$M$936,3,0),""))</f>
        <v>-</v>
      </c>
      <c r="C842" s="70" t="str">
        <f>IF($A$3=" "," ", IFERROR( VLOOKUP($A842,'SUPPLIER DATA BASE'!$A$2:$F$936,6,0),""))</f>
        <v>-</v>
      </c>
      <c r="D842" s="70" t="str">
        <f>IF($A$3=" "," ", IFERROR( VLOOKUP($A842,'SUPPLIER DATA BASE'!$A$2:$G$936,4,0),""))</f>
        <v>-</v>
      </c>
      <c r="E842" s="71" t="str">
        <f>IF($A$3=" "," ", IFERROR( VLOOKUP($A842,'SUPPLIER DATA BASE'!$A$2:$H$936,5,0),""))</f>
        <v>-</v>
      </c>
      <c r="F842" s="72" t="s">
        <v>2557</v>
      </c>
      <c r="G842" s="73">
        <v>46123.0</v>
      </c>
      <c r="H842" s="74">
        <v>10.0</v>
      </c>
      <c r="I842" s="75">
        <v>6489.52</v>
      </c>
      <c r="J842" s="76" t="s">
        <v>2558</v>
      </c>
      <c r="K842" s="76" t="s">
        <v>2559</v>
      </c>
      <c r="L842" s="73"/>
      <c r="M842" s="70" t="str">
        <f t="shared" si="3"/>
        <v>65 Days</v>
      </c>
      <c r="N842" s="70" t="str">
        <f>IF($A$3=" "," ", IFERROR( VLOOKUP($A842,'SUPPLIER DATA BASE'!$A$2:$O$936,11,0),""))</f>
        <v>-</v>
      </c>
      <c r="O842" s="70" t="str">
        <f>IF($A$3=" "," ", IFERROR( VLOOKUP($A842,'SUPPLIER DATA BASE'!$A$2:$O$936,12,0),""))</f>
        <v>-</v>
      </c>
      <c r="P842" s="70" t="str">
        <f>IF($A$3=" "," ", IFERROR( VLOOKUP($A842,'SUPPLIER DATA BASE'!$A$2:$O$936,13,0),""))</f>
        <v>-</v>
      </c>
      <c r="Q842" s="77"/>
      <c r="R842" s="73"/>
      <c r="S842" s="77"/>
      <c r="T842" s="70"/>
      <c r="U842" s="78"/>
      <c r="V842" s="70" t="str">
        <f t="shared" si="6"/>
        <v>FY 26-27</v>
      </c>
      <c r="W842" s="23"/>
      <c r="X842" s="23"/>
    </row>
    <row r="843">
      <c r="A843" s="70" t="s">
        <v>354</v>
      </c>
      <c r="B843" s="70" t="str">
        <f>IF($A$3=" "," ", IFERROR( VLOOKUP($A843,'SUPPLIER DATA BASE'!$A$2:$M$936,3,0),""))</f>
        <v>-</v>
      </c>
      <c r="C843" s="70" t="str">
        <f>IF($A$3=" "," ", IFERROR( VLOOKUP($A843,'SUPPLIER DATA BASE'!$A$2:$F$936,6,0),""))</f>
        <v>-</v>
      </c>
      <c r="D843" s="70" t="str">
        <f>IF($A$3=" "," ", IFERROR( VLOOKUP($A843,'SUPPLIER DATA BASE'!$A$2:$G$936,4,0),""))</f>
        <v>-</v>
      </c>
      <c r="E843" s="71" t="str">
        <f>IF($A$3=" "," ", IFERROR( VLOOKUP($A843,'SUPPLIER DATA BASE'!$A$2:$H$936,5,0),""))</f>
        <v>-</v>
      </c>
      <c r="F843" s="72" t="s">
        <v>2560</v>
      </c>
      <c r="G843" s="73">
        <v>46123.0</v>
      </c>
      <c r="H843" s="74">
        <v>30.0</v>
      </c>
      <c r="I843" s="75">
        <v>25468.42</v>
      </c>
      <c r="J843" s="76" t="s">
        <v>2561</v>
      </c>
      <c r="K843" s="76" t="s">
        <v>2562</v>
      </c>
      <c r="L843" s="73"/>
      <c r="M843" s="70" t="str">
        <f t="shared" si="3"/>
        <v>65 Days</v>
      </c>
      <c r="N843" s="70" t="str">
        <f>IF($A$3=" "," ", IFERROR( VLOOKUP($A843,'SUPPLIER DATA BASE'!$A$2:$O$936,11,0),""))</f>
        <v>-</v>
      </c>
      <c r="O843" s="70" t="str">
        <f>IF($A$3=" "," ", IFERROR( VLOOKUP($A843,'SUPPLIER DATA BASE'!$A$2:$O$936,12,0),""))</f>
        <v>-</v>
      </c>
      <c r="P843" s="70" t="str">
        <f>IF($A$3=" "," ", IFERROR( VLOOKUP($A843,'SUPPLIER DATA BASE'!$A$2:$O$936,13,0),""))</f>
        <v>-</v>
      </c>
      <c r="Q843" s="77"/>
      <c r="R843" s="73"/>
      <c r="S843" s="77"/>
      <c r="T843" s="70"/>
      <c r="U843" s="78"/>
      <c r="V843" s="70" t="str">
        <f t="shared" si="6"/>
        <v>FY 26-27</v>
      </c>
      <c r="W843" s="23"/>
      <c r="X843" s="23"/>
    </row>
    <row r="844">
      <c r="A844" s="70" t="s">
        <v>354</v>
      </c>
      <c r="B844" s="70" t="str">
        <f>IF($A$3=" "," ", IFERROR( VLOOKUP($A844,'SUPPLIER DATA BASE'!$A$2:$M$936,3,0),""))</f>
        <v>-</v>
      </c>
      <c r="C844" s="70" t="str">
        <f>IF($A$3=" "," ", IFERROR( VLOOKUP($A844,'SUPPLIER DATA BASE'!$A$2:$F$936,6,0),""))</f>
        <v>-</v>
      </c>
      <c r="D844" s="70" t="str">
        <f>IF($A$3=" "," ", IFERROR( VLOOKUP($A844,'SUPPLIER DATA BASE'!$A$2:$G$936,4,0),""))</f>
        <v>-</v>
      </c>
      <c r="E844" s="71" t="str">
        <f>IF($A$3=" "," ", IFERROR( VLOOKUP($A844,'SUPPLIER DATA BASE'!$A$2:$H$936,5,0),""))</f>
        <v>-</v>
      </c>
      <c r="F844" s="72" t="s">
        <v>2563</v>
      </c>
      <c r="G844" s="73">
        <v>46123.0</v>
      </c>
      <c r="H844" s="74">
        <v>10.0</v>
      </c>
      <c r="I844" s="75">
        <v>8489.48</v>
      </c>
      <c r="J844" s="76" t="s">
        <v>2564</v>
      </c>
      <c r="K844" s="76" t="s">
        <v>2565</v>
      </c>
      <c r="L844" s="73"/>
      <c r="M844" s="70" t="str">
        <f t="shared" si="3"/>
        <v>65 Days</v>
      </c>
      <c r="N844" s="70" t="str">
        <f>IF($A$3=" "," ", IFERROR( VLOOKUP($A844,'SUPPLIER DATA BASE'!$A$2:$O$936,11,0),""))</f>
        <v>-</v>
      </c>
      <c r="O844" s="70" t="str">
        <f>IF($A$3=" "," ", IFERROR( VLOOKUP($A844,'SUPPLIER DATA BASE'!$A$2:$O$936,12,0),""))</f>
        <v>-</v>
      </c>
      <c r="P844" s="70" t="str">
        <f>IF($A$3=" "," ", IFERROR( VLOOKUP($A844,'SUPPLIER DATA BASE'!$A$2:$O$936,13,0),""))</f>
        <v>-</v>
      </c>
      <c r="Q844" s="77"/>
      <c r="R844" s="73"/>
      <c r="S844" s="77"/>
      <c r="T844" s="70"/>
      <c r="U844" s="78"/>
      <c r="V844" s="70" t="str">
        <f t="shared" si="6"/>
        <v>FY 26-27</v>
      </c>
      <c r="W844" s="23"/>
      <c r="X844" s="23"/>
    </row>
    <row r="845">
      <c r="A845" s="70" t="s">
        <v>354</v>
      </c>
      <c r="B845" s="70" t="str">
        <f>IF($A$3=" "," ", IFERROR( VLOOKUP($A845,'SUPPLIER DATA BASE'!$A$2:$M$936,3,0),""))</f>
        <v>-</v>
      </c>
      <c r="C845" s="70" t="str">
        <f>IF($A$3=" "," ", IFERROR( VLOOKUP($A845,'SUPPLIER DATA BASE'!$A$2:$F$936,6,0),""))</f>
        <v>-</v>
      </c>
      <c r="D845" s="70" t="str">
        <f>IF($A$3=" "," ", IFERROR( VLOOKUP($A845,'SUPPLIER DATA BASE'!$A$2:$G$936,4,0),""))</f>
        <v>-</v>
      </c>
      <c r="E845" s="71" t="str">
        <f>IF($A$3=" "," ", IFERROR( VLOOKUP($A845,'SUPPLIER DATA BASE'!$A$2:$H$936,5,0),""))</f>
        <v>-</v>
      </c>
      <c r="F845" s="72" t="s">
        <v>2566</v>
      </c>
      <c r="G845" s="73">
        <v>46123.0</v>
      </c>
      <c r="H845" s="74">
        <v>20.0</v>
      </c>
      <c r="I845" s="75">
        <v>35447.47</v>
      </c>
      <c r="J845" s="76" t="s">
        <v>2567</v>
      </c>
      <c r="K845" s="76" t="s">
        <v>2568</v>
      </c>
      <c r="L845" s="73"/>
      <c r="M845" s="70" t="str">
        <f t="shared" si="3"/>
        <v>65 Days</v>
      </c>
      <c r="N845" s="70" t="str">
        <f>IF($A$3=" "," ", IFERROR( VLOOKUP($A845,'SUPPLIER DATA BASE'!$A$2:$O$936,11,0),""))</f>
        <v>-</v>
      </c>
      <c r="O845" s="70" t="str">
        <f>IF($A$3=" "," ", IFERROR( VLOOKUP($A845,'SUPPLIER DATA BASE'!$A$2:$O$936,12,0),""))</f>
        <v>-</v>
      </c>
      <c r="P845" s="70" t="str">
        <f>IF($A$3=" "," ", IFERROR( VLOOKUP($A845,'SUPPLIER DATA BASE'!$A$2:$O$936,13,0),""))</f>
        <v>-</v>
      </c>
      <c r="Q845" s="77"/>
      <c r="R845" s="73"/>
      <c r="S845" s="77"/>
      <c r="T845" s="70"/>
      <c r="U845" s="78"/>
      <c r="V845" s="70" t="str">
        <f t="shared" si="6"/>
        <v>FY 26-27</v>
      </c>
      <c r="W845" s="23"/>
      <c r="X845" s="23"/>
    </row>
    <row r="846">
      <c r="A846" s="70" t="s">
        <v>354</v>
      </c>
      <c r="B846" s="70" t="str">
        <f>IF($A$3=" "," ", IFERROR( VLOOKUP($A846,'SUPPLIER DATA BASE'!$A$2:$M$936,3,0),""))</f>
        <v>-</v>
      </c>
      <c r="C846" s="70" t="str">
        <f>IF($A$3=" "," ", IFERROR( VLOOKUP($A846,'SUPPLIER DATA BASE'!$A$2:$F$936,6,0),""))</f>
        <v>-</v>
      </c>
      <c r="D846" s="70" t="str">
        <f>IF($A$3=" "," ", IFERROR( VLOOKUP($A846,'SUPPLIER DATA BASE'!$A$2:$G$936,4,0),""))</f>
        <v>-</v>
      </c>
      <c r="E846" s="71" t="str">
        <f>IF($A$3=" "," ", IFERROR( VLOOKUP($A846,'SUPPLIER DATA BASE'!$A$2:$H$936,5,0),""))</f>
        <v>-</v>
      </c>
      <c r="F846" s="72" t="s">
        <v>2569</v>
      </c>
      <c r="G846" s="73">
        <v>46123.0</v>
      </c>
      <c r="H846" s="74">
        <v>8.0</v>
      </c>
      <c r="I846" s="75">
        <v>12117.04</v>
      </c>
      <c r="J846" s="76" t="s">
        <v>2570</v>
      </c>
      <c r="K846" s="76" t="s">
        <v>2571</v>
      </c>
      <c r="L846" s="73"/>
      <c r="M846" s="70" t="str">
        <f t="shared" si="3"/>
        <v>65 Days</v>
      </c>
      <c r="N846" s="70" t="str">
        <f>IF($A$3=" "," ", IFERROR( VLOOKUP($A846,'SUPPLIER DATA BASE'!$A$2:$O$936,11,0),""))</f>
        <v>-</v>
      </c>
      <c r="O846" s="70" t="str">
        <f>IF($A$3=" "," ", IFERROR( VLOOKUP($A846,'SUPPLIER DATA BASE'!$A$2:$O$936,12,0),""))</f>
        <v>-</v>
      </c>
      <c r="P846" s="70" t="str">
        <f>IF($A$3=" "," ", IFERROR( VLOOKUP($A846,'SUPPLIER DATA BASE'!$A$2:$O$936,13,0),""))</f>
        <v>-</v>
      </c>
      <c r="Q846" s="77"/>
      <c r="R846" s="73"/>
      <c r="S846" s="77"/>
      <c r="T846" s="70"/>
      <c r="U846" s="78"/>
      <c r="V846" s="70" t="str">
        <f t="shared" si="6"/>
        <v>FY 26-27</v>
      </c>
      <c r="W846" s="23"/>
      <c r="X846" s="23"/>
    </row>
    <row r="847">
      <c r="A847" s="70" t="s">
        <v>354</v>
      </c>
      <c r="B847" s="70" t="str">
        <f>IF($A$3=" "," ", IFERROR( VLOOKUP($A847,'SUPPLIER DATA BASE'!$A$2:$M$936,3,0),""))</f>
        <v>-</v>
      </c>
      <c r="C847" s="70" t="str">
        <f>IF($A$3=" "," ", IFERROR( VLOOKUP($A847,'SUPPLIER DATA BASE'!$A$2:$F$936,6,0),""))</f>
        <v>-</v>
      </c>
      <c r="D847" s="70" t="str">
        <f>IF($A$3=" "," ", IFERROR( VLOOKUP($A847,'SUPPLIER DATA BASE'!$A$2:$G$936,4,0),""))</f>
        <v>-</v>
      </c>
      <c r="E847" s="71" t="str">
        <f>IF($A$3=" "," ", IFERROR( VLOOKUP($A847,'SUPPLIER DATA BASE'!$A$2:$H$936,5,0),""))</f>
        <v>-</v>
      </c>
      <c r="F847" s="72" t="s">
        <v>2572</v>
      </c>
      <c r="G847" s="73">
        <v>46123.0</v>
      </c>
      <c r="H847" s="74">
        <v>9.0</v>
      </c>
      <c r="I847" s="75">
        <v>43885.86</v>
      </c>
      <c r="J847" s="76" t="s">
        <v>2573</v>
      </c>
      <c r="K847" s="76" t="s">
        <v>2574</v>
      </c>
      <c r="L847" s="73"/>
      <c r="M847" s="70" t="str">
        <f t="shared" si="3"/>
        <v>65 Days</v>
      </c>
      <c r="N847" s="70" t="str">
        <f>IF($A$3=" "," ", IFERROR( VLOOKUP($A847,'SUPPLIER DATA BASE'!$A$2:$O$936,11,0),""))</f>
        <v>-</v>
      </c>
      <c r="O847" s="70" t="str">
        <f>IF($A$3=" "," ", IFERROR( VLOOKUP($A847,'SUPPLIER DATA BASE'!$A$2:$O$936,12,0),""))</f>
        <v>-</v>
      </c>
      <c r="P847" s="70" t="str">
        <f>IF($A$3=" "," ", IFERROR( VLOOKUP($A847,'SUPPLIER DATA BASE'!$A$2:$O$936,13,0),""))</f>
        <v>-</v>
      </c>
      <c r="Q847" s="77"/>
      <c r="R847" s="73"/>
      <c r="S847" s="77"/>
      <c r="T847" s="70"/>
      <c r="U847" s="78"/>
      <c r="V847" s="70" t="str">
        <f t="shared" si="6"/>
        <v>FY 26-27</v>
      </c>
      <c r="W847" s="23"/>
      <c r="X847" s="23"/>
    </row>
    <row r="848">
      <c r="A848" s="70" t="s">
        <v>354</v>
      </c>
      <c r="B848" s="70" t="str">
        <f>IF($A$3=" "," ", IFERROR( VLOOKUP($A848,'SUPPLIER DATA BASE'!$A$2:$M$936,3,0),""))</f>
        <v>-</v>
      </c>
      <c r="C848" s="70" t="str">
        <f>IF($A$3=" "," ", IFERROR( VLOOKUP($A848,'SUPPLIER DATA BASE'!$A$2:$F$936,6,0),""))</f>
        <v>-</v>
      </c>
      <c r="D848" s="70" t="str">
        <f>IF($A$3=" "," ", IFERROR( VLOOKUP($A848,'SUPPLIER DATA BASE'!$A$2:$G$936,4,0),""))</f>
        <v>-</v>
      </c>
      <c r="E848" s="71" t="str">
        <f>IF($A$3=" "," ", IFERROR( VLOOKUP($A848,'SUPPLIER DATA BASE'!$A$2:$H$936,5,0),""))</f>
        <v>-</v>
      </c>
      <c r="F848" s="72" t="s">
        <v>2575</v>
      </c>
      <c r="G848" s="73">
        <v>46123.0</v>
      </c>
      <c r="H848" s="74">
        <v>5.0</v>
      </c>
      <c r="I848" s="75">
        <v>8558.07</v>
      </c>
      <c r="J848" s="76" t="s">
        <v>2576</v>
      </c>
      <c r="K848" s="76" t="s">
        <v>2577</v>
      </c>
      <c r="L848" s="73"/>
      <c r="M848" s="70" t="str">
        <f t="shared" si="3"/>
        <v>65 Days</v>
      </c>
      <c r="N848" s="70" t="str">
        <f>IF($A$3=" "," ", IFERROR( VLOOKUP($A848,'SUPPLIER DATA BASE'!$A$2:$O$936,11,0),""))</f>
        <v>-</v>
      </c>
      <c r="O848" s="70" t="str">
        <f>IF($A$3=" "," ", IFERROR( VLOOKUP($A848,'SUPPLIER DATA BASE'!$A$2:$O$936,12,0),""))</f>
        <v>-</v>
      </c>
      <c r="P848" s="70" t="str">
        <f>IF($A$3=" "," ", IFERROR( VLOOKUP($A848,'SUPPLIER DATA BASE'!$A$2:$O$936,13,0),""))</f>
        <v>-</v>
      </c>
      <c r="Q848" s="77"/>
      <c r="R848" s="73"/>
      <c r="S848" s="77"/>
      <c r="T848" s="70"/>
      <c r="U848" s="78"/>
      <c r="V848" s="70" t="str">
        <f t="shared" si="6"/>
        <v>FY 26-27</v>
      </c>
      <c r="W848" s="23"/>
      <c r="X848" s="23"/>
    </row>
    <row r="849">
      <c r="A849" s="70" t="s">
        <v>354</v>
      </c>
      <c r="B849" s="70" t="str">
        <f>IF($A$3=" "," ", IFERROR( VLOOKUP($A849,'SUPPLIER DATA BASE'!$A$2:$M$936,3,0),""))</f>
        <v>-</v>
      </c>
      <c r="C849" s="70" t="str">
        <f>IF($A$3=" "," ", IFERROR( VLOOKUP($A849,'SUPPLIER DATA BASE'!$A$2:$F$936,6,0),""))</f>
        <v>-</v>
      </c>
      <c r="D849" s="70" t="str">
        <f>IF($A$3=" "," ", IFERROR( VLOOKUP($A849,'SUPPLIER DATA BASE'!$A$2:$G$936,4,0),""))</f>
        <v>-</v>
      </c>
      <c r="E849" s="71" t="str">
        <f>IF($A$3=" "," ", IFERROR( VLOOKUP($A849,'SUPPLIER DATA BASE'!$A$2:$H$936,5,0),""))</f>
        <v>-</v>
      </c>
      <c r="F849" s="72" t="s">
        <v>2578</v>
      </c>
      <c r="G849" s="73">
        <v>46123.0</v>
      </c>
      <c r="H849" s="74">
        <v>10.0</v>
      </c>
      <c r="I849" s="75">
        <v>6489.52</v>
      </c>
      <c r="J849" s="76" t="s">
        <v>2579</v>
      </c>
      <c r="K849" s="76" t="s">
        <v>2580</v>
      </c>
      <c r="L849" s="73"/>
      <c r="M849" s="70" t="str">
        <f t="shared" si="3"/>
        <v>65 Days</v>
      </c>
      <c r="N849" s="70" t="str">
        <f>IF($A$3=" "," ", IFERROR( VLOOKUP($A849,'SUPPLIER DATA BASE'!$A$2:$O$936,11,0),""))</f>
        <v>-</v>
      </c>
      <c r="O849" s="70" t="str">
        <f>IF($A$3=" "," ", IFERROR( VLOOKUP($A849,'SUPPLIER DATA BASE'!$A$2:$O$936,12,0),""))</f>
        <v>-</v>
      </c>
      <c r="P849" s="70" t="str">
        <f>IF($A$3=" "," ", IFERROR( VLOOKUP($A849,'SUPPLIER DATA BASE'!$A$2:$O$936,13,0),""))</f>
        <v>-</v>
      </c>
      <c r="Q849" s="77"/>
      <c r="R849" s="73"/>
      <c r="S849" s="77"/>
      <c r="T849" s="70"/>
      <c r="U849" s="78"/>
      <c r="V849" s="70" t="str">
        <f t="shared" si="6"/>
        <v>FY 26-27</v>
      </c>
      <c r="W849" s="23"/>
      <c r="X849" s="23"/>
    </row>
    <row r="850">
      <c r="A850" s="70" t="s">
        <v>354</v>
      </c>
      <c r="B850" s="70" t="str">
        <f>IF($A$3=" "," ", IFERROR( VLOOKUP($A850,'SUPPLIER DATA BASE'!$A$2:$M$936,3,0),""))</f>
        <v>-</v>
      </c>
      <c r="C850" s="70" t="str">
        <f>IF($A$3=" "," ", IFERROR( VLOOKUP($A850,'SUPPLIER DATA BASE'!$A$2:$F$936,6,0),""))</f>
        <v>-</v>
      </c>
      <c r="D850" s="70" t="str">
        <f>IF($A$3=" "," ", IFERROR( VLOOKUP($A850,'SUPPLIER DATA BASE'!$A$2:$G$936,4,0),""))</f>
        <v>-</v>
      </c>
      <c r="E850" s="71" t="str">
        <f>IF($A$3=" "," ", IFERROR( VLOOKUP($A850,'SUPPLIER DATA BASE'!$A$2:$H$936,5,0),""))</f>
        <v>-</v>
      </c>
      <c r="F850" s="72" t="s">
        <v>2581</v>
      </c>
      <c r="G850" s="73">
        <v>46123.0</v>
      </c>
      <c r="H850" s="74">
        <v>35.0</v>
      </c>
      <c r="I850" s="75">
        <v>29713.15</v>
      </c>
      <c r="J850" s="76" t="s">
        <v>2582</v>
      </c>
      <c r="K850" s="76" t="s">
        <v>2583</v>
      </c>
      <c r="L850" s="73"/>
      <c r="M850" s="70" t="str">
        <f t="shared" si="3"/>
        <v>65 Days</v>
      </c>
      <c r="N850" s="70" t="str">
        <f>IF($A$3=" "," ", IFERROR( VLOOKUP($A850,'SUPPLIER DATA BASE'!$A$2:$O$936,11,0),""))</f>
        <v>-</v>
      </c>
      <c r="O850" s="70" t="str">
        <f>IF($A$3=" "," ", IFERROR( VLOOKUP($A850,'SUPPLIER DATA BASE'!$A$2:$O$936,12,0),""))</f>
        <v>-</v>
      </c>
      <c r="P850" s="70" t="str">
        <f>IF($A$3=" "," ", IFERROR( VLOOKUP($A850,'SUPPLIER DATA BASE'!$A$2:$O$936,13,0),""))</f>
        <v>-</v>
      </c>
      <c r="Q850" s="77"/>
      <c r="R850" s="73"/>
      <c r="S850" s="77"/>
      <c r="T850" s="70"/>
      <c r="U850" s="78"/>
      <c r="V850" s="70" t="str">
        <f t="shared" si="6"/>
        <v>FY 26-27</v>
      </c>
      <c r="W850" s="23"/>
      <c r="X850" s="23"/>
    </row>
    <row r="851">
      <c r="A851" s="70" t="s">
        <v>354</v>
      </c>
      <c r="B851" s="70" t="str">
        <f>IF($A$3=" "," ", IFERROR( VLOOKUP($A851,'SUPPLIER DATA BASE'!$A$2:$M$936,3,0),""))</f>
        <v>-</v>
      </c>
      <c r="C851" s="70" t="str">
        <f>IF($A$3=" "," ", IFERROR( VLOOKUP($A851,'SUPPLIER DATA BASE'!$A$2:$F$936,6,0),""))</f>
        <v>-</v>
      </c>
      <c r="D851" s="70" t="str">
        <f>IF($A$3=" "," ", IFERROR( VLOOKUP($A851,'SUPPLIER DATA BASE'!$A$2:$G$936,4,0),""))</f>
        <v>-</v>
      </c>
      <c r="E851" s="71" t="str">
        <f>IF($A$3=" "," ", IFERROR( VLOOKUP($A851,'SUPPLIER DATA BASE'!$A$2:$H$936,5,0),""))</f>
        <v>-</v>
      </c>
      <c r="F851" s="72" t="s">
        <v>2584</v>
      </c>
      <c r="G851" s="73">
        <v>46123.0</v>
      </c>
      <c r="H851" s="74">
        <v>4.0</v>
      </c>
      <c r="I851" s="75">
        <v>8042.7</v>
      </c>
      <c r="J851" s="76" t="s">
        <v>2585</v>
      </c>
      <c r="K851" s="76" t="s">
        <v>2586</v>
      </c>
      <c r="L851" s="73"/>
      <c r="M851" s="70" t="str">
        <f t="shared" si="3"/>
        <v>65 Days</v>
      </c>
      <c r="N851" s="70" t="str">
        <f>IF($A$3=" "," ", IFERROR( VLOOKUP($A851,'SUPPLIER DATA BASE'!$A$2:$O$936,11,0),""))</f>
        <v>-</v>
      </c>
      <c r="O851" s="70" t="str">
        <f>IF($A$3=" "," ", IFERROR( VLOOKUP($A851,'SUPPLIER DATA BASE'!$A$2:$O$936,12,0),""))</f>
        <v>-</v>
      </c>
      <c r="P851" s="70" t="str">
        <f>IF($A$3=" "," ", IFERROR( VLOOKUP($A851,'SUPPLIER DATA BASE'!$A$2:$O$936,13,0),""))</f>
        <v>-</v>
      </c>
      <c r="Q851" s="77"/>
      <c r="R851" s="73"/>
      <c r="S851" s="77"/>
      <c r="T851" s="70"/>
      <c r="U851" s="78"/>
      <c r="V851" s="70" t="str">
        <f t="shared" si="6"/>
        <v>FY 26-27</v>
      </c>
      <c r="W851" s="23"/>
      <c r="X851" s="23"/>
    </row>
    <row r="852">
      <c r="A852" s="70" t="s">
        <v>354</v>
      </c>
      <c r="B852" s="70" t="str">
        <f>IF($A$3=" "," ", IFERROR( VLOOKUP($A852,'SUPPLIER DATA BASE'!$A$2:$M$936,3,0),""))</f>
        <v>-</v>
      </c>
      <c r="C852" s="70" t="str">
        <f>IF($A$3=" "," ", IFERROR( VLOOKUP($A852,'SUPPLIER DATA BASE'!$A$2:$F$936,6,0),""))</f>
        <v>-</v>
      </c>
      <c r="D852" s="70" t="str">
        <f>IF($A$3=" "," ", IFERROR( VLOOKUP($A852,'SUPPLIER DATA BASE'!$A$2:$G$936,4,0),""))</f>
        <v>-</v>
      </c>
      <c r="E852" s="71" t="str">
        <f>IF($A$3=" "," ", IFERROR( VLOOKUP($A852,'SUPPLIER DATA BASE'!$A$2:$H$936,5,0),""))</f>
        <v>-</v>
      </c>
      <c r="F852" s="72" t="s">
        <v>2587</v>
      </c>
      <c r="G852" s="73">
        <v>46123.0</v>
      </c>
      <c r="H852" s="74">
        <v>7.0</v>
      </c>
      <c r="I852" s="75">
        <v>10602.41</v>
      </c>
      <c r="J852" s="76" t="s">
        <v>2588</v>
      </c>
      <c r="K852" s="76" t="s">
        <v>2589</v>
      </c>
      <c r="L852" s="73"/>
      <c r="M852" s="70" t="str">
        <f t="shared" si="3"/>
        <v>65 Days</v>
      </c>
      <c r="N852" s="70" t="str">
        <f>IF($A$3=" "," ", IFERROR( VLOOKUP($A852,'SUPPLIER DATA BASE'!$A$2:$O$936,11,0),""))</f>
        <v>-</v>
      </c>
      <c r="O852" s="70" t="str">
        <f>IF($A$3=" "," ", IFERROR( VLOOKUP($A852,'SUPPLIER DATA BASE'!$A$2:$O$936,12,0),""))</f>
        <v>-</v>
      </c>
      <c r="P852" s="70" t="str">
        <f>IF($A$3=" "," ", IFERROR( VLOOKUP($A852,'SUPPLIER DATA BASE'!$A$2:$O$936,13,0),""))</f>
        <v>-</v>
      </c>
      <c r="Q852" s="77"/>
      <c r="R852" s="73"/>
      <c r="S852" s="77"/>
      <c r="T852" s="70"/>
      <c r="U852" s="78"/>
      <c r="V852" s="70" t="str">
        <f t="shared" si="6"/>
        <v>FY 26-27</v>
      </c>
      <c r="W852" s="23"/>
      <c r="X852" s="23"/>
    </row>
    <row r="853">
      <c r="A853" s="70" t="s">
        <v>851</v>
      </c>
      <c r="B853" s="70" t="str">
        <f>IF($A$3=" "," ", IFERROR( VLOOKUP($A853,'SUPPLIER DATA BASE'!$A$2:$M$936,3,0),""))</f>
        <v/>
      </c>
      <c r="C853" s="70" t="str">
        <f>IF($A$3=" "," ", IFERROR( VLOOKUP($A853,'SUPPLIER DATA BASE'!$A$2:$F$936,6,0),""))</f>
        <v/>
      </c>
      <c r="D853" s="70" t="str">
        <f>IF($A$3=" "," ", IFERROR( VLOOKUP($A853,'SUPPLIER DATA BASE'!$A$2:$G$936,4,0),""))</f>
        <v/>
      </c>
      <c r="E853" s="71" t="str">
        <f>IF($A$3=" "," ", IFERROR( VLOOKUP($A853,'SUPPLIER DATA BASE'!$A$2:$H$936,5,0),""))</f>
        <v/>
      </c>
      <c r="F853" s="72" t="s">
        <v>2590</v>
      </c>
      <c r="G853" s="73">
        <v>46123.0</v>
      </c>
      <c r="H853" s="74">
        <v>33.0</v>
      </c>
      <c r="I853" s="75">
        <v>94894.0</v>
      </c>
      <c r="J853" s="76" t="s">
        <v>2591</v>
      </c>
      <c r="K853" s="76" t="s">
        <v>2592</v>
      </c>
      <c r="L853" s="73"/>
      <c r="M853" s="70" t="str">
        <f t="shared" si="3"/>
        <v>65 Days</v>
      </c>
      <c r="N853" s="70" t="str">
        <f>IF($A$3=" "," ", IFERROR( VLOOKUP($A853,'SUPPLIER DATA BASE'!$A$2:$O$936,11,0),""))</f>
        <v/>
      </c>
      <c r="O853" s="70" t="str">
        <f>IF($A$3=" "," ", IFERROR( VLOOKUP($A853,'SUPPLIER DATA BASE'!$A$2:$O$936,12,0),""))</f>
        <v/>
      </c>
      <c r="P853" s="70" t="str">
        <f>IF($A$3=" "," ", IFERROR( VLOOKUP($A853,'SUPPLIER DATA BASE'!$A$2:$O$936,13,0),""))</f>
        <v/>
      </c>
      <c r="Q853" s="77"/>
      <c r="R853" s="73"/>
      <c r="S853" s="77"/>
      <c r="T853" s="70"/>
      <c r="U853" s="78"/>
      <c r="V853" s="70" t="str">
        <f t="shared" si="6"/>
        <v>FY 26-27</v>
      </c>
      <c r="W853" s="23"/>
      <c r="X853" s="23"/>
    </row>
    <row r="854">
      <c r="A854" s="70" t="s">
        <v>354</v>
      </c>
      <c r="B854" s="70" t="str">
        <f>IF($A$3=" "," ", IFERROR( VLOOKUP($A854,'SUPPLIER DATA BASE'!$A$2:$M$936,3,0),""))</f>
        <v>-</v>
      </c>
      <c r="C854" s="70" t="str">
        <f>IF($A$3=" "," ", IFERROR( VLOOKUP($A854,'SUPPLIER DATA BASE'!$A$2:$F$936,6,0),""))</f>
        <v>-</v>
      </c>
      <c r="D854" s="70" t="str">
        <f>IF($A$3=" "," ", IFERROR( VLOOKUP($A854,'SUPPLIER DATA BASE'!$A$2:$G$936,4,0),""))</f>
        <v>-</v>
      </c>
      <c r="E854" s="71" t="str">
        <f>IF($A$3=" "," ", IFERROR( VLOOKUP($A854,'SUPPLIER DATA BASE'!$A$2:$H$936,5,0),""))</f>
        <v>-</v>
      </c>
      <c r="F854" s="72" t="s">
        <v>2593</v>
      </c>
      <c r="G854" s="73">
        <v>46123.0</v>
      </c>
      <c r="H854" s="74">
        <v>10.0</v>
      </c>
      <c r="I854" s="75">
        <v>6489.52</v>
      </c>
      <c r="J854" s="76" t="s">
        <v>2594</v>
      </c>
      <c r="K854" s="76" t="s">
        <v>2595</v>
      </c>
      <c r="L854" s="73"/>
      <c r="M854" s="70" t="str">
        <f t="shared" si="3"/>
        <v>65 Days</v>
      </c>
      <c r="N854" s="70" t="str">
        <f>IF($A$3=" "," ", IFERROR( VLOOKUP($A854,'SUPPLIER DATA BASE'!$A$2:$O$936,11,0),""))</f>
        <v>-</v>
      </c>
      <c r="O854" s="70" t="str">
        <f>IF($A$3=" "," ", IFERROR( VLOOKUP($A854,'SUPPLIER DATA BASE'!$A$2:$O$936,12,0),""))</f>
        <v>-</v>
      </c>
      <c r="P854" s="70" t="str">
        <f>IF($A$3=" "," ", IFERROR( VLOOKUP($A854,'SUPPLIER DATA BASE'!$A$2:$O$936,13,0),""))</f>
        <v>-</v>
      </c>
      <c r="Q854" s="77"/>
      <c r="R854" s="73"/>
      <c r="S854" s="77"/>
      <c r="T854" s="70"/>
      <c r="U854" s="78"/>
      <c r="V854" s="70" t="str">
        <f t="shared" si="6"/>
        <v>FY 26-27</v>
      </c>
      <c r="W854" s="23"/>
      <c r="X854" s="23"/>
    </row>
    <row r="855">
      <c r="A855" s="70" t="s">
        <v>620</v>
      </c>
      <c r="B855" s="70" t="str">
        <f>IF($A$3=" "," ", IFERROR( VLOOKUP($A855,'SUPPLIER DATA BASE'!$A$2:$M$936,3,0),""))</f>
        <v>DMG/KRMS/TME/S</v>
      </c>
      <c r="C855" s="70" t="str">
        <f>IF($A$3=" "," ", IFERROR( VLOOKUP($A855,'SUPPLIER DATA BASE'!$A$2:$F$936,6,0),""))</f>
        <v>-</v>
      </c>
      <c r="D855" s="70" t="str">
        <f>IF($A$3=" "," ", IFERROR( VLOOKUP($A855,'SUPPLIER DATA BASE'!$A$2:$G$936,4,0),""))</f>
        <v>-</v>
      </c>
      <c r="E855" s="71" t="str">
        <f>IF($A$3=" "," ", IFERROR( VLOOKUP($A855,'SUPPLIER DATA BASE'!$A$2:$H$936,5,0),""))</f>
        <v>-</v>
      </c>
      <c r="F855" s="72" t="s">
        <v>2596</v>
      </c>
      <c r="G855" s="73">
        <v>46125.0</v>
      </c>
      <c r="H855" s="74">
        <v>42.0</v>
      </c>
      <c r="I855" s="75">
        <v>1835.0</v>
      </c>
      <c r="J855" s="76" t="s">
        <v>2597</v>
      </c>
      <c r="K855" s="76" t="s">
        <v>2598</v>
      </c>
      <c r="L855" s="73">
        <v>46126.0</v>
      </c>
      <c r="M855" s="70" t="str">
        <f t="shared" si="3"/>
        <v>63 Days</v>
      </c>
      <c r="N855" s="70" t="str">
        <f>IF($A$3=" "," ", IFERROR( VLOOKUP($A855,'SUPPLIER DATA BASE'!$A$2:$O$936,11,0),""))</f>
        <v>PAYAL GARMENTS</v>
      </c>
      <c r="O855" s="70" t="str">
        <f>IF($A$3=" "," ", IFERROR( VLOOKUP($A855,'SUPPLIER DATA BASE'!$A$2:$O$936,12,0),""))</f>
        <v>99921800000005</v>
      </c>
      <c r="P855" s="70" t="str">
        <f>IF($A$3=" "," ", IFERROR( VLOOKUP($A855,'SUPPLIER DATA BASE'!$A$2:$O$936,13,0),""))</f>
        <v>HDFC0002834</v>
      </c>
      <c r="Q855" s="77"/>
      <c r="R855" s="73"/>
      <c r="S855" s="77"/>
      <c r="T855" s="70"/>
      <c r="U855" s="78"/>
      <c r="V855" s="70" t="str">
        <f t="shared" si="6"/>
        <v>FY 26-27</v>
      </c>
      <c r="W855" s="23"/>
      <c r="X855" s="23"/>
    </row>
    <row r="856">
      <c r="A856" s="70" t="s">
        <v>609</v>
      </c>
      <c r="B856" s="70" t="str">
        <f>IF($A$3=" "," ", IFERROR( VLOOKUP($A856,'SUPPLIER DATA BASE'!$A$2:$M$936,3,0),""))</f>
        <v>-</v>
      </c>
      <c r="C856" s="70" t="str">
        <f>IF($A$3=" "," ", IFERROR( VLOOKUP($A856,'SUPPLIER DATA BASE'!$A$2:$F$936,6,0),""))</f>
        <v>-</v>
      </c>
      <c r="D856" s="70" t="str">
        <f>IF($A$3=" "," ", IFERROR( VLOOKUP($A856,'SUPPLIER DATA BASE'!$A$2:$G$936,4,0),""))</f>
        <v>-</v>
      </c>
      <c r="E856" s="71" t="str">
        <f>IF($A$3=" "," ", IFERROR( VLOOKUP($A856,'SUPPLIER DATA BASE'!$A$2:$H$936,5,0),""))</f>
        <v>-</v>
      </c>
      <c r="F856" s="72">
        <v>1440.0</v>
      </c>
      <c r="G856" s="73">
        <v>46125.0</v>
      </c>
      <c r="H856" s="74">
        <v>49.0</v>
      </c>
      <c r="I856" s="75">
        <v>103680.0</v>
      </c>
      <c r="J856" s="76" t="s">
        <v>2599</v>
      </c>
      <c r="K856" s="76" t="s">
        <v>2600</v>
      </c>
      <c r="L856" s="73">
        <v>46126.0</v>
      </c>
      <c r="M856" s="70" t="str">
        <f t="shared" si="3"/>
        <v>63 Days</v>
      </c>
      <c r="N856" s="70" t="str">
        <f>IF($A$3=" "," ", IFERROR( VLOOKUP($A856,'SUPPLIER DATA BASE'!$A$2:$O$936,11,0),""))</f>
        <v>P R MODI AND SONS</v>
      </c>
      <c r="O856" s="70" t="str">
        <f>IF($A$3=" "," ", IFERROR( VLOOKUP($A856,'SUPPLIER DATA BASE'!$A$2:$O$936,12,0),""))</f>
        <v>490930150000030</v>
      </c>
      <c r="P856" s="70" t="str">
        <f>IF($A$3=" "," ", IFERROR( VLOOKUP($A856,'SUPPLIER DATA BASE'!$A$2:$O$936,13,0),""))</f>
        <v>BKID0004909</v>
      </c>
      <c r="Q856" s="77"/>
      <c r="R856" s="73"/>
      <c r="S856" s="77"/>
      <c r="T856" s="70"/>
      <c r="U856" s="78"/>
      <c r="V856" s="70" t="str">
        <f t="shared" si="6"/>
        <v>FY 26-27</v>
      </c>
      <c r="W856" s="23"/>
      <c r="X856" s="23"/>
    </row>
    <row r="857">
      <c r="A857" s="70" t="s">
        <v>609</v>
      </c>
      <c r="B857" s="70" t="str">
        <f>IF($A$3=" "," ", IFERROR( VLOOKUP($A857,'SUPPLIER DATA BASE'!$A$2:$M$936,3,0),""))</f>
        <v>-</v>
      </c>
      <c r="C857" s="70" t="str">
        <f>IF($A$3=" "," ", IFERROR( VLOOKUP($A857,'SUPPLIER DATA BASE'!$A$2:$F$936,6,0),""))</f>
        <v>-</v>
      </c>
      <c r="D857" s="70" t="str">
        <f>IF($A$3=" "," ", IFERROR( VLOOKUP($A857,'SUPPLIER DATA BASE'!$A$2:$G$936,4,0),""))</f>
        <v>-</v>
      </c>
      <c r="E857" s="71" t="str">
        <f>IF($A$3=" "," ", IFERROR( VLOOKUP($A857,'SUPPLIER DATA BASE'!$A$2:$H$936,5,0),""))</f>
        <v>-</v>
      </c>
      <c r="F857" s="72">
        <v>1443.0</v>
      </c>
      <c r="G857" s="73">
        <v>46125.0</v>
      </c>
      <c r="H857" s="74">
        <v>27.0</v>
      </c>
      <c r="I857" s="75">
        <v>44826.0</v>
      </c>
      <c r="J857" s="76" t="s">
        <v>2601</v>
      </c>
      <c r="K857" s="76" t="s">
        <v>2602</v>
      </c>
      <c r="L857" s="73">
        <v>46126.0</v>
      </c>
      <c r="M857" s="70" t="str">
        <f t="shared" si="3"/>
        <v>63 Days</v>
      </c>
      <c r="N857" s="70" t="str">
        <f>IF($A$3=" "," ", IFERROR( VLOOKUP($A857,'SUPPLIER DATA BASE'!$A$2:$O$936,11,0),""))</f>
        <v>P R MODI AND SONS</v>
      </c>
      <c r="O857" s="70" t="str">
        <f>IF($A$3=" "," ", IFERROR( VLOOKUP($A857,'SUPPLIER DATA BASE'!$A$2:$O$936,12,0),""))</f>
        <v>490930150000030</v>
      </c>
      <c r="P857" s="70" t="str">
        <f>IF($A$3=" "," ", IFERROR( VLOOKUP($A857,'SUPPLIER DATA BASE'!$A$2:$O$936,13,0),""))</f>
        <v>BKID0004909</v>
      </c>
      <c r="Q857" s="77"/>
      <c r="R857" s="73"/>
      <c r="S857" s="77"/>
      <c r="T857" s="70"/>
      <c r="U857" s="78"/>
      <c r="V857" s="70" t="str">
        <f t="shared" si="6"/>
        <v>FY 26-27</v>
      </c>
      <c r="W857" s="23"/>
      <c r="X857" s="23"/>
    </row>
    <row r="858">
      <c r="A858" s="70" t="s">
        <v>541</v>
      </c>
      <c r="B858" s="70" t="str">
        <f>IF($A$3=" "," ", IFERROR( VLOOKUP($A858,'SUPPLIER DATA BASE'!$A$2:$M$936,3,0),""))</f>
        <v>TWILLS</v>
      </c>
      <c r="C858" s="70" t="str">
        <f>IF($A$3=" "," ", IFERROR( VLOOKUP($A858,'SUPPLIER DATA BASE'!$A$2:$F$936,6,0),""))</f>
        <v>-</v>
      </c>
      <c r="D858" s="70" t="str">
        <f>IF($A$3=" "," ", IFERROR( VLOOKUP($A858,'SUPPLIER DATA BASE'!$A$2:$G$936,4,0),""))</f>
        <v>-</v>
      </c>
      <c r="E858" s="71" t="str">
        <f>IF($A$3=" "," ", IFERROR( VLOOKUP($A858,'SUPPLIER DATA BASE'!$A$2:$H$936,5,0),""))</f>
        <v>-</v>
      </c>
      <c r="F858" s="72" t="s">
        <v>2603</v>
      </c>
      <c r="G858" s="73">
        <v>46125.0</v>
      </c>
      <c r="H858" s="74">
        <v>16.0</v>
      </c>
      <c r="I858" s="75">
        <v>63931.0</v>
      </c>
      <c r="J858" s="76" t="s">
        <v>2604</v>
      </c>
      <c r="K858" s="76" t="s">
        <v>2605</v>
      </c>
      <c r="L858" s="73">
        <v>46125.0</v>
      </c>
      <c r="M858" s="70" t="str">
        <f t="shared" si="3"/>
        <v>63 Days</v>
      </c>
      <c r="N858" s="70" t="str">
        <f>IF($A$3=" "," ", IFERROR( VLOOKUP($A858,'SUPPLIER DATA BASE'!$A$2:$O$936,11,0),""))</f>
        <v>M. N. GARMENTS</v>
      </c>
      <c r="O858" s="70" t="str">
        <f>IF($A$3=" "," ", IFERROR( VLOOKUP($A858,'SUPPLIER DATA BASE'!$A$2:$O$936,12,0),""))</f>
        <v>50200058436598</v>
      </c>
      <c r="P858" s="70" t="str">
        <f>IF($A$3=" "," ", IFERROR( VLOOKUP($A858,'SUPPLIER DATA BASE'!$A$2:$O$936,13,0),""))</f>
        <v>HDFC0001470</v>
      </c>
      <c r="Q858" s="77"/>
      <c r="R858" s="73"/>
      <c r="S858" s="77"/>
      <c r="T858" s="70"/>
      <c r="U858" s="78"/>
      <c r="V858" s="70" t="str">
        <f t="shared" si="6"/>
        <v>FY 26-27</v>
      </c>
      <c r="W858" s="23"/>
      <c r="X858" s="23"/>
    </row>
    <row r="859">
      <c r="A859" s="70" t="s">
        <v>799</v>
      </c>
      <c r="B859" s="70" t="str">
        <f>IF($A$3=" "," ", IFERROR( VLOOKUP($A859,'SUPPLIER DATA BASE'!$A$2:$M$936,3,0),""))</f>
        <v>-</v>
      </c>
      <c r="C859" s="70" t="str">
        <f>IF($A$3=" "," ", IFERROR( VLOOKUP($A859,'SUPPLIER DATA BASE'!$A$2:$F$936,6,0),""))</f>
        <v>-</v>
      </c>
      <c r="D859" s="70" t="str">
        <f>IF($A$3=" "," ", IFERROR( VLOOKUP($A859,'SUPPLIER DATA BASE'!$A$2:$G$936,4,0),""))</f>
        <v>-</v>
      </c>
      <c r="E859" s="71" t="str">
        <f>IF($A$3=" "," ", IFERROR( VLOOKUP($A859,'SUPPLIER DATA BASE'!$A$2:$H$936,5,0),""))</f>
        <v>-</v>
      </c>
      <c r="F859" s="72" t="s">
        <v>2606</v>
      </c>
      <c r="G859" s="73">
        <v>46125.0</v>
      </c>
      <c r="H859" s="74">
        <v>47.0</v>
      </c>
      <c r="I859" s="75">
        <v>120101.0</v>
      </c>
      <c r="J859" s="76" t="s">
        <v>2607</v>
      </c>
      <c r="K859" s="76" t="s">
        <v>2608</v>
      </c>
      <c r="L859" s="73"/>
      <c r="M859" s="70" t="str">
        <f t="shared" si="3"/>
        <v>63 Days</v>
      </c>
      <c r="N859" s="70" t="str">
        <f>IF($A$3=" "," ", IFERROR( VLOOKUP($A859,'SUPPLIER DATA BASE'!$A$2:$O$936,11,0),""))</f>
        <v>VISHAL MARKETING &amp; CO.</v>
      </c>
      <c r="O859" s="70" t="str">
        <f>IF($A$3=" "," ", IFERROR( VLOOKUP($A859,'SUPPLIER DATA BASE'!$A$2:$O$936,12,0),""))</f>
        <v>1091008700001025</v>
      </c>
      <c r="P859" s="70" t="str">
        <f>IF($A$3=" "," ", IFERROR( VLOOKUP($A859,'SUPPLIER DATA BASE'!$A$2:$O$936,13,0),""))</f>
        <v>PUNB0109100</v>
      </c>
      <c r="Q859" s="77"/>
      <c r="R859" s="73"/>
      <c r="S859" s="77"/>
      <c r="T859" s="70"/>
      <c r="U859" s="78"/>
      <c r="V859" s="70" t="str">
        <f t="shared" si="6"/>
        <v>FY 26-27</v>
      </c>
      <c r="W859" s="23"/>
      <c r="X859" s="23"/>
    </row>
    <row r="860">
      <c r="A860" s="70" t="s">
        <v>835</v>
      </c>
      <c r="B860" s="70" t="str">
        <f>IF($A$3=" "," ", IFERROR( VLOOKUP($A860,'SUPPLIER DATA BASE'!$A$2:$M$936,3,0),""))</f>
        <v/>
      </c>
      <c r="C860" s="70" t="str">
        <f>IF($A$3=" "," ", IFERROR( VLOOKUP($A860,'SUPPLIER DATA BASE'!$A$2:$F$936,6,0),""))</f>
        <v>DIRECT</v>
      </c>
      <c r="D860" s="70" t="str">
        <f>IF($A$3=" "," ", IFERROR( VLOOKUP($A860,'SUPPLIER DATA BASE'!$A$2:$G$936,4,0),""))</f>
        <v/>
      </c>
      <c r="E860" s="71" t="str">
        <f>IF($A$3=" "," ", IFERROR( VLOOKUP($A860,'SUPPLIER DATA BASE'!$A$2:$H$936,5,0),""))</f>
        <v/>
      </c>
      <c r="F860" s="72" t="s">
        <v>2609</v>
      </c>
      <c r="G860" s="73">
        <v>46125.0</v>
      </c>
      <c r="H860" s="74">
        <v>16.0</v>
      </c>
      <c r="I860" s="75">
        <v>35718.0</v>
      </c>
      <c r="J860" s="76" t="s">
        <v>2610</v>
      </c>
      <c r="K860" s="76" t="s">
        <v>2611</v>
      </c>
      <c r="L860" s="73"/>
      <c r="M860" s="70" t="str">
        <f t="shared" si="3"/>
        <v>63 Days</v>
      </c>
      <c r="N860" s="70" t="str">
        <f>IF($A$3=" "," ", IFERROR( VLOOKUP($A860,'SUPPLIER DATA BASE'!$A$2:$O$936,11,0),""))</f>
        <v>SHRI SAI ENTERPRISES</v>
      </c>
      <c r="O860" s="70" t="str">
        <f>IF($A$3=" "," ", IFERROR( VLOOKUP($A860,'SUPPLIER DATA BASE'!$A$2:$O$936,12,0),""))</f>
        <v>114905500994</v>
      </c>
      <c r="P860" s="70" t="str">
        <f>IF($A$3=" "," ", IFERROR( VLOOKUP($A860,'SUPPLIER DATA BASE'!$A$2:$O$936,13,0),""))</f>
        <v>ICIC0001149</v>
      </c>
      <c r="Q860" s="77"/>
      <c r="R860" s="73"/>
      <c r="S860" s="77"/>
      <c r="T860" s="70"/>
      <c r="U860" s="78"/>
      <c r="V860" s="70" t="str">
        <f t="shared" si="6"/>
        <v>FY 26-27</v>
      </c>
      <c r="W860" s="23"/>
      <c r="X860" s="23"/>
    </row>
    <row r="861">
      <c r="A861" s="70" t="s">
        <v>402</v>
      </c>
      <c r="B861" s="70" t="str">
        <f>IF($A$3=" "," ", IFERROR( VLOOKUP($A861,'SUPPLIER DATA BASE'!$A$2:$M$936,3,0),""))</f>
        <v>KHUSHAL/STATUS QUO</v>
      </c>
      <c r="C861" s="70" t="str">
        <f>IF($A$3=" "," ", IFERROR( VLOOKUP($A861,'SUPPLIER DATA BASE'!$A$2:$F$936,6,0),""))</f>
        <v>-</v>
      </c>
      <c r="D861" s="70" t="str">
        <f>IF($A$3=" "," ", IFERROR( VLOOKUP($A861,'SUPPLIER DATA BASE'!$A$2:$G$936,4,0),""))</f>
        <v>-</v>
      </c>
      <c r="E861" s="71" t="str">
        <f>IF($A$3=" "," ", IFERROR( VLOOKUP($A861,'SUPPLIER DATA BASE'!$A$2:$H$936,5,0),""))</f>
        <v>-</v>
      </c>
      <c r="F861" s="72" t="s">
        <v>2612</v>
      </c>
      <c r="G861" s="73">
        <v>46125.0</v>
      </c>
      <c r="H861" s="74">
        <v>75.0</v>
      </c>
      <c r="I861" s="75">
        <v>87191.0</v>
      </c>
      <c r="J861" s="76" t="s">
        <v>2613</v>
      </c>
      <c r="K861" s="76" t="s">
        <v>2614</v>
      </c>
      <c r="L861" s="73"/>
      <c r="M861" s="70" t="str">
        <f t="shared" si="3"/>
        <v>63 Days</v>
      </c>
      <c r="N861" s="70" t="str">
        <f>IF($A$3=" "," ", IFERROR( VLOOKUP($A861,'SUPPLIER DATA BASE'!$A$2:$O$936,11,0),""))</f>
        <v>D APPAREL</v>
      </c>
      <c r="O861" s="70" t="str">
        <f>IF($A$3=" "," ", IFERROR( VLOOKUP($A861,'SUPPLIER DATA BASE'!$A$2:$O$936,12,0),""))</f>
        <v>722501010050397</v>
      </c>
      <c r="P861" s="70" t="str">
        <f>IF($A$3=" "," ", IFERROR( VLOOKUP($A861,'SUPPLIER DATA BASE'!$A$2:$O$936,13,0),""))</f>
        <v>UBIN0572250</v>
      </c>
      <c r="Q861" s="77"/>
      <c r="R861" s="73"/>
      <c r="S861" s="77"/>
      <c r="T861" s="70"/>
      <c r="U861" s="78"/>
      <c r="V861" s="70" t="str">
        <f t="shared" si="6"/>
        <v>FY 26-27</v>
      </c>
      <c r="W861" s="23"/>
      <c r="X861" s="23"/>
    </row>
    <row r="862">
      <c r="A862" s="70" t="s">
        <v>402</v>
      </c>
      <c r="B862" s="70" t="str">
        <f>IF($A$3=" "," ", IFERROR( VLOOKUP($A862,'SUPPLIER DATA BASE'!$A$2:$M$936,3,0),""))</f>
        <v>KHUSHAL/STATUS QUO</v>
      </c>
      <c r="C862" s="70" t="str">
        <f>IF($A$3=" "," ", IFERROR( VLOOKUP($A862,'SUPPLIER DATA BASE'!$A$2:$F$936,6,0),""))</f>
        <v>-</v>
      </c>
      <c r="D862" s="70" t="str">
        <f>IF($A$3=" "," ", IFERROR( VLOOKUP($A862,'SUPPLIER DATA BASE'!$A$2:$G$936,4,0),""))</f>
        <v>-</v>
      </c>
      <c r="E862" s="71" t="str">
        <f>IF($A$3=" "," ", IFERROR( VLOOKUP($A862,'SUPPLIER DATA BASE'!$A$2:$H$936,5,0),""))</f>
        <v>-</v>
      </c>
      <c r="F862" s="72" t="s">
        <v>2615</v>
      </c>
      <c r="G862" s="73">
        <v>46125.0</v>
      </c>
      <c r="H862" s="74">
        <v>42.0</v>
      </c>
      <c r="I862" s="75">
        <v>52986.0</v>
      </c>
      <c r="J862" s="76" t="s">
        <v>2616</v>
      </c>
      <c r="K862" s="76" t="s">
        <v>2617</v>
      </c>
      <c r="L862" s="73"/>
      <c r="M862" s="70" t="str">
        <f t="shared" si="3"/>
        <v>63 Days</v>
      </c>
      <c r="N862" s="70" t="str">
        <f>IF($A$3=" "," ", IFERROR( VLOOKUP($A862,'SUPPLIER DATA BASE'!$A$2:$O$936,11,0),""))</f>
        <v>D APPAREL</v>
      </c>
      <c r="O862" s="70" t="str">
        <f>IF($A$3=" "," ", IFERROR( VLOOKUP($A862,'SUPPLIER DATA BASE'!$A$2:$O$936,12,0),""))</f>
        <v>722501010050397</v>
      </c>
      <c r="P862" s="70" t="str">
        <f>IF($A$3=" "," ", IFERROR( VLOOKUP($A862,'SUPPLIER DATA BASE'!$A$2:$O$936,13,0),""))</f>
        <v>UBIN0572250</v>
      </c>
      <c r="Q862" s="77"/>
      <c r="R862" s="73"/>
      <c r="S862" s="77"/>
      <c r="T862" s="70"/>
      <c r="U862" s="78"/>
      <c r="V862" s="70" t="str">
        <f t="shared" si="6"/>
        <v>FY 26-27</v>
      </c>
      <c r="W862" s="23"/>
      <c r="X862" s="23"/>
    </row>
    <row r="863">
      <c r="A863" s="70" t="s">
        <v>799</v>
      </c>
      <c r="B863" s="70" t="str">
        <f>IF($A$3=" "," ", IFERROR( VLOOKUP($A863,'SUPPLIER DATA BASE'!$A$2:$M$936,3,0),""))</f>
        <v>-</v>
      </c>
      <c r="C863" s="70" t="str">
        <f>IF($A$3=" "," ", IFERROR( VLOOKUP($A863,'SUPPLIER DATA BASE'!$A$2:$F$936,6,0),""))</f>
        <v>-</v>
      </c>
      <c r="D863" s="70" t="str">
        <f>IF($A$3=" "," ", IFERROR( VLOOKUP($A863,'SUPPLIER DATA BASE'!$A$2:$G$936,4,0),""))</f>
        <v>-</v>
      </c>
      <c r="E863" s="71" t="str">
        <f>IF($A$3=" "," ", IFERROR( VLOOKUP($A863,'SUPPLIER DATA BASE'!$A$2:$H$936,5,0),""))</f>
        <v>-</v>
      </c>
      <c r="F863" s="72" t="s">
        <v>2618</v>
      </c>
      <c r="G863" s="73">
        <v>46126.0</v>
      </c>
      <c r="H863" s="74">
        <v>13.0</v>
      </c>
      <c r="I863" s="75">
        <v>16341.0</v>
      </c>
      <c r="J863" s="76" t="s">
        <v>2619</v>
      </c>
      <c r="K863" s="76" t="s">
        <v>2620</v>
      </c>
      <c r="L863" s="73"/>
      <c r="M863" s="70" t="str">
        <f t="shared" si="3"/>
        <v>62 Days</v>
      </c>
      <c r="N863" s="70" t="str">
        <f>IF($A$3=" "," ", IFERROR( VLOOKUP($A863,'SUPPLIER DATA BASE'!$A$2:$O$936,11,0),""))</f>
        <v>VISHAL MARKETING &amp; CO.</v>
      </c>
      <c r="O863" s="70" t="str">
        <f>IF($A$3=" "," ", IFERROR( VLOOKUP($A863,'SUPPLIER DATA BASE'!$A$2:$O$936,12,0),""))</f>
        <v>1091008700001025</v>
      </c>
      <c r="P863" s="70" t="str">
        <f>IF($A$3=" "," ", IFERROR( VLOOKUP($A863,'SUPPLIER DATA BASE'!$A$2:$O$936,13,0),""))</f>
        <v>PUNB0109100</v>
      </c>
      <c r="Q863" s="77"/>
      <c r="R863" s="73"/>
      <c r="S863" s="77"/>
      <c r="T863" s="70"/>
      <c r="U863" s="78"/>
      <c r="V863" s="70" t="str">
        <f t="shared" si="6"/>
        <v>FY 26-27</v>
      </c>
      <c r="W863" s="23"/>
      <c r="X863" s="23"/>
    </row>
    <row r="864">
      <c r="A864" s="70" t="s">
        <v>541</v>
      </c>
      <c r="B864" s="70" t="str">
        <f>IF($A$3=" "," ", IFERROR( VLOOKUP($A864,'SUPPLIER DATA BASE'!$A$2:$M$936,3,0),""))</f>
        <v>TWILLS</v>
      </c>
      <c r="C864" s="70" t="str">
        <f>IF($A$3=" "," ", IFERROR( VLOOKUP($A864,'SUPPLIER DATA BASE'!$A$2:$F$936,6,0),""))</f>
        <v>-</v>
      </c>
      <c r="D864" s="70" t="str">
        <f>IF($A$3=" "," ", IFERROR( VLOOKUP($A864,'SUPPLIER DATA BASE'!$A$2:$G$936,4,0),""))</f>
        <v>-</v>
      </c>
      <c r="E864" s="71" t="str">
        <f>IF($A$3=" "," ", IFERROR( VLOOKUP($A864,'SUPPLIER DATA BASE'!$A$2:$H$936,5,0),""))</f>
        <v>-</v>
      </c>
      <c r="F864" s="72" t="s">
        <v>2621</v>
      </c>
      <c r="G864" s="73">
        <v>46126.0</v>
      </c>
      <c r="H864" s="74">
        <v>91.0</v>
      </c>
      <c r="I864" s="75">
        <v>64143.0</v>
      </c>
      <c r="J864" s="76" t="s">
        <v>2622</v>
      </c>
      <c r="K864" s="76" t="s">
        <v>2623</v>
      </c>
      <c r="L864" s="73"/>
      <c r="M864" s="70" t="str">
        <f t="shared" si="3"/>
        <v>62 Days</v>
      </c>
      <c r="N864" s="70" t="str">
        <f>IF($A$3=" "," ", IFERROR( VLOOKUP($A864,'SUPPLIER DATA BASE'!$A$2:$O$936,11,0),""))</f>
        <v>M. N. GARMENTS</v>
      </c>
      <c r="O864" s="70" t="str">
        <f>IF($A$3=" "," ", IFERROR( VLOOKUP($A864,'SUPPLIER DATA BASE'!$A$2:$O$936,12,0),""))</f>
        <v>50200058436598</v>
      </c>
      <c r="P864" s="70" t="str">
        <f>IF($A$3=" "," ", IFERROR( VLOOKUP($A864,'SUPPLIER DATA BASE'!$A$2:$O$936,13,0),""))</f>
        <v>HDFC0001470</v>
      </c>
      <c r="Q864" s="77"/>
      <c r="R864" s="73"/>
      <c r="S864" s="77"/>
      <c r="T864" s="70"/>
      <c r="U864" s="78"/>
      <c r="V864" s="70" t="str">
        <f t="shared" si="6"/>
        <v>FY 26-27</v>
      </c>
      <c r="W864" s="23"/>
      <c r="X864" s="23"/>
    </row>
    <row r="865">
      <c r="A865" s="70" t="s">
        <v>789</v>
      </c>
      <c r="B865" s="70" t="str">
        <f>IF($A$3=" "," ", IFERROR( VLOOKUP($A865,'SUPPLIER DATA BASE'!$A$2:$M$936,3,0),""))</f>
        <v>-</v>
      </c>
      <c r="C865" s="70" t="str">
        <f>IF($A$3=" "," ", IFERROR( VLOOKUP($A865,'SUPPLIER DATA BASE'!$A$2:$F$936,6,0),""))</f>
        <v>-</v>
      </c>
      <c r="D865" s="70" t="str">
        <f>IF($A$3=" "," ", IFERROR( VLOOKUP($A865,'SUPPLIER DATA BASE'!$A$2:$G$936,4,0),""))</f>
        <v>-</v>
      </c>
      <c r="E865" s="71" t="str">
        <f>IF($A$3=" "," ", IFERROR( VLOOKUP($A865,'SUPPLIER DATA BASE'!$A$2:$H$936,5,0),""))</f>
        <v>-</v>
      </c>
      <c r="F865" s="72">
        <v>3360.0</v>
      </c>
      <c r="G865" s="73">
        <v>46126.0</v>
      </c>
      <c r="H865" s="74">
        <v>4.0</v>
      </c>
      <c r="I865" s="75">
        <v>11715.0</v>
      </c>
      <c r="J865" s="76" t="s">
        <v>2624</v>
      </c>
      <c r="K865" s="76" t="s">
        <v>2625</v>
      </c>
      <c r="L865" s="73"/>
      <c r="M865" s="70" t="str">
        <f t="shared" si="3"/>
        <v>62 Days</v>
      </c>
      <c r="N865" s="70" t="str">
        <f>IF($A$3=" "," ", IFERROR( VLOOKUP($A865,'SUPPLIER DATA BASE'!$A$2:$O$936,11,0),""))</f>
        <v>-</v>
      </c>
      <c r="O865" s="70" t="str">
        <f>IF($A$3=" "," ", IFERROR( VLOOKUP($A865,'SUPPLIER DATA BASE'!$A$2:$O$936,12,0),""))</f>
        <v>-</v>
      </c>
      <c r="P865" s="70" t="str">
        <f>IF($A$3=" "," ", IFERROR( VLOOKUP($A865,'SUPPLIER DATA BASE'!$A$2:$O$936,13,0),""))</f>
        <v>-</v>
      </c>
      <c r="Q865" s="77"/>
      <c r="R865" s="73"/>
      <c r="S865" s="77"/>
      <c r="T865" s="70"/>
      <c r="U865" s="78"/>
      <c r="V865" s="70" t="str">
        <f t="shared" si="6"/>
        <v>FY 26-27</v>
      </c>
      <c r="W865" s="23"/>
      <c r="X865" s="23"/>
    </row>
    <row r="866">
      <c r="A866" s="70"/>
      <c r="B866" s="70" t="str">
        <f>IF($A$3=" "," ", IFERROR( VLOOKUP($A866,'SUPPLIER DATA BASE'!$A$2:$M$936,3,0),""))</f>
        <v/>
      </c>
      <c r="C866" s="70" t="str">
        <f>IF($A$3=" "," ", IFERROR( VLOOKUP($A866,'SUPPLIER DATA BASE'!$A$2:$F$936,6,0),""))</f>
        <v/>
      </c>
      <c r="D866" s="70" t="str">
        <f>IF($A$3=" "," ", IFERROR( VLOOKUP($A866,'SUPPLIER DATA BASE'!$A$2:$G$936,4,0),""))</f>
        <v/>
      </c>
      <c r="E866" s="71" t="str">
        <f>IF($A$3=" "," ", IFERROR( VLOOKUP($A866,'SUPPLIER DATA BASE'!$A$2:$H$936,5,0),""))</f>
        <v/>
      </c>
      <c r="F866" s="72">
        <v>1109.0</v>
      </c>
      <c r="G866" s="73">
        <v>46126.0</v>
      </c>
      <c r="H866" s="74">
        <v>100.0</v>
      </c>
      <c r="I866" s="75">
        <v>23100.0</v>
      </c>
      <c r="J866" s="76" t="s">
        <v>2626</v>
      </c>
      <c r="K866" s="76" t="s">
        <v>2627</v>
      </c>
      <c r="L866" s="73"/>
      <c r="M866" s="70" t="str">
        <f t="shared" si="3"/>
        <v>62 Days</v>
      </c>
      <c r="N866" s="70" t="str">
        <f>IF($A$3=" "," ", IFERROR( VLOOKUP($A866,'SUPPLIER DATA BASE'!$A$2:$O$936,11,0),""))</f>
        <v/>
      </c>
      <c r="O866" s="70" t="str">
        <f>IF($A$3=" "," ", IFERROR( VLOOKUP($A866,'SUPPLIER DATA BASE'!$A$2:$O$936,12,0),""))</f>
        <v/>
      </c>
      <c r="P866" s="70" t="str">
        <f>IF($A$3=" "," ", IFERROR( VLOOKUP($A866,'SUPPLIER DATA BASE'!$A$2:$O$936,13,0),""))</f>
        <v/>
      </c>
      <c r="Q866" s="77"/>
      <c r="R866" s="73"/>
      <c r="S866" s="77"/>
      <c r="T866" s="70"/>
      <c r="U866" s="78"/>
      <c r="V866" s="70" t="str">
        <f t="shared" si="6"/>
        <v>FY 26-27</v>
      </c>
      <c r="W866" s="23"/>
      <c r="X866" s="23"/>
    </row>
    <row r="867">
      <c r="A867" s="70" t="s">
        <v>495</v>
      </c>
      <c r="B867" s="70" t="str">
        <f>IF($A$3=" "," ", IFERROR( VLOOKUP($A867,'SUPPLIER DATA BASE'!$A$2:$M$936,3,0),""))</f>
        <v>-</v>
      </c>
      <c r="C867" s="70" t="str">
        <f>IF($A$3=" "," ", IFERROR( VLOOKUP($A867,'SUPPLIER DATA BASE'!$A$2:$F$936,6,0),""))</f>
        <v>-</v>
      </c>
      <c r="D867" s="70" t="str">
        <f>IF($A$3=" "," ", IFERROR( VLOOKUP($A867,'SUPPLIER DATA BASE'!$A$2:$G$936,4,0),""))</f>
        <v>-</v>
      </c>
      <c r="E867" s="71" t="str">
        <f>IF($A$3=" "," ", IFERROR( VLOOKUP($A867,'SUPPLIER DATA BASE'!$A$2:$H$936,5,0),""))</f>
        <v>-</v>
      </c>
      <c r="F867" s="72" t="s">
        <v>2628</v>
      </c>
      <c r="G867" s="73">
        <v>46126.0</v>
      </c>
      <c r="H867" s="74">
        <v>40.0</v>
      </c>
      <c r="I867" s="75">
        <v>132081.0</v>
      </c>
      <c r="J867" s="76" t="s">
        <v>2629</v>
      </c>
      <c r="K867" s="76" t="s">
        <v>2630</v>
      </c>
      <c r="L867" s="73"/>
      <c r="M867" s="70" t="str">
        <f t="shared" si="3"/>
        <v>62 Days</v>
      </c>
      <c r="N867" s="70" t="str">
        <f>IF($A$3=" "," ", IFERROR( VLOOKUP($A867,'SUPPLIER DATA BASE'!$A$2:$O$936,11,0),""))</f>
        <v>JAIN ADISHWAR HOSIERY WORKS LLP</v>
      </c>
      <c r="O867" s="70" t="str">
        <f>IF($A$3=" "," ", IFERROR( VLOOKUP($A867,'SUPPLIER DATA BASE'!$A$2:$O$936,12,0),""))</f>
        <v>99917644444444</v>
      </c>
      <c r="P867" s="70" t="str">
        <f>IF($A$3=" "," ", IFERROR( VLOOKUP($A867,'SUPPLIER DATA BASE'!$A$2:$O$936,13,0),""))</f>
        <v>HDFC0002063</v>
      </c>
      <c r="Q867" s="77"/>
      <c r="R867" s="73"/>
      <c r="S867" s="77"/>
      <c r="T867" s="70"/>
      <c r="U867" s="78"/>
      <c r="V867" s="70" t="str">
        <f t="shared" si="6"/>
        <v>FY 26-27</v>
      </c>
      <c r="W867" s="23"/>
      <c r="X867" s="23"/>
    </row>
    <row r="868">
      <c r="A868" s="70" t="s">
        <v>495</v>
      </c>
      <c r="B868" s="70" t="str">
        <f>IF($A$3=" "," ", IFERROR( VLOOKUP($A868,'SUPPLIER DATA BASE'!$A$2:$M$936,3,0),""))</f>
        <v>-</v>
      </c>
      <c r="C868" s="70" t="str">
        <f>IF($A$3=" "," ", IFERROR( VLOOKUP($A868,'SUPPLIER DATA BASE'!$A$2:$F$936,6,0),""))</f>
        <v>-</v>
      </c>
      <c r="D868" s="70" t="str">
        <f>IF($A$3=" "," ", IFERROR( VLOOKUP($A868,'SUPPLIER DATA BASE'!$A$2:$G$936,4,0),""))</f>
        <v>-</v>
      </c>
      <c r="E868" s="71" t="str">
        <f>IF($A$3=" "," ", IFERROR( VLOOKUP($A868,'SUPPLIER DATA BASE'!$A$2:$H$936,5,0),""))</f>
        <v>-</v>
      </c>
      <c r="F868" s="72" t="s">
        <v>2631</v>
      </c>
      <c r="G868" s="73">
        <v>46126.0</v>
      </c>
      <c r="H868" s="74">
        <v>29.0</v>
      </c>
      <c r="I868" s="75">
        <v>105231.0</v>
      </c>
      <c r="J868" s="76" t="s">
        <v>2632</v>
      </c>
      <c r="K868" s="76" t="s">
        <v>2633</v>
      </c>
      <c r="L868" s="73"/>
      <c r="M868" s="70" t="str">
        <f t="shared" si="3"/>
        <v>62 Days</v>
      </c>
      <c r="N868" s="70" t="str">
        <f>IF($A$3=" "," ", IFERROR( VLOOKUP($A868,'SUPPLIER DATA BASE'!$A$2:$O$936,11,0),""))</f>
        <v>JAIN ADISHWAR HOSIERY WORKS LLP</v>
      </c>
      <c r="O868" s="70" t="str">
        <f>IF($A$3=" "," ", IFERROR( VLOOKUP($A868,'SUPPLIER DATA BASE'!$A$2:$O$936,12,0),""))</f>
        <v>99917644444444</v>
      </c>
      <c r="P868" s="70" t="str">
        <f>IF($A$3=" "," ", IFERROR( VLOOKUP($A868,'SUPPLIER DATA BASE'!$A$2:$O$936,13,0),""))</f>
        <v>HDFC0002063</v>
      </c>
      <c r="Q868" s="77"/>
      <c r="R868" s="73"/>
      <c r="S868" s="77"/>
      <c r="T868" s="70"/>
      <c r="U868" s="78"/>
      <c r="V868" s="70" t="str">
        <f t="shared" si="6"/>
        <v>FY 26-27</v>
      </c>
      <c r="W868" s="23"/>
      <c r="X868" s="23"/>
    </row>
    <row r="869">
      <c r="A869" s="70" t="s">
        <v>354</v>
      </c>
      <c r="B869" s="70" t="str">
        <f>IF($A$3=" "," ", IFERROR( VLOOKUP($A869,'SUPPLIER DATA BASE'!$A$2:$M$936,3,0),""))</f>
        <v>-</v>
      </c>
      <c r="C869" s="70" t="str">
        <f>IF($A$3=" "," ", IFERROR( VLOOKUP($A869,'SUPPLIER DATA BASE'!$A$2:$F$936,6,0),""))</f>
        <v>-</v>
      </c>
      <c r="D869" s="70" t="str">
        <f>IF($A$3=" "," ", IFERROR( VLOOKUP($A869,'SUPPLIER DATA BASE'!$A$2:$G$936,4,0),""))</f>
        <v>-</v>
      </c>
      <c r="E869" s="71" t="str">
        <f>IF($A$3=" "," ", IFERROR( VLOOKUP($A869,'SUPPLIER DATA BASE'!$A$2:$H$936,5,0),""))</f>
        <v>-</v>
      </c>
      <c r="F869" s="72" t="s">
        <v>2634</v>
      </c>
      <c r="G869" s="73">
        <v>46126.0</v>
      </c>
      <c r="H869" s="74">
        <v>9.0</v>
      </c>
      <c r="I869" s="75">
        <v>8052.54</v>
      </c>
      <c r="J869" s="76" t="s">
        <v>2635</v>
      </c>
      <c r="K869" s="76" t="s">
        <v>2636</v>
      </c>
      <c r="L869" s="73"/>
      <c r="M869" s="70" t="str">
        <f t="shared" si="3"/>
        <v>62 Days</v>
      </c>
      <c r="N869" s="70" t="str">
        <f>IF($A$3=" "," ", IFERROR( VLOOKUP($A869,'SUPPLIER DATA BASE'!$A$2:$O$936,11,0),""))</f>
        <v>-</v>
      </c>
      <c r="O869" s="70" t="str">
        <f>IF($A$3=" "," ", IFERROR( VLOOKUP($A869,'SUPPLIER DATA BASE'!$A$2:$O$936,12,0),""))</f>
        <v>-</v>
      </c>
      <c r="P869" s="70" t="str">
        <f>IF($A$3=" "," ", IFERROR( VLOOKUP($A869,'SUPPLIER DATA BASE'!$A$2:$O$936,13,0),""))</f>
        <v>-</v>
      </c>
      <c r="Q869" s="77"/>
      <c r="R869" s="73"/>
      <c r="S869" s="77"/>
      <c r="T869" s="70"/>
      <c r="U869" s="78"/>
      <c r="V869" s="70" t="str">
        <f t="shared" si="6"/>
        <v>FY 26-27</v>
      </c>
      <c r="W869" s="23"/>
      <c r="X869" s="23"/>
    </row>
    <row r="870">
      <c r="A870" s="70" t="s">
        <v>856</v>
      </c>
      <c r="B870" s="70" t="str">
        <f>IF($A$3=" "," ", IFERROR( VLOOKUP($A870,'SUPPLIER DATA BASE'!$A$2:$M$936,3,0),""))</f>
        <v>WELSPUN</v>
      </c>
      <c r="C870" s="70" t="str">
        <f>IF($A$3=" "," ", IFERROR( VLOOKUP($A870,'SUPPLIER DATA BASE'!$A$2:$F$936,6,0),""))</f>
        <v/>
      </c>
      <c r="D870" s="70">
        <f>IF($A$3=" "," ", IFERROR( VLOOKUP($A870,'SUPPLIER DATA BASE'!$A$2:$G$936,4,0),""))</f>
        <v>15</v>
      </c>
      <c r="E870" s="71">
        <f>IF($A$3=" "," ", IFERROR( VLOOKUP($A870,'SUPPLIER DATA BASE'!$A$2:$H$936,5,0),""))</f>
        <v>0.05</v>
      </c>
      <c r="F870" s="72" t="s">
        <v>2637</v>
      </c>
      <c r="G870" s="73">
        <v>46126.0</v>
      </c>
      <c r="H870" s="74">
        <v>136.0</v>
      </c>
      <c r="I870" s="75">
        <v>78185.0</v>
      </c>
      <c r="J870" s="76" t="s">
        <v>2638</v>
      </c>
      <c r="K870" s="76" t="s">
        <v>2639</v>
      </c>
      <c r="L870" s="73"/>
      <c r="M870" s="70" t="str">
        <f t="shared" si="3"/>
        <v>62 Days</v>
      </c>
      <c r="N870" s="70" t="str">
        <f>IF($A$3=" "," ", IFERROR( VLOOKUP($A870,'SUPPLIER DATA BASE'!$A$2:$O$936,11,0),""))</f>
        <v>C2D DISTRIBUTORS</v>
      </c>
      <c r="O870" s="70" t="str">
        <f>IF($A$3=" "," ", IFERROR( VLOOKUP($A870,'SUPPLIER DATA BASE'!$A$2:$O$936,12,0),""))</f>
        <v>50507532165</v>
      </c>
      <c r="P870" s="70" t="str">
        <f>IF($A$3=" "," ", IFERROR( VLOOKUP($A870,'SUPPLIER DATA BASE'!$A$2:$O$936,13,0),""))</f>
        <v>IDIB000D600</v>
      </c>
      <c r="Q870" s="77"/>
      <c r="R870" s="73"/>
      <c r="S870" s="77"/>
      <c r="T870" s="70"/>
      <c r="U870" s="78"/>
      <c r="V870" s="70" t="str">
        <f t="shared" si="6"/>
        <v>FY 26-27</v>
      </c>
      <c r="W870" s="23"/>
      <c r="X870" s="23"/>
    </row>
    <row r="871">
      <c r="A871" s="70" t="s">
        <v>354</v>
      </c>
      <c r="B871" s="70" t="str">
        <f>IF($A$3=" "," ", IFERROR( VLOOKUP($A871,'SUPPLIER DATA BASE'!$A$2:$M$936,3,0),""))</f>
        <v>-</v>
      </c>
      <c r="C871" s="70" t="str">
        <f>IF($A$3=" "," ", IFERROR( VLOOKUP($A871,'SUPPLIER DATA BASE'!$A$2:$F$936,6,0),""))</f>
        <v>-</v>
      </c>
      <c r="D871" s="70" t="str">
        <f>IF($A$3=" "," ", IFERROR( VLOOKUP($A871,'SUPPLIER DATA BASE'!$A$2:$G$936,4,0),""))</f>
        <v>-</v>
      </c>
      <c r="E871" s="71" t="str">
        <f>IF($A$3=" "," ", IFERROR( VLOOKUP($A871,'SUPPLIER DATA BASE'!$A$2:$H$936,5,0),""))</f>
        <v>-</v>
      </c>
      <c r="F871" s="72" t="s">
        <v>2640</v>
      </c>
      <c r="G871" s="73">
        <v>46126.0</v>
      </c>
      <c r="H871" s="74">
        <v>47.0</v>
      </c>
      <c r="I871" s="75">
        <v>68999.13</v>
      </c>
      <c r="J871" s="76" t="s">
        <v>2641</v>
      </c>
      <c r="K871" s="76" t="s">
        <v>2642</v>
      </c>
      <c r="L871" s="73"/>
      <c r="M871" s="70" t="str">
        <f t="shared" si="3"/>
        <v>62 Days</v>
      </c>
      <c r="N871" s="70" t="str">
        <f>IF($A$3=" "," ", IFERROR( VLOOKUP($A871,'SUPPLIER DATA BASE'!$A$2:$O$936,11,0),""))</f>
        <v>-</v>
      </c>
      <c r="O871" s="70" t="str">
        <f>IF($A$3=" "," ", IFERROR( VLOOKUP($A871,'SUPPLIER DATA BASE'!$A$2:$O$936,12,0),""))</f>
        <v>-</v>
      </c>
      <c r="P871" s="70" t="str">
        <f>IF($A$3=" "," ", IFERROR( VLOOKUP($A871,'SUPPLIER DATA BASE'!$A$2:$O$936,13,0),""))</f>
        <v>-</v>
      </c>
      <c r="Q871" s="77"/>
      <c r="R871" s="73"/>
      <c r="S871" s="77"/>
      <c r="T871" s="70"/>
      <c r="U871" s="78"/>
      <c r="V871" s="70" t="str">
        <f t="shared" si="6"/>
        <v>FY 26-27</v>
      </c>
      <c r="W871" s="23"/>
      <c r="X871" s="23"/>
    </row>
    <row r="872">
      <c r="A872" s="70" t="s">
        <v>354</v>
      </c>
      <c r="B872" s="70" t="str">
        <f>IF($A$3=" "," ", IFERROR( VLOOKUP($A872,'SUPPLIER DATA BASE'!$A$2:$M$936,3,0),""))</f>
        <v>-</v>
      </c>
      <c r="C872" s="70" t="str">
        <f>IF($A$3=" "," ", IFERROR( VLOOKUP($A872,'SUPPLIER DATA BASE'!$A$2:$F$936,6,0),""))</f>
        <v>-</v>
      </c>
      <c r="D872" s="70" t="str">
        <f>IF($A$3=" "," ", IFERROR( VLOOKUP($A872,'SUPPLIER DATA BASE'!$A$2:$G$936,4,0),""))</f>
        <v>-</v>
      </c>
      <c r="E872" s="71" t="str">
        <f>IF($A$3=" "," ", IFERROR( VLOOKUP($A872,'SUPPLIER DATA BASE'!$A$2:$H$936,5,0),""))</f>
        <v>-</v>
      </c>
      <c r="F872" s="72" t="s">
        <v>2643</v>
      </c>
      <c r="G872" s="73">
        <v>46126.0</v>
      </c>
      <c r="H872" s="74">
        <v>1.0</v>
      </c>
      <c r="I872" s="75">
        <v>2206.06</v>
      </c>
      <c r="J872" s="76" t="s">
        <v>2644</v>
      </c>
      <c r="K872" s="76" t="s">
        <v>2645</v>
      </c>
      <c r="L872" s="73"/>
      <c r="M872" s="70" t="str">
        <f t="shared" si="3"/>
        <v>62 Days</v>
      </c>
      <c r="N872" s="70" t="str">
        <f>IF($A$3=" "," ", IFERROR( VLOOKUP($A872,'SUPPLIER DATA BASE'!$A$2:$O$936,11,0),""))</f>
        <v>-</v>
      </c>
      <c r="O872" s="70" t="str">
        <f>IF($A$3=" "," ", IFERROR( VLOOKUP($A872,'SUPPLIER DATA BASE'!$A$2:$O$936,12,0),""))</f>
        <v>-</v>
      </c>
      <c r="P872" s="70" t="str">
        <f>IF($A$3=" "," ", IFERROR( VLOOKUP($A872,'SUPPLIER DATA BASE'!$A$2:$O$936,13,0),""))</f>
        <v>-</v>
      </c>
      <c r="Q872" s="77"/>
      <c r="R872" s="73"/>
      <c r="S872" s="77"/>
      <c r="T872" s="70"/>
      <c r="U872" s="78"/>
      <c r="V872" s="70" t="str">
        <f t="shared" si="6"/>
        <v>FY 26-27</v>
      </c>
      <c r="W872" s="23"/>
      <c r="X872" s="23"/>
    </row>
    <row r="873">
      <c r="A873" s="70" t="s">
        <v>354</v>
      </c>
      <c r="B873" s="70" t="str">
        <f>IF($A$3=" "," ", IFERROR( VLOOKUP($A873,'SUPPLIER DATA BASE'!$A$2:$M$936,3,0),""))</f>
        <v>-</v>
      </c>
      <c r="C873" s="70" t="str">
        <f>IF($A$3=" "," ", IFERROR( VLOOKUP($A873,'SUPPLIER DATA BASE'!$A$2:$F$936,6,0),""))</f>
        <v>-</v>
      </c>
      <c r="D873" s="70" t="str">
        <f>IF($A$3=" "," ", IFERROR( VLOOKUP($A873,'SUPPLIER DATA BASE'!$A$2:$G$936,4,0),""))</f>
        <v>-</v>
      </c>
      <c r="E873" s="71" t="str">
        <f>IF($A$3=" "," ", IFERROR( VLOOKUP($A873,'SUPPLIER DATA BASE'!$A$2:$H$936,5,0),""))</f>
        <v>-</v>
      </c>
      <c r="F873" s="72" t="s">
        <v>2646</v>
      </c>
      <c r="G873" s="73">
        <v>46126.0</v>
      </c>
      <c r="H873" s="74">
        <v>6.0</v>
      </c>
      <c r="I873" s="75">
        <v>9087.78</v>
      </c>
      <c r="J873" s="76" t="s">
        <v>2647</v>
      </c>
      <c r="K873" s="76" t="s">
        <v>2648</v>
      </c>
      <c r="L873" s="73"/>
      <c r="M873" s="70" t="str">
        <f t="shared" si="3"/>
        <v>62 Days</v>
      </c>
      <c r="N873" s="70" t="str">
        <f>IF($A$3=" "," ", IFERROR( VLOOKUP($A873,'SUPPLIER DATA BASE'!$A$2:$O$936,11,0),""))</f>
        <v>-</v>
      </c>
      <c r="O873" s="70" t="str">
        <f>IF($A$3=" "," ", IFERROR( VLOOKUP($A873,'SUPPLIER DATA BASE'!$A$2:$O$936,12,0),""))</f>
        <v>-</v>
      </c>
      <c r="P873" s="70" t="str">
        <f>IF($A$3=" "," ", IFERROR( VLOOKUP($A873,'SUPPLIER DATA BASE'!$A$2:$O$936,13,0),""))</f>
        <v>-</v>
      </c>
      <c r="Q873" s="77"/>
      <c r="R873" s="73"/>
      <c r="S873" s="77"/>
      <c r="T873" s="70"/>
      <c r="U873" s="78"/>
      <c r="V873" s="70" t="str">
        <f t="shared" si="6"/>
        <v>FY 26-27</v>
      </c>
      <c r="W873" s="23"/>
      <c r="X873" s="23"/>
    </row>
    <row r="874">
      <c r="A874" s="70" t="s">
        <v>789</v>
      </c>
      <c r="B874" s="70" t="str">
        <f>IF($A$3=" "," ", IFERROR( VLOOKUP($A874,'SUPPLIER DATA BASE'!$A$2:$M$936,3,0),""))</f>
        <v>-</v>
      </c>
      <c r="C874" s="70" t="str">
        <f>IF($A$3=" "," ", IFERROR( VLOOKUP($A874,'SUPPLIER DATA BASE'!$A$2:$F$936,6,0),""))</f>
        <v>-</v>
      </c>
      <c r="D874" s="70" t="str">
        <f>IF($A$3=" "," ", IFERROR( VLOOKUP($A874,'SUPPLIER DATA BASE'!$A$2:$G$936,4,0),""))</f>
        <v>-</v>
      </c>
      <c r="E874" s="71" t="str">
        <f>IF($A$3=" "," ", IFERROR( VLOOKUP($A874,'SUPPLIER DATA BASE'!$A$2:$H$936,5,0),""))</f>
        <v>-</v>
      </c>
      <c r="F874" s="72">
        <v>3599.0</v>
      </c>
      <c r="G874" s="73">
        <v>46127.0</v>
      </c>
      <c r="H874" s="74">
        <v>26.0</v>
      </c>
      <c r="I874" s="75">
        <v>7635.0</v>
      </c>
      <c r="J874" s="76" t="s">
        <v>2649</v>
      </c>
      <c r="K874" s="76" t="s">
        <v>2650</v>
      </c>
      <c r="L874" s="73"/>
      <c r="M874" s="70" t="str">
        <f t="shared" si="3"/>
        <v>61 Days</v>
      </c>
      <c r="N874" s="70" t="str">
        <f>IF($A$3=" "," ", IFERROR( VLOOKUP($A874,'SUPPLIER DATA BASE'!$A$2:$O$936,11,0),""))</f>
        <v>-</v>
      </c>
      <c r="O874" s="70" t="str">
        <f>IF($A$3=" "," ", IFERROR( VLOOKUP($A874,'SUPPLIER DATA BASE'!$A$2:$O$936,12,0),""))</f>
        <v>-</v>
      </c>
      <c r="P874" s="70" t="str">
        <f>IF($A$3=" "," ", IFERROR( VLOOKUP($A874,'SUPPLIER DATA BASE'!$A$2:$O$936,13,0),""))</f>
        <v>-</v>
      </c>
      <c r="Q874" s="77"/>
      <c r="R874" s="73"/>
      <c r="S874" s="77"/>
      <c r="T874" s="70"/>
      <c r="U874" s="78"/>
      <c r="V874" s="70" t="str">
        <f t="shared" si="6"/>
        <v>FY 26-27</v>
      </c>
      <c r="W874" s="23"/>
      <c r="X874" s="23"/>
    </row>
    <row r="875">
      <c r="A875" s="70" t="s">
        <v>789</v>
      </c>
      <c r="B875" s="70" t="str">
        <f>IF($A$3=" "," ", IFERROR( VLOOKUP($A875,'SUPPLIER DATA BASE'!$A$2:$M$936,3,0),""))</f>
        <v>-</v>
      </c>
      <c r="C875" s="70" t="str">
        <f>IF($A$3=" "," ", IFERROR( VLOOKUP($A875,'SUPPLIER DATA BASE'!$A$2:$F$936,6,0),""))</f>
        <v>-</v>
      </c>
      <c r="D875" s="70" t="str">
        <f>IF($A$3=" "," ", IFERROR( VLOOKUP($A875,'SUPPLIER DATA BASE'!$A$2:$G$936,4,0),""))</f>
        <v>-</v>
      </c>
      <c r="E875" s="71" t="str">
        <f>IF($A$3=" "," ", IFERROR( VLOOKUP($A875,'SUPPLIER DATA BASE'!$A$2:$H$936,5,0),""))</f>
        <v>-</v>
      </c>
      <c r="F875" s="72">
        <v>3603.0</v>
      </c>
      <c r="G875" s="73">
        <v>46127.0</v>
      </c>
      <c r="H875" s="74">
        <v>16.0</v>
      </c>
      <c r="I875" s="75">
        <v>4302.0</v>
      </c>
      <c r="J875" s="76" t="s">
        <v>2651</v>
      </c>
      <c r="K875" s="76" t="s">
        <v>2652</v>
      </c>
      <c r="L875" s="73"/>
      <c r="M875" s="70" t="str">
        <f t="shared" si="3"/>
        <v>61 Days</v>
      </c>
      <c r="N875" s="70" t="str">
        <f>IF($A$3=" "," ", IFERROR( VLOOKUP($A875,'SUPPLIER DATA BASE'!$A$2:$O$936,11,0),""))</f>
        <v>-</v>
      </c>
      <c r="O875" s="70" t="str">
        <f>IF($A$3=" "," ", IFERROR( VLOOKUP($A875,'SUPPLIER DATA BASE'!$A$2:$O$936,12,0),""))</f>
        <v>-</v>
      </c>
      <c r="P875" s="70" t="str">
        <f>IF($A$3=" "," ", IFERROR( VLOOKUP($A875,'SUPPLIER DATA BASE'!$A$2:$O$936,13,0),""))</f>
        <v>-</v>
      </c>
      <c r="Q875" s="77"/>
      <c r="R875" s="73"/>
      <c r="S875" s="77"/>
      <c r="T875" s="70"/>
      <c r="U875" s="78"/>
      <c r="V875" s="70" t="str">
        <f t="shared" si="6"/>
        <v>FY 26-27</v>
      </c>
      <c r="W875" s="23"/>
      <c r="X875" s="23"/>
    </row>
    <row r="876">
      <c r="A876" s="70" t="s">
        <v>789</v>
      </c>
      <c r="B876" s="70" t="str">
        <f>IF($A$3=" "," ", IFERROR( VLOOKUP($A876,'SUPPLIER DATA BASE'!$A$2:$M$936,3,0),""))</f>
        <v>-</v>
      </c>
      <c r="C876" s="70" t="str">
        <f>IF($A$3=" "," ", IFERROR( VLOOKUP($A876,'SUPPLIER DATA BASE'!$A$2:$F$936,6,0),""))</f>
        <v>-</v>
      </c>
      <c r="D876" s="70" t="str">
        <f>IF($A$3=" "," ", IFERROR( VLOOKUP($A876,'SUPPLIER DATA BASE'!$A$2:$G$936,4,0),""))</f>
        <v>-</v>
      </c>
      <c r="E876" s="71" t="str">
        <f>IF($A$3=" "," ", IFERROR( VLOOKUP($A876,'SUPPLIER DATA BASE'!$A$2:$H$936,5,0),""))</f>
        <v>-</v>
      </c>
      <c r="F876" s="72">
        <v>3542.0</v>
      </c>
      <c r="G876" s="73">
        <v>46127.0</v>
      </c>
      <c r="H876" s="74">
        <v>8.0</v>
      </c>
      <c r="I876" s="75">
        <v>14565.0</v>
      </c>
      <c r="J876" s="76" t="s">
        <v>2653</v>
      </c>
      <c r="K876" s="76" t="s">
        <v>2654</v>
      </c>
      <c r="L876" s="73"/>
      <c r="M876" s="70" t="str">
        <f t="shared" si="3"/>
        <v>61 Days</v>
      </c>
      <c r="N876" s="70" t="str">
        <f>IF($A$3=" "," ", IFERROR( VLOOKUP($A876,'SUPPLIER DATA BASE'!$A$2:$O$936,11,0),""))</f>
        <v>-</v>
      </c>
      <c r="O876" s="70" t="str">
        <f>IF($A$3=" "," ", IFERROR( VLOOKUP($A876,'SUPPLIER DATA BASE'!$A$2:$O$936,12,0),""))</f>
        <v>-</v>
      </c>
      <c r="P876" s="70" t="str">
        <f>IF($A$3=" "," ", IFERROR( VLOOKUP($A876,'SUPPLIER DATA BASE'!$A$2:$O$936,13,0),""))</f>
        <v>-</v>
      </c>
      <c r="Q876" s="77"/>
      <c r="R876" s="73"/>
      <c r="S876" s="77"/>
      <c r="T876" s="70"/>
      <c r="U876" s="78"/>
      <c r="V876" s="70" t="str">
        <f t="shared" si="6"/>
        <v>FY 26-27</v>
      </c>
      <c r="W876" s="23"/>
      <c r="X876" s="23"/>
    </row>
    <row r="877">
      <c r="A877" s="70" t="s">
        <v>789</v>
      </c>
      <c r="B877" s="70" t="str">
        <f>IF($A$3=" "," ", IFERROR( VLOOKUP($A877,'SUPPLIER DATA BASE'!$A$2:$M$936,3,0),""))</f>
        <v>-</v>
      </c>
      <c r="C877" s="70" t="str">
        <f>IF($A$3=" "," ", IFERROR( VLOOKUP($A877,'SUPPLIER DATA BASE'!$A$2:$F$936,6,0),""))</f>
        <v>-</v>
      </c>
      <c r="D877" s="70" t="str">
        <f>IF($A$3=" "," ", IFERROR( VLOOKUP($A877,'SUPPLIER DATA BASE'!$A$2:$G$936,4,0),""))</f>
        <v>-</v>
      </c>
      <c r="E877" s="71" t="str">
        <f>IF($A$3=" "," ", IFERROR( VLOOKUP($A877,'SUPPLIER DATA BASE'!$A$2:$H$936,5,0),""))</f>
        <v>-</v>
      </c>
      <c r="F877" s="72">
        <v>3845.0</v>
      </c>
      <c r="G877" s="73">
        <v>46127.0</v>
      </c>
      <c r="H877" s="74">
        <v>72.0</v>
      </c>
      <c r="I877" s="75">
        <v>19733.0</v>
      </c>
      <c r="J877" s="76" t="s">
        <v>2655</v>
      </c>
      <c r="K877" s="76" t="s">
        <v>2656</v>
      </c>
      <c r="L877" s="73"/>
      <c r="M877" s="70" t="str">
        <f t="shared" si="3"/>
        <v>61 Days</v>
      </c>
      <c r="N877" s="70" t="str">
        <f>IF($A$3=" "," ", IFERROR( VLOOKUP($A877,'SUPPLIER DATA BASE'!$A$2:$O$936,11,0),""))</f>
        <v>-</v>
      </c>
      <c r="O877" s="70" t="str">
        <f>IF($A$3=" "," ", IFERROR( VLOOKUP($A877,'SUPPLIER DATA BASE'!$A$2:$O$936,12,0),""))</f>
        <v>-</v>
      </c>
      <c r="P877" s="70" t="str">
        <f>IF($A$3=" "," ", IFERROR( VLOOKUP($A877,'SUPPLIER DATA BASE'!$A$2:$O$936,13,0),""))</f>
        <v>-</v>
      </c>
      <c r="Q877" s="77"/>
      <c r="R877" s="73"/>
      <c r="S877" s="77"/>
      <c r="T877" s="70"/>
      <c r="U877" s="78"/>
      <c r="V877" s="70" t="str">
        <f t="shared" si="6"/>
        <v>FY 26-27</v>
      </c>
      <c r="W877" s="23"/>
      <c r="X877" s="23"/>
    </row>
    <row r="878">
      <c r="A878" s="70" t="s">
        <v>799</v>
      </c>
      <c r="B878" s="70" t="str">
        <f>IF($A$3=" "," ", IFERROR( VLOOKUP($A878,'SUPPLIER DATA BASE'!$A$2:$M$936,3,0),""))</f>
        <v>-</v>
      </c>
      <c r="C878" s="70" t="str">
        <f>IF($A$3=" "," ", IFERROR( VLOOKUP($A878,'SUPPLIER DATA BASE'!$A$2:$F$936,6,0),""))</f>
        <v>-</v>
      </c>
      <c r="D878" s="70" t="str">
        <f>IF($A$3=" "," ", IFERROR( VLOOKUP($A878,'SUPPLIER DATA BASE'!$A$2:$G$936,4,0),""))</f>
        <v>-</v>
      </c>
      <c r="E878" s="71" t="str">
        <f>IF($A$3=" "," ", IFERROR( VLOOKUP($A878,'SUPPLIER DATA BASE'!$A$2:$H$936,5,0),""))</f>
        <v>-</v>
      </c>
      <c r="F878" s="72" t="s">
        <v>2657</v>
      </c>
      <c r="G878" s="73">
        <v>46127.0</v>
      </c>
      <c r="H878" s="74">
        <v>51.0</v>
      </c>
      <c r="I878" s="75">
        <v>95198.0</v>
      </c>
      <c r="J878" s="76" t="s">
        <v>2658</v>
      </c>
      <c r="K878" s="76" t="s">
        <v>2659</v>
      </c>
      <c r="L878" s="73"/>
      <c r="M878" s="70" t="str">
        <f t="shared" si="3"/>
        <v>61 Days</v>
      </c>
      <c r="N878" s="70" t="str">
        <f>IF($A$3=" "," ", IFERROR( VLOOKUP($A878,'SUPPLIER DATA BASE'!$A$2:$O$936,11,0),""))</f>
        <v>VISHAL MARKETING &amp; CO.</v>
      </c>
      <c r="O878" s="70" t="str">
        <f>IF($A$3=" "," ", IFERROR( VLOOKUP($A878,'SUPPLIER DATA BASE'!$A$2:$O$936,12,0),""))</f>
        <v>1091008700001025</v>
      </c>
      <c r="P878" s="70" t="str">
        <f>IF($A$3=" "," ", IFERROR( VLOOKUP($A878,'SUPPLIER DATA BASE'!$A$2:$O$936,13,0),""))</f>
        <v>PUNB0109100</v>
      </c>
      <c r="Q878" s="77"/>
      <c r="R878" s="73"/>
      <c r="S878" s="77"/>
      <c r="T878" s="70"/>
      <c r="U878" s="78"/>
      <c r="V878" s="70" t="str">
        <f t="shared" si="6"/>
        <v>FY 26-27</v>
      </c>
      <c r="W878" s="23"/>
      <c r="X878" s="23"/>
    </row>
    <row r="879">
      <c r="A879" s="70" t="s">
        <v>799</v>
      </c>
      <c r="B879" s="70" t="str">
        <f>IF($A$3=" "," ", IFERROR( VLOOKUP($A879,'SUPPLIER DATA BASE'!$A$2:$M$936,3,0),""))</f>
        <v>-</v>
      </c>
      <c r="C879" s="70" t="str">
        <f>IF($A$3=" "," ", IFERROR( VLOOKUP($A879,'SUPPLIER DATA BASE'!$A$2:$F$936,6,0),""))</f>
        <v>-</v>
      </c>
      <c r="D879" s="70" t="str">
        <f>IF($A$3=" "," ", IFERROR( VLOOKUP($A879,'SUPPLIER DATA BASE'!$A$2:$G$936,4,0),""))</f>
        <v>-</v>
      </c>
      <c r="E879" s="71" t="str">
        <f>IF($A$3=" "," ", IFERROR( VLOOKUP($A879,'SUPPLIER DATA BASE'!$A$2:$H$936,5,0),""))</f>
        <v>-</v>
      </c>
      <c r="F879" s="72" t="s">
        <v>2660</v>
      </c>
      <c r="G879" s="73">
        <v>46127.0</v>
      </c>
      <c r="H879" s="74">
        <v>50.0</v>
      </c>
      <c r="I879" s="75">
        <v>93364.0</v>
      </c>
      <c r="J879" s="76" t="s">
        <v>2661</v>
      </c>
      <c r="K879" s="76" t="s">
        <v>2662</v>
      </c>
      <c r="L879" s="73"/>
      <c r="M879" s="70" t="str">
        <f t="shared" si="3"/>
        <v>61 Days</v>
      </c>
      <c r="N879" s="70" t="str">
        <f>IF($A$3=" "," ", IFERROR( VLOOKUP($A879,'SUPPLIER DATA BASE'!$A$2:$O$936,11,0),""))</f>
        <v>VISHAL MARKETING &amp; CO.</v>
      </c>
      <c r="O879" s="70" t="str">
        <f>IF($A$3=" "," ", IFERROR( VLOOKUP($A879,'SUPPLIER DATA BASE'!$A$2:$O$936,12,0),""))</f>
        <v>1091008700001025</v>
      </c>
      <c r="P879" s="70" t="str">
        <f>IF($A$3=" "," ", IFERROR( VLOOKUP($A879,'SUPPLIER DATA BASE'!$A$2:$O$936,13,0),""))</f>
        <v>PUNB0109100</v>
      </c>
      <c r="Q879" s="77"/>
      <c r="R879" s="73"/>
      <c r="S879" s="77"/>
      <c r="T879" s="70"/>
      <c r="U879" s="78"/>
      <c r="V879" s="70" t="str">
        <f t="shared" si="6"/>
        <v>FY 26-27</v>
      </c>
      <c r="W879" s="23"/>
      <c r="X879" s="23"/>
    </row>
    <row r="880">
      <c r="A880" s="70" t="s">
        <v>799</v>
      </c>
      <c r="B880" s="70" t="str">
        <f>IF($A$3=" "," ", IFERROR( VLOOKUP($A880,'SUPPLIER DATA BASE'!$A$2:$M$936,3,0),""))</f>
        <v>-</v>
      </c>
      <c r="C880" s="70" t="str">
        <f>IF($A$3=" "," ", IFERROR( VLOOKUP($A880,'SUPPLIER DATA BASE'!$A$2:$F$936,6,0),""))</f>
        <v>-</v>
      </c>
      <c r="D880" s="70" t="str">
        <f>IF($A$3=" "," ", IFERROR( VLOOKUP($A880,'SUPPLIER DATA BASE'!$A$2:$G$936,4,0),""))</f>
        <v>-</v>
      </c>
      <c r="E880" s="71" t="str">
        <f>IF($A$3=" "," ", IFERROR( VLOOKUP($A880,'SUPPLIER DATA BASE'!$A$2:$H$936,5,0),""))</f>
        <v>-</v>
      </c>
      <c r="F880" s="72" t="s">
        <v>2663</v>
      </c>
      <c r="G880" s="73">
        <v>46127.0</v>
      </c>
      <c r="H880" s="74">
        <v>51.0</v>
      </c>
      <c r="I880" s="75">
        <v>95198.0</v>
      </c>
      <c r="J880" s="76" t="s">
        <v>2664</v>
      </c>
      <c r="K880" s="76" t="s">
        <v>2665</v>
      </c>
      <c r="L880" s="73"/>
      <c r="M880" s="70" t="str">
        <f t="shared" si="3"/>
        <v>61 Days</v>
      </c>
      <c r="N880" s="70" t="str">
        <f>IF($A$3=" "," ", IFERROR( VLOOKUP($A880,'SUPPLIER DATA BASE'!$A$2:$O$936,11,0),""))</f>
        <v>VISHAL MARKETING &amp; CO.</v>
      </c>
      <c r="O880" s="70" t="str">
        <f>IF($A$3=" "," ", IFERROR( VLOOKUP($A880,'SUPPLIER DATA BASE'!$A$2:$O$936,12,0),""))</f>
        <v>1091008700001025</v>
      </c>
      <c r="P880" s="70" t="str">
        <f>IF($A$3=" "," ", IFERROR( VLOOKUP($A880,'SUPPLIER DATA BASE'!$A$2:$O$936,13,0),""))</f>
        <v>PUNB0109100</v>
      </c>
      <c r="Q880" s="77"/>
      <c r="R880" s="73"/>
      <c r="S880" s="77"/>
      <c r="T880" s="70"/>
      <c r="U880" s="78"/>
      <c r="V880" s="70" t="str">
        <f t="shared" si="6"/>
        <v>FY 26-27</v>
      </c>
      <c r="W880" s="23"/>
      <c r="X880" s="23"/>
    </row>
    <row r="881">
      <c r="A881" s="70" t="s">
        <v>799</v>
      </c>
      <c r="B881" s="70" t="str">
        <f>IF($A$3=" "," ", IFERROR( VLOOKUP($A881,'SUPPLIER DATA BASE'!$A$2:$M$936,3,0),""))</f>
        <v>-</v>
      </c>
      <c r="C881" s="70" t="str">
        <f>IF($A$3=" "," ", IFERROR( VLOOKUP($A881,'SUPPLIER DATA BASE'!$A$2:$F$936,6,0),""))</f>
        <v>-</v>
      </c>
      <c r="D881" s="70" t="str">
        <f>IF($A$3=" "," ", IFERROR( VLOOKUP($A881,'SUPPLIER DATA BASE'!$A$2:$G$936,4,0),""))</f>
        <v>-</v>
      </c>
      <c r="E881" s="71" t="str">
        <f>IF($A$3=" "," ", IFERROR( VLOOKUP($A881,'SUPPLIER DATA BASE'!$A$2:$H$936,5,0),""))</f>
        <v>-</v>
      </c>
      <c r="F881" s="72" t="s">
        <v>2666</v>
      </c>
      <c r="G881" s="73">
        <v>46127.0</v>
      </c>
      <c r="H881" s="74">
        <v>120.0</v>
      </c>
      <c r="I881" s="75">
        <v>221014.0</v>
      </c>
      <c r="J881" s="76" t="s">
        <v>2667</v>
      </c>
      <c r="K881" s="76" t="s">
        <v>2668</v>
      </c>
      <c r="L881" s="73"/>
      <c r="M881" s="70" t="str">
        <f t="shared" si="3"/>
        <v>61 Days</v>
      </c>
      <c r="N881" s="70" t="str">
        <f>IF($A$3=" "," ", IFERROR( VLOOKUP($A881,'SUPPLIER DATA BASE'!$A$2:$O$936,11,0),""))</f>
        <v>VISHAL MARKETING &amp; CO.</v>
      </c>
      <c r="O881" s="70" t="str">
        <f>IF($A$3=" "," ", IFERROR( VLOOKUP($A881,'SUPPLIER DATA BASE'!$A$2:$O$936,12,0),""))</f>
        <v>1091008700001025</v>
      </c>
      <c r="P881" s="70" t="str">
        <f>IF($A$3=" "," ", IFERROR( VLOOKUP($A881,'SUPPLIER DATA BASE'!$A$2:$O$936,13,0),""))</f>
        <v>PUNB0109100</v>
      </c>
      <c r="Q881" s="77"/>
      <c r="R881" s="73"/>
      <c r="S881" s="77"/>
      <c r="T881" s="70"/>
      <c r="U881" s="78"/>
      <c r="V881" s="70" t="str">
        <f t="shared" si="6"/>
        <v>FY 26-27</v>
      </c>
      <c r="W881" s="23"/>
      <c r="X881" s="23"/>
    </row>
    <row r="882">
      <c r="A882" s="70" t="s">
        <v>354</v>
      </c>
      <c r="B882" s="70" t="str">
        <f>IF($A$3=" "," ", IFERROR( VLOOKUP($A882,'SUPPLIER DATA BASE'!$A$2:$M$936,3,0),""))</f>
        <v>-</v>
      </c>
      <c r="C882" s="70" t="str">
        <f>IF($A$3=" "," ", IFERROR( VLOOKUP($A882,'SUPPLIER DATA BASE'!$A$2:$F$936,6,0),""))</f>
        <v>-</v>
      </c>
      <c r="D882" s="70" t="str">
        <f>IF($A$3=" "," ", IFERROR( VLOOKUP($A882,'SUPPLIER DATA BASE'!$A$2:$G$936,4,0),""))</f>
        <v>-</v>
      </c>
      <c r="E882" s="71" t="str">
        <f>IF($A$3=" "," ", IFERROR( VLOOKUP($A882,'SUPPLIER DATA BASE'!$A$2:$H$936,5,0),""))</f>
        <v>-</v>
      </c>
      <c r="F882" s="72" t="s">
        <v>2669</v>
      </c>
      <c r="G882" s="73">
        <v>46127.0</v>
      </c>
      <c r="H882" s="74">
        <v>15.0</v>
      </c>
      <c r="I882" s="75">
        <v>9931.08</v>
      </c>
      <c r="J882" s="76" t="s">
        <v>2670</v>
      </c>
      <c r="K882" s="76" t="s">
        <v>2671</v>
      </c>
      <c r="L882" s="73"/>
      <c r="M882" s="70" t="str">
        <f t="shared" si="3"/>
        <v>61 Days</v>
      </c>
      <c r="N882" s="70" t="str">
        <f>IF($A$3=" "," ", IFERROR( VLOOKUP($A882,'SUPPLIER DATA BASE'!$A$2:$O$936,11,0),""))</f>
        <v>-</v>
      </c>
      <c r="O882" s="70" t="str">
        <f>IF($A$3=" "," ", IFERROR( VLOOKUP($A882,'SUPPLIER DATA BASE'!$A$2:$O$936,12,0),""))</f>
        <v>-</v>
      </c>
      <c r="P882" s="70" t="str">
        <f>IF($A$3=" "," ", IFERROR( VLOOKUP($A882,'SUPPLIER DATA BASE'!$A$2:$O$936,13,0),""))</f>
        <v>-</v>
      </c>
      <c r="Q882" s="77"/>
      <c r="R882" s="73"/>
      <c r="S882" s="77"/>
      <c r="T882" s="70"/>
      <c r="U882" s="78"/>
      <c r="V882" s="70" t="str">
        <f t="shared" si="6"/>
        <v>FY 26-27</v>
      </c>
      <c r="W882" s="23"/>
      <c r="X882" s="23"/>
    </row>
    <row r="883">
      <c r="A883" s="70" t="s">
        <v>354</v>
      </c>
      <c r="B883" s="70" t="str">
        <f>IF($A$3=" "," ", IFERROR( VLOOKUP($A883,'SUPPLIER DATA BASE'!$A$2:$M$936,3,0),""))</f>
        <v>-</v>
      </c>
      <c r="C883" s="70" t="str">
        <f>IF($A$3=" "," ", IFERROR( VLOOKUP($A883,'SUPPLIER DATA BASE'!$A$2:$F$936,6,0),""))</f>
        <v>-</v>
      </c>
      <c r="D883" s="70" t="str">
        <f>IF($A$3=" "," ", IFERROR( VLOOKUP($A883,'SUPPLIER DATA BASE'!$A$2:$G$936,4,0),""))</f>
        <v>-</v>
      </c>
      <c r="E883" s="71" t="str">
        <f>IF($A$3=" "," ", IFERROR( VLOOKUP($A883,'SUPPLIER DATA BASE'!$A$2:$H$936,5,0),""))</f>
        <v>-</v>
      </c>
      <c r="F883" s="72" t="s">
        <v>2672</v>
      </c>
      <c r="G883" s="73">
        <v>46127.0</v>
      </c>
      <c r="H883" s="74">
        <v>9.0</v>
      </c>
      <c r="I883" s="75">
        <v>5958.65</v>
      </c>
      <c r="J883" s="76" t="s">
        <v>2673</v>
      </c>
      <c r="K883" s="76" t="s">
        <v>2674</v>
      </c>
      <c r="L883" s="73"/>
      <c r="M883" s="70" t="str">
        <f t="shared" si="3"/>
        <v>61 Days</v>
      </c>
      <c r="N883" s="70" t="str">
        <f>IF($A$3=" "," ", IFERROR( VLOOKUP($A883,'SUPPLIER DATA BASE'!$A$2:$O$936,11,0),""))</f>
        <v>-</v>
      </c>
      <c r="O883" s="70" t="str">
        <f>IF($A$3=" "," ", IFERROR( VLOOKUP($A883,'SUPPLIER DATA BASE'!$A$2:$O$936,12,0),""))</f>
        <v>-</v>
      </c>
      <c r="P883" s="70" t="str">
        <f>IF($A$3=" "," ", IFERROR( VLOOKUP($A883,'SUPPLIER DATA BASE'!$A$2:$O$936,13,0),""))</f>
        <v>-</v>
      </c>
      <c r="Q883" s="77"/>
      <c r="R883" s="73"/>
      <c r="S883" s="77"/>
      <c r="T883" s="70"/>
      <c r="U883" s="78"/>
      <c r="V883" s="70" t="str">
        <f t="shared" si="6"/>
        <v>FY 26-27</v>
      </c>
      <c r="W883" s="23"/>
      <c r="X883" s="23"/>
    </row>
    <row r="884">
      <c r="A884" s="70" t="s">
        <v>354</v>
      </c>
      <c r="B884" s="70" t="str">
        <f>IF($A$3=" "," ", IFERROR( VLOOKUP($A884,'SUPPLIER DATA BASE'!$A$2:$M$936,3,0),""))</f>
        <v>-</v>
      </c>
      <c r="C884" s="70" t="str">
        <f>IF($A$3=" "," ", IFERROR( VLOOKUP($A884,'SUPPLIER DATA BASE'!$A$2:$F$936,6,0),""))</f>
        <v>-</v>
      </c>
      <c r="D884" s="70" t="str">
        <f>IF($A$3=" "," ", IFERROR( VLOOKUP($A884,'SUPPLIER DATA BASE'!$A$2:$G$936,4,0),""))</f>
        <v>-</v>
      </c>
      <c r="E884" s="71" t="str">
        <f>IF($A$3=" "," ", IFERROR( VLOOKUP($A884,'SUPPLIER DATA BASE'!$A$2:$H$936,5,0),""))</f>
        <v>-</v>
      </c>
      <c r="F884" s="72" t="s">
        <v>2675</v>
      </c>
      <c r="G884" s="73">
        <v>46127.0</v>
      </c>
      <c r="H884" s="74">
        <v>18.0</v>
      </c>
      <c r="I884" s="75">
        <v>11917.29</v>
      </c>
      <c r="J884" s="76" t="s">
        <v>2676</v>
      </c>
      <c r="K884" s="76" t="s">
        <v>2677</v>
      </c>
      <c r="L884" s="73"/>
      <c r="M884" s="70" t="str">
        <f t="shared" si="3"/>
        <v>61 Days</v>
      </c>
      <c r="N884" s="70" t="str">
        <f>IF($A$3=" "," ", IFERROR( VLOOKUP($A884,'SUPPLIER DATA BASE'!$A$2:$O$936,11,0),""))</f>
        <v>-</v>
      </c>
      <c r="O884" s="70" t="str">
        <f>IF($A$3=" "," ", IFERROR( VLOOKUP($A884,'SUPPLIER DATA BASE'!$A$2:$O$936,12,0),""))</f>
        <v>-</v>
      </c>
      <c r="P884" s="70" t="str">
        <f>IF($A$3=" "," ", IFERROR( VLOOKUP($A884,'SUPPLIER DATA BASE'!$A$2:$O$936,13,0),""))</f>
        <v>-</v>
      </c>
      <c r="Q884" s="77"/>
      <c r="R884" s="73"/>
      <c r="S884" s="77"/>
      <c r="T884" s="70"/>
      <c r="U884" s="78"/>
      <c r="V884" s="70" t="str">
        <f t="shared" si="6"/>
        <v>FY 26-27</v>
      </c>
      <c r="W884" s="23"/>
      <c r="X884" s="23"/>
    </row>
    <row r="885">
      <c r="A885" s="70" t="s">
        <v>354</v>
      </c>
      <c r="B885" s="70" t="str">
        <f>IF($A$3=" "," ", IFERROR( VLOOKUP($A885,'SUPPLIER DATA BASE'!$A$2:$M$936,3,0),""))</f>
        <v>-</v>
      </c>
      <c r="C885" s="70" t="str">
        <f>IF($A$3=" "," ", IFERROR( VLOOKUP($A885,'SUPPLIER DATA BASE'!$A$2:$F$936,6,0),""))</f>
        <v>-</v>
      </c>
      <c r="D885" s="70" t="str">
        <f>IF($A$3=" "," ", IFERROR( VLOOKUP($A885,'SUPPLIER DATA BASE'!$A$2:$G$936,4,0),""))</f>
        <v>-</v>
      </c>
      <c r="E885" s="71" t="str">
        <f>IF($A$3=" "," ", IFERROR( VLOOKUP($A885,'SUPPLIER DATA BASE'!$A$2:$H$936,5,0),""))</f>
        <v>-</v>
      </c>
      <c r="F885" s="72" t="s">
        <v>2678</v>
      </c>
      <c r="G885" s="73">
        <v>46127.0</v>
      </c>
      <c r="H885" s="74">
        <v>7.0</v>
      </c>
      <c r="I885" s="75">
        <v>12956.21</v>
      </c>
      <c r="J885" s="76" t="s">
        <v>2679</v>
      </c>
      <c r="K885" s="76" t="s">
        <v>2680</v>
      </c>
      <c r="L885" s="73"/>
      <c r="M885" s="70" t="str">
        <f t="shared" si="3"/>
        <v>61 Days</v>
      </c>
      <c r="N885" s="70" t="str">
        <f>IF($A$3=" "," ", IFERROR( VLOOKUP($A885,'SUPPLIER DATA BASE'!$A$2:$O$936,11,0),""))</f>
        <v>-</v>
      </c>
      <c r="O885" s="70" t="str">
        <f>IF($A$3=" "," ", IFERROR( VLOOKUP($A885,'SUPPLIER DATA BASE'!$A$2:$O$936,12,0),""))</f>
        <v>-</v>
      </c>
      <c r="P885" s="70" t="str">
        <f>IF($A$3=" "," ", IFERROR( VLOOKUP($A885,'SUPPLIER DATA BASE'!$A$2:$O$936,13,0),""))</f>
        <v>-</v>
      </c>
      <c r="Q885" s="77"/>
      <c r="R885" s="73"/>
      <c r="S885" s="77"/>
      <c r="T885" s="70"/>
      <c r="U885" s="78"/>
      <c r="V885" s="70" t="str">
        <f t="shared" si="6"/>
        <v>FY 26-27</v>
      </c>
      <c r="W885" s="23"/>
      <c r="X885" s="23"/>
    </row>
    <row r="886">
      <c r="A886" s="70" t="s">
        <v>354</v>
      </c>
      <c r="B886" s="70" t="str">
        <f>IF($A$3=" "," ", IFERROR( VLOOKUP($A886,'SUPPLIER DATA BASE'!$A$2:$M$936,3,0),""))</f>
        <v>-</v>
      </c>
      <c r="C886" s="70" t="str">
        <f>IF($A$3=" "," ", IFERROR( VLOOKUP($A886,'SUPPLIER DATA BASE'!$A$2:$F$936,6,0),""))</f>
        <v>-</v>
      </c>
      <c r="D886" s="70" t="str">
        <f>IF($A$3=" "," ", IFERROR( VLOOKUP($A886,'SUPPLIER DATA BASE'!$A$2:$G$936,4,0),""))</f>
        <v>-</v>
      </c>
      <c r="E886" s="71" t="str">
        <f>IF($A$3=" "," ", IFERROR( VLOOKUP($A886,'SUPPLIER DATA BASE'!$A$2:$H$936,5,0),""))</f>
        <v>-</v>
      </c>
      <c r="F886" s="72" t="s">
        <v>2681</v>
      </c>
      <c r="G886" s="73">
        <v>46127.0</v>
      </c>
      <c r="H886" s="74">
        <v>3.0</v>
      </c>
      <c r="I886" s="75">
        <v>3795.15</v>
      </c>
      <c r="J886" s="76" t="s">
        <v>2682</v>
      </c>
      <c r="K886" s="76" t="s">
        <v>2683</v>
      </c>
      <c r="L886" s="73"/>
      <c r="M886" s="70" t="str">
        <f t="shared" si="3"/>
        <v>61 Days</v>
      </c>
      <c r="N886" s="70" t="str">
        <f>IF($A$3=" "," ", IFERROR( VLOOKUP($A886,'SUPPLIER DATA BASE'!$A$2:$O$936,11,0),""))</f>
        <v>-</v>
      </c>
      <c r="O886" s="70" t="str">
        <f>IF($A$3=" "," ", IFERROR( VLOOKUP($A886,'SUPPLIER DATA BASE'!$A$2:$O$936,12,0),""))</f>
        <v>-</v>
      </c>
      <c r="P886" s="70" t="str">
        <f>IF($A$3=" "," ", IFERROR( VLOOKUP($A886,'SUPPLIER DATA BASE'!$A$2:$O$936,13,0),""))</f>
        <v>-</v>
      </c>
      <c r="Q886" s="77"/>
      <c r="R886" s="73"/>
      <c r="S886" s="77"/>
      <c r="T886" s="70"/>
      <c r="U886" s="78"/>
      <c r="V886" s="70" t="str">
        <f t="shared" si="6"/>
        <v>FY 26-27</v>
      </c>
      <c r="W886" s="23"/>
      <c r="X886" s="23"/>
    </row>
    <row r="887">
      <c r="A887" s="70" t="s">
        <v>354</v>
      </c>
      <c r="B887" s="70" t="str">
        <f>IF($A$3=" "," ", IFERROR( VLOOKUP($A887,'SUPPLIER DATA BASE'!$A$2:$M$936,3,0),""))</f>
        <v>-</v>
      </c>
      <c r="C887" s="70" t="str">
        <f>IF($A$3=" "," ", IFERROR( VLOOKUP($A887,'SUPPLIER DATA BASE'!$A$2:$F$936,6,0),""))</f>
        <v>-</v>
      </c>
      <c r="D887" s="70" t="str">
        <f>IF($A$3=" "," ", IFERROR( VLOOKUP($A887,'SUPPLIER DATA BASE'!$A$2:$G$936,4,0),""))</f>
        <v>-</v>
      </c>
      <c r="E887" s="71" t="str">
        <f>IF($A$3=" "," ", IFERROR( VLOOKUP($A887,'SUPPLIER DATA BASE'!$A$2:$H$936,5,0),""))</f>
        <v>-</v>
      </c>
      <c r="F887" s="72" t="s">
        <v>2684</v>
      </c>
      <c r="G887" s="73">
        <v>46127.0</v>
      </c>
      <c r="H887" s="74">
        <v>7.0</v>
      </c>
      <c r="I887" s="75">
        <v>13803.12</v>
      </c>
      <c r="J887" s="76" t="s">
        <v>2685</v>
      </c>
      <c r="K887" s="76" t="s">
        <v>2686</v>
      </c>
      <c r="L887" s="73"/>
      <c r="M887" s="70" t="str">
        <f t="shared" si="3"/>
        <v>61 Days</v>
      </c>
      <c r="N887" s="70" t="str">
        <f>IF($A$3=" "," ", IFERROR( VLOOKUP($A887,'SUPPLIER DATA BASE'!$A$2:$O$936,11,0),""))</f>
        <v>-</v>
      </c>
      <c r="O887" s="70" t="str">
        <f>IF($A$3=" "," ", IFERROR( VLOOKUP($A887,'SUPPLIER DATA BASE'!$A$2:$O$936,12,0),""))</f>
        <v>-</v>
      </c>
      <c r="P887" s="70" t="str">
        <f>IF($A$3=" "," ", IFERROR( VLOOKUP($A887,'SUPPLIER DATA BASE'!$A$2:$O$936,13,0),""))</f>
        <v>-</v>
      </c>
      <c r="Q887" s="77"/>
      <c r="R887" s="73"/>
      <c r="S887" s="77"/>
      <c r="T887" s="70"/>
      <c r="U887" s="78"/>
      <c r="V887" s="70" t="str">
        <f t="shared" si="6"/>
        <v>FY 26-27</v>
      </c>
      <c r="W887" s="23"/>
      <c r="X887" s="23"/>
    </row>
    <row r="888">
      <c r="A888" s="70" t="s">
        <v>354</v>
      </c>
      <c r="B888" s="70" t="str">
        <f>IF($A$3=" "," ", IFERROR( VLOOKUP($A888,'SUPPLIER DATA BASE'!$A$2:$M$936,3,0),""))</f>
        <v>-</v>
      </c>
      <c r="C888" s="70" t="str">
        <f>IF($A$3=" "," ", IFERROR( VLOOKUP($A888,'SUPPLIER DATA BASE'!$A$2:$F$936,6,0),""))</f>
        <v>-</v>
      </c>
      <c r="D888" s="70" t="str">
        <f>IF($A$3=" "," ", IFERROR( VLOOKUP($A888,'SUPPLIER DATA BASE'!$A$2:$G$936,4,0),""))</f>
        <v>-</v>
      </c>
      <c r="E888" s="71" t="str">
        <f>IF($A$3=" "," ", IFERROR( VLOOKUP($A888,'SUPPLIER DATA BASE'!$A$2:$H$936,5,0),""))</f>
        <v>-</v>
      </c>
      <c r="F888" s="72" t="s">
        <v>2687</v>
      </c>
      <c r="G888" s="73">
        <v>46127.0</v>
      </c>
      <c r="H888" s="74">
        <v>8.0</v>
      </c>
      <c r="I888" s="75">
        <v>10120.41</v>
      </c>
      <c r="J888" s="76" t="s">
        <v>2688</v>
      </c>
      <c r="K888" s="76" t="s">
        <v>2689</v>
      </c>
      <c r="L888" s="73"/>
      <c r="M888" s="70" t="str">
        <f t="shared" si="3"/>
        <v>61 Days</v>
      </c>
      <c r="N888" s="70" t="str">
        <f>IF($A$3=" "," ", IFERROR( VLOOKUP($A888,'SUPPLIER DATA BASE'!$A$2:$O$936,11,0),""))</f>
        <v>-</v>
      </c>
      <c r="O888" s="70" t="str">
        <f>IF($A$3=" "," ", IFERROR( VLOOKUP($A888,'SUPPLIER DATA BASE'!$A$2:$O$936,12,0),""))</f>
        <v>-</v>
      </c>
      <c r="P888" s="70" t="str">
        <f>IF($A$3=" "," ", IFERROR( VLOOKUP($A888,'SUPPLIER DATA BASE'!$A$2:$O$936,13,0),""))</f>
        <v>-</v>
      </c>
      <c r="Q888" s="77"/>
      <c r="R888" s="73"/>
      <c r="S888" s="77"/>
      <c r="T888" s="70"/>
      <c r="U888" s="78"/>
      <c r="V888" s="70" t="str">
        <f t="shared" si="6"/>
        <v>FY 26-27</v>
      </c>
      <c r="W888" s="23"/>
      <c r="X888" s="23"/>
    </row>
    <row r="889">
      <c r="A889" s="70" t="s">
        <v>848</v>
      </c>
      <c r="B889" s="70" t="str">
        <f>IF($A$3=" "," ", IFERROR( VLOOKUP($A889,'SUPPLIER DATA BASE'!$A$2:$M$936,3,0),""))</f>
        <v>-</v>
      </c>
      <c r="C889" s="70" t="str">
        <f>IF($A$3=" "," ", IFERROR( VLOOKUP($A889,'SUPPLIER DATA BASE'!$A$2:$F$936,6,0),""))</f>
        <v>-</v>
      </c>
      <c r="D889" s="70" t="str">
        <f>IF($A$3=" "," ", IFERROR( VLOOKUP($A889,'SUPPLIER DATA BASE'!$A$2:$G$936,4,0),""))</f>
        <v>-</v>
      </c>
      <c r="E889" s="71" t="str">
        <f>IF($A$3=" "," ", IFERROR( VLOOKUP($A889,'SUPPLIER DATA BASE'!$A$2:$H$936,5,0),""))</f>
        <v>-</v>
      </c>
      <c r="F889" s="72" t="s">
        <v>2690</v>
      </c>
      <c r="G889" s="73">
        <v>46127.0</v>
      </c>
      <c r="H889" s="74">
        <v>78.0</v>
      </c>
      <c r="I889" s="75">
        <v>85079.0</v>
      </c>
      <c r="J889" s="76" t="s">
        <v>2691</v>
      </c>
      <c r="K889" s="76" t="s">
        <v>2692</v>
      </c>
      <c r="L889" s="73"/>
      <c r="M889" s="70" t="str">
        <f t="shared" si="3"/>
        <v>61 Days</v>
      </c>
      <c r="N889" s="70" t="str">
        <f>IF($A$3=" "," ", IFERROR( VLOOKUP($A889,'SUPPLIER DATA BASE'!$A$2:$O$936,11,0),""))</f>
        <v>-</v>
      </c>
      <c r="O889" s="70" t="str">
        <f>IF($A$3=" "," ", IFERROR( VLOOKUP($A889,'SUPPLIER DATA BASE'!$A$2:$O$936,12,0),""))</f>
        <v>-</v>
      </c>
      <c r="P889" s="70" t="str">
        <f>IF($A$3=" "," ", IFERROR( VLOOKUP($A889,'SUPPLIER DATA BASE'!$A$2:$O$936,13,0),""))</f>
        <v>-</v>
      </c>
      <c r="Q889" s="77"/>
      <c r="R889" s="73"/>
      <c r="S889" s="77"/>
      <c r="T889" s="70"/>
      <c r="U889" s="78"/>
      <c r="V889" s="70" t="str">
        <f t="shared" si="6"/>
        <v>FY 26-27</v>
      </c>
      <c r="W889" s="23"/>
      <c r="X889" s="23"/>
    </row>
    <row r="890">
      <c r="A890" s="70" t="s">
        <v>848</v>
      </c>
      <c r="B890" s="70" t="str">
        <f>IF($A$3=" "," ", IFERROR( VLOOKUP($A890,'SUPPLIER DATA BASE'!$A$2:$M$936,3,0),""))</f>
        <v>-</v>
      </c>
      <c r="C890" s="70" t="str">
        <f>IF($A$3=" "," ", IFERROR( VLOOKUP($A890,'SUPPLIER DATA BASE'!$A$2:$F$936,6,0),""))</f>
        <v>-</v>
      </c>
      <c r="D890" s="70" t="str">
        <f>IF($A$3=" "," ", IFERROR( VLOOKUP($A890,'SUPPLIER DATA BASE'!$A$2:$G$936,4,0),""))</f>
        <v>-</v>
      </c>
      <c r="E890" s="71" t="str">
        <f>IF($A$3=" "," ", IFERROR( VLOOKUP($A890,'SUPPLIER DATA BASE'!$A$2:$H$936,5,0),""))</f>
        <v>-</v>
      </c>
      <c r="F890" s="72" t="s">
        <v>2693</v>
      </c>
      <c r="G890" s="73">
        <v>46127.0</v>
      </c>
      <c r="H890" s="74">
        <v>85.0</v>
      </c>
      <c r="I890" s="75">
        <v>184303.0</v>
      </c>
      <c r="J890" s="76" t="s">
        <v>2694</v>
      </c>
      <c r="K890" s="76" t="s">
        <v>2695</v>
      </c>
      <c r="L890" s="73"/>
      <c r="M890" s="70" t="str">
        <f t="shared" si="3"/>
        <v>61 Days</v>
      </c>
      <c r="N890" s="70" t="str">
        <f>IF($A$3=" "," ", IFERROR( VLOOKUP($A890,'SUPPLIER DATA BASE'!$A$2:$O$936,11,0),""))</f>
        <v>-</v>
      </c>
      <c r="O890" s="70" t="str">
        <f>IF($A$3=" "," ", IFERROR( VLOOKUP($A890,'SUPPLIER DATA BASE'!$A$2:$O$936,12,0),""))</f>
        <v>-</v>
      </c>
      <c r="P890" s="70" t="str">
        <f>IF($A$3=" "," ", IFERROR( VLOOKUP($A890,'SUPPLIER DATA BASE'!$A$2:$O$936,13,0),""))</f>
        <v>-</v>
      </c>
      <c r="Q890" s="77"/>
      <c r="R890" s="73"/>
      <c r="S890" s="77"/>
      <c r="T890" s="70"/>
      <c r="U890" s="78"/>
      <c r="V890" s="70" t="str">
        <f t="shared" si="6"/>
        <v>FY 26-27</v>
      </c>
      <c r="W890" s="23"/>
      <c r="X890" s="23"/>
    </row>
    <row r="891">
      <c r="A891" s="70" t="s">
        <v>848</v>
      </c>
      <c r="B891" s="70" t="str">
        <f>IF($A$3=" "," ", IFERROR( VLOOKUP($A891,'SUPPLIER DATA BASE'!$A$2:$M$936,3,0),""))</f>
        <v>-</v>
      </c>
      <c r="C891" s="70" t="str">
        <f>IF($A$3=" "," ", IFERROR( VLOOKUP($A891,'SUPPLIER DATA BASE'!$A$2:$F$936,6,0),""))</f>
        <v>-</v>
      </c>
      <c r="D891" s="70" t="str">
        <f>IF($A$3=" "," ", IFERROR( VLOOKUP($A891,'SUPPLIER DATA BASE'!$A$2:$G$936,4,0),""))</f>
        <v>-</v>
      </c>
      <c r="E891" s="71" t="str">
        <f>IF($A$3=" "," ", IFERROR( VLOOKUP($A891,'SUPPLIER DATA BASE'!$A$2:$H$936,5,0),""))</f>
        <v>-</v>
      </c>
      <c r="F891" s="72" t="s">
        <v>2696</v>
      </c>
      <c r="G891" s="73">
        <v>46127.0</v>
      </c>
      <c r="H891" s="74">
        <v>104.0</v>
      </c>
      <c r="I891" s="75">
        <v>167096.0</v>
      </c>
      <c r="J891" s="76" t="s">
        <v>2697</v>
      </c>
      <c r="K891" s="76" t="s">
        <v>2698</v>
      </c>
      <c r="L891" s="73"/>
      <c r="M891" s="70" t="str">
        <f t="shared" si="3"/>
        <v>61 Days</v>
      </c>
      <c r="N891" s="70" t="str">
        <f>IF($A$3=" "," ", IFERROR( VLOOKUP($A891,'SUPPLIER DATA BASE'!$A$2:$O$936,11,0),""))</f>
        <v>-</v>
      </c>
      <c r="O891" s="70" t="str">
        <f>IF($A$3=" "," ", IFERROR( VLOOKUP($A891,'SUPPLIER DATA BASE'!$A$2:$O$936,12,0),""))</f>
        <v>-</v>
      </c>
      <c r="P891" s="70" t="str">
        <f>IF($A$3=" "," ", IFERROR( VLOOKUP($A891,'SUPPLIER DATA BASE'!$A$2:$O$936,13,0),""))</f>
        <v>-</v>
      </c>
      <c r="Q891" s="77"/>
      <c r="R891" s="73"/>
      <c r="S891" s="77"/>
      <c r="T891" s="70"/>
      <c r="U891" s="78"/>
      <c r="V891" s="70" t="str">
        <f t="shared" si="6"/>
        <v>FY 26-27</v>
      </c>
      <c r="W891" s="23"/>
      <c r="X891" s="23"/>
    </row>
    <row r="892">
      <c r="A892" s="70" t="s">
        <v>775</v>
      </c>
      <c r="B892" s="70" t="str">
        <f>IF($A$3=" "," ", IFERROR( VLOOKUP($A892,'SUPPLIER DATA BASE'!$A$2:$M$936,3,0),""))</f>
        <v>-</v>
      </c>
      <c r="C892" s="70" t="str">
        <f>IF($A$3=" "," ", IFERROR( VLOOKUP($A892,'SUPPLIER DATA BASE'!$A$2:$F$936,6,0),""))</f>
        <v>-</v>
      </c>
      <c r="D892" s="70" t="str">
        <f>IF($A$3=" "," ", IFERROR( VLOOKUP($A892,'SUPPLIER DATA BASE'!$A$2:$G$936,4,0),""))</f>
        <v>-</v>
      </c>
      <c r="E892" s="71" t="str">
        <f>IF($A$3=" "," ", IFERROR( VLOOKUP($A892,'SUPPLIER DATA BASE'!$A$2:$H$936,5,0),""))</f>
        <v>-</v>
      </c>
      <c r="F892" s="72" t="s">
        <v>2699</v>
      </c>
      <c r="G892" s="73">
        <v>46127.0</v>
      </c>
      <c r="H892" s="74">
        <v>30.0</v>
      </c>
      <c r="I892" s="75">
        <v>14556.0</v>
      </c>
      <c r="J892" s="76" t="s">
        <v>2700</v>
      </c>
      <c r="K892" s="76" t="s">
        <v>2701</v>
      </c>
      <c r="L892" s="73"/>
      <c r="M892" s="70" t="str">
        <f t="shared" si="3"/>
        <v>61 Days</v>
      </c>
      <c r="N892" s="70" t="str">
        <f>IF($A$3=" "," ", IFERROR( VLOOKUP($A892,'SUPPLIER DATA BASE'!$A$2:$O$936,11,0),""))</f>
        <v>-</v>
      </c>
      <c r="O892" s="70" t="str">
        <f>IF($A$3=" "," ", IFERROR( VLOOKUP($A892,'SUPPLIER DATA BASE'!$A$2:$O$936,12,0),""))</f>
        <v>-</v>
      </c>
      <c r="P892" s="70" t="str">
        <f>IF($A$3=" "," ", IFERROR( VLOOKUP($A892,'SUPPLIER DATA BASE'!$A$2:$O$936,13,0),""))</f>
        <v>-</v>
      </c>
      <c r="Q892" s="77"/>
      <c r="R892" s="73"/>
      <c r="S892" s="77"/>
      <c r="T892" s="70"/>
      <c r="U892" s="78"/>
      <c r="V892" s="70" t="str">
        <f t="shared" si="6"/>
        <v>FY 26-27</v>
      </c>
      <c r="W892" s="23"/>
      <c r="X892" s="23"/>
    </row>
    <row r="893">
      <c r="A893" s="70" t="s">
        <v>354</v>
      </c>
      <c r="B893" s="70" t="str">
        <f>IF($A$3=" "," ", IFERROR( VLOOKUP($A893,'SUPPLIER DATA BASE'!$A$2:$M$936,3,0),""))</f>
        <v>-</v>
      </c>
      <c r="C893" s="70" t="str">
        <f>IF($A$3=" "," ", IFERROR( VLOOKUP($A893,'SUPPLIER DATA BASE'!$A$2:$F$936,6,0),""))</f>
        <v>-</v>
      </c>
      <c r="D893" s="70" t="str">
        <f>IF($A$3=" "," ", IFERROR( VLOOKUP($A893,'SUPPLIER DATA BASE'!$A$2:$G$936,4,0),""))</f>
        <v>-</v>
      </c>
      <c r="E893" s="71" t="str">
        <f>IF($A$3=" "," ", IFERROR( VLOOKUP($A893,'SUPPLIER DATA BASE'!$A$2:$H$936,5,0),""))</f>
        <v>-</v>
      </c>
      <c r="F893" s="72" t="s">
        <v>2702</v>
      </c>
      <c r="G893" s="73">
        <v>46127.0</v>
      </c>
      <c r="H893" s="74">
        <v>12.0</v>
      </c>
      <c r="I893" s="75">
        <v>19553.04</v>
      </c>
      <c r="J893" s="76" t="s">
        <v>2703</v>
      </c>
      <c r="K893" s="76" t="s">
        <v>2704</v>
      </c>
      <c r="L893" s="73"/>
      <c r="M893" s="70" t="str">
        <f t="shared" si="3"/>
        <v>61 Days</v>
      </c>
      <c r="N893" s="70" t="str">
        <f>IF($A$3=" "," ", IFERROR( VLOOKUP($A893,'SUPPLIER DATA BASE'!$A$2:$O$936,11,0),""))</f>
        <v>-</v>
      </c>
      <c r="O893" s="70" t="str">
        <f>IF($A$3=" "," ", IFERROR( VLOOKUP($A893,'SUPPLIER DATA BASE'!$A$2:$O$936,12,0),""))</f>
        <v>-</v>
      </c>
      <c r="P893" s="70" t="str">
        <f>IF($A$3=" "," ", IFERROR( VLOOKUP($A893,'SUPPLIER DATA BASE'!$A$2:$O$936,13,0),""))</f>
        <v>-</v>
      </c>
      <c r="Q893" s="77"/>
      <c r="R893" s="73"/>
      <c r="S893" s="77"/>
      <c r="T893" s="70"/>
      <c r="U893" s="78"/>
      <c r="V893" s="70" t="str">
        <f t="shared" si="6"/>
        <v>FY 26-27</v>
      </c>
      <c r="W893" s="23"/>
      <c r="X893" s="23"/>
    </row>
    <row r="894">
      <c r="A894" s="70" t="s">
        <v>354</v>
      </c>
      <c r="B894" s="70" t="str">
        <f>IF($A$3=" "," ", IFERROR( VLOOKUP($A894,'SUPPLIER DATA BASE'!$A$2:$M$936,3,0),""))</f>
        <v>-</v>
      </c>
      <c r="C894" s="70" t="str">
        <f>IF($A$3=" "," ", IFERROR( VLOOKUP($A894,'SUPPLIER DATA BASE'!$A$2:$F$936,6,0),""))</f>
        <v>-</v>
      </c>
      <c r="D894" s="70" t="str">
        <f>IF($A$3=" "," ", IFERROR( VLOOKUP($A894,'SUPPLIER DATA BASE'!$A$2:$G$936,4,0),""))</f>
        <v>-</v>
      </c>
      <c r="E894" s="71" t="str">
        <f>IF($A$3=" "," ", IFERROR( VLOOKUP($A894,'SUPPLIER DATA BASE'!$A$2:$H$936,5,0),""))</f>
        <v>-</v>
      </c>
      <c r="F894" s="72" t="s">
        <v>2705</v>
      </c>
      <c r="G894" s="73">
        <v>46127.0</v>
      </c>
      <c r="H894" s="74">
        <v>12.0</v>
      </c>
      <c r="I894" s="75">
        <v>7944.87</v>
      </c>
      <c r="J894" s="76" t="s">
        <v>2706</v>
      </c>
      <c r="K894" s="76" t="s">
        <v>2707</v>
      </c>
      <c r="L894" s="73"/>
      <c r="M894" s="70" t="str">
        <f t="shared" si="3"/>
        <v>61 Days</v>
      </c>
      <c r="N894" s="70" t="str">
        <f>IF($A$3=" "," ", IFERROR( VLOOKUP($A894,'SUPPLIER DATA BASE'!$A$2:$O$936,11,0),""))</f>
        <v>-</v>
      </c>
      <c r="O894" s="70" t="str">
        <f>IF($A$3=" "," ", IFERROR( VLOOKUP($A894,'SUPPLIER DATA BASE'!$A$2:$O$936,12,0),""))</f>
        <v>-</v>
      </c>
      <c r="P894" s="70" t="str">
        <f>IF($A$3=" "," ", IFERROR( VLOOKUP($A894,'SUPPLIER DATA BASE'!$A$2:$O$936,13,0),""))</f>
        <v>-</v>
      </c>
      <c r="Q894" s="77"/>
      <c r="R894" s="73"/>
      <c r="S894" s="77"/>
      <c r="T894" s="70"/>
      <c r="U894" s="78"/>
      <c r="V894" s="70" t="str">
        <f t="shared" si="6"/>
        <v>FY 26-27</v>
      </c>
      <c r="W894" s="23"/>
      <c r="X894" s="23"/>
    </row>
    <row r="895">
      <c r="A895" s="70" t="s">
        <v>799</v>
      </c>
      <c r="B895" s="70" t="str">
        <f>IF($A$3=" "," ", IFERROR( VLOOKUP($A895,'SUPPLIER DATA BASE'!$A$2:$M$936,3,0),""))</f>
        <v>-</v>
      </c>
      <c r="C895" s="70" t="str">
        <f>IF($A$3=" "," ", IFERROR( VLOOKUP($A895,'SUPPLIER DATA BASE'!$A$2:$F$936,6,0),""))</f>
        <v>-</v>
      </c>
      <c r="D895" s="70" t="str">
        <f>IF($A$3=" "," ", IFERROR( VLOOKUP($A895,'SUPPLIER DATA BASE'!$A$2:$G$936,4,0),""))</f>
        <v>-</v>
      </c>
      <c r="E895" s="71" t="str">
        <f>IF($A$3=" "," ", IFERROR( VLOOKUP($A895,'SUPPLIER DATA BASE'!$A$2:$H$936,5,0),""))</f>
        <v>-</v>
      </c>
      <c r="F895" s="72" t="s">
        <v>2708</v>
      </c>
      <c r="G895" s="73">
        <v>46128.0</v>
      </c>
      <c r="H895" s="74">
        <v>8.0</v>
      </c>
      <c r="I895" s="75">
        <v>4591.0</v>
      </c>
      <c r="J895" s="76" t="s">
        <v>2709</v>
      </c>
      <c r="K895" s="76" t="s">
        <v>2710</v>
      </c>
      <c r="L895" s="73"/>
      <c r="M895" s="70" t="str">
        <f t="shared" si="3"/>
        <v>60 Days</v>
      </c>
      <c r="N895" s="70" t="str">
        <f>IF($A$3=" "," ", IFERROR( VLOOKUP($A895,'SUPPLIER DATA BASE'!$A$2:$O$936,11,0),""))</f>
        <v>VISHAL MARKETING &amp; CO.</v>
      </c>
      <c r="O895" s="70" t="str">
        <f>IF($A$3=" "," ", IFERROR( VLOOKUP($A895,'SUPPLIER DATA BASE'!$A$2:$O$936,12,0),""))</f>
        <v>1091008700001025</v>
      </c>
      <c r="P895" s="70" t="str">
        <f>IF($A$3=" "," ", IFERROR( VLOOKUP($A895,'SUPPLIER DATA BASE'!$A$2:$O$936,13,0),""))</f>
        <v>PUNB0109100</v>
      </c>
      <c r="Q895" s="77"/>
      <c r="R895" s="73"/>
      <c r="S895" s="77"/>
      <c r="T895" s="70"/>
      <c r="U895" s="78"/>
      <c r="V895" s="70" t="str">
        <f t="shared" si="6"/>
        <v>FY 26-27</v>
      </c>
      <c r="W895" s="23"/>
      <c r="X895" s="23"/>
    </row>
    <row r="896">
      <c r="A896" s="70" t="s">
        <v>609</v>
      </c>
      <c r="B896" s="70" t="str">
        <f>IF($A$3=" "," ", IFERROR( VLOOKUP($A896,'SUPPLIER DATA BASE'!$A$2:$M$936,3,0),""))</f>
        <v>-</v>
      </c>
      <c r="C896" s="70" t="str">
        <f>IF($A$3=" "," ", IFERROR( VLOOKUP($A896,'SUPPLIER DATA BASE'!$A$2:$F$936,6,0),""))</f>
        <v>-</v>
      </c>
      <c r="D896" s="70" t="str">
        <f>IF($A$3=" "," ", IFERROR( VLOOKUP($A896,'SUPPLIER DATA BASE'!$A$2:$G$936,4,0),""))</f>
        <v>-</v>
      </c>
      <c r="E896" s="71" t="str">
        <f>IF($A$3=" "," ", IFERROR( VLOOKUP($A896,'SUPPLIER DATA BASE'!$A$2:$H$936,5,0),""))</f>
        <v>-</v>
      </c>
      <c r="F896" s="72">
        <v>1755.0</v>
      </c>
      <c r="G896" s="73">
        <v>46128.0</v>
      </c>
      <c r="H896" s="74">
        <v>47.0</v>
      </c>
      <c r="I896" s="75">
        <v>96291.0</v>
      </c>
      <c r="J896" s="76" t="s">
        <v>2711</v>
      </c>
      <c r="K896" s="76" t="s">
        <v>2712</v>
      </c>
      <c r="L896" s="73"/>
      <c r="M896" s="70" t="str">
        <f t="shared" si="3"/>
        <v>60 Days</v>
      </c>
      <c r="N896" s="70" t="str">
        <f>IF($A$3=" "," ", IFERROR( VLOOKUP($A896,'SUPPLIER DATA BASE'!$A$2:$O$936,11,0),""))</f>
        <v>P R MODI AND SONS</v>
      </c>
      <c r="O896" s="70" t="str">
        <f>IF($A$3=" "," ", IFERROR( VLOOKUP($A896,'SUPPLIER DATA BASE'!$A$2:$O$936,12,0),""))</f>
        <v>490930150000030</v>
      </c>
      <c r="P896" s="70" t="str">
        <f>IF($A$3=" "," ", IFERROR( VLOOKUP($A896,'SUPPLIER DATA BASE'!$A$2:$O$936,13,0),""))</f>
        <v>BKID0004909</v>
      </c>
      <c r="Q896" s="77"/>
      <c r="R896" s="73"/>
      <c r="S896" s="77"/>
      <c r="T896" s="70"/>
      <c r="U896" s="78"/>
      <c r="V896" s="70" t="str">
        <f t="shared" si="6"/>
        <v>FY 26-27</v>
      </c>
      <c r="W896" s="23"/>
      <c r="X896" s="23"/>
    </row>
    <row r="897">
      <c r="A897" s="70" t="s">
        <v>609</v>
      </c>
      <c r="B897" s="70" t="str">
        <f>IF($A$3=" "," ", IFERROR( VLOOKUP($A897,'SUPPLIER DATA BASE'!$A$2:$M$936,3,0),""))</f>
        <v>-</v>
      </c>
      <c r="C897" s="70" t="str">
        <f>IF($A$3=" "," ", IFERROR( VLOOKUP($A897,'SUPPLIER DATA BASE'!$A$2:$F$936,6,0),""))</f>
        <v>-</v>
      </c>
      <c r="D897" s="70" t="str">
        <f>IF($A$3=" "," ", IFERROR( VLOOKUP($A897,'SUPPLIER DATA BASE'!$A$2:$G$936,4,0),""))</f>
        <v>-</v>
      </c>
      <c r="E897" s="71" t="str">
        <f>IF($A$3=" "," ", IFERROR( VLOOKUP($A897,'SUPPLIER DATA BASE'!$A$2:$H$936,5,0),""))</f>
        <v>-</v>
      </c>
      <c r="F897" s="72">
        <v>1756.0</v>
      </c>
      <c r="G897" s="73">
        <v>46128.0</v>
      </c>
      <c r="H897" s="74">
        <v>45.0</v>
      </c>
      <c r="I897" s="75">
        <v>103698.0</v>
      </c>
      <c r="J897" s="76" t="s">
        <v>2713</v>
      </c>
      <c r="K897" s="76" t="s">
        <v>2714</v>
      </c>
      <c r="L897" s="73"/>
      <c r="M897" s="70" t="str">
        <f t="shared" si="3"/>
        <v>60 Days</v>
      </c>
      <c r="N897" s="70" t="str">
        <f>IF($A$3=" "," ", IFERROR( VLOOKUP($A897,'SUPPLIER DATA BASE'!$A$2:$O$936,11,0),""))</f>
        <v>P R MODI AND SONS</v>
      </c>
      <c r="O897" s="70" t="str">
        <f>IF($A$3=" "," ", IFERROR( VLOOKUP($A897,'SUPPLIER DATA BASE'!$A$2:$O$936,12,0),""))</f>
        <v>490930150000030</v>
      </c>
      <c r="P897" s="70" t="str">
        <f>IF($A$3=" "," ", IFERROR( VLOOKUP($A897,'SUPPLIER DATA BASE'!$A$2:$O$936,13,0),""))</f>
        <v>BKID0004909</v>
      </c>
      <c r="Q897" s="77"/>
      <c r="R897" s="73"/>
      <c r="S897" s="77"/>
      <c r="T897" s="70"/>
      <c r="U897" s="78"/>
      <c r="V897" s="70" t="str">
        <f t="shared" si="6"/>
        <v>FY 26-27</v>
      </c>
      <c r="W897" s="23"/>
      <c r="X897" s="23"/>
    </row>
    <row r="898">
      <c r="A898" s="70" t="s">
        <v>609</v>
      </c>
      <c r="B898" s="70" t="str">
        <f>IF($A$3=" "," ", IFERROR( VLOOKUP($A898,'SUPPLIER DATA BASE'!$A$2:$M$936,3,0),""))</f>
        <v>-</v>
      </c>
      <c r="C898" s="70" t="str">
        <f>IF($A$3=" "," ", IFERROR( VLOOKUP($A898,'SUPPLIER DATA BASE'!$A$2:$F$936,6,0),""))</f>
        <v>-</v>
      </c>
      <c r="D898" s="70" t="str">
        <f>IF($A$3=" "," ", IFERROR( VLOOKUP($A898,'SUPPLIER DATA BASE'!$A$2:$G$936,4,0),""))</f>
        <v>-</v>
      </c>
      <c r="E898" s="71" t="str">
        <f>IF($A$3=" "," ", IFERROR( VLOOKUP($A898,'SUPPLIER DATA BASE'!$A$2:$H$936,5,0),""))</f>
        <v>-</v>
      </c>
      <c r="F898" s="72">
        <v>1760.0</v>
      </c>
      <c r="G898" s="73">
        <v>46128.0</v>
      </c>
      <c r="H898" s="74">
        <v>16.0</v>
      </c>
      <c r="I898" s="75">
        <v>33412.0</v>
      </c>
      <c r="J898" s="76" t="s">
        <v>2715</v>
      </c>
      <c r="K898" s="76" t="s">
        <v>2716</v>
      </c>
      <c r="L898" s="73"/>
      <c r="M898" s="70" t="str">
        <f t="shared" si="3"/>
        <v>60 Days</v>
      </c>
      <c r="N898" s="70" t="str">
        <f>IF($A$3=" "," ", IFERROR( VLOOKUP($A898,'SUPPLIER DATA BASE'!$A$2:$O$936,11,0),""))</f>
        <v>P R MODI AND SONS</v>
      </c>
      <c r="O898" s="70" t="str">
        <f>IF($A$3=" "," ", IFERROR( VLOOKUP($A898,'SUPPLIER DATA BASE'!$A$2:$O$936,12,0),""))</f>
        <v>490930150000030</v>
      </c>
      <c r="P898" s="70" t="str">
        <f>IF($A$3=" "," ", IFERROR( VLOOKUP($A898,'SUPPLIER DATA BASE'!$A$2:$O$936,13,0),""))</f>
        <v>BKID0004909</v>
      </c>
      <c r="Q898" s="77"/>
      <c r="R898" s="73"/>
      <c r="S898" s="77"/>
      <c r="T898" s="70"/>
      <c r="U898" s="78"/>
      <c r="V898" s="70" t="str">
        <f t="shared" si="6"/>
        <v>FY 26-27</v>
      </c>
      <c r="W898" s="23"/>
      <c r="X898" s="23"/>
    </row>
    <row r="899">
      <c r="A899" s="70" t="s">
        <v>625</v>
      </c>
      <c r="B899" s="70" t="str">
        <f>IF($A$3=" "," ", IFERROR( VLOOKUP($A899,'SUPPLIER DATA BASE'!$A$2:$M$936,3,0),""))</f>
        <v>-</v>
      </c>
      <c r="C899" s="70" t="str">
        <f>IF($A$3=" "," ", IFERROR( VLOOKUP($A899,'SUPPLIER DATA BASE'!$A$2:$F$936,6,0),""))</f>
        <v>DIRECT</v>
      </c>
      <c r="D899" s="70">
        <f>IF($A$3=" "," ", IFERROR( VLOOKUP($A899,'SUPPLIER DATA BASE'!$A$2:$G$936,4,0),""))</f>
        <v>30</v>
      </c>
      <c r="E899" s="71">
        <f>IF($A$3=" "," ", IFERROR( VLOOKUP($A899,'SUPPLIER DATA BASE'!$A$2:$H$936,5,0),""))</f>
        <v>0.02</v>
      </c>
      <c r="F899" s="72">
        <v>295.0</v>
      </c>
      <c r="G899" s="73">
        <v>46128.0</v>
      </c>
      <c r="H899" s="74">
        <v>24.0</v>
      </c>
      <c r="I899" s="75">
        <v>56975.0</v>
      </c>
      <c r="J899" s="76" t="s">
        <v>2717</v>
      </c>
      <c r="K899" s="76" t="s">
        <v>2718</v>
      </c>
      <c r="L899" s="73"/>
      <c r="M899" s="70" t="str">
        <f t="shared" si="3"/>
        <v>60 Days</v>
      </c>
      <c r="N899" s="70" t="str">
        <f>IF($A$3=" "," ", IFERROR( VLOOKUP($A899,'SUPPLIER DATA BASE'!$A$2:$O$936,11,0),""))</f>
        <v>PLAZER GARMENTS</v>
      </c>
      <c r="O899" s="70" t="str">
        <f>IF($A$3=" "," ", IFERROR( VLOOKUP($A899,'SUPPLIER DATA BASE'!$A$2:$O$936,12,0),""))</f>
        <v>50200065043307</v>
      </c>
      <c r="P899" s="70" t="str">
        <f>IF($A$3=" "," ", IFERROR( VLOOKUP($A899,'SUPPLIER DATA BASE'!$A$2:$O$936,13,0),""))</f>
        <v>HDFC0000150</v>
      </c>
      <c r="Q899" s="77"/>
      <c r="R899" s="73"/>
      <c r="S899" s="77"/>
      <c r="T899" s="70"/>
      <c r="U899" s="78"/>
      <c r="V899" s="70" t="str">
        <f t="shared" si="6"/>
        <v>FY 26-27</v>
      </c>
      <c r="W899" s="23"/>
      <c r="X899" s="23"/>
    </row>
    <row r="900">
      <c r="A900" s="70" t="s">
        <v>402</v>
      </c>
      <c r="B900" s="70" t="str">
        <f>IF($A$3=" "," ", IFERROR( VLOOKUP($A900,'SUPPLIER DATA BASE'!$A$2:$M$936,3,0),""))</f>
        <v>KHUSHAL/STATUS QUO</v>
      </c>
      <c r="C900" s="70" t="str">
        <f>IF($A$3=" "," ", IFERROR( VLOOKUP($A900,'SUPPLIER DATA BASE'!$A$2:$F$936,6,0),""))</f>
        <v>-</v>
      </c>
      <c r="D900" s="70" t="str">
        <f>IF($A$3=" "," ", IFERROR( VLOOKUP($A900,'SUPPLIER DATA BASE'!$A$2:$G$936,4,0),""))</f>
        <v>-</v>
      </c>
      <c r="E900" s="71" t="str">
        <f>IF($A$3=" "," ", IFERROR( VLOOKUP($A900,'SUPPLIER DATA BASE'!$A$2:$H$936,5,0),""))</f>
        <v>-</v>
      </c>
      <c r="F900" s="72" t="s">
        <v>2719</v>
      </c>
      <c r="G900" s="73">
        <v>46128.0</v>
      </c>
      <c r="H900" s="74">
        <v>56.0</v>
      </c>
      <c r="I900" s="75">
        <v>45944.0</v>
      </c>
      <c r="J900" s="76" t="s">
        <v>2720</v>
      </c>
      <c r="K900" s="76" t="s">
        <v>2721</v>
      </c>
      <c r="L900" s="73"/>
      <c r="M900" s="70" t="str">
        <f t="shared" si="3"/>
        <v>60 Days</v>
      </c>
      <c r="N900" s="70" t="str">
        <f>IF($A$3=" "," ", IFERROR( VLOOKUP($A900,'SUPPLIER DATA BASE'!$A$2:$O$936,11,0),""))</f>
        <v>D APPAREL</v>
      </c>
      <c r="O900" s="70" t="str">
        <f>IF($A$3=" "," ", IFERROR( VLOOKUP($A900,'SUPPLIER DATA BASE'!$A$2:$O$936,12,0),""))</f>
        <v>722501010050397</v>
      </c>
      <c r="P900" s="70" t="str">
        <f>IF($A$3=" "," ", IFERROR( VLOOKUP($A900,'SUPPLIER DATA BASE'!$A$2:$O$936,13,0),""))</f>
        <v>UBIN0572250</v>
      </c>
      <c r="Q900" s="77"/>
      <c r="R900" s="73"/>
      <c r="S900" s="77"/>
      <c r="T900" s="70"/>
      <c r="U900" s="78"/>
      <c r="V900" s="70" t="str">
        <f t="shared" si="6"/>
        <v>FY 26-27</v>
      </c>
      <c r="W900" s="23"/>
      <c r="X900" s="23"/>
    </row>
    <row r="901">
      <c r="A901" s="70" t="s">
        <v>459</v>
      </c>
      <c r="B901" s="70" t="str">
        <f>IF($A$3=" "," ", IFERROR( VLOOKUP($A901,'SUPPLIER DATA BASE'!$A$2:$M$936,3,0),""))</f>
        <v>FW</v>
      </c>
      <c r="C901" s="70" t="str">
        <f>IF($A$3=" "," ", IFERROR( VLOOKUP($A901,'SUPPLIER DATA BASE'!$A$2:$F$936,6,0),""))</f>
        <v>NEPOLIAN</v>
      </c>
      <c r="D901" s="70">
        <f>IF($A$3=" "," ", IFERROR( VLOOKUP($A901,'SUPPLIER DATA BASE'!$A$2:$G$936,4,0),""))</f>
        <v>60</v>
      </c>
      <c r="E901" s="71">
        <f>IF($A$3=" "," ", IFERROR( VLOOKUP($A901,'SUPPLIER DATA BASE'!$A$2:$H$936,5,0),""))</f>
        <v>0.03</v>
      </c>
      <c r="F901" s="72" t="s">
        <v>2722</v>
      </c>
      <c r="G901" s="73">
        <v>46128.0</v>
      </c>
      <c r="H901" s="74">
        <v>86.0</v>
      </c>
      <c r="I901" s="75">
        <v>104685.0</v>
      </c>
      <c r="J901" s="76" t="s">
        <v>2723</v>
      </c>
      <c r="K901" s="76" t="s">
        <v>2724</v>
      </c>
      <c r="L901" s="73"/>
      <c r="M901" s="70" t="str">
        <f t="shared" si="3"/>
        <v>60 Days</v>
      </c>
      <c r="N901" s="70" t="str">
        <f>IF($A$3=" "," ", IFERROR( VLOOKUP($A901,'SUPPLIER DATA BASE'!$A$2:$O$936,11,0),""))</f>
        <v>FASHION WORLD GARMENTS PVT LTD</v>
      </c>
      <c r="O901" s="70" t="str">
        <f>IF($A$3=" "," ", IFERROR( VLOOKUP($A901,'SUPPLIER DATA BASE'!$A$2:$O$936,12,0),""))</f>
        <v>3613991079</v>
      </c>
      <c r="P901" s="70" t="str">
        <f>IF($A$3=" "," ", IFERROR( VLOOKUP($A901,'SUPPLIER DATA BASE'!$A$2:$O$936,13,0),""))</f>
        <v>KKBK0006584</v>
      </c>
      <c r="Q901" s="77"/>
      <c r="R901" s="73"/>
      <c r="S901" s="77"/>
      <c r="T901" s="70"/>
      <c r="U901" s="78"/>
      <c r="V901" s="70" t="str">
        <f t="shared" si="6"/>
        <v>FY 26-27</v>
      </c>
      <c r="W901" s="23"/>
      <c r="X901" s="23"/>
    </row>
    <row r="902">
      <c r="A902" s="70" t="s">
        <v>459</v>
      </c>
      <c r="B902" s="70" t="str">
        <f>IF($A$3=" "," ", IFERROR( VLOOKUP($A902,'SUPPLIER DATA BASE'!$A$2:$M$936,3,0),""))</f>
        <v>FW</v>
      </c>
      <c r="C902" s="70" t="str">
        <f>IF($A$3=" "," ", IFERROR( VLOOKUP($A902,'SUPPLIER DATA BASE'!$A$2:$F$936,6,0),""))</f>
        <v>NEPOLIAN</v>
      </c>
      <c r="D902" s="70">
        <f>IF($A$3=" "," ", IFERROR( VLOOKUP($A902,'SUPPLIER DATA BASE'!$A$2:$G$936,4,0),""))</f>
        <v>60</v>
      </c>
      <c r="E902" s="71">
        <f>IF($A$3=" "," ", IFERROR( VLOOKUP($A902,'SUPPLIER DATA BASE'!$A$2:$H$936,5,0),""))</f>
        <v>0.03</v>
      </c>
      <c r="F902" s="72" t="s">
        <v>2725</v>
      </c>
      <c r="G902" s="73">
        <v>46128.0</v>
      </c>
      <c r="H902" s="74">
        <v>81.0</v>
      </c>
      <c r="I902" s="75">
        <v>109142.0</v>
      </c>
      <c r="J902" s="76" t="s">
        <v>2726</v>
      </c>
      <c r="K902" s="76" t="s">
        <v>2727</v>
      </c>
      <c r="L902" s="73"/>
      <c r="M902" s="70" t="str">
        <f t="shared" si="3"/>
        <v>60 Days</v>
      </c>
      <c r="N902" s="70" t="str">
        <f>IF($A$3=" "," ", IFERROR( VLOOKUP($A902,'SUPPLIER DATA BASE'!$A$2:$O$936,11,0),""))</f>
        <v>FASHION WORLD GARMENTS PVT LTD</v>
      </c>
      <c r="O902" s="70" t="str">
        <f>IF($A$3=" "," ", IFERROR( VLOOKUP($A902,'SUPPLIER DATA BASE'!$A$2:$O$936,12,0),""))</f>
        <v>3613991079</v>
      </c>
      <c r="P902" s="70" t="str">
        <f>IF($A$3=" "," ", IFERROR( VLOOKUP($A902,'SUPPLIER DATA BASE'!$A$2:$O$936,13,0),""))</f>
        <v>KKBK0006584</v>
      </c>
      <c r="Q902" s="77"/>
      <c r="R902" s="73"/>
      <c r="S902" s="77"/>
      <c r="T902" s="70"/>
      <c r="U902" s="78"/>
      <c r="V902" s="70" t="str">
        <f t="shared" si="6"/>
        <v>FY 26-27</v>
      </c>
      <c r="W902" s="23"/>
      <c r="X902" s="23"/>
    </row>
    <row r="903">
      <c r="A903" s="70" t="s">
        <v>459</v>
      </c>
      <c r="B903" s="70" t="str">
        <f>IF($A$3=" "," ", IFERROR( VLOOKUP($A903,'SUPPLIER DATA BASE'!$A$2:$M$936,3,0),""))</f>
        <v>FW</v>
      </c>
      <c r="C903" s="70" t="str">
        <f>IF($A$3=" "," ", IFERROR( VLOOKUP($A903,'SUPPLIER DATA BASE'!$A$2:$F$936,6,0),""))</f>
        <v>NEPOLIAN</v>
      </c>
      <c r="D903" s="70">
        <f>IF($A$3=" "," ", IFERROR( VLOOKUP($A903,'SUPPLIER DATA BASE'!$A$2:$G$936,4,0),""))</f>
        <v>60</v>
      </c>
      <c r="E903" s="71">
        <f>IF($A$3=" "," ", IFERROR( VLOOKUP($A903,'SUPPLIER DATA BASE'!$A$2:$H$936,5,0),""))</f>
        <v>0.03</v>
      </c>
      <c r="F903" s="72" t="s">
        <v>2728</v>
      </c>
      <c r="G903" s="73">
        <v>46128.0</v>
      </c>
      <c r="H903" s="74">
        <v>52.0</v>
      </c>
      <c r="I903" s="75">
        <v>86338.0</v>
      </c>
      <c r="J903" s="76" t="s">
        <v>2729</v>
      </c>
      <c r="K903" s="76" t="s">
        <v>2730</v>
      </c>
      <c r="L903" s="73"/>
      <c r="M903" s="70" t="str">
        <f t="shared" si="3"/>
        <v>60 Days</v>
      </c>
      <c r="N903" s="70" t="str">
        <f>IF($A$3=" "," ", IFERROR( VLOOKUP($A903,'SUPPLIER DATA BASE'!$A$2:$O$936,11,0),""))</f>
        <v>FASHION WORLD GARMENTS PVT LTD</v>
      </c>
      <c r="O903" s="70" t="str">
        <f>IF($A$3=" "," ", IFERROR( VLOOKUP($A903,'SUPPLIER DATA BASE'!$A$2:$O$936,12,0),""))</f>
        <v>3613991079</v>
      </c>
      <c r="P903" s="70" t="str">
        <f>IF($A$3=" "," ", IFERROR( VLOOKUP($A903,'SUPPLIER DATA BASE'!$A$2:$O$936,13,0),""))</f>
        <v>KKBK0006584</v>
      </c>
      <c r="Q903" s="77"/>
      <c r="R903" s="73"/>
      <c r="S903" s="77"/>
      <c r="T903" s="70"/>
      <c r="U903" s="78"/>
      <c r="V903" s="70" t="str">
        <f t="shared" si="6"/>
        <v>FY 26-27</v>
      </c>
      <c r="W903" s="23"/>
      <c r="X903" s="23"/>
    </row>
    <row r="904">
      <c r="A904" s="70" t="s">
        <v>459</v>
      </c>
      <c r="B904" s="70" t="str">
        <f>IF($A$3=" "," ", IFERROR( VLOOKUP($A904,'SUPPLIER DATA BASE'!$A$2:$M$936,3,0),""))</f>
        <v>FW</v>
      </c>
      <c r="C904" s="70" t="str">
        <f>IF($A$3=" "," ", IFERROR( VLOOKUP($A904,'SUPPLIER DATA BASE'!$A$2:$F$936,6,0),""))</f>
        <v>NEPOLIAN</v>
      </c>
      <c r="D904" s="70">
        <f>IF($A$3=" "," ", IFERROR( VLOOKUP($A904,'SUPPLIER DATA BASE'!$A$2:$G$936,4,0),""))</f>
        <v>60</v>
      </c>
      <c r="E904" s="71">
        <f>IF($A$3=" "," ", IFERROR( VLOOKUP($A904,'SUPPLIER DATA BASE'!$A$2:$H$936,5,0),""))</f>
        <v>0.03</v>
      </c>
      <c r="F904" s="72" t="s">
        <v>2731</v>
      </c>
      <c r="G904" s="73">
        <v>46128.0</v>
      </c>
      <c r="H904" s="74">
        <v>83.0</v>
      </c>
      <c r="I904" s="75">
        <v>114557.0</v>
      </c>
      <c r="J904" s="76" t="s">
        <v>2732</v>
      </c>
      <c r="K904" s="76" t="s">
        <v>2733</v>
      </c>
      <c r="L904" s="73"/>
      <c r="M904" s="70" t="str">
        <f t="shared" si="3"/>
        <v>60 Days</v>
      </c>
      <c r="N904" s="70" t="str">
        <f>IF($A$3=" "," ", IFERROR( VLOOKUP($A904,'SUPPLIER DATA BASE'!$A$2:$O$936,11,0),""))</f>
        <v>FASHION WORLD GARMENTS PVT LTD</v>
      </c>
      <c r="O904" s="70" t="str">
        <f>IF($A$3=" "," ", IFERROR( VLOOKUP($A904,'SUPPLIER DATA BASE'!$A$2:$O$936,12,0),""))</f>
        <v>3613991079</v>
      </c>
      <c r="P904" s="70" t="str">
        <f>IF($A$3=" "," ", IFERROR( VLOOKUP($A904,'SUPPLIER DATA BASE'!$A$2:$O$936,13,0),""))</f>
        <v>KKBK0006584</v>
      </c>
      <c r="Q904" s="77"/>
      <c r="R904" s="73"/>
      <c r="S904" s="77"/>
      <c r="T904" s="70"/>
      <c r="U904" s="78"/>
      <c r="V904" s="70" t="str">
        <f t="shared" si="6"/>
        <v>FY 26-27</v>
      </c>
      <c r="W904" s="23"/>
      <c r="X904" s="23"/>
    </row>
    <row r="905">
      <c r="A905" s="70" t="s">
        <v>448</v>
      </c>
      <c r="B905" s="70" t="str">
        <f>IF($A$3=" "," ", IFERROR( VLOOKUP($A905,'SUPPLIER DATA BASE'!$A$2:$M$936,3,0),""))</f>
        <v>SEWBERRY</v>
      </c>
      <c r="C905" s="70" t="str">
        <f>IF($A$3=" "," ", IFERROR( VLOOKUP($A905,'SUPPLIER DATA BASE'!$A$2:$F$936,6,0),""))</f>
        <v>-</v>
      </c>
      <c r="D905" s="70" t="str">
        <f>IF($A$3=" "," ", IFERROR( VLOOKUP($A905,'SUPPLIER DATA BASE'!$A$2:$G$936,4,0),""))</f>
        <v>-</v>
      </c>
      <c r="E905" s="71" t="str">
        <f>IF($A$3=" "," ", IFERROR( VLOOKUP($A905,'SUPPLIER DATA BASE'!$A$2:$H$936,5,0),""))</f>
        <v>-</v>
      </c>
      <c r="F905" s="72" t="s">
        <v>2734</v>
      </c>
      <c r="G905" s="73">
        <v>46128.0</v>
      </c>
      <c r="H905" s="74">
        <v>72.0</v>
      </c>
      <c r="I905" s="75">
        <v>77417.0</v>
      </c>
      <c r="J905" s="76" t="s">
        <v>2735</v>
      </c>
      <c r="K905" s="76" t="s">
        <v>2736</v>
      </c>
      <c r="L905" s="73"/>
      <c r="M905" s="70" t="str">
        <f t="shared" si="3"/>
        <v>60 Days</v>
      </c>
      <c r="N905" s="70" t="str">
        <f>IF($A$3=" "," ", IFERROR( VLOOKUP($A905,'SUPPLIER DATA BASE'!$A$2:$O$936,11,0),""))</f>
        <v>FASHION EARTH GARMENTS PVT LTD</v>
      </c>
      <c r="O905" s="70" t="str">
        <f>IF($A$3=" "," ", IFERROR( VLOOKUP($A905,'SUPPLIER DATA BASE'!$A$2:$O$936,12,0),""))</f>
        <v>59209830559685</v>
      </c>
      <c r="P905" s="70" t="str">
        <f>IF($A$3=" "," ", IFERROR( VLOOKUP($A905,'SUPPLIER DATA BASE'!$A$2:$O$936,13,0),""))</f>
        <v>HDFC0000219</v>
      </c>
      <c r="Q905" s="77"/>
      <c r="R905" s="73"/>
      <c r="S905" s="77"/>
      <c r="T905" s="70"/>
      <c r="U905" s="78"/>
      <c r="V905" s="70" t="str">
        <f t="shared" si="6"/>
        <v>FY 26-27</v>
      </c>
      <c r="W905" s="23"/>
      <c r="X905" s="23"/>
    </row>
    <row r="906">
      <c r="A906" s="70" t="s">
        <v>448</v>
      </c>
      <c r="B906" s="70" t="str">
        <f>IF($A$3=" "," ", IFERROR( VLOOKUP($A906,'SUPPLIER DATA BASE'!$A$2:$M$936,3,0),""))</f>
        <v>SEWBERRY</v>
      </c>
      <c r="C906" s="70" t="str">
        <f>IF($A$3=" "," ", IFERROR( VLOOKUP($A906,'SUPPLIER DATA BASE'!$A$2:$F$936,6,0),""))</f>
        <v>-</v>
      </c>
      <c r="D906" s="70" t="str">
        <f>IF($A$3=" "," ", IFERROR( VLOOKUP($A906,'SUPPLIER DATA BASE'!$A$2:$G$936,4,0),""))</f>
        <v>-</v>
      </c>
      <c r="E906" s="71" t="str">
        <f>IF($A$3=" "," ", IFERROR( VLOOKUP($A906,'SUPPLIER DATA BASE'!$A$2:$H$936,5,0),""))</f>
        <v>-</v>
      </c>
      <c r="F906" s="72" t="s">
        <v>2737</v>
      </c>
      <c r="G906" s="73">
        <v>46128.0</v>
      </c>
      <c r="H906" s="74">
        <v>61.0</v>
      </c>
      <c r="I906" s="75">
        <v>58244.0</v>
      </c>
      <c r="J906" s="76" t="s">
        <v>2738</v>
      </c>
      <c r="K906" s="76" t="s">
        <v>2739</v>
      </c>
      <c r="L906" s="73"/>
      <c r="M906" s="70" t="str">
        <f t="shared" si="3"/>
        <v>60 Days</v>
      </c>
      <c r="N906" s="70" t="str">
        <f>IF($A$3=" "," ", IFERROR( VLOOKUP($A906,'SUPPLIER DATA BASE'!$A$2:$O$936,11,0),""))</f>
        <v>FASHION EARTH GARMENTS PVT LTD</v>
      </c>
      <c r="O906" s="70" t="str">
        <f>IF($A$3=" "," ", IFERROR( VLOOKUP($A906,'SUPPLIER DATA BASE'!$A$2:$O$936,12,0),""))</f>
        <v>59209830559685</v>
      </c>
      <c r="P906" s="70" t="str">
        <f>IF($A$3=" "," ", IFERROR( VLOOKUP($A906,'SUPPLIER DATA BASE'!$A$2:$O$936,13,0),""))</f>
        <v>HDFC0000219</v>
      </c>
      <c r="Q906" s="77"/>
      <c r="R906" s="73"/>
      <c r="S906" s="77"/>
      <c r="T906" s="70"/>
      <c r="U906" s="78"/>
      <c r="V906" s="70" t="str">
        <f t="shared" si="6"/>
        <v>FY 26-27</v>
      </c>
      <c r="W906" s="23"/>
      <c r="X906" s="23"/>
    </row>
    <row r="907">
      <c r="A907" s="70" t="s">
        <v>802</v>
      </c>
      <c r="B907" s="70" t="str">
        <f>IF($A$3=" "," ", IFERROR( VLOOKUP($A907,'SUPPLIER DATA BASE'!$A$2:$M$936,3,0),""))</f>
        <v>WO</v>
      </c>
      <c r="C907" s="70" t="str">
        <f>IF($A$3=" "," ", IFERROR( VLOOKUP($A907,'SUPPLIER DATA BASE'!$A$2:$F$936,6,0),""))</f>
        <v>NEPOLIAN</v>
      </c>
      <c r="D907" s="70">
        <f>IF($A$3=" "," ", IFERROR( VLOOKUP($A907,'SUPPLIER DATA BASE'!$A$2:$G$936,4,0),""))</f>
        <v>60</v>
      </c>
      <c r="E907" s="71">
        <f>IF($A$3=" "," ", IFERROR( VLOOKUP($A907,'SUPPLIER DATA BASE'!$A$2:$H$936,5,0),""))</f>
        <v>0.03</v>
      </c>
      <c r="F907" s="72" t="s">
        <v>2740</v>
      </c>
      <c r="G907" s="73">
        <v>46128.0</v>
      </c>
      <c r="H907" s="74">
        <v>48.0</v>
      </c>
      <c r="I907" s="75">
        <v>62748.0</v>
      </c>
      <c r="J907" s="76" t="s">
        <v>2741</v>
      </c>
      <c r="K907" s="76" t="s">
        <v>2742</v>
      </c>
      <c r="L907" s="73"/>
      <c r="M907" s="70" t="str">
        <f t="shared" si="3"/>
        <v>60 Days</v>
      </c>
      <c r="N907" s="70" t="str">
        <f>IF($A$3=" "," ", IFERROR( VLOOKUP($A907,'SUPPLIER DATA BASE'!$A$2:$O$936,11,0),""))</f>
        <v>WEAR ON ENSEMBLES PRIVATE LIMITED</v>
      </c>
      <c r="O907" s="70" t="str">
        <f>IF($A$3=" "," ", IFERROR( VLOOKUP($A907,'SUPPLIER DATA BASE'!$A$2:$O$936,12,0),""))</f>
        <v>627905502440</v>
      </c>
      <c r="P907" s="70" t="str">
        <f>IF($A$3=" "," ", IFERROR( VLOOKUP($A907,'SUPPLIER DATA BASE'!$A$2:$O$936,13,0),""))</f>
        <v>ICIC0006279</v>
      </c>
      <c r="Q907" s="77"/>
      <c r="R907" s="73"/>
      <c r="S907" s="77"/>
      <c r="T907" s="70"/>
      <c r="U907" s="78"/>
      <c r="V907" s="70" t="str">
        <f t="shared" si="6"/>
        <v>FY 26-27</v>
      </c>
      <c r="W907" s="23"/>
      <c r="X907" s="23"/>
    </row>
    <row r="908">
      <c r="A908" s="70" t="s">
        <v>802</v>
      </c>
      <c r="B908" s="70" t="str">
        <f>IF($A$3=" "," ", IFERROR( VLOOKUP($A908,'SUPPLIER DATA BASE'!$A$2:$M$936,3,0),""))</f>
        <v>WO</v>
      </c>
      <c r="C908" s="70" t="str">
        <f>IF($A$3=" "," ", IFERROR( VLOOKUP($A908,'SUPPLIER DATA BASE'!$A$2:$F$936,6,0),""))</f>
        <v>NEPOLIAN</v>
      </c>
      <c r="D908" s="70">
        <f>IF($A$3=" "," ", IFERROR( VLOOKUP($A908,'SUPPLIER DATA BASE'!$A$2:$G$936,4,0),""))</f>
        <v>60</v>
      </c>
      <c r="E908" s="71">
        <f>IF($A$3=" "," ", IFERROR( VLOOKUP($A908,'SUPPLIER DATA BASE'!$A$2:$H$936,5,0),""))</f>
        <v>0.03</v>
      </c>
      <c r="F908" s="72" t="s">
        <v>2743</v>
      </c>
      <c r="G908" s="73">
        <v>46128.0</v>
      </c>
      <c r="H908" s="74">
        <v>76.0</v>
      </c>
      <c r="I908" s="75">
        <v>89061.0</v>
      </c>
      <c r="J908" s="76" t="s">
        <v>2744</v>
      </c>
      <c r="K908" s="76" t="s">
        <v>2745</v>
      </c>
      <c r="L908" s="73"/>
      <c r="M908" s="70" t="str">
        <f t="shared" si="3"/>
        <v>60 Days</v>
      </c>
      <c r="N908" s="70" t="str">
        <f>IF($A$3=" "," ", IFERROR( VLOOKUP($A908,'SUPPLIER DATA BASE'!$A$2:$O$936,11,0),""))</f>
        <v>WEAR ON ENSEMBLES PRIVATE LIMITED</v>
      </c>
      <c r="O908" s="70" t="str">
        <f>IF($A$3=" "," ", IFERROR( VLOOKUP($A908,'SUPPLIER DATA BASE'!$A$2:$O$936,12,0),""))</f>
        <v>627905502440</v>
      </c>
      <c r="P908" s="70" t="str">
        <f>IF($A$3=" "," ", IFERROR( VLOOKUP($A908,'SUPPLIER DATA BASE'!$A$2:$O$936,13,0),""))</f>
        <v>ICIC0006279</v>
      </c>
      <c r="Q908" s="77"/>
      <c r="R908" s="73"/>
      <c r="S908" s="77"/>
      <c r="T908" s="70"/>
      <c r="U908" s="78"/>
      <c r="V908" s="70" t="str">
        <f t="shared" si="6"/>
        <v>FY 26-27</v>
      </c>
      <c r="W908" s="23"/>
      <c r="X908" s="23"/>
    </row>
    <row r="909">
      <c r="A909" s="70" t="s">
        <v>802</v>
      </c>
      <c r="B909" s="70" t="str">
        <f>IF($A$3=" "," ", IFERROR( VLOOKUP($A909,'SUPPLIER DATA BASE'!$A$2:$M$936,3,0),""))</f>
        <v>WO</v>
      </c>
      <c r="C909" s="70" t="str">
        <f>IF($A$3=" "," ", IFERROR( VLOOKUP($A909,'SUPPLIER DATA BASE'!$A$2:$F$936,6,0),""))</f>
        <v>NEPOLIAN</v>
      </c>
      <c r="D909" s="70">
        <f>IF($A$3=" "," ", IFERROR( VLOOKUP($A909,'SUPPLIER DATA BASE'!$A$2:$G$936,4,0),""))</f>
        <v>60</v>
      </c>
      <c r="E909" s="71">
        <f>IF($A$3=" "," ", IFERROR( VLOOKUP($A909,'SUPPLIER DATA BASE'!$A$2:$H$936,5,0),""))</f>
        <v>0.03</v>
      </c>
      <c r="F909" s="72" t="s">
        <v>2746</v>
      </c>
      <c r="G909" s="73">
        <v>46128.0</v>
      </c>
      <c r="H909" s="74">
        <v>67.0</v>
      </c>
      <c r="I909" s="75">
        <v>76406.0</v>
      </c>
      <c r="J909" s="76" t="s">
        <v>2747</v>
      </c>
      <c r="K909" s="76" t="s">
        <v>2748</v>
      </c>
      <c r="L909" s="73"/>
      <c r="M909" s="70" t="str">
        <f t="shared" si="3"/>
        <v>60 Days</v>
      </c>
      <c r="N909" s="70" t="str">
        <f>IF($A$3=" "," ", IFERROR( VLOOKUP($A909,'SUPPLIER DATA BASE'!$A$2:$O$936,11,0),""))</f>
        <v>WEAR ON ENSEMBLES PRIVATE LIMITED</v>
      </c>
      <c r="O909" s="70" t="str">
        <f>IF($A$3=" "," ", IFERROR( VLOOKUP($A909,'SUPPLIER DATA BASE'!$A$2:$O$936,12,0),""))</f>
        <v>627905502440</v>
      </c>
      <c r="P909" s="70" t="str">
        <f>IF($A$3=" "," ", IFERROR( VLOOKUP($A909,'SUPPLIER DATA BASE'!$A$2:$O$936,13,0),""))</f>
        <v>ICIC0006279</v>
      </c>
      <c r="Q909" s="77"/>
      <c r="R909" s="73"/>
      <c r="S909" s="77"/>
      <c r="T909" s="70"/>
      <c r="U909" s="78"/>
      <c r="V909" s="70" t="str">
        <f t="shared" si="6"/>
        <v>FY 26-27</v>
      </c>
      <c r="W909" s="23"/>
      <c r="X909" s="23"/>
    </row>
    <row r="910">
      <c r="A910" s="70" t="s">
        <v>854</v>
      </c>
      <c r="B910" s="70" t="str">
        <f>IF($A$3=" "," ", IFERROR( VLOOKUP($A910,'SUPPLIER DATA BASE'!$A$2:$M$936,3,0),""))</f>
        <v/>
      </c>
      <c r="C910" s="70" t="str">
        <f>IF($A$3=" "," ", IFERROR( VLOOKUP($A910,'SUPPLIER DATA BASE'!$A$2:$F$936,6,0),""))</f>
        <v/>
      </c>
      <c r="D910" s="70" t="str">
        <f>IF($A$3=" "," ", IFERROR( VLOOKUP($A910,'SUPPLIER DATA BASE'!$A$2:$G$936,4,0),""))</f>
        <v/>
      </c>
      <c r="E910" s="71" t="str">
        <f>IF($A$3=" "," ", IFERROR( VLOOKUP($A910,'SUPPLIER DATA BASE'!$A$2:$H$936,5,0),""))</f>
        <v/>
      </c>
      <c r="F910" s="72" t="s">
        <v>2749</v>
      </c>
      <c r="G910" s="73">
        <v>46128.0</v>
      </c>
      <c r="H910" s="74">
        <v>267.0</v>
      </c>
      <c r="I910" s="75">
        <v>173990.0</v>
      </c>
      <c r="J910" s="76" t="s">
        <v>2750</v>
      </c>
      <c r="K910" s="76" t="s">
        <v>2751</v>
      </c>
      <c r="L910" s="73"/>
      <c r="M910" s="70" t="str">
        <f t="shared" si="3"/>
        <v>60 Days</v>
      </c>
      <c r="N910" s="70" t="str">
        <f>IF($A$3=" "," ", IFERROR( VLOOKUP($A910,'SUPPLIER DATA BASE'!$A$2:$O$936,11,0),""))</f>
        <v/>
      </c>
      <c r="O910" s="70" t="str">
        <f>IF($A$3=" "," ", IFERROR( VLOOKUP($A910,'SUPPLIER DATA BASE'!$A$2:$O$936,12,0),""))</f>
        <v/>
      </c>
      <c r="P910" s="70" t="str">
        <f>IF($A$3=" "," ", IFERROR( VLOOKUP($A910,'SUPPLIER DATA BASE'!$A$2:$O$936,13,0),""))</f>
        <v/>
      </c>
      <c r="Q910" s="77"/>
      <c r="R910" s="73"/>
      <c r="S910" s="77"/>
      <c r="T910" s="70"/>
      <c r="U910" s="78"/>
      <c r="V910" s="70" t="str">
        <f t="shared" si="6"/>
        <v>FY 26-27</v>
      </c>
      <c r="W910" s="23"/>
      <c r="X910" s="23"/>
    </row>
    <row r="911">
      <c r="A911" s="70" t="s">
        <v>783</v>
      </c>
      <c r="B911" s="70" t="str">
        <f>IF($A$3=" "," ", IFERROR( VLOOKUP($A911,'SUPPLIER DATA BASE'!$A$2:$M$936,3,0),""))</f>
        <v>JOCKEY</v>
      </c>
      <c r="C911" s="70" t="str">
        <f>IF($A$3=" "," ", IFERROR( VLOOKUP($A911,'SUPPLIER DATA BASE'!$A$2:$F$936,6,0),""))</f>
        <v>DIRECT</v>
      </c>
      <c r="D911" s="70">
        <f>IF($A$3=" "," ", IFERROR( VLOOKUP($A911,'SUPPLIER DATA BASE'!$A$2:$G$936,4,0),""))</f>
        <v>21</v>
      </c>
      <c r="E911" s="71">
        <f>IF($A$3=" "," ", IFERROR( VLOOKUP($A911,'SUPPLIER DATA BASE'!$A$2:$H$936,5,0),""))</f>
        <v>0.02</v>
      </c>
      <c r="F911" s="72" t="s">
        <v>2752</v>
      </c>
      <c r="G911" s="73">
        <v>46129.0</v>
      </c>
      <c r="H911" s="74">
        <v>70.0</v>
      </c>
      <c r="I911" s="75">
        <v>65084.0</v>
      </c>
      <c r="J911" s="76" t="s">
        <v>2753</v>
      </c>
      <c r="K911" s="76" t="s">
        <v>2754</v>
      </c>
      <c r="L911" s="73"/>
      <c r="M911" s="70" t="str">
        <f t="shared" si="3"/>
        <v>59 Days</v>
      </c>
      <c r="N911" s="70" t="str">
        <f>IF($A$3=" "," ", IFERROR( VLOOKUP($A911,'SUPPLIER DATA BASE'!$A$2:$O$936,11,0),""))</f>
        <v>V N TEXTILE</v>
      </c>
      <c r="O911" s="70" t="str">
        <f>IF($A$3=" "," ", IFERROR( VLOOKUP($A911,'SUPPLIER DATA BASE'!$A$2:$O$936,12,0),""))</f>
        <v>252005000323</v>
      </c>
      <c r="P911" s="70" t="str">
        <f>IF($A$3=" "," ", IFERROR( VLOOKUP($A911,'SUPPLIER DATA BASE'!$A$2:$O$936,13,0),""))</f>
        <v>ICIC0002520</v>
      </c>
      <c r="Q911" s="77"/>
      <c r="R911" s="73"/>
      <c r="S911" s="77"/>
      <c r="T911" s="70"/>
      <c r="U911" s="78"/>
      <c r="V911" s="70" t="str">
        <f t="shared" si="6"/>
        <v>FY 26-27</v>
      </c>
      <c r="W911" s="23"/>
      <c r="X911" s="23"/>
    </row>
    <row r="912">
      <c r="A912" s="70" t="s">
        <v>596</v>
      </c>
      <c r="B912" s="70" t="str">
        <f>IF($A$3=" "," ", IFERROR( VLOOKUP($A912,'SUPPLIER DATA BASE'!$A$2:$M$936,3,0),""))</f>
        <v>JOCKEY</v>
      </c>
      <c r="C912" s="70" t="str">
        <f>IF($A$3=" "," ", IFERROR( VLOOKUP($A912,'SUPPLIER DATA BASE'!$A$2:$F$936,6,0),""))</f>
        <v>DIRECT</v>
      </c>
      <c r="D912" s="70">
        <f>IF($A$3=" "," ", IFERROR( VLOOKUP($A912,'SUPPLIER DATA BASE'!$A$2:$G$936,4,0),""))</f>
        <v>21</v>
      </c>
      <c r="E912" s="71">
        <f>IF($A$3=" "," ", IFERROR( VLOOKUP($A912,'SUPPLIER DATA BASE'!$A$2:$H$936,5,0),""))</f>
        <v>0.02</v>
      </c>
      <c r="F912" s="72" t="s">
        <v>2755</v>
      </c>
      <c r="G912" s="73">
        <v>46129.0</v>
      </c>
      <c r="H912" s="74">
        <v>17.0</v>
      </c>
      <c r="I912" s="75">
        <v>9425.0</v>
      </c>
      <c r="J912" s="76" t="s">
        <v>2756</v>
      </c>
      <c r="K912" s="76" t="s">
        <v>2757</v>
      </c>
      <c r="L912" s="73"/>
      <c r="M912" s="70" t="str">
        <f t="shared" si="3"/>
        <v>59 Days</v>
      </c>
      <c r="N912" s="70" t="str">
        <f>IF($A$3=" "," ", IFERROR( VLOOKUP($A912,'SUPPLIER DATA BASE'!$A$2:$O$936,11,0),""))</f>
        <v>NARVADA TEXTILES</v>
      </c>
      <c r="O912" s="70" t="str">
        <f>IF($A$3=" "," ", IFERROR( VLOOKUP($A912,'SUPPLIER DATA BASE'!$A$2:$O$936,12,0),""))</f>
        <v>72610200000442</v>
      </c>
      <c r="P912" s="70" t="str">
        <f>IF($A$3=" "," ", IFERROR( VLOOKUP($A912,'SUPPLIER DATA BASE'!$A$2:$O$936,13,0),""))</f>
        <v>BARB0DBRANC</v>
      </c>
      <c r="Q912" s="77"/>
      <c r="R912" s="73"/>
      <c r="S912" s="77"/>
      <c r="T912" s="70"/>
      <c r="U912" s="78"/>
      <c r="V912" s="70" t="str">
        <f t="shared" si="6"/>
        <v>FY 26-27</v>
      </c>
      <c r="W912" s="23"/>
      <c r="X912" s="23"/>
    </row>
    <row r="913">
      <c r="A913" s="70" t="s">
        <v>609</v>
      </c>
      <c r="B913" s="70" t="str">
        <f>IF($A$3=" "," ", IFERROR( VLOOKUP($A913,'SUPPLIER DATA BASE'!$A$2:$M$936,3,0),""))</f>
        <v>-</v>
      </c>
      <c r="C913" s="70" t="str">
        <f>IF($A$3=" "," ", IFERROR( VLOOKUP($A913,'SUPPLIER DATA BASE'!$A$2:$F$936,6,0),""))</f>
        <v>-</v>
      </c>
      <c r="D913" s="70" t="str">
        <f>IF($A$3=" "," ", IFERROR( VLOOKUP($A913,'SUPPLIER DATA BASE'!$A$2:$G$936,4,0),""))</f>
        <v>-</v>
      </c>
      <c r="E913" s="71" t="str">
        <f>IF($A$3=" "," ", IFERROR( VLOOKUP($A913,'SUPPLIER DATA BASE'!$A$2:$H$936,5,0),""))</f>
        <v>-</v>
      </c>
      <c r="F913" s="72">
        <v>1899.0</v>
      </c>
      <c r="G913" s="73">
        <v>46129.0</v>
      </c>
      <c r="H913" s="74">
        <v>32.0</v>
      </c>
      <c r="I913" s="75">
        <v>10148.0</v>
      </c>
      <c r="J913" s="76" t="s">
        <v>2758</v>
      </c>
      <c r="K913" s="76" t="s">
        <v>2759</v>
      </c>
      <c r="L913" s="73"/>
      <c r="M913" s="70" t="str">
        <f t="shared" si="3"/>
        <v>59 Days</v>
      </c>
      <c r="N913" s="70" t="str">
        <f>IF($A$3=" "," ", IFERROR( VLOOKUP($A913,'SUPPLIER DATA BASE'!$A$2:$O$936,11,0),""))</f>
        <v>P R MODI AND SONS</v>
      </c>
      <c r="O913" s="70" t="str">
        <f>IF($A$3=" "," ", IFERROR( VLOOKUP($A913,'SUPPLIER DATA BASE'!$A$2:$O$936,12,0),""))</f>
        <v>490930150000030</v>
      </c>
      <c r="P913" s="70" t="str">
        <f>IF($A$3=" "," ", IFERROR( VLOOKUP($A913,'SUPPLIER DATA BASE'!$A$2:$O$936,13,0),""))</f>
        <v>BKID0004909</v>
      </c>
      <c r="Q913" s="77"/>
      <c r="R913" s="73"/>
      <c r="S913" s="77"/>
      <c r="T913" s="70"/>
      <c r="U913" s="78"/>
      <c r="V913" s="70" t="str">
        <f t="shared" si="6"/>
        <v>FY 26-27</v>
      </c>
      <c r="W913" s="23"/>
      <c r="X913" s="23"/>
    </row>
    <row r="914">
      <c r="A914" s="70" t="s">
        <v>413</v>
      </c>
      <c r="B914" s="70" t="str">
        <f>IF($A$3=" "," ", IFERROR( VLOOKUP($A914,'SUPPLIER DATA BASE'!$A$2:$M$936,3,0),""))</f>
        <v>KILLER</v>
      </c>
      <c r="C914" s="70" t="str">
        <f>IF($A$3=" "," ", IFERROR( VLOOKUP($A914,'SUPPLIER DATA BASE'!$A$2:$F$936,6,0),""))</f>
        <v>-</v>
      </c>
      <c r="D914" s="70" t="str">
        <f>IF($A$3=" "," ", IFERROR( VLOOKUP($A914,'SUPPLIER DATA BASE'!$A$2:$G$936,4,0),""))</f>
        <v>NO</v>
      </c>
      <c r="E914" s="71" t="str">
        <f>IF($A$3=" "," ", IFERROR( VLOOKUP($A914,'SUPPLIER DATA BASE'!$A$2:$H$936,5,0),""))</f>
        <v>-</v>
      </c>
      <c r="F914" s="72" t="s">
        <v>2760</v>
      </c>
      <c r="G914" s="73">
        <v>46129.0</v>
      </c>
      <c r="H914" s="74">
        <v>82.0</v>
      </c>
      <c r="I914" s="75">
        <v>37438.0</v>
      </c>
      <c r="J914" s="76" t="s">
        <v>2761</v>
      </c>
      <c r="K914" s="76" t="s">
        <v>2762</v>
      </c>
      <c r="L914" s="73"/>
      <c r="M914" s="70" t="str">
        <f t="shared" si="3"/>
        <v>59 Days</v>
      </c>
      <c r="N914" s="70" t="str">
        <f>IF($A$3=" "," ", IFERROR( VLOOKUP($A914,'SUPPLIER DATA BASE'!$A$2:$O$936,11,0),""))</f>
        <v>D D SALES CO</v>
      </c>
      <c r="O914" s="70" t="str">
        <f>IF($A$3=" "," ", IFERROR( VLOOKUP($A914,'SUPPLIER DATA BASE'!$A$2:$O$936,12,0),""))</f>
        <v>29205007835</v>
      </c>
      <c r="P914" s="70" t="str">
        <f>IF($A$3=" "," ", IFERROR( VLOOKUP($A914,'SUPPLIER DATA BASE'!$A$2:$O$936,13,0),""))</f>
        <v>ICIC0000292</v>
      </c>
      <c r="Q914" s="77"/>
      <c r="R914" s="73"/>
      <c r="S914" s="77"/>
      <c r="T914" s="70"/>
      <c r="U914" s="78"/>
      <c r="V914" s="70" t="str">
        <f t="shared" si="6"/>
        <v>FY 26-27</v>
      </c>
      <c r="W914" s="23"/>
      <c r="X914" s="23"/>
    </row>
    <row r="915">
      <c r="A915" s="70" t="s">
        <v>692</v>
      </c>
      <c r="B915" s="70" t="str">
        <f>IF($A$3=" "," ", IFERROR( VLOOKUP($A915,'SUPPLIER DATA BASE'!$A$2:$M$936,3,0),""))</f>
        <v>JOCKEY</v>
      </c>
      <c r="C915" s="70" t="str">
        <f>IF($A$3=" "," ", IFERROR( VLOOKUP($A915,'SUPPLIER DATA BASE'!$A$2:$F$936,6,0),""))</f>
        <v>DIRECT</v>
      </c>
      <c r="D915" s="70">
        <f>IF($A$3=" "," ", IFERROR( VLOOKUP($A915,'SUPPLIER DATA BASE'!$A$2:$G$936,4,0),""))</f>
        <v>30</v>
      </c>
      <c r="E915" s="71">
        <f>IF($A$3=" "," ", IFERROR( VLOOKUP($A915,'SUPPLIER DATA BASE'!$A$2:$H$936,5,0),""))</f>
        <v>2</v>
      </c>
      <c r="F915" s="72" t="s">
        <v>2763</v>
      </c>
      <c r="G915" s="73">
        <v>46129.0</v>
      </c>
      <c r="H915" s="74">
        <v>170.0</v>
      </c>
      <c r="I915" s="75">
        <v>58336.0</v>
      </c>
      <c r="J915" s="76" t="s">
        <v>2764</v>
      </c>
      <c r="K915" s="76" t="s">
        <v>2765</v>
      </c>
      <c r="L915" s="73"/>
      <c r="M915" s="70" t="str">
        <f t="shared" si="3"/>
        <v>59 Days</v>
      </c>
      <c r="N915" s="70" t="str">
        <f>IF($A$3=" "," ", IFERROR( VLOOKUP($A915,'SUPPLIER DATA BASE'!$A$2:$O$936,11,0),""))</f>
        <v>SHREE NARAYANI ENTERPRISE</v>
      </c>
      <c r="O915" s="70" t="str">
        <f>IF($A$3=" "," ", IFERROR( VLOOKUP($A915,'SUPPLIER DATA BASE'!$A$2:$O$936,12,0),""))</f>
        <v>29205005382</v>
      </c>
      <c r="P915" s="70" t="str">
        <f>IF($A$3=" "," ", IFERROR( VLOOKUP($A915,'SUPPLIER DATA BASE'!$A$2:$O$936,13,0),""))</f>
        <v>ICIC0000292</v>
      </c>
      <c r="Q915" s="77"/>
      <c r="R915" s="73"/>
      <c r="S915" s="77"/>
      <c r="T915" s="70"/>
      <c r="U915" s="78"/>
      <c r="V915" s="70" t="str">
        <f t="shared" si="6"/>
        <v>FY 26-27</v>
      </c>
      <c r="W915" s="23"/>
      <c r="X915" s="23"/>
    </row>
    <row r="916">
      <c r="A916" s="70" t="s">
        <v>761</v>
      </c>
      <c r="B916" s="70" t="str">
        <f>IF($A$3=" "," ", IFERROR( VLOOKUP($A916,'SUPPLIER DATA BASE'!$A$2:$M$936,3,0),""))</f>
        <v>JOCKEY, LIBAS, ROCKIT, INTIGRITI, AMERICAN TOURISTER</v>
      </c>
      <c r="C916" s="70" t="str">
        <f>IF($A$3=" "," ", IFERROR( VLOOKUP($A916,'SUPPLIER DATA BASE'!$A$2:$F$936,6,0),""))</f>
        <v>DIRECT</v>
      </c>
      <c r="D916" s="70">
        <f>IF($A$3=" "," ", IFERROR( VLOOKUP($A916,'SUPPLIER DATA BASE'!$A$2:$G$936,4,0),""))</f>
        <v>7</v>
      </c>
      <c r="E916" s="71">
        <f>IF($A$3=" "," ", IFERROR( VLOOKUP($A916,'SUPPLIER DATA BASE'!$A$2:$H$936,5,0),""))</f>
        <v>0.02</v>
      </c>
      <c r="F916" s="72" t="s">
        <v>2766</v>
      </c>
      <c r="G916" s="73">
        <v>46129.0</v>
      </c>
      <c r="H916" s="74">
        <v>87.0</v>
      </c>
      <c r="I916" s="75">
        <v>83647.8</v>
      </c>
      <c r="J916" s="76" t="s">
        <v>2767</v>
      </c>
      <c r="K916" s="76" t="s">
        <v>2768</v>
      </c>
      <c r="L916" s="73"/>
      <c r="M916" s="70" t="str">
        <f t="shared" si="3"/>
        <v>59 Days</v>
      </c>
      <c r="N916" s="70" t="str">
        <f>IF($A$3=" "," ", IFERROR( VLOOKUP($A916,'SUPPLIER DATA BASE'!$A$2:$O$936,11,0),""))</f>
        <v>TAYAL GARMENTS PVT. LTD.</v>
      </c>
      <c r="O916" s="70" t="str">
        <f>IF($A$3=" "," ", IFERROR( VLOOKUP($A916,'SUPPLIER DATA BASE'!$A$2:$O$936,12,0),""))</f>
        <v>1199911999</v>
      </c>
      <c r="P916" s="70" t="str">
        <f>IF($A$3=" "," ", IFERROR( VLOOKUP($A916,'SUPPLIER DATA BASE'!$A$2:$O$936,13,0),""))</f>
        <v>KKBK0005632</v>
      </c>
      <c r="Q916" s="77"/>
      <c r="R916" s="73"/>
      <c r="S916" s="77"/>
      <c r="T916" s="70"/>
      <c r="U916" s="78"/>
      <c r="V916" s="70" t="str">
        <f t="shared" si="6"/>
        <v>FY 26-27</v>
      </c>
      <c r="W916" s="23"/>
      <c r="X916" s="23"/>
    </row>
    <row r="917">
      <c r="A917" s="70" t="s">
        <v>808</v>
      </c>
      <c r="B917" s="70" t="str">
        <f>IF($A$3=" "," ", IFERROR( VLOOKUP($A917,'SUPPLIER DATA BASE'!$A$2:$M$936,3,0),""))</f>
        <v>-</v>
      </c>
      <c r="C917" s="70" t="str">
        <f>IF($A$3=" "," ", IFERROR( VLOOKUP($A917,'SUPPLIER DATA BASE'!$A$2:$F$936,6,0),""))</f>
        <v>-</v>
      </c>
      <c r="D917" s="70" t="str">
        <f>IF($A$3=" "," ", IFERROR( VLOOKUP($A917,'SUPPLIER DATA BASE'!$A$2:$G$936,4,0),""))</f>
        <v>-</v>
      </c>
      <c r="E917" s="71" t="str">
        <f>IF($A$3=" "," ", IFERROR( VLOOKUP($A917,'SUPPLIER DATA BASE'!$A$2:$H$936,5,0),""))</f>
        <v>-</v>
      </c>
      <c r="F917" s="72" t="s">
        <v>2769</v>
      </c>
      <c r="G917" s="73">
        <v>46129.0</v>
      </c>
      <c r="H917" s="74">
        <v>106.0</v>
      </c>
      <c r="I917" s="75">
        <v>261171.0</v>
      </c>
      <c r="J917" s="76" t="s">
        <v>2770</v>
      </c>
      <c r="K917" s="76" t="s">
        <v>2771</v>
      </c>
      <c r="L917" s="73"/>
      <c r="M917" s="70" t="str">
        <f t="shared" si="3"/>
        <v>59 Days</v>
      </c>
      <c r="N917" s="70" t="str">
        <f>IF($A$3=" "," ", IFERROR( VLOOKUP($A917,'SUPPLIER DATA BASE'!$A$2:$O$936,11,0),""))</f>
        <v>-</v>
      </c>
      <c r="O917" s="70" t="str">
        <f>IF($A$3=" "," ", IFERROR( VLOOKUP($A917,'SUPPLIER DATA BASE'!$A$2:$O$936,12,0),""))</f>
        <v>-</v>
      </c>
      <c r="P917" s="70" t="str">
        <f>IF($A$3=" "," ", IFERROR( VLOOKUP($A917,'SUPPLIER DATA BASE'!$A$2:$O$936,13,0),""))</f>
        <v>-</v>
      </c>
      <c r="Q917" s="77"/>
      <c r="R917" s="73"/>
      <c r="S917" s="77"/>
      <c r="T917" s="70"/>
      <c r="U917" s="78"/>
      <c r="V917" s="70" t="str">
        <f t="shared" si="6"/>
        <v>FY 26-27</v>
      </c>
      <c r="W917" s="23"/>
      <c r="X917" s="23"/>
    </row>
    <row r="918">
      <c r="A918" s="70" t="s">
        <v>855</v>
      </c>
      <c r="B918" s="70" t="str">
        <f>IF($A$3=" "," ", IFERROR( VLOOKUP($A918,'SUPPLIER DATA BASE'!$A$2:$M$936,3,0),""))</f>
        <v/>
      </c>
      <c r="C918" s="70" t="str">
        <f>IF($A$3=" "," ", IFERROR( VLOOKUP($A918,'SUPPLIER DATA BASE'!$A$2:$F$936,6,0),""))</f>
        <v/>
      </c>
      <c r="D918" s="70" t="str">
        <f>IF($A$3=" "," ", IFERROR( VLOOKUP($A918,'SUPPLIER DATA BASE'!$A$2:$G$936,4,0),""))</f>
        <v/>
      </c>
      <c r="E918" s="71" t="str">
        <f>IF($A$3=" "," ", IFERROR( VLOOKUP($A918,'SUPPLIER DATA BASE'!$A$2:$H$936,5,0),""))</f>
        <v/>
      </c>
      <c r="F918" s="72" t="s">
        <v>2772</v>
      </c>
      <c r="G918" s="73">
        <v>46129.0</v>
      </c>
      <c r="H918" s="74">
        <v>240.0</v>
      </c>
      <c r="I918" s="75">
        <v>119652.0</v>
      </c>
      <c r="J918" s="76" t="s">
        <v>2773</v>
      </c>
      <c r="K918" s="76" t="s">
        <v>2774</v>
      </c>
      <c r="L918" s="73"/>
      <c r="M918" s="70" t="str">
        <f t="shared" si="3"/>
        <v>59 Days</v>
      </c>
      <c r="N918" s="70" t="str">
        <f>IF($A$3=" "," ", IFERROR( VLOOKUP($A918,'SUPPLIER DATA BASE'!$A$2:$O$936,11,0),""))</f>
        <v/>
      </c>
      <c r="O918" s="70" t="str">
        <f>IF($A$3=" "," ", IFERROR( VLOOKUP($A918,'SUPPLIER DATA BASE'!$A$2:$O$936,12,0),""))</f>
        <v/>
      </c>
      <c r="P918" s="70" t="str">
        <f>IF($A$3=" "," ", IFERROR( VLOOKUP($A918,'SUPPLIER DATA BASE'!$A$2:$O$936,13,0),""))</f>
        <v/>
      </c>
      <c r="Q918" s="77"/>
      <c r="R918" s="73"/>
      <c r="S918" s="77"/>
      <c r="T918" s="70"/>
      <c r="U918" s="78"/>
      <c r="V918" s="70" t="str">
        <f t="shared" si="6"/>
        <v>FY 26-27</v>
      </c>
      <c r="W918" s="23"/>
      <c r="X918" s="23"/>
    </row>
    <row r="919">
      <c r="A919" s="70" t="s">
        <v>416</v>
      </c>
      <c r="B919" s="70" t="str">
        <f>IF($A$3=" "," ", IFERROR( VLOOKUP($A919,'SUPPLIER DATA BASE'!$A$2:$M$936,3,0),""))</f>
        <v>YES MAAM</v>
      </c>
      <c r="C919" s="70" t="str">
        <f>IF($A$3=" "," ", IFERROR( VLOOKUP($A919,'SUPPLIER DATA BASE'!$A$2:$F$936,6,0),""))</f>
        <v>NEPOLIAN</v>
      </c>
      <c r="D919" s="70">
        <f>IF($A$3=" "," ", IFERROR( VLOOKUP($A919,'SUPPLIER DATA BASE'!$A$2:$G$936,4,0),""))</f>
        <v>60</v>
      </c>
      <c r="E919" s="71">
        <f>IF($A$3=" "," ", IFERROR( VLOOKUP($A919,'SUPPLIER DATA BASE'!$A$2:$H$936,5,0),""))</f>
        <v>0.03</v>
      </c>
      <c r="F919" s="72" t="s">
        <v>2775</v>
      </c>
      <c r="G919" s="73">
        <v>46129.0</v>
      </c>
      <c r="H919" s="74">
        <v>70.0</v>
      </c>
      <c r="I919" s="75">
        <v>86399.0</v>
      </c>
      <c r="J919" s="76" t="s">
        <v>2776</v>
      </c>
      <c r="K919" s="76" t="s">
        <v>2777</v>
      </c>
      <c r="L919" s="73"/>
      <c r="M919" s="70" t="str">
        <f t="shared" si="3"/>
        <v>59 Days</v>
      </c>
      <c r="N919" s="70" t="str">
        <f>IF($A$3=" "," ", IFERROR( VLOOKUP($A919,'SUPPLIER DATA BASE'!$A$2:$O$936,11,0),""))</f>
        <v>D S CREATION</v>
      </c>
      <c r="O919" s="70" t="str">
        <f>IF($A$3=" "," ", IFERROR( VLOOKUP($A919,'SUPPLIER DATA BASE'!$A$2:$O$936,12,0),""))</f>
        <v>9830047013</v>
      </c>
      <c r="P919" s="70" t="str">
        <f>IF($A$3=" "," ", IFERROR( VLOOKUP($A919,'SUPPLIER DATA BASE'!$A$2:$O$936,13,0),""))</f>
        <v>KKBK0006562</v>
      </c>
      <c r="Q919" s="77"/>
      <c r="R919" s="73"/>
      <c r="S919" s="77"/>
      <c r="T919" s="70"/>
      <c r="U919" s="78"/>
      <c r="V919" s="70" t="str">
        <f t="shared" si="6"/>
        <v>FY 26-27</v>
      </c>
      <c r="W919" s="23"/>
      <c r="X919" s="23"/>
    </row>
    <row r="920">
      <c r="A920" s="70" t="s">
        <v>416</v>
      </c>
      <c r="B920" s="70" t="str">
        <f>IF($A$3=" "," ", IFERROR( VLOOKUP($A920,'SUPPLIER DATA BASE'!$A$2:$M$936,3,0),""))</f>
        <v>YES MAAM</v>
      </c>
      <c r="C920" s="70" t="str">
        <f>IF($A$3=" "," ", IFERROR( VLOOKUP($A920,'SUPPLIER DATA BASE'!$A$2:$F$936,6,0),""))</f>
        <v>NEPOLIAN</v>
      </c>
      <c r="D920" s="70">
        <f>IF($A$3=" "," ", IFERROR( VLOOKUP($A920,'SUPPLIER DATA BASE'!$A$2:$G$936,4,0),""))</f>
        <v>60</v>
      </c>
      <c r="E920" s="71">
        <f>IF($A$3=" "," ", IFERROR( VLOOKUP($A920,'SUPPLIER DATA BASE'!$A$2:$H$936,5,0),""))</f>
        <v>0.03</v>
      </c>
      <c r="F920" s="72" t="s">
        <v>2778</v>
      </c>
      <c r="G920" s="73">
        <v>46129.0</v>
      </c>
      <c r="H920" s="74">
        <v>78.0</v>
      </c>
      <c r="I920" s="75">
        <v>137004.0</v>
      </c>
      <c r="J920" s="76" t="s">
        <v>2779</v>
      </c>
      <c r="K920" s="76" t="s">
        <v>2780</v>
      </c>
      <c r="L920" s="73"/>
      <c r="M920" s="70" t="str">
        <f t="shared" si="3"/>
        <v>59 Days</v>
      </c>
      <c r="N920" s="70" t="str">
        <f>IF($A$3=" "," ", IFERROR( VLOOKUP($A920,'SUPPLIER DATA BASE'!$A$2:$O$936,11,0),""))</f>
        <v>D S CREATION</v>
      </c>
      <c r="O920" s="70" t="str">
        <f>IF($A$3=" "," ", IFERROR( VLOOKUP($A920,'SUPPLIER DATA BASE'!$A$2:$O$936,12,0),""))</f>
        <v>9830047013</v>
      </c>
      <c r="P920" s="70" t="str">
        <f>IF($A$3=" "," ", IFERROR( VLOOKUP($A920,'SUPPLIER DATA BASE'!$A$2:$O$936,13,0),""))</f>
        <v>KKBK0006562</v>
      </c>
      <c r="Q920" s="77"/>
      <c r="R920" s="73"/>
      <c r="S920" s="77"/>
      <c r="T920" s="70"/>
      <c r="U920" s="78"/>
      <c r="V920" s="70" t="str">
        <f t="shared" si="6"/>
        <v>FY 26-27</v>
      </c>
      <c r="W920" s="23"/>
      <c r="X920" s="23"/>
    </row>
    <row r="921">
      <c r="A921" s="70" t="s">
        <v>416</v>
      </c>
      <c r="B921" s="70" t="str">
        <f>IF($A$3=" "," ", IFERROR( VLOOKUP($A921,'SUPPLIER DATA BASE'!$A$2:$M$936,3,0),""))</f>
        <v>YES MAAM</v>
      </c>
      <c r="C921" s="70" t="str">
        <f>IF($A$3=" "," ", IFERROR( VLOOKUP($A921,'SUPPLIER DATA BASE'!$A$2:$F$936,6,0),""))</f>
        <v>NEPOLIAN</v>
      </c>
      <c r="D921" s="70">
        <f>IF($A$3=" "," ", IFERROR( VLOOKUP($A921,'SUPPLIER DATA BASE'!$A$2:$G$936,4,0),""))</f>
        <v>60</v>
      </c>
      <c r="E921" s="71">
        <f>IF($A$3=" "," ", IFERROR( VLOOKUP($A921,'SUPPLIER DATA BASE'!$A$2:$H$936,5,0),""))</f>
        <v>0.03</v>
      </c>
      <c r="F921" s="72" t="s">
        <v>2781</v>
      </c>
      <c r="G921" s="73">
        <v>46129.0</v>
      </c>
      <c r="H921" s="74">
        <v>82.0</v>
      </c>
      <c r="I921" s="75">
        <v>88694.0</v>
      </c>
      <c r="J921" s="76" t="s">
        <v>2782</v>
      </c>
      <c r="K921" s="76" t="s">
        <v>2783</v>
      </c>
      <c r="L921" s="73"/>
      <c r="M921" s="70" t="str">
        <f t="shared" si="3"/>
        <v>59 Days</v>
      </c>
      <c r="N921" s="70" t="str">
        <f>IF($A$3=" "," ", IFERROR( VLOOKUP($A921,'SUPPLIER DATA BASE'!$A$2:$O$936,11,0),""))</f>
        <v>D S CREATION</v>
      </c>
      <c r="O921" s="70" t="str">
        <f>IF($A$3=" "," ", IFERROR( VLOOKUP($A921,'SUPPLIER DATA BASE'!$A$2:$O$936,12,0),""))</f>
        <v>9830047013</v>
      </c>
      <c r="P921" s="70" t="str">
        <f>IF($A$3=" "," ", IFERROR( VLOOKUP($A921,'SUPPLIER DATA BASE'!$A$2:$O$936,13,0),""))</f>
        <v>KKBK0006562</v>
      </c>
      <c r="Q921" s="77"/>
      <c r="R921" s="73"/>
      <c r="S921" s="77"/>
      <c r="T921" s="70"/>
      <c r="U921" s="78"/>
      <c r="V921" s="70" t="str">
        <f t="shared" si="6"/>
        <v>FY 26-27</v>
      </c>
      <c r="W921" s="23"/>
      <c r="X921" s="23"/>
    </row>
    <row r="922">
      <c r="A922" s="70" t="s">
        <v>416</v>
      </c>
      <c r="B922" s="70" t="str">
        <f>IF($A$3=" "," ", IFERROR( VLOOKUP($A922,'SUPPLIER DATA BASE'!$A$2:$M$936,3,0),""))</f>
        <v>YES MAAM</v>
      </c>
      <c r="C922" s="70" t="str">
        <f>IF($A$3=" "," ", IFERROR( VLOOKUP($A922,'SUPPLIER DATA BASE'!$A$2:$F$936,6,0),""))</f>
        <v>NEPOLIAN</v>
      </c>
      <c r="D922" s="70">
        <f>IF($A$3=" "," ", IFERROR( VLOOKUP($A922,'SUPPLIER DATA BASE'!$A$2:$G$936,4,0),""))</f>
        <v>60</v>
      </c>
      <c r="E922" s="71">
        <f>IF($A$3=" "," ", IFERROR( VLOOKUP($A922,'SUPPLIER DATA BASE'!$A$2:$H$936,5,0),""))</f>
        <v>0.03</v>
      </c>
      <c r="F922" s="72" t="s">
        <v>2784</v>
      </c>
      <c r="G922" s="73">
        <v>46129.0</v>
      </c>
      <c r="H922" s="74">
        <v>61.0</v>
      </c>
      <c r="I922" s="75">
        <v>147048.0</v>
      </c>
      <c r="J922" s="76" t="s">
        <v>2785</v>
      </c>
      <c r="K922" s="76" t="s">
        <v>2786</v>
      </c>
      <c r="L922" s="73"/>
      <c r="M922" s="70" t="str">
        <f t="shared" si="3"/>
        <v>59 Days</v>
      </c>
      <c r="N922" s="70" t="str">
        <f>IF($A$3=" "," ", IFERROR( VLOOKUP($A922,'SUPPLIER DATA BASE'!$A$2:$O$936,11,0),""))</f>
        <v>D S CREATION</v>
      </c>
      <c r="O922" s="70" t="str">
        <f>IF($A$3=" "," ", IFERROR( VLOOKUP($A922,'SUPPLIER DATA BASE'!$A$2:$O$936,12,0),""))</f>
        <v>9830047013</v>
      </c>
      <c r="P922" s="70" t="str">
        <f>IF($A$3=" "," ", IFERROR( VLOOKUP($A922,'SUPPLIER DATA BASE'!$A$2:$O$936,13,0),""))</f>
        <v>KKBK0006562</v>
      </c>
      <c r="Q922" s="77"/>
      <c r="R922" s="73"/>
      <c r="S922" s="77"/>
      <c r="T922" s="70"/>
      <c r="U922" s="78"/>
      <c r="V922" s="70" t="str">
        <f t="shared" si="6"/>
        <v>FY 26-27</v>
      </c>
      <c r="W922" s="23"/>
      <c r="X922" s="23"/>
    </row>
    <row r="923">
      <c r="A923" s="70" t="s">
        <v>852</v>
      </c>
      <c r="B923" s="70" t="str">
        <f>IF($A$3=" "," ", IFERROR( VLOOKUP($A923,'SUPPLIER DATA BASE'!$A$2:$M$936,3,0),""))</f>
        <v/>
      </c>
      <c r="C923" s="70" t="str">
        <f>IF($A$3=" "," ", IFERROR( VLOOKUP($A923,'SUPPLIER DATA BASE'!$A$2:$F$936,6,0),""))</f>
        <v/>
      </c>
      <c r="D923" s="70" t="str">
        <f>IF($A$3=" "," ", IFERROR( VLOOKUP($A923,'SUPPLIER DATA BASE'!$A$2:$G$936,4,0),""))</f>
        <v/>
      </c>
      <c r="E923" s="71" t="str">
        <f>IF($A$3=" "," ", IFERROR( VLOOKUP($A923,'SUPPLIER DATA BASE'!$A$2:$H$936,5,0),""))</f>
        <v/>
      </c>
      <c r="F923" s="72" t="s">
        <v>2787</v>
      </c>
      <c r="G923" s="73">
        <v>46129.0</v>
      </c>
      <c r="H923" s="74">
        <v>76.0</v>
      </c>
      <c r="I923" s="75">
        <v>216610.0</v>
      </c>
      <c r="J923" s="76" t="s">
        <v>2788</v>
      </c>
      <c r="K923" s="76" t="s">
        <v>2789</v>
      </c>
      <c r="L923" s="73"/>
      <c r="M923" s="70" t="str">
        <f t="shared" si="3"/>
        <v>59 Days</v>
      </c>
      <c r="N923" s="70" t="str">
        <f>IF($A$3=" "," ", IFERROR( VLOOKUP($A923,'SUPPLIER DATA BASE'!$A$2:$O$936,11,0),""))</f>
        <v/>
      </c>
      <c r="O923" s="70" t="str">
        <f>IF($A$3=" "," ", IFERROR( VLOOKUP($A923,'SUPPLIER DATA BASE'!$A$2:$O$936,12,0),""))</f>
        <v/>
      </c>
      <c r="P923" s="70" t="str">
        <f>IF($A$3=" "," ", IFERROR( VLOOKUP($A923,'SUPPLIER DATA BASE'!$A$2:$O$936,13,0),""))</f>
        <v/>
      </c>
      <c r="Q923" s="77"/>
      <c r="R923" s="73"/>
      <c r="S923" s="77"/>
      <c r="T923" s="70"/>
      <c r="U923" s="78"/>
      <c r="V923" s="70" t="str">
        <f t="shared" si="6"/>
        <v>FY 26-27</v>
      </c>
      <c r="W923" s="23"/>
      <c r="X923" s="23"/>
    </row>
    <row r="924">
      <c r="A924" s="70" t="s">
        <v>416</v>
      </c>
      <c r="B924" s="70" t="str">
        <f>IF($A$3=" "," ", IFERROR( VLOOKUP($A924,'SUPPLIER DATA BASE'!$A$2:$M$936,3,0),""))</f>
        <v>YES MAAM</v>
      </c>
      <c r="C924" s="70" t="str">
        <f>IF($A$3=" "," ", IFERROR( VLOOKUP($A924,'SUPPLIER DATA BASE'!$A$2:$F$936,6,0),""))</f>
        <v>NEPOLIAN</v>
      </c>
      <c r="D924" s="70">
        <f>IF($A$3=" "," ", IFERROR( VLOOKUP($A924,'SUPPLIER DATA BASE'!$A$2:$G$936,4,0),""))</f>
        <v>60</v>
      </c>
      <c r="E924" s="71">
        <f>IF($A$3=" "," ", IFERROR( VLOOKUP($A924,'SUPPLIER DATA BASE'!$A$2:$H$936,5,0),""))</f>
        <v>0.03</v>
      </c>
      <c r="F924" s="72" t="s">
        <v>2790</v>
      </c>
      <c r="G924" s="73">
        <v>46129.0</v>
      </c>
      <c r="H924" s="74">
        <v>85.0</v>
      </c>
      <c r="I924" s="75">
        <v>70607.0</v>
      </c>
      <c r="J924" s="76" t="s">
        <v>2791</v>
      </c>
      <c r="K924" s="76" t="s">
        <v>2792</v>
      </c>
      <c r="L924" s="73"/>
      <c r="M924" s="70" t="str">
        <f t="shared" si="3"/>
        <v>59 Days</v>
      </c>
      <c r="N924" s="70" t="str">
        <f>IF($A$3=" "," ", IFERROR( VLOOKUP($A924,'SUPPLIER DATA BASE'!$A$2:$O$936,11,0),""))</f>
        <v>D S CREATION</v>
      </c>
      <c r="O924" s="70" t="str">
        <f>IF($A$3=" "," ", IFERROR( VLOOKUP($A924,'SUPPLIER DATA BASE'!$A$2:$O$936,12,0),""))</f>
        <v>9830047013</v>
      </c>
      <c r="P924" s="70" t="str">
        <f>IF($A$3=" "," ", IFERROR( VLOOKUP($A924,'SUPPLIER DATA BASE'!$A$2:$O$936,13,0),""))</f>
        <v>KKBK0006562</v>
      </c>
      <c r="Q924" s="77"/>
      <c r="R924" s="73"/>
      <c r="S924" s="77"/>
      <c r="T924" s="70"/>
      <c r="U924" s="78"/>
      <c r="V924" s="70" t="str">
        <f t="shared" si="6"/>
        <v>FY 26-27</v>
      </c>
      <c r="W924" s="23"/>
      <c r="X924" s="23"/>
    </row>
    <row r="925">
      <c r="A925" s="70" t="s">
        <v>354</v>
      </c>
      <c r="B925" s="70" t="str">
        <f>IF($A$3=" "," ", IFERROR( VLOOKUP($A925,'SUPPLIER DATA BASE'!$A$2:$M$936,3,0),""))</f>
        <v>-</v>
      </c>
      <c r="C925" s="70" t="str">
        <f>IF($A$3=" "," ", IFERROR( VLOOKUP($A925,'SUPPLIER DATA BASE'!$A$2:$F$936,6,0),""))</f>
        <v>-</v>
      </c>
      <c r="D925" s="70" t="str">
        <f>IF($A$3=" "," ", IFERROR( VLOOKUP($A925,'SUPPLIER DATA BASE'!$A$2:$G$936,4,0),""))</f>
        <v>-</v>
      </c>
      <c r="E925" s="71" t="str">
        <f>IF($A$3=" "," ", IFERROR( VLOOKUP($A925,'SUPPLIER DATA BASE'!$A$2:$H$936,5,0),""))</f>
        <v>-</v>
      </c>
      <c r="F925" s="72" t="s">
        <v>2793</v>
      </c>
      <c r="G925" s="73">
        <v>46129.0</v>
      </c>
      <c r="H925" s="74">
        <v>10.0</v>
      </c>
      <c r="I925" s="75">
        <v>19506.72</v>
      </c>
      <c r="J925" s="76" t="s">
        <v>2794</v>
      </c>
      <c r="K925" s="76" t="s">
        <v>2795</v>
      </c>
      <c r="L925" s="73"/>
      <c r="M925" s="70" t="str">
        <f t="shared" si="3"/>
        <v>59 Days</v>
      </c>
      <c r="N925" s="70" t="str">
        <f>IF($A$3=" "," ", IFERROR( VLOOKUP($A925,'SUPPLIER DATA BASE'!$A$2:$O$936,11,0),""))</f>
        <v>-</v>
      </c>
      <c r="O925" s="70" t="str">
        <f>IF($A$3=" "," ", IFERROR( VLOOKUP($A925,'SUPPLIER DATA BASE'!$A$2:$O$936,12,0),""))</f>
        <v>-</v>
      </c>
      <c r="P925" s="70" t="str">
        <f>IF($A$3=" "," ", IFERROR( VLOOKUP($A925,'SUPPLIER DATA BASE'!$A$2:$O$936,13,0),""))</f>
        <v>-</v>
      </c>
      <c r="Q925" s="77"/>
      <c r="R925" s="73"/>
      <c r="S925" s="77"/>
      <c r="T925" s="70"/>
      <c r="U925" s="78"/>
      <c r="V925" s="70" t="str">
        <f t="shared" si="6"/>
        <v>FY 26-27</v>
      </c>
      <c r="W925" s="23"/>
      <c r="X925" s="23"/>
    </row>
    <row r="926">
      <c r="A926" s="70" t="s">
        <v>789</v>
      </c>
      <c r="B926" s="70" t="str">
        <f>IF($A$3=" "," ", IFERROR( VLOOKUP($A926,'SUPPLIER DATA BASE'!$A$2:$M$936,3,0),""))</f>
        <v>-</v>
      </c>
      <c r="C926" s="70" t="str">
        <f>IF($A$3=" "," ", IFERROR( VLOOKUP($A926,'SUPPLIER DATA BASE'!$A$2:$F$936,6,0),""))</f>
        <v>-</v>
      </c>
      <c r="D926" s="70" t="str">
        <f>IF($A$3=" "," ", IFERROR( VLOOKUP($A926,'SUPPLIER DATA BASE'!$A$2:$G$936,4,0),""))</f>
        <v>-</v>
      </c>
      <c r="E926" s="71" t="str">
        <f>IF($A$3=" "," ", IFERROR( VLOOKUP($A926,'SUPPLIER DATA BASE'!$A$2:$H$936,5,0),""))</f>
        <v>-</v>
      </c>
      <c r="F926" s="72">
        <v>4411.0</v>
      </c>
      <c r="G926" s="73">
        <v>46130.0</v>
      </c>
      <c r="H926" s="74">
        <v>48.0</v>
      </c>
      <c r="I926" s="75">
        <v>13164.0</v>
      </c>
      <c r="J926" s="76" t="s">
        <v>2796</v>
      </c>
      <c r="K926" s="76" t="s">
        <v>2797</v>
      </c>
      <c r="L926" s="73"/>
      <c r="M926" s="70" t="str">
        <f t="shared" si="3"/>
        <v>58 Days</v>
      </c>
      <c r="N926" s="70" t="str">
        <f>IF($A$3=" "," ", IFERROR( VLOOKUP($A926,'SUPPLIER DATA BASE'!$A$2:$O$936,11,0),""))</f>
        <v>-</v>
      </c>
      <c r="O926" s="70" t="str">
        <f>IF($A$3=" "," ", IFERROR( VLOOKUP($A926,'SUPPLIER DATA BASE'!$A$2:$O$936,12,0),""))</f>
        <v>-</v>
      </c>
      <c r="P926" s="70" t="str">
        <f>IF($A$3=" "," ", IFERROR( VLOOKUP($A926,'SUPPLIER DATA BASE'!$A$2:$O$936,13,0),""))</f>
        <v>-</v>
      </c>
      <c r="Q926" s="77"/>
      <c r="R926" s="73"/>
      <c r="S926" s="77"/>
      <c r="T926" s="70"/>
      <c r="U926" s="78"/>
      <c r="V926" s="70" t="str">
        <f t="shared" si="6"/>
        <v>FY 26-27</v>
      </c>
      <c r="W926" s="23"/>
      <c r="X926" s="23"/>
    </row>
    <row r="927">
      <c r="A927" s="70" t="s">
        <v>756</v>
      </c>
      <c r="B927" s="70" t="str">
        <f>IF($A$3=" "," ", IFERROR( VLOOKUP($A927,'SUPPLIER DATA BASE'!$A$2:$M$936,3,0),""))</f>
        <v>JOCKEY</v>
      </c>
      <c r="C927" s="70" t="str">
        <f>IF($A$3=" "," ", IFERROR( VLOOKUP($A927,'SUPPLIER DATA BASE'!$A$2:$F$936,6,0),""))</f>
        <v>DIRECT</v>
      </c>
      <c r="D927" s="70">
        <f>IF($A$3=" "," ", IFERROR( VLOOKUP($A927,'SUPPLIER DATA BASE'!$A$2:$G$936,4,0),""))</f>
        <v>15</v>
      </c>
      <c r="E927" s="71">
        <f>IF($A$3=" "," ", IFERROR( VLOOKUP($A927,'SUPPLIER DATA BASE'!$A$2:$H$936,5,0),""))</f>
        <v>0.02</v>
      </c>
      <c r="F927" s="72" t="s">
        <v>2798</v>
      </c>
      <c r="G927" s="73">
        <v>46130.0</v>
      </c>
      <c r="H927" s="74">
        <v>30.0</v>
      </c>
      <c r="I927" s="75">
        <v>6441.0</v>
      </c>
      <c r="J927" s="76" t="s">
        <v>2799</v>
      </c>
      <c r="K927" s="76" t="s">
        <v>2800</v>
      </c>
      <c r="L927" s="73"/>
      <c r="M927" s="70" t="str">
        <f t="shared" si="3"/>
        <v>58 Days</v>
      </c>
      <c r="N927" s="70" t="str">
        <f>IF($A$3=" "," ", IFERROR( VLOOKUP($A927,'SUPPLIER DATA BASE'!$A$2:$O$936,11,0),""))</f>
        <v>-</v>
      </c>
      <c r="O927" s="70" t="str">
        <f>IF($A$3=" "," ", IFERROR( VLOOKUP($A927,'SUPPLIER DATA BASE'!$A$2:$O$936,12,0),""))</f>
        <v>-</v>
      </c>
      <c r="P927" s="70" t="str">
        <f>IF($A$3=" "," ", IFERROR( VLOOKUP($A927,'SUPPLIER DATA BASE'!$A$2:$O$936,13,0),""))</f>
        <v>-</v>
      </c>
      <c r="Q927" s="77"/>
      <c r="R927" s="73"/>
      <c r="S927" s="77"/>
      <c r="T927" s="70"/>
      <c r="U927" s="78"/>
      <c r="V927" s="70" t="str">
        <f t="shared" si="6"/>
        <v>FY 26-27</v>
      </c>
      <c r="W927" s="23"/>
      <c r="X927" s="23"/>
    </row>
    <row r="928">
      <c r="A928" s="70" t="s">
        <v>596</v>
      </c>
      <c r="B928" s="70" t="str">
        <f>IF($A$3=" "," ", IFERROR( VLOOKUP($A928,'SUPPLIER DATA BASE'!$A$2:$M$936,3,0),""))</f>
        <v>JOCKEY</v>
      </c>
      <c r="C928" s="70" t="str">
        <f>IF($A$3=" "," ", IFERROR( VLOOKUP($A928,'SUPPLIER DATA BASE'!$A$2:$F$936,6,0),""))</f>
        <v>DIRECT</v>
      </c>
      <c r="D928" s="70">
        <f>IF($A$3=" "," ", IFERROR( VLOOKUP($A928,'SUPPLIER DATA BASE'!$A$2:$G$936,4,0),""))</f>
        <v>21</v>
      </c>
      <c r="E928" s="71">
        <f>IF($A$3=" "," ", IFERROR( VLOOKUP($A928,'SUPPLIER DATA BASE'!$A$2:$H$936,5,0),""))</f>
        <v>0.02</v>
      </c>
      <c r="F928" s="72" t="s">
        <v>2801</v>
      </c>
      <c r="G928" s="73">
        <v>46130.0</v>
      </c>
      <c r="H928" s="74">
        <v>20.0</v>
      </c>
      <c r="I928" s="75">
        <v>4423.0</v>
      </c>
      <c r="J928" s="76" t="s">
        <v>2802</v>
      </c>
      <c r="K928" s="76" t="s">
        <v>2803</v>
      </c>
      <c r="L928" s="73"/>
      <c r="M928" s="70" t="str">
        <f t="shared" si="3"/>
        <v>58 Days</v>
      </c>
      <c r="N928" s="70" t="str">
        <f>IF($A$3=" "," ", IFERROR( VLOOKUP($A928,'SUPPLIER DATA BASE'!$A$2:$O$936,11,0),""))</f>
        <v>NARVADA TEXTILES</v>
      </c>
      <c r="O928" s="70" t="str">
        <f>IF($A$3=" "," ", IFERROR( VLOOKUP($A928,'SUPPLIER DATA BASE'!$A$2:$O$936,12,0),""))</f>
        <v>72610200000442</v>
      </c>
      <c r="P928" s="70" t="str">
        <f>IF($A$3=" "," ", IFERROR( VLOOKUP($A928,'SUPPLIER DATA BASE'!$A$2:$O$936,13,0),""))</f>
        <v>BARB0DBRANC</v>
      </c>
      <c r="Q928" s="77"/>
      <c r="R928" s="73"/>
      <c r="S928" s="77"/>
      <c r="T928" s="70"/>
      <c r="U928" s="78"/>
      <c r="V928" s="70" t="str">
        <f t="shared" si="6"/>
        <v>FY 26-27</v>
      </c>
      <c r="W928" s="23"/>
      <c r="X928" s="23"/>
    </row>
    <row r="929">
      <c r="A929" s="70" t="s">
        <v>623</v>
      </c>
      <c r="B929" s="70" t="str">
        <f>IF($A$3=" "," ", IFERROR( VLOOKUP($A929,'SUPPLIER DATA BASE'!$A$2:$M$936,3,0),""))</f>
        <v>-</v>
      </c>
      <c r="C929" s="70" t="str">
        <f>IF($A$3=" "," ", IFERROR( VLOOKUP($A929,'SUPPLIER DATA BASE'!$A$2:$F$936,6,0),""))</f>
        <v>-</v>
      </c>
      <c r="D929" s="70" t="str">
        <f>IF($A$3=" "," ", IFERROR( VLOOKUP($A929,'SUPPLIER DATA BASE'!$A$2:$G$936,4,0),""))</f>
        <v>-</v>
      </c>
      <c r="E929" s="71" t="str">
        <f>IF($A$3=" "," ", IFERROR( VLOOKUP($A929,'SUPPLIER DATA BASE'!$A$2:$H$936,5,0),""))</f>
        <v>-</v>
      </c>
      <c r="F929" s="72">
        <v>259.0</v>
      </c>
      <c r="G929" s="73">
        <v>46130.0</v>
      </c>
      <c r="H929" s="74">
        <v>14.0</v>
      </c>
      <c r="I929" s="75">
        <v>19826.0</v>
      </c>
      <c r="J929" s="76" t="s">
        <v>2804</v>
      </c>
      <c r="K929" s="76" t="s">
        <v>2805</v>
      </c>
      <c r="L929" s="73"/>
      <c r="M929" s="70" t="str">
        <f t="shared" si="3"/>
        <v>58 Days</v>
      </c>
      <c r="N929" s="70" t="str">
        <f>IF($A$3=" "," ", IFERROR( VLOOKUP($A929,'SUPPLIER DATA BASE'!$A$2:$O$936,11,0),""))</f>
        <v>PLAZER FABRICS</v>
      </c>
      <c r="O929" s="70" t="str">
        <f>IF($A$3=" "," ", IFERROR( VLOOKUP($A929,'SUPPLIER DATA BASE'!$A$2:$O$936,12,0),""))</f>
        <v>50200014256984</v>
      </c>
      <c r="P929" s="70" t="str">
        <f>IF($A$3=" "," ", IFERROR( VLOOKUP($A929,'SUPPLIER DATA BASE'!$A$2:$O$936,13,0),""))</f>
        <v>HDFC0002834</v>
      </c>
      <c r="Q929" s="77"/>
      <c r="R929" s="73"/>
      <c r="S929" s="77"/>
      <c r="T929" s="70"/>
      <c r="U929" s="78"/>
      <c r="V929" s="70" t="str">
        <f t="shared" si="6"/>
        <v>FY 26-27</v>
      </c>
      <c r="W929" s="23"/>
      <c r="X929" s="23"/>
    </row>
    <row r="930">
      <c r="A930" s="70" t="s">
        <v>692</v>
      </c>
      <c r="B930" s="70" t="str">
        <f>IF($A$3=" "," ", IFERROR( VLOOKUP($A930,'SUPPLIER DATA BASE'!$A$2:$M$936,3,0),""))</f>
        <v>JOCKEY</v>
      </c>
      <c r="C930" s="70" t="str">
        <f>IF($A$3=" "," ", IFERROR( VLOOKUP($A930,'SUPPLIER DATA BASE'!$A$2:$F$936,6,0),""))</f>
        <v>DIRECT</v>
      </c>
      <c r="D930" s="70">
        <f>IF($A$3=" "," ", IFERROR( VLOOKUP($A930,'SUPPLIER DATA BASE'!$A$2:$G$936,4,0),""))</f>
        <v>30</v>
      </c>
      <c r="E930" s="71">
        <f>IF($A$3=" "," ", IFERROR( VLOOKUP($A930,'SUPPLIER DATA BASE'!$A$2:$H$936,5,0),""))</f>
        <v>2</v>
      </c>
      <c r="F930" s="72" t="s">
        <v>2806</v>
      </c>
      <c r="G930" s="73">
        <v>46130.0</v>
      </c>
      <c r="H930" s="74">
        <v>39.0</v>
      </c>
      <c r="I930" s="75">
        <v>14691.0</v>
      </c>
      <c r="J930" s="76" t="s">
        <v>2807</v>
      </c>
      <c r="K930" s="76" t="s">
        <v>2808</v>
      </c>
      <c r="L930" s="73"/>
      <c r="M930" s="70" t="str">
        <f t="shared" si="3"/>
        <v>58 Days</v>
      </c>
      <c r="N930" s="70" t="str">
        <f>IF($A$3=" "," ", IFERROR( VLOOKUP($A930,'SUPPLIER DATA BASE'!$A$2:$O$936,11,0),""))</f>
        <v>SHREE NARAYANI ENTERPRISE</v>
      </c>
      <c r="O930" s="70" t="str">
        <f>IF($A$3=" "," ", IFERROR( VLOOKUP($A930,'SUPPLIER DATA BASE'!$A$2:$O$936,12,0),""))</f>
        <v>29205005382</v>
      </c>
      <c r="P930" s="70" t="str">
        <f>IF($A$3=" "," ", IFERROR( VLOOKUP($A930,'SUPPLIER DATA BASE'!$A$2:$O$936,13,0),""))</f>
        <v>ICIC0000292</v>
      </c>
      <c r="Q930" s="77"/>
      <c r="R930" s="73"/>
      <c r="S930" s="77"/>
      <c r="T930" s="70"/>
      <c r="U930" s="78"/>
      <c r="V930" s="70" t="str">
        <f t="shared" si="6"/>
        <v>FY 26-27</v>
      </c>
      <c r="W930" s="23"/>
      <c r="X930" s="23"/>
    </row>
    <row r="931">
      <c r="A931" s="70" t="s">
        <v>615</v>
      </c>
      <c r="B931" s="70" t="str">
        <f>IF($A$3=" "," ", IFERROR( VLOOKUP($A931,'SUPPLIER DATA BASE'!$A$2:$M$936,3,0),""))</f>
        <v>JOCKEY</v>
      </c>
      <c r="C931" s="70" t="str">
        <f>IF($A$3=" "," ", IFERROR( VLOOKUP($A931,'SUPPLIER DATA BASE'!$A$2:$F$936,6,0),""))</f>
        <v>-</v>
      </c>
      <c r="D931" s="70">
        <f>IF($A$3=" "," ", IFERROR( VLOOKUP($A931,'SUPPLIER DATA BASE'!$A$2:$G$936,4,0),""))</f>
        <v>10</v>
      </c>
      <c r="E931" s="71">
        <f>IF($A$3=" "," ", IFERROR( VLOOKUP($A931,'SUPPLIER DATA BASE'!$A$2:$H$936,5,0),""))</f>
        <v>0.02</v>
      </c>
      <c r="F931" s="72" t="s">
        <v>2809</v>
      </c>
      <c r="G931" s="73">
        <v>46130.0</v>
      </c>
      <c r="H931" s="74">
        <v>146.0</v>
      </c>
      <c r="I931" s="75">
        <v>40412.0</v>
      </c>
      <c r="J931" s="76" t="s">
        <v>2810</v>
      </c>
      <c r="K931" s="76" t="s">
        <v>2811</v>
      </c>
      <c r="L931" s="73"/>
      <c r="M931" s="70" t="str">
        <f t="shared" si="3"/>
        <v>58 Days</v>
      </c>
      <c r="N931" s="70" t="str">
        <f>IF($A$3=" "," ", IFERROR( VLOOKUP($A931,'SUPPLIER DATA BASE'!$A$2:$O$936,11,0),""))</f>
        <v>PARAS TEXTILES</v>
      </c>
      <c r="O931" s="70" t="str">
        <f>IF($A$3=" "," ", IFERROR( VLOOKUP($A931,'SUPPLIER DATA BASE'!$A$2:$O$936,12,0),""))</f>
        <v>1574210665</v>
      </c>
      <c r="P931" s="70" t="str">
        <f>IF($A$3=" "," ", IFERROR( VLOOKUP($A931,'SUPPLIER DATA BASE'!$A$2:$O$936,13,0),""))</f>
        <v>CBIN0281393</v>
      </c>
      <c r="Q931" s="77">
        <v>40412.0</v>
      </c>
      <c r="R931" s="73">
        <v>46132.0</v>
      </c>
      <c r="S931" s="77"/>
      <c r="T931" s="70"/>
      <c r="U931" s="84" t="s">
        <v>1320</v>
      </c>
      <c r="V931" s="70" t="str">
        <f t="shared" si="6"/>
        <v>FY 26-27</v>
      </c>
      <c r="W931" s="23"/>
      <c r="X931" s="23"/>
    </row>
    <row r="932">
      <c r="A932" s="70" t="s">
        <v>541</v>
      </c>
      <c r="B932" s="70" t="str">
        <f>IF($A$3=" "," ", IFERROR( VLOOKUP($A932,'SUPPLIER DATA BASE'!$A$2:$M$936,3,0),""))</f>
        <v>TWILLS</v>
      </c>
      <c r="C932" s="70" t="str">
        <f>IF($A$3=" "," ", IFERROR( VLOOKUP($A932,'SUPPLIER DATA BASE'!$A$2:$F$936,6,0),""))</f>
        <v>-</v>
      </c>
      <c r="D932" s="70" t="str">
        <f>IF($A$3=" "," ", IFERROR( VLOOKUP($A932,'SUPPLIER DATA BASE'!$A$2:$G$936,4,0),""))</f>
        <v>-</v>
      </c>
      <c r="E932" s="71" t="str">
        <f>IF($A$3=" "," ", IFERROR( VLOOKUP($A932,'SUPPLIER DATA BASE'!$A$2:$H$936,5,0),""))</f>
        <v>-</v>
      </c>
      <c r="F932" s="72" t="s">
        <v>2812</v>
      </c>
      <c r="G932" s="73">
        <v>46132.0</v>
      </c>
      <c r="H932" s="74">
        <v>4.0</v>
      </c>
      <c r="I932" s="75">
        <v>13521.0</v>
      </c>
      <c r="J932" s="76" t="s">
        <v>2813</v>
      </c>
      <c r="K932" s="76" t="s">
        <v>2814</v>
      </c>
      <c r="L932" s="73"/>
      <c r="M932" s="70" t="str">
        <f t="shared" si="3"/>
        <v>56 Days</v>
      </c>
      <c r="N932" s="70" t="str">
        <f>IF($A$3=" "," ", IFERROR( VLOOKUP($A932,'SUPPLIER DATA BASE'!$A$2:$O$936,11,0),""))</f>
        <v>M. N. GARMENTS</v>
      </c>
      <c r="O932" s="70" t="str">
        <f>IF($A$3=" "," ", IFERROR( VLOOKUP($A932,'SUPPLIER DATA BASE'!$A$2:$O$936,12,0),""))</f>
        <v>50200058436598</v>
      </c>
      <c r="P932" s="70" t="str">
        <f>IF($A$3=" "," ", IFERROR( VLOOKUP($A932,'SUPPLIER DATA BASE'!$A$2:$O$936,13,0),""))</f>
        <v>HDFC0001470</v>
      </c>
      <c r="Q932" s="77"/>
      <c r="R932" s="73"/>
      <c r="S932" s="77"/>
      <c r="T932" s="70"/>
      <c r="U932" s="78"/>
      <c r="V932" s="70" t="str">
        <f t="shared" si="6"/>
        <v>FY 26-27</v>
      </c>
      <c r="W932" s="23"/>
      <c r="X932" s="23"/>
    </row>
    <row r="933">
      <c r="A933" s="70" t="s">
        <v>402</v>
      </c>
      <c r="B933" s="70" t="str">
        <f>IF($A$3=" "," ", IFERROR( VLOOKUP($A933,'SUPPLIER DATA BASE'!$A$2:$M$936,3,0),""))</f>
        <v>KHUSHAL/STATUS QUO</v>
      </c>
      <c r="C933" s="70" t="str">
        <f>IF($A$3=" "," ", IFERROR( VLOOKUP($A933,'SUPPLIER DATA BASE'!$A$2:$F$936,6,0),""))</f>
        <v>-</v>
      </c>
      <c r="D933" s="70" t="str">
        <f>IF($A$3=" "," ", IFERROR( VLOOKUP($A933,'SUPPLIER DATA BASE'!$A$2:$G$936,4,0),""))</f>
        <v>-</v>
      </c>
      <c r="E933" s="71" t="str">
        <f>IF($A$3=" "," ", IFERROR( VLOOKUP($A933,'SUPPLIER DATA BASE'!$A$2:$H$936,5,0),""))</f>
        <v>-</v>
      </c>
      <c r="F933" s="72" t="s">
        <v>2815</v>
      </c>
      <c r="G933" s="73">
        <v>46132.0</v>
      </c>
      <c r="H933" s="74">
        <v>86.0</v>
      </c>
      <c r="I933" s="75">
        <v>83737.0</v>
      </c>
      <c r="J933" s="76" t="s">
        <v>2816</v>
      </c>
      <c r="K933" s="76" t="s">
        <v>2817</v>
      </c>
      <c r="L933" s="73"/>
      <c r="M933" s="70" t="str">
        <f t="shared" si="3"/>
        <v>56 Days</v>
      </c>
      <c r="N933" s="70" t="str">
        <f>IF($A$3=" "," ", IFERROR( VLOOKUP($A933,'SUPPLIER DATA BASE'!$A$2:$O$936,11,0),""))</f>
        <v>D APPAREL</v>
      </c>
      <c r="O933" s="70" t="str">
        <f>IF($A$3=" "," ", IFERROR( VLOOKUP($A933,'SUPPLIER DATA BASE'!$A$2:$O$936,12,0),""))</f>
        <v>722501010050397</v>
      </c>
      <c r="P933" s="70" t="str">
        <f>IF($A$3=" "," ", IFERROR( VLOOKUP($A933,'SUPPLIER DATA BASE'!$A$2:$O$936,13,0),""))</f>
        <v>UBIN0572250</v>
      </c>
      <c r="Q933" s="77"/>
      <c r="R933" s="73"/>
      <c r="S933" s="77"/>
      <c r="T933" s="70"/>
      <c r="U933" s="78"/>
      <c r="V933" s="70" t="str">
        <f t="shared" si="6"/>
        <v>FY 26-27</v>
      </c>
      <c r="W933" s="23"/>
      <c r="X933" s="23"/>
    </row>
    <row r="934">
      <c r="A934" s="70" t="s">
        <v>596</v>
      </c>
      <c r="B934" s="70" t="str">
        <f>IF($A$3=" "," ", IFERROR( VLOOKUP($A934,'SUPPLIER DATA BASE'!$A$2:$M$936,3,0),""))</f>
        <v>JOCKEY</v>
      </c>
      <c r="C934" s="70" t="str">
        <f>IF($A$3=" "," ", IFERROR( VLOOKUP($A934,'SUPPLIER DATA BASE'!$A$2:$F$936,6,0),""))</f>
        <v>DIRECT</v>
      </c>
      <c r="D934" s="70">
        <f>IF($A$3=" "," ", IFERROR( VLOOKUP($A934,'SUPPLIER DATA BASE'!$A$2:$G$936,4,0),""))</f>
        <v>21</v>
      </c>
      <c r="E934" s="71">
        <f>IF($A$3=" "," ", IFERROR( VLOOKUP($A934,'SUPPLIER DATA BASE'!$A$2:$H$936,5,0),""))</f>
        <v>0.02</v>
      </c>
      <c r="F934" s="72" t="s">
        <v>2818</v>
      </c>
      <c r="G934" s="73">
        <v>46132.0</v>
      </c>
      <c r="H934" s="74">
        <v>100.0</v>
      </c>
      <c r="I934" s="75">
        <v>11831.0</v>
      </c>
      <c r="J934" s="76" t="s">
        <v>2819</v>
      </c>
      <c r="K934" s="76" t="s">
        <v>2820</v>
      </c>
      <c r="L934" s="73"/>
      <c r="M934" s="70" t="str">
        <f t="shared" si="3"/>
        <v>56 Days</v>
      </c>
      <c r="N934" s="70" t="str">
        <f>IF($A$3=" "," ", IFERROR( VLOOKUP($A934,'SUPPLIER DATA BASE'!$A$2:$O$936,11,0),""))</f>
        <v>NARVADA TEXTILES</v>
      </c>
      <c r="O934" s="70" t="str">
        <f>IF($A$3=" "," ", IFERROR( VLOOKUP($A934,'SUPPLIER DATA BASE'!$A$2:$O$936,12,0),""))</f>
        <v>72610200000442</v>
      </c>
      <c r="P934" s="70" t="str">
        <f>IF($A$3=" "," ", IFERROR( VLOOKUP($A934,'SUPPLIER DATA BASE'!$A$2:$O$936,13,0),""))</f>
        <v>BARB0DBRANC</v>
      </c>
      <c r="Q934" s="77"/>
      <c r="R934" s="73"/>
      <c r="S934" s="77"/>
      <c r="T934" s="70"/>
      <c r="U934" s="78"/>
      <c r="V934" s="70" t="str">
        <f t="shared" si="6"/>
        <v>FY 26-27</v>
      </c>
      <c r="W934" s="23"/>
      <c r="X934" s="23"/>
    </row>
    <row r="935">
      <c r="A935" s="70" t="s">
        <v>541</v>
      </c>
      <c r="B935" s="70" t="str">
        <f>IF($A$3=" "," ", IFERROR( VLOOKUP($A935,'SUPPLIER DATA BASE'!$A$2:$M$936,3,0),""))</f>
        <v>TWILLS</v>
      </c>
      <c r="C935" s="70" t="str">
        <f>IF($A$3=" "," ", IFERROR( VLOOKUP($A935,'SUPPLIER DATA BASE'!$A$2:$F$936,6,0),""))</f>
        <v>-</v>
      </c>
      <c r="D935" s="70" t="str">
        <f>IF($A$3=" "," ", IFERROR( VLOOKUP($A935,'SUPPLIER DATA BASE'!$A$2:$G$936,4,0),""))</f>
        <v>-</v>
      </c>
      <c r="E935" s="71" t="str">
        <f>IF($A$3=" "," ", IFERROR( VLOOKUP($A935,'SUPPLIER DATA BASE'!$A$2:$H$936,5,0),""))</f>
        <v>-</v>
      </c>
      <c r="F935" s="72" t="s">
        <v>2821</v>
      </c>
      <c r="G935" s="73">
        <v>46134.0</v>
      </c>
      <c r="H935" s="74">
        <v>18.0</v>
      </c>
      <c r="I935" s="75">
        <v>14308.0</v>
      </c>
      <c r="J935" s="76" t="s">
        <v>2822</v>
      </c>
      <c r="K935" s="76" t="s">
        <v>2823</v>
      </c>
      <c r="L935" s="73"/>
      <c r="M935" s="70" t="str">
        <f t="shared" si="3"/>
        <v>54 Days</v>
      </c>
      <c r="N935" s="70" t="str">
        <f>IF($A$3=" "," ", IFERROR( VLOOKUP($A935,'SUPPLIER DATA BASE'!$A$2:$O$936,11,0),""))</f>
        <v>M. N. GARMENTS</v>
      </c>
      <c r="O935" s="70" t="str">
        <f>IF($A$3=" "," ", IFERROR( VLOOKUP($A935,'SUPPLIER DATA BASE'!$A$2:$O$936,12,0),""))</f>
        <v>50200058436598</v>
      </c>
      <c r="P935" s="70" t="str">
        <f>IF($A$3=" "," ", IFERROR( VLOOKUP($A935,'SUPPLIER DATA BASE'!$A$2:$O$936,13,0),""))</f>
        <v>HDFC0001470</v>
      </c>
      <c r="Q935" s="77"/>
      <c r="R935" s="73"/>
      <c r="S935" s="77"/>
      <c r="T935" s="70"/>
      <c r="U935" s="78"/>
      <c r="V935" s="70" t="str">
        <f t="shared" si="6"/>
        <v>FY 26-27</v>
      </c>
      <c r="W935" s="23"/>
      <c r="X935" s="23"/>
    </row>
    <row r="936">
      <c r="A936" s="70" t="s">
        <v>856</v>
      </c>
      <c r="B936" s="70" t="str">
        <f>IF($A$3=" "," ", IFERROR( VLOOKUP($A936,'SUPPLIER DATA BASE'!$A$2:$M$936,3,0),""))</f>
        <v>WELSPUN</v>
      </c>
      <c r="C936" s="70" t="str">
        <f>IF($A$3=" "," ", IFERROR( VLOOKUP($A936,'SUPPLIER DATA BASE'!$A$2:$F$936,6,0),""))</f>
        <v/>
      </c>
      <c r="D936" s="70">
        <f>IF($A$3=" "," ", IFERROR( VLOOKUP($A936,'SUPPLIER DATA BASE'!$A$2:$G$936,4,0),""))</f>
        <v>15</v>
      </c>
      <c r="E936" s="71">
        <f>IF($A$3=" "," ", IFERROR( VLOOKUP($A936,'SUPPLIER DATA BASE'!$A$2:$H$936,5,0),""))</f>
        <v>0.05</v>
      </c>
      <c r="F936" s="72" t="s">
        <v>2824</v>
      </c>
      <c r="G936" s="73">
        <v>46165.0</v>
      </c>
      <c r="H936" s="74">
        <v>52.0</v>
      </c>
      <c r="I936" s="75">
        <v>15720.0</v>
      </c>
      <c r="J936" s="76" t="s">
        <v>2825</v>
      </c>
      <c r="K936" s="76" t="s">
        <v>2826</v>
      </c>
      <c r="L936" s="73"/>
      <c r="M936" s="70" t="str">
        <f t="shared" si="3"/>
        <v>23 Days</v>
      </c>
      <c r="N936" s="70" t="str">
        <f>IF($A$3=" "," ", IFERROR( VLOOKUP($A936,'SUPPLIER DATA BASE'!$A$2:$O$936,11,0),""))</f>
        <v>C2D DISTRIBUTORS</v>
      </c>
      <c r="O936" s="70" t="str">
        <f>IF($A$3=" "," ", IFERROR( VLOOKUP($A936,'SUPPLIER DATA BASE'!$A$2:$O$936,12,0),""))</f>
        <v>50507532165</v>
      </c>
      <c r="P936" s="70" t="str">
        <f>IF($A$3=" "," ", IFERROR( VLOOKUP($A936,'SUPPLIER DATA BASE'!$A$2:$O$936,13,0),""))</f>
        <v>IDIB000D600</v>
      </c>
      <c r="Q936" s="77"/>
      <c r="R936" s="73"/>
      <c r="S936" s="77"/>
      <c r="T936" s="70"/>
      <c r="U936" s="78"/>
      <c r="V936" s="70" t="str">
        <f t="shared" si="6"/>
        <v>FY 26-27</v>
      </c>
      <c r="W936" s="23"/>
      <c r="X936" s="23"/>
    </row>
    <row r="937">
      <c r="A937" s="70"/>
      <c r="B937" s="70" t="str">
        <f>IF($A$3=" "," ", IFERROR( VLOOKUP($A937,'SUPPLIER DATA BASE'!$A$2:$M$936,3,0),""))</f>
        <v/>
      </c>
      <c r="C937" s="70" t="str">
        <f>IF($A$3=" "," ", IFERROR( VLOOKUP($A937,'SUPPLIER DATA BASE'!$A$2:$F$936,6,0),""))</f>
        <v/>
      </c>
      <c r="D937" s="70" t="str">
        <f>IF($A$3=" "," ", IFERROR( VLOOKUP($A937,'SUPPLIER DATA BASE'!$A$2:$G$936,4,0),""))</f>
        <v/>
      </c>
      <c r="E937" s="71" t="str">
        <f>IF($A$3=" "," ", IFERROR( VLOOKUP($A937,'SUPPLIER DATA BASE'!$A$2:$H$936,5,0),""))</f>
        <v/>
      </c>
      <c r="F937" s="72" t="s">
        <v>2827</v>
      </c>
      <c r="G937" s="73">
        <v>46165.0</v>
      </c>
      <c r="H937" s="74">
        <v>211.0</v>
      </c>
      <c r="I937" s="75">
        <v>104099.0</v>
      </c>
      <c r="J937" s="76" t="s">
        <v>2828</v>
      </c>
      <c r="K937" s="76" t="s">
        <v>2829</v>
      </c>
      <c r="L937" s="73"/>
      <c r="M937" s="70" t="str">
        <f t="shared" si="3"/>
        <v>23 Days</v>
      </c>
      <c r="N937" s="70" t="str">
        <f>IF($A$3=" "," ", IFERROR( VLOOKUP($A937,'SUPPLIER DATA BASE'!$A$2:$O$936,11,0),""))</f>
        <v/>
      </c>
      <c r="O937" s="70" t="str">
        <f>IF($A$3=" "," ", IFERROR( VLOOKUP($A937,'SUPPLIER DATA BASE'!$A$2:$O$936,12,0),""))</f>
        <v/>
      </c>
      <c r="P937" s="70" t="str">
        <f>IF($A$3=" "," ", IFERROR( VLOOKUP($A937,'SUPPLIER DATA BASE'!$A$2:$O$936,13,0),""))</f>
        <v/>
      </c>
      <c r="Q937" s="77"/>
      <c r="R937" s="73"/>
      <c r="S937" s="77"/>
      <c r="T937" s="70"/>
      <c r="U937" s="78"/>
      <c r="V937" s="70" t="str">
        <f t="shared" si="6"/>
        <v>FY 26-27</v>
      </c>
      <c r="W937" s="23"/>
      <c r="X937" s="23"/>
    </row>
    <row r="938">
      <c r="A938" s="70" t="s">
        <v>856</v>
      </c>
      <c r="B938" s="70" t="str">
        <f>IF($A$3=" "," ", IFERROR( VLOOKUP($A938,'SUPPLIER DATA BASE'!$A$2:$M$936,3,0),""))</f>
        <v>WELSPUN</v>
      </c>
      <c r="C938" s="70" t="str">
        <f>IF($A$3=" "," ", IFERROR( VLOOKUP($A938,'SUPPLIER DATA BASE'!$A$2:$F$936,6,0),""))</f>
        <v/>
      </c>
      <c r="D938" s="70">
        <f>IF($A$3=" "," ", IFERROR( VLOOKUP($A938,'SUPPLIER DATA BASE'!$A$2:$G$936,4,0),""))</f>
        <v>15</v>
      </c>
      <c r="E938" s="71">
        <f>IF($A$3=" "," ", IFERROR( VLOOKUP($A938,'SUPPLIER DATA BASE'!$A$2:$H$936,5,0),""))</f>
        <v>0.05</v>
      </c>
      <c r="F938" s="72" t="s">
        <v>2830</v>
      </c>
      <c r="G938" s="73">
        <v>46167.0</v>
      </c>
      <c r="H938" s="74">
        <v>136.0</v>
      </c>
      <c r="I938" s="75">
        <v>78140.0</v>
      </c>
      <c r="J938" s="76" t="s">
        <v>2831</v>
      </c>
      <c r="K938" s="76" t="s">
        <v>2832</v>
      </c>
      <c r="L938" s="73"/>
      <c r="M938" s="70" t="str">
        <f t="shared" si="3"/>
        <v>21 Days</v>
      </c>
      <c r="N938" s="70" t="str">
        <f>IF($A$3=" "," ", IFERROR( VLOOKUP($A938,'SUPPLIER DATA BASE'!$A$2:$O$936,11,0),""))</f>
        <v>C2D DISTRIBUTORS</v>
      </c>
      <c r="O938" s="70" t="str">
        <f>IF($A$3=" "," ", IFERROR( VLOOKUP($A938,'SUPPLIER DATA BASE'!$A$2:$O$936,12,0),""))</f>
        <v>50507532165</v>
      </c>
      <c r="P938" s="70" t="str">
        <f>IF($A$3=" "," ", IFERROR( VLOOKUP($A938,'SUPPLIER DATA BASE'!$A$2:$O$936,13,0),""))</f>
        <v>IDIB000D600</v>
      </c>
      <c r="Q938" s="77"/>
      <c r="R938" s="73"/>
      <c r="S938" s="77"/>
      <c r="T938" s="70"/>
      <c r="U938" s="78"/>
      <c r="V938" s="70" t="str">
        <f t="shared" si="6"/>
        <v>FY 26-27</v>
      </c>
      <c r="W938" s="23"/>
      <c r="X938" s="23"/>
    </row>
    <row r="939">
      <c r="A939" s="70" t="s">
        <v>402</v>
      </c>
      <c r="B939" s="70" t="str">
        <f>IF($A$3=" "," ", IFERROR( VLOOKUP($A939,'SUPPLIER DATA BASE'!$A$2:$M$936,3,0),""))</f>
        <v>KHUSHAL/STATUS QUO</v>
      </c>
      <c r="C939" s="70" t="str">
        <f>IF($A$3=" "," ", IFERROR( VLOOKUP($A939,'SUPPLIER DATA BASE'!$A$2:$F$936,6,0),""))</f>
        <v>-</v>
      </c>
      <c r="D939" s="70" t="str">
        <f>IF($A$3=" "," ", IFERROR( VLOOKUP($A939,'SUPPLIER DATA BASE'!$A$2:$G$936,4,0),""))</f>
        <v>-</v>
      </c>
      <c r="E939" s="71" t="str">
        <f>IF($A$3=" "," ", IFERROR( VLOOKUP($A939,'SUPPLIER DATA BASE'!$A$2:$H$936,5,0),""))</f>
        <v>-</v>
      </c>
      <c r="F939" s="72" t="s">
        <v>2833</v>
      </c>
      <c r="G939" s="73">
        <v>46169.0</v>
      </c>
      <c r="H939" s="74">
        <v>13.0</v>
      </c>
      <c r="I939" s="75">
        <v>11772.0</v>
      </c>
      <c r="J939" s="76" t="s">
        <v>2834</v>
      </c>
      <c r="K939" s="76" t="s">
        <v>2835</v>
      </c>
      <c r="L939" s="73"/>
      <c r="M939" s="70" t="str">
        <f t="shared" si="3"/>
        <v>19 Days</v>
      </c>
      <c r="N939" s="70" t="str">
        <f>IF($A$3=" "," ", IFERROR( VLOOKUP($A939,'SUPPLIER DATA BASE'!$A$2:$O$936,11,0),""))</f>
        <v>D APPAREL</v>
      </c>
      <c r="O939" s="70" t="str">
        <f>IF($A$3=" "," ", IFERROR( VLOOKUP($A939,'SUPPLIER DATA BASE'!$A$2:$O$936,12,0),""))</f>
        <v>722501010050397</v>
      </c>
      <c r="P939" s="70" t="str">
        <f>IF($A$3=" "," ", IFERROR( VLOOKUP($A939,'SUPPLIER DATA BASE'!$A$2:$O$936,13,0),""))</f>
        <v>UBIN0572250</v>
      </c>
      <c r="Q939" s="77"/>
      <c r="R939" s="73"/>
      <c r="S939" s="77"/>
      <c r="T939" s="70"/>
      <c r="U939" s="78"/>
      <c r="V939" s="70" t="str">
        <f t="shared" si="6"/>
        <v>FY 26-27</v>
      </c>
      <c r="W939" s="23"/>
      <c r="X939" s="23"/>
    </row>
    <row r="940">
      <c r="A940" s="70" t="s">
        <v>761</v>
      </c>
      <c r="B940" s="70" t="str">
        <f>IF($A$3=" "," ", IFERROR( VLOOKUP($A940,'SUPPLIER DATA BASE'!$A$2:$M$936,3,0),""))</f>
        <v>JOCKEY, LIBAS, ROCKIT, INTIGRITI, AMERICAN TOURISTER</v>
      </c>
      <c r="C940" s="70" t="str">
        <f>IF($A$3=" "," ", IFERROR( VLOOKUP($A940,'SUPPLIER DATA BASE'!$A$2:$F$936,6,0),""))</f>
        <v>DIRECT</v>
      </c>
      <c r="D940" s="70">
        <f>IF($A$3=" "," ", IFERROR( VLOOKUP($A940,'SUPPLIER DATA BASE'!$A$2:$G$936,4,0),""))</f>
        <v>7</v>
      </c>
      <c r="E940" s="71">
        <f>IF($A$3=" "," ", IFERROR( VLOOKUP($A940,'SUPPLIER DATA BASE'!$A$2:$H$936,5,0),""))</f>
        <v>0.02</v>
      </c>
      <c r="F940" s="72" t="s">
        <v>2836</v>
      </c>
      <c r="G940" s="73">
        <v>46171.0</v>
      </c>
      <c r="H940" s="74">
        <v>110.0</v>
      </c>
      <c r="I940" s="75">
        <v>41753.0</v>
      </c>
      <c r="J940" s="76" t="s">
        <v>2837</v>
      </c>
      <c r="K940" s="76" t="s">
        <v>2838</v>
      </c>
      <c r="L940" s="73"/>
      <c r="M940" s="70" t="str">
        <f t="shared" si="3"/>
        <v>17 Days</v>
      </c>
      <c r="N940" s="70" t="str">
        <f>IF($A$3=" "," ", IFERROR( VLOOKUP($A940,'SUPPLIER DATA BASE'!$A$2:$O$936,11,0),""))</f>
        <v>TAYAL GARMENTS PVT. LTD.</v>
      </c>
      <c r="O940" s="70" t="str">
        <f>IF($A$3=" "," ", IFERROR( VLOOKUP($A940,'SUPPLIER DATA BASE'!$A$2:$O$936,12,0),""))</f>
        <v>1199911999</v>
      </c>
      <c r="P940" s="70" t="str">
        <f>IF($A$3=" "," ", IFERROR( VLOOKUP($A940,'SUPPLIER DATA BASE'!$A$2:$O$936,13,0),""))</f>
        <v>KKBK0005632</v>
      </c>
      <c r="Q940" s="77"/>
      <c r="R940" s="73"/>
      <c r="S940" s="77"/>
      <c r="T940" s="70"/>
      <c r="U940" s="78"/>
      <c r="V940" s="70" t="str">
        <f t="shared" si="6"/>
        <v>FY 26-27</v>
      </c>
      <c r="W940" s="23"/>
      <c r="X940" s="23"/>
    </row>
    <row r="941">
      <c r="A941" s="70" t="s">
        <v>761</v>
      </c>
      <c r="B941" s="70" t="str">
        <f>IF($A$3=" "," ", IFERROR( VLOOKUP($A941,'SUPPLIER DATA BASE'!$A$2:$M$936,3,0),""))</f>
        <v>JOCKEY, LIBAS, ROCKIT, INTIGRITI, AMERICAN TOURISTER</v>
      </c>
      <c r="C941" s="70" t="str">
        <f>IF($A$3=" "," ", IFERROR( VLOOKUP($A941,'SUPPLIER DATA BASE'!$A$2:$F$936,6,0),""))</f>
        <v>DIRECT</v>
      </c>
      <c r="D941" s="70">
        <f>IF($A$3=" "," ", IFERROR( VLOOKUP($A941,'SUPPLIER DATA BASE'!$A$2:$G$936,4,0),""))</f>
        <v>7</v>
      </c>
      <c r="E941" s="71">
        <f>IF($A$3=" "," ", IFERROR( VLOOKUP($A941,'SUPPLIER DATA BASE'!$A$2:$H$936,5,0),""))</f>
        <v>0.02</v>
      </c>
      <c r="F941" s="72" t="s">
        <v>2839</v>
      </c>
      <c r="G941" s="73">
        <v>46172.0</v>
      </c>
      <c r="H941" s="74">
        <v>18.0</v>
      </c>
      <c r="I941" s="75">
        <v>4037.0</v>
      </c>
      <c r="J941" s="76" t="s">
        <v>2840</v>
      </c>
      <c r="K941" s="76" t="s">
        <v>2841</v>
      </c>
      <c r="L941" s="73"/>
      <c r="M941" s="70" t="str">
        <f t="shared" si="3"/>
        <v>16 Days</v>
      </c>
      <c r="N941" s="70" t="str">
        <f>IF($A$3=" "," ", IFERROR( VLOOKUP($A941,'SUPPLIER DATA BASE'!$A$2:$O$936,11,0),""))</f>
        <v>TAYAL GARMENTS PVT. LTD.</v>
      </c>
      <c r="O941" s="70" t="str">
        <f>IF($A$3=" "," ", IFERROR( VLOOKUP($A941,'SUPPLIER DATA BASE'!$A$2:$O$936,12,0),""))</f>
        <v>1199911999</v>
      </c>
      <c r="P941" s="70" t="str">
        <f>IF($A$3=" "," ", IFERROR( VLOOKUP($A941,'SUPPLIER DATA BASE'!$A$2:$O$936,13,0),""))</f>
        <v>KKBK0005632</v>
      </c>
      <c r="Q941" s="77"/>
      <c r="R941" s="73"/>
      <c r="S941" s="77"/>
      <c r="T941" s="70"/>
      <c r="U941" s="78"/>
      <c r="V941" s="70" t="str">
        <f t="shared" si="6"/>
        <v>FY 26-27</v>
      </c>
      <c r="W941" s="23"/>
      <c r="X941" s="23"/>
    </row>
    <row r="942">
      <c r="A942" s="70" t="s">
        <v>761</v>
      </c>
      <c r="B942" s="70" t="str">
        <f>IF($A$3=" "," ", IFERROR( VLOOKUP($A942,'SUPPLIER DATA BASE'!$A$2:$M$936,3,0),""))</f>
        <v>JOCKEY, LIBAS, ROCKIT, INTIGRITI, AMERICAN TOURISTER</v>
      </c>
      <c r="C942" s="70" t="str">
        <f>IF($A$3=" "," ", IFERROR( VLOOKUP($A942,'SUPPLIER DATA BASE'!$A$2:$F$936,6,0),""))</f>
        <v>DIRECT</v>
      </c>
      <c r="D942" s="70">
        <f>IF($A$3=" "," ", IFERROR( VLOOKUP($A942,'SUPPLIER DATA BASE'!$A$2:$G$936,4,0),""))</f>
        <v>7</v>
      </c>
      <c r="E942" s="71">
        <f>IF($A$3=" "," ", IFERROR( VLOOKUP($A942,'SUPPLIER DATA BASE'!$A$2:$H$936,5,0),""))</f>
        <v>0.02</v>
      </c>
      <c r="F942" s="72" t="s">
        <v>2842</v>
      </c>
      <c r="G942" s="73">
        <v>46174.0</v>
      </c>
      <c r="H942" s="74">
        <v>8.0</v>
      </c>
      <c r="I942" s="75">
        <v>5771.0</v>
      </c>
      <c r="J942" s="76" t="s">
        <v>2843</v>
      </c>
      <c r="K942" s="76" t="s">
        <v>2844</v>
      </c>
      <c r="L942" s="73"/>
      <c r="M942" s="70" t="str">
        <f t="shared" si="3"/>
        <v>14 Days</v>
      </c>
      <c r="N942" s="70" t="str">
        <f>IF($A$3=" "," ", IFERROR( VLOOKUP($A942,'SUPPLIER DATA BASE'!$A$2:$O$936,11,0),""))</f>
        <v>TAYAL GARMENTS PVT. LTD.</v>
      </c>
      <c r="O942" s="70" t="str">
        <f>IF($A$3=" "," ", IFERROR( VLOOKUP($A942,'SUPPLIER DATA BASE'!$A$2:$O$936,12,0),""))</f>
        <v>1199911999</v>
      </c>
      <c r="P942" s="70" t="str">
        <f>IF($A$3=" "," ", IFERROR( VLOOKUP($A942,'SUPPLIER DATA BASE'!$A$2:$O$936,13,0),""))</f>
        <v>KKBK0005632</v>
      </c>
      <c r="Q942" s="77"/>
      <c r="R942" s="73"/>
      <c r="S942" s="77"/>
      <c r="T942" s="70"/>
      <c r="U942" s="78"/>
      <c r="V942" s="70" t="str">
        <f t="shared" si="6"/>
        <v>FY 26-27</v>
      </c>
      <c r="W942" s="23"/>
      <c r="X942" s="23"/>
    </row>
    <row r="943">
      <c r="A943" s="70" t="s">
        <v>606</v>
      </c>
      <c r="B943" s="70" t="str">
        <f>IF($A$3=" "," ", IFERROR( VLOOKUP($A943,'SUPPLIER DATA BASE'!$A$2:$M$936,3,0),""))</f>
        <v>-</v>
      </c>
      <c r="C943" s="70" t="str">
        <f>IF($A$3=" "," ", IFERROR( VLOOKUP($A943,'SUPPLIER DATA BASE'!$A$2:$F$936,6,0),""))</f>
        <v>-</v>
      </c>
      <c r="D943" s="70" t="str">
        <f>IF($A$3=" "," ", IFERROR( VLOOKUP($A943,'SUPPLIER DATA BASE'!$A$2:$G$936,4,0),""))</f>
        <v>-</v>
      </c>
      <c r="E943" s="71" t="str">
        <f>IF($A$3=" "," ", IFERROR( VLOOKUP($A943,'SUPPLIER DATA BASE'!$A$2:$H$936,5,0),""))</f>
        <v>-</v>
      </c>
      <c r="F943" s="72" t="s">
        <v>2845</v>
      </c>
      <c r="G943" s="73">
        <v>46174.0</v>
      </c>
      <c r="H943" s="74">
        <v>10.0</v>
      </c>
      <c r="I943" s="75">
        <v>2122.0</v>
      </c>
      <c r="J943" s="76" t="s">
        <v>2846</v>
      </c>
      <c r="K943" s="76" t="s">
        <v>2847</v>
      </c>
      <c r="L943" s="73"/>
      <c r="M943" s="70" t="str">
        <f t="shared" si="3"/>
        <v>14 Days</v>
      </c>
      <c r="N943" s="70" t="str">
        <f>IF($A$3=" "," ", IFERROR( VLOOKUP($A943,'SUPPLIER DATA BASE'!$A$2:$O$936,11,0),""))</f>
        <v>P M SONS</v>
      </c>
      <c r="O943" s="70" t="str">
        <f>IF($A$3=" "," ", IFERROR( VLOOKUP($A943,'SUPPLIER DATA BASE'!$A$2:$O$936,12,0),""))</f>
        <v>8084600000325</v>
      </c>
      <c r="P943" s="70" t="str">
        <f>IF($A$3=" "," ", IFERROR( VLOOKUP($A943,'SUPPLIER DATA BASE'!$A$2:$O$936,13,0),""))</f>
        <v>YESB0000080</v>
      </c>
      <c r="Q943" s="77"/>
      <c r="R943" s="73"/>
      <c r="S943" s="77"/>
      <c r="T943" s="70"/>
      <c r="U943" s="78"/>
      <c r="V943" s="70" t="str">
        <f t="shared" si="6"/>
        <v>FY 26-27</v>
      </c>
      <c r="W943" s="23"/>
      <c r="X943" s="23"/>
    </row>
    <row r="944">
      <c r="A944" s="70" t="s">
        <v>756</v>
      </c>
      <c r="B944" s="70" t="str">
        <f>IF($A$3=" "," ", IFERROR( VLOOKUP($A944,'SUPPLIER DATA BASE'!$A$2:$M$936,3,0),""))</f>
        <v>JOCKEY</v>
      </c>
      <c r="C944" s="70" t="str">
        <f>IF($A$3=" "," ", IFERROR( VLOOKUP($A944,'SUPPLIER DATA BASE'!$A$2:$F$936,6,0),""))</f>
        <v>DIRECT</v>
      </c>
      <c r="D944" s="70">
        <f>IF($A$3=" "," ", IFERROR( VLOOKUP($A944,'SUPPLIER DATA BASE'!$A$2:$G$936,4,0),""))</f>
        <v>15</v>
      </c>
      <c r="E944" s="71">
        <f>IF($A$3=" "," ", IFERROR( VLOOKUP($A944,'SUPPLIER DATA BASE'!$A$2:$H$936,5,0),""))</f>
        <v>0.02</v>
      </c>
      <c r="F944" s="72" t="s">
        <v>2848</v>
      </c>
      <c r="G944" s="73">
        <v>46174.0</v>
      </c>
      <c r="H944" s="74">
        <v>90.0</v>
      </c>
      <c r="I944" s="75">
        <v>20387.0</v>
      </c>
      <c r="J944" s="76" t="s">
        <v>2849</v>
      </c>
      <c r="K944" s="76" t="s">
        <v>2850</v>
      </c>
      <c r="L944" s="73"/>
      <c r="M944" s="70" t="str">
        <f t="shared" si="3"/>
        <v>14 Days</v>
      </c>
      <c r="N944" s="70" t="str">
        <f>IF($A$3=" "," ", IFERROR( VLOOKUP($A944,'SUPPLIER DATA BASE'!$A$2:$O$936,11,0),""))</f>
        <v>-</v>
      </c>
      <c r="O944" s="70" t="str">
        <f>IF($A$3=" "," ", IFERROR( VLOOKUP($A944,'SUPPLIER DATA BASE'!$A$2:$O$936,12,0),""))</f>
        <v>-</v>
      </c>
      <c r="P944" s="70" t="str">
        <f>IF($A$3=" "," ", IFERROR( VLOOKUP($A944,'SUPPLIER DATA BASE'!$A$2:$O$936,13,0),""))</f>
        <v>-</v>
      </c>
      <c r="Q944" s="77"/>
      <c r="R944" s="73"/>
      <c r="S944" s="77"/>
      <c r="T944" s="70"/>
      <c r="U944" s="78"/>
      <c r="V944" s="70" t="str">
        <f t="shared" si="6"/>
        <v>FY 26-27</v>
      </c>
      <c r="W944" s="23"/>
      <c r="X944" s="23"/>
    </row>
    <row r="945">
      <c r="A945" s="70" t="s">
        <v>354</v>
      </c>
      <c r="B945" s="70" t="str">
        <f>IF($A$3=" "," ", IFERROR( VLOOKUP($A945,'SUPPLIER DATA BASE'!$A$2:$M$936,3,0),""))</f>
        <v>-</v>
      </c>
      <c r="C945" s="70" t="str">
        <f>IF($A$3=" "," ", IFERROR( VLOOKUP($A945,'SUPPLIER DATA BASE'!$A$2:$F$936,6,0),""))</f>
        <v>-</v>
      </c>
      <c r="D945" s="70" t="str">
        <f>IF($A$3=" "," ", IFERROR( VLOOKUP($A945,'SUPPLIER DATA BASE'!$A$2:$G$936,4,0),""))</f>
        <v>-</v>
      </c>
      <c r="E945" s="71" t="str">
        <f>IF($A$3=" "," ", IFERROR( VLOOKUP($A945,'SUPPLIER DATA BASE'!$A$2:$H$936,5,0),""))</f>
        <v>-</v>
      </c>
      <c r="F945" s="72" t="s">
        <v>2851</v>
      </c>
      <c r="G945" s="73"/>
      <c r="H945" s="74"/>
      <c r="I945" s="75"/>
      <c r="J945" s="76" t="s">
        <v>2852</v>
      </c>
      <c r="K945" s="76" t="s">
        <v>2853</v>
      </c>
      <c r="L945" s="73"/>
      <c r="M945" s="70" t="str">
        <f t="shared" si="3"/>
        <v/>
      </c>
      <c r="N945" s="70" t="str">
        <f>IF($A$3=" "," ", IFERROR( VLOOKUP($A945,'SUPPLIER DATA BASE'!$A$2:$O$936,11,0),""))</f>
        <v>-</v>
      </c>
      <c r="O945" s="70" t="str">
        <f>IF($A$3=" "," ", IFERROR( VLOOKUP($A945,'SUPPLIER DATA BASE'!$A$2:$O$936,12,0),""))</f>
        <v>-</v>
      </c>
      <c r="P945" s="70" t="str">
        <f>IF($A$3=" "," ", IFERROR( VLOOKUP($A945,'SUPPLIER DATA BASE'!$A$2:$O$936,13,0),""))</f>
        <v>-</v>
      </c>
      <c r="Q945" s="77"/>
      <c r="R945" s="73"/>
      <c r="S945" s="77"/>
      <c r="T945" s="70"/>
      <c r="U945" s="78"/>
      <c r="V945" s="70" t="str">
        <f t="shared" si="6"/>
        <v/>
      </c>
      <c r="W945" s="23"/>
      <c r="X945" s="23"/>
    </row>
    <row r="946">
      <c r="A946" s="70" t="s">
        <v>354</v>
      </c>
      <c r="B946" s="70" t="str">
        <f>IF($A$3=" "," ", IFERROR( VLOOKUP($A946,'SUPPLIER DATA BASE'!$A$2:$M$936,3,0),""))</f>
        <v>-</v>
      </c>
      <c r="C946" s="70" t="str">
        <f>IF($A$3=" "," ", IFERROR( VLOOKUP($A946,'SUPPLIER DATA BASE'!$A$2:$F$936,6,0),""))</f>
        <v>-</v>
      </c>
      <c r="D946" s="70" t="str">
        <f>IF($A$3=" "," ", IFERROR( VLOOKUP($A946,'SUPPLIER DATA BASE'!$A$2:$G$936,4,0),""))</f>
        <v>-</v>
      </c>
      <c r="E946" s="71" t="str">
        <f>IF($A$3=" "," ", IFERROR( VLOOKUP($A946,'SUPPLIER DATA BASE'!$A$2:$H$936,5,0),""))</f>
        <v>-</v>
      </c>
      <c r="F946" s="72" t="s">
        <v>2854</v>
      </c>
      <c r="G946" s="73"/>
      <c r="H946" s="74"/>
      <c r="I946" s="91"/>
      <c r="J946" s="76" t="s">
        <v>2855</v>
      </c>
      <c r="K946" s="76" t="s">
        <v>2856</v>
      </c>
      <c r="L946" s="73"/>
      <c r="M946" s="70" t="str">
        <f t="shared" si="3"/>
        <v/>
      </c>
      <c r="N946" s="70" t="str">
        <f>IF($A$3=" "," ", IFERROR( VLOOKUP($A946,'SUPPLIER DATA BASE'!$A$2:$O$936,11,0),""))</f>
        <v>-</v>
      </c>
      <c r="O946" s="70" t="str">
        <f>IF($A$3=" "," ", IFERROR( VLOOKUP($A946,'SUPPLIER DATA BASE'!$A$2:$O$936,12,0),""))</f>
        <v>-</v>
      </c>
      <c r="P946" s="70" t="str">
        <f>IF($A$3=" "," ", IFERROR( VLOOKUP($A946,'SUPPLIER DATA BASE'!$A$2:$O$936,13,0),""))</f>
        <v>-</v>
      </c>
      <c r="Q946" s="77"/>
      <c r="R946" s="73"/>
      <c r="S946" s="77"/>
      <c r="T946" s="70"/>
      <c r="U946" s="78"/>
      <c r="V946" s="70" t="str">
        <f t="shared" si="6"/>
        <v/>
      </c>
      <c r="W946" s="23"/>
      <c r="X946" s="23"/>
    </row>
    <row r="947">
      <c r="A947" s="70"/>
      <c r="B947" s="70" t="str">
        <f>IF($A$3=" "," ", IFERROR( VLOOKUP($A947,'SUPPLIER DATA BASE'!$A$2:$M$936,3,0),""))</f>
        <v/>
      </c>
      <c r="C947" s="70" t="str">
        <f>IF($A$3=" "," ", IFERROR( VLOOKUP($A947,'SUPPLIER DATA BASE'!$A$2:$F$936,6,0),""))</f>
        <v/>
      </c>
      <c r="D947" s="70" t="str">
        <f>IF($A$3=" "," ", IFERROR( VLOOKUP($A947,'SUPPLIER DATA BASE'!$A$2:$G$936,4,0),""))</f>
        <v/>
      </c>
      <c r="E947" s="71" t="str">
        <f>IF($A$3=" "," ", IFERROR( VLOOKUP($A947,'SUPPLIER DATA BASE'!$A$2:$H$936,5,0),""))</f>
        <v/>
      </c>
      <c r="F947" s="72"/>
      <c r="G947" s="73"/>
      <c r="H947" s="74"/>
      <c r="I947" s="75"/>
      <c r="J947" s="76" t="s">
        <v>2857</v>
      </c>
      <c r="K947" s="76" t="s">
        <v>2858</v>
      </c>
      <c r="L947" s="73"/>
      <c r="M947" s="70" t="str">
        <f t="shared" si="3"/>
        <v/>
      </c>
      <c r="N947" s="70" t="str">
        <f>IF($A$3=" "," ", IFERROR( VLOOKUP($A947,'SUPPLIER DATA BASE'!$A$2:$O$936,11,0),""))</f>
        <v/>
      </c>
      <c r="O947" s="70" t="str">
        <f>IF($A$3=" "," ", IFERROR( VLOOKUP($A947,'SUPPLIER DATA BASE'!$A$2:$O$936,12,0),""))</f>
        <v/>
      </c>
      <c r="P947" s="70" t="str">
        <f>IF($A$3=" "," ", IFERROR( VLOOKUP($A947,'SUPPLIER DATA BASE'!$A$2:$O$936,13,0),""))</f>
        <v/>
      </c>
      <c r="Q947" s="77"/>
      <c r="R947" s="73"/>
      <c r="S947" s="77"/>
      <c r="T947" s="70"/>
      <c r="U947" s="78"/>
      <c r="V947" s="70" t="str">
        <f t="shared" si="6"/>
        <v/>
      </c>
      <c r="W947" s="23"/>
      <c r="X947" s="23"/>
    </row>
    <row r="948">
      <c r="A948" s="70" t="s">
        <v>677</v>
      </c>
      <c r="B948" s="70" t="str">
        <f>IF($A$3=" "," ", IFERROR( VLOOKUP($A948,'SUPPLIER DATA BASE'!$A$2:$M$936,3,0),""))</f>
        <v>-</v>
      </c>
      <c r="C948" s="70" t="str">
        <f>IF($A$3=" "," ", IFERROR( VLOOKUP($A948,'SUPPLIER DATA BASE'!$A$2:$F$936,6,0),""))</f>
        <v>-</v>
      </c>
      <c r="D948" s="70" t="str">
        <f>IF($A$3=" "," ", IFERROR( VLOOKUP($A948,'SUPPLIER DATA BASE'!$A$2:$G$936,4,0),""))</f>
        <v>-</v>
      </c>
      <c r="E948" s="71" t="str">
        <f>IF($A$3=" "," ", IFERROR( VLOOKUP($A948,'SUPPLIER DATA BASE'!$A$2:$H$936,5,0),""))</f>
        <v>-</v>
      </c>
      <c r="F948" s="72"/>
      <c r="G948" s="73"/>
      <c r="H948" s="74"/>
      <c r="I948" s="75"/>
      <c r="J948" s="76" t="s">
        <v>2859</v>
      </c>
      <c r="K948" s="76" t="s">
        <v>2860</v>
      </c>
      <c r="L948" s="73"/>
      <c r="M948" s="70" t="str">
        <f t="shared" si="3"/>
        <v/>
      </c>
      <c r="N948" s="70" t="str">
        <f>IF($A$3=" "," ", IFERROR( VLOOKUP($A948,'SUPPLIER DATA BASE'!$A$2:$O$936,11,0),""))</f>
        <v>SARAOGI SUPER SALES PVT LTD</v>
      </c>
      <c r="O948" s="70" t="str">
        <f>IF($A$3=" "," ", IFERROR( VLOOKUP($A948,'SUPPLIER DATA BASE'!$A$2:$O$936,12,0),""))</f>
        <v>SASUSP011006</v>
      </c>
      <c r="P948" s="70" t="str">
        <f>IF($A$3=" "," ", IFERROR( VLOOKUP($A948,'SUPPLIER DATA BASE'!$A$2:$O$936,13,0),""))</f>
        <v>ICIC0000106</v>
      </c>
      <c r="Q948" s="77"/>
      <c r="R948" s="73"/>
      <c r="S948" s="77"/>
      <c r="T948" s="70"/>
      <c r="U948" s="78"/>
      <c r="V948" s="70" t="str">
        <f t="shared" si="6"/>
        <v/>
      </c>
      <c r="W948" s="23"/>
      <c r="X948" s="23"/>
    </row>
    <row r="949">
      <c r="A949" s="70" t="s">
        <v>761</v>
      </c>
      <c r="B949" s="70" t="str">
        <f>IF($A$3=" "," ", IFERROR( VLOOKUP($A949,'SUPPLIER DATA BASE'!$A$2:$M$936,3,0),""))</f>
        <v>JOCKEY, LIBAS, ROCKIT, INTIGRITI, AMERICAN TOURISTER</v>
      </c>
      <c r="C949" s="70" t="str">
        <f>IF($A$3=" "," ", IFERROR( VLOOKUP($A949,'SUPPLIER DATA BASE'!$A$2:$F$936,6,0),""))</f>
        <v>DIRECT</v>
      </c>
      <c r="D949" s="70">
        <f>IF($A$3=" "," ", IFERROR( VLOOKUP($A949,'SUPPLIER DATA BASE'!$A$2:$G$936,4,0),""))</f>
        <v>7</v>
      </c>
      <c r="E949" s="71">
        <f>IF($A$3=" "," ", IFERROR( VLOOKUP($A949,'SUPPLIER DATA BASE'!$A$2:$H$936,5,0),""))</f>
        <v>0.02</v>
      </c>
      <c r="F949" s="72"/>
      <c r="G949" s="73"/>
      <c r="H949" s="74"/>
      <c r="I949" s="75"/>
      <c r="J949" s="76" t="s">
        <v>2861</v>
      </c>
      <c r="K949" s="76" t="s">
        <v>2862</v>
      </c>
      <c r="L949" s="73"/>
      <c r="M949" s="70" t="str">
        <f t="shared" si="3"/>
        <v/>
      </c>
      <c r="N949" s="70" t="str">
        <f>IF($A$3=" "," ", IFERROR( VLOOKUP($A949,'SUPPLIER DATA BASE'!$A$2:$O$936,11,0),""))</f>
        <v>TAYAL GARMENTS PVT. LTD.</v>
      </c>
      <c r="O949" s="70" t="str">
        <f>IF($A$3=" "," ", IFERROR( VLOOKUP($A949,'SUPPLIER DATA BASE'!$A$2:$O$936,12,0),""))</f>
        <v>1199911999</v>
      </c>
      <c r="P949" s="70" t="str">
        <f>IF($A$3=" "," ", IFERROR( VLOOKUP($A949,'SUPPLIER DATA BASE'!$A$2:$O$936,13,0),""))</f>
        <v>KKBK0005632</v>
      </c>
      <c r="Q949" s="77"/>
      <c r="R949" s="73"/>
      <c r="S949" s="77"/>
      <c r="T949" s="70"/>
      <c r="U949" s="78"/>
      <c r="V949" s="70" t="str">
        <f t="shared" si="6"/>
        <v/>
      </c>
      <c r="W949" s="23"/>
      <c r="X949" s="23"/>
    </row>
    <row r="950">
      <c r="A950" s="70" t="s">
        <v>354</v>
      </c>
      <c r="B950" s="70" t="str">
        <f>IF($A$3=" "," ", IFERROR( VLOOKUP($A950,'SUPPLIER DATA BASE'!$A$2:$M$936,3,0),""))</f>
        <v>-</v>
      </c>
      <c r="C950" s="70" t="str">
        <f>IF($A$3=" "," ", IFERROR( VLOOKUP($A950,'SUPPLIER DATA BASE'!$A$2:$F$936,6,0),""))</f>
        <v>-</v>
      </c>
      <c r="D950" s="70" t="str">
        <f>IF($A$3=" "," ", IFERROR( VLOOKUP($A950,'SUPPLIER DATA BASE'!$A$2:$G$936,4,0),""))</f>
        <v>-</v>
      </c>
      <c r="E950" s="71" t="str">
        <f>IF($A$3=" "," ", IFERROR( VLOOKUP($A950,'SUPPLIER DATA BASE'!$A$2:$H$936,5,0),""))</f>
        <v>-</v>
      </c>
      <c r="F950" s="72" t="s">
        <v>2863</v>
      </c>
      <c r="G950" s="73"/>
      <c r="H950" s="74"/>
      <c r="I950" s="75"/>
      <c r="J950" s="76" t="s">
        <v>2864</v>
      </c>
      <c r="K950" s="76" t="s">
        <v>2865</v>
      </c>
      <c r="L950" s="73"/>
      <c r="M950" s="70" t="str">
        <f t="shared" si="3"/>
        <v/>
      </c>
      <c r="N950" s="70" t="str">
        <f>IF($A$3=" "," ", IFERROR( VLOOKUP($A950,'SUPPLIER DATA BASE'!$A$2:$O$936,11,0),""))</f>
        <v>-</v>
      </c>
      <c r="O950" s="70" t="str">
        <f>IF($A$3=" "," ", IFERROR( VLOOKUP($A950,'SUPPLIER DATA BASE'!$A$2:$O$936,12,0),""))</f>
        <v>-</v>
      </c>
      <c r="P950" s="70" t="str">
        <f>IF($A$3=" "," ", IFERROR( VLOOKUP($A950,'SUPPLIER DATA BASE'!$A$2:$O$936,13,0),""))</f>
        <v>-</v>
      </c>
      <c r="Q950" s="77"/>
      <c r="R950" s="73"/>
      <c r="S950" s="77"/>
      <c r="T950" s="70"/>
      <c r="U950" s="78"/>
      <c r="V950" s="70" t="str">
        <f t="shared" si="6"/>
        <v/>
      </c>
      <c r="W950" s="23"/>
      <c r="X950" s="23"/>
    </row>
    <row r="951">
      <c r="A951" s="70" t="s">
        <v>354</v>
      </c>
      <c r="B951" s="70" t="str">
        <f>IF($A$3=" "," ", IFERROR( VLOOKUP($A951,'SUPPLIER DATA BASE'!$A$2:$M$936,3,0),""))</f>
        <v>-</v>
      </c>
      <c r="C951" s="70" t="str">
        <f>IF($A$3=" "," ", IFERROR( VLOOKUP($A951,'SUPPLIER DATA BASE'!$A$2:$F$936,6,0),""))</f>
        <v>-</v>
      </c>
      <c r="D951" s="70" t="str">
        <f>IF($A$3=" "," ", IFERROR( VLOOKUP($A951,'SUPPLIER DATA BASE'!$A$2:$G$936,4,0),""))</f>
        <v>-</v>
      </c>
      <c r="E951" s="71" t="str">
        <f>IF($A$3=" "," ", IFERROR( VLOOKUP($A951,'SUPPLIER DATA BASE'!$A$2:$H$936,5,0),""))</f>
        <v>-</v>
      </c>
      <c r="F951" s="72" t="s">
        <v>2866</v>
      </c>
      <c r="G951" s="73"/>
      <c r="H951" s="74"/>
      <c r="I951" s="75"/>
      <c r="J951" s="76" t="s">
        <v>2867</v>
      </c>
      <c r="K951" s="76" t="s">
        <v>2868</v>
      </c>
      <c r="L951" s="73"/>
      <c r="M951" s="70" t="str">
        <f t="shared" si="3"/>
        <v/>
      </c>
      <c r="N951" s="70" t="str">
        <f>IF($A$3=" "," ", IFERROR( VLOOKUP($A951,'SUPPLIER DATA BASE'!$A$2:$O$936,11,0),""))</f>
        <v>-</v>
      </c>
      <c r="O951" s="70" t="str">
        <f>IF($A$3=" "," ", IFERROR( VLOOKUP($A951,'SUPPLIER DATA BASE'!$A$2:$O$936,12,0),""))</f>
        <v>-</v>
      </c>
      <c r="P951" s="70" t="str">
        <f>IF($A$3=" "," ", IFERROR( VLOOKUP($A951,'SUPPLIER DATA BASE'!$A$2:$O$936,13,0),""))</f>
        <v>-</v>
      </c>
      <c r="Q951" s="77"/>
      <c r="R951" s="73"/>
      <c r="S951" s="77"/>
      <c r="T951" s="70"/>
      <c r="U951" s="78"/>
      <c r="V951" s="70" t="str">
        <f t="shared" si="6"/>
        <v/>
      </c>
      <c r="W951" s="23"/>
      <c r="X951" s="23"/>
    </row>
    <row r="952">
      <c r="A952" s="70" t="s">
        <v>495</v>
      </c>
      <c r="B952" s="70" t="str">
        <f>IF($A$3=" "," ", IFERROR( VLOOKUP($A952,'SUPPLIER DATA BASE'!$A$2:$M$936,3,0),""))</f>
        <v>-</v>
      </c>
      <c r="C952" s="70" t="str">
        <f>IF($A$3=" "," ", IFERROR( VLOOKUP($A952,'SUPPLIER DATA BASE'!$A$2:$F$936,6,0),""))</f>
        <v>-</v>
      </c>
      <c r="D952" s="70" t="str">
        <f>IF($A$3=" "," ", IFERROR( VLOOKUP($A952,'SUPPLIER DATA BASE'!$A$2:$G$936,4,0),""))</f>
        <v>-</v>
      </c>
      <c r="E952" s="71" t="str">
        <f>IF($A$3=" "," ", IFERROR( VLOOKUP($A952,'SUPPLIER DATA BASE'!$A$2:$H$936,5,0),""))</f>
        <v>-</v>
      </c>
      <c r="F952" s="72"/>
      <c r="G952" s="73"/>
      <c r="H952" s="74"/>
      <c r="I952" s="75"/>
      <c r="J952" s="76" t="s">
        <v>2869</v>
      </c>
      <c r="K952" s="76" t="s">
        <v>2870</v>
      </c>
      <c r="L952" s="73"/>
      <c r="M952" s="70" t="str">
        <f t="shared" si="3"/>
        <v/>
      </c>
      <c r="N952" s="70" t="str">
        <f>IF($A$3=" "," ", IFERROR( VLOOKUP($A952,'SUPPLIER DATA BASE'!$A$2:$O$936,11,0),""))</f>
        <v>JAIN ADISHWAR HOSIERY WORKS LLP</v>
      </c>
      <c r="O952" s="70" t="str">
        <f>IF($A$3=" "," ", IFERROR( VLOOKUP($A952,'SUPPLIER DATA BASE'!$A$2:$O$936,12,0),""))</f>
        <v>99917644444444</v>
      </c>
      <c r="P952" s="70" t="str">
        <f>IF($A$3=" "," ", IFERROR( VLOOKUP($A952,'SUPPLIER DATA BASE'!$A$2:$O$936,13,0),""))</f>
        <v>HDFC0002063</v>
      </c>
      <c r="Q952" s="77"/>
      <c r="R952" s="73"/>
      <c r="S952" s="77"/>
      <c r="T952" s="70"/>
      <c r="U952" s="78"/>
      <c r="V952" s="70" t="str">
        <f t="shared" si="6"/>
        <v/>
      </c>
      <c r="W952" s="23"/>
      <c r="X952" s="23"/>
    </row>
    <row r="953">
      <c r="A953" s="70" t="s">
        <v>354</v>
      </c>
      <c r="B953" s="70" t="str">
        <f>IF($A$3=" "," ", IFERROR( VLOOKUP($A953,'SUPPLIER DATA BASE'!$A$2:$M$936,3,0),""))</f>
        <v>-</v>
      </c>
      <c r="C953" s="70" t="str">
        <f>IF($A$3=" "," ", IFERROR( VLOOKUP($A953,'SUPPLIER DATA BASE'!$A$2:$F$936,6,0),""))</f>
        <v>-</v>
      </c>
      <c r="D953" s="70" t="str">
        <f>IF($A$3=" "," ", IFERROR( VLOOKUP($A953,'SUPPLIER DATA BASE'!$A$2:$G$936,4,0),""))</f>
        <v>-</v>
      </c>
      <c r="E953" s="71" t="str">
        <f>IF($A$3=" "," ", IFERROR( VLOOKUP($A953,'SUPPLIER DATA BASE'!$A$2:$H$936,5,0),""))</f>
        <v>-</v>
      </c>
      <c r="F953" s="72" t="s">
        <v>2871</v>
      </c>
      <c r="G953" s="73"/>
      <c r="H953" s="74"/>
      <c r="I953" s="75"/>
      <c r="J953" s="76" t="s">
        <v>2872</v>
      </c>
      <c r="K953" s="76" t="s">
        <v>2873</v>
      </c>
      <c r="L953" s="73"/>
      <c r="M953" s="70" t="str">
        <f t="shared" si="3"/>
        <v/>
      </c>
      <c r="N953" s="70" t="str">
        <f>IF($A$3=" "," ", IFERROR( VLOOKUP($A953,'SUPPLIER DATA BASE'!$A$2:$O$936,11,0),""))</f>
        <v>-</v>
      </c>
      <c r="O953" s="70" t="str">
        <f>IF($A$3=" "," ", IFERROR( VLOOKUP($A953,'SUPPLIER DATA BASE'!$A$2:$O$936,12,0),""))</f>
        <v>-</v>
      </c>
      <c r="P953" s="70" t="str">
        <f>IF($A$3=" "," ", IFERROR( VLOOKUP($A953,'SUPPLIER DATA BASE'!$A$2:$O$936,13,0),""))</f>
        <v>-</v>
      </c>
      <c r="Q953" s="77"/>
      <c r="R953" s="73"/>
      <c r="S953" s="77"/>
      <c r="T953" s="70"/>
      <c r="U953" s="78"/>
      <c r="V953" s="70" t="str">
        <f t="shared" si="6"/>
        <v/>
      </c>
      <c r="W953" s="23"/>
      <c r="X953" s="23"/>
    </row>
    <row r="954">
      <c r="A954" s="70" t="s">
        <v>354</v>
      </c>
      <c r="B954" s="70" t="str">
        <f>IF($A$3=" "," ", IFERROR( VLOOKUP($A954,'SUPPLIER DATA BASE'!$A$2:$M$936,3,0),""))</f>
        <v>-</v>
      </c>
      <c r="C954" s="70" t="str">
        <f>IF($A$3=" "," ", IFERROR( VLOOKUP($A954,'SUPPLIER DATA BASE'!$A$2:$F$936,6,0),""))</f>
        <v>-</v>
      </c>
      <c r="D954" s="70" t="str">
        <f>IF($A$3=" "," ", IFERROR( VLOOKUP($A954,'SUPPLIER DATA BASE'!$A$2:$G$936,4,0),""))</f>
        <v>-</v>
      </c>
      <c r="E954" s="71" t="str">
        <f>IF($A$3=" "," ", IFERROR( VLOOKUP($A954,'SUPPLIER DATA BASE'!$A$2:$H$936,5,0),""))</f>
        <v>-</v>
      </c>
      <c r="F954" s="72" t="s">
        <v>2874</v>
      </c>
      <c r="G954" s="73"/>
      <c r="H954" s="74"/>
      <c r="I954" s="75"/>
      <c r="J954" s="76" t="s">
        <v>2875</v>
      </c>
      <c r="K954" s="76" t="s">
        <v>2876</v>
      </c>
      <c r="L954" s="73"/>
      <c r="M954" s="70" t="str">
        <f t="shared" si="3"/>
        <v/>
      </c>
      <c r="N954" s="70" t="str">
        <f>IF($A$3=" "," ", IFERROR( VLOOKUP($A954,'SUPPLIER DATA BASE'!$A$2:$O$936,11,0),""))</f>
        <v>-</v>
      </c>
      <c r="O954" s="70" t="str">
        <f>IF($A$3=" "," ", IFERROR( VLOOKUP($A954,'SUPPLIER DATA BASE'!$A$2:$O$936,12,0),""))</f>
        <v>-</v>
      </c>
      <c r="P954" s="70" t="str">
        <f>IF($A$3=" "," ", IFERROR( VLOOKUP($A954,'SUPPLIER DATA BASE'!$A$2:$O$936,13,0),""))</f>
        <v>-</v>
      </c>
      <c r="Q954" s="77"/>
      <c r="R954" s="73"/>
      <c r="S954" s="77"/>
      <c r="T954" s="70"/>
      <c r="U954" s="78"/>
      <c r="V954" s="70" t="str">
        <f t="shared" si="6"/>
        <v/>
      </c>
      <c r="W954" s="23"/>
      <c r="X954" s="23"/>
    </row>
    <row r="955">
      <c r="A955" s="70" t="s">
        <v>354</v>
      </c>
      <c r="B955" s="70" t="str">
        <f>IF($A$3=" "," ", IFERROR( VLOOKUP($A955,'SUPPLIER DATA BASE'!$A$2:$M$936,3,0),""))</f>
        <v>-</v>
      </c>
      <c r="C955" s="70" t="str">
        <f>IF($A$3=" "," ", IFERROR( VLOOKUP($A955,'SUPPLIER DATA BASE'!$A$2:$F$936,6,0),""))</f>
        <v>-</v>
      </c>
      <c r="D955" s="70" t="str">
        <f>IF($A$3=" "," ", IFERROR( VLOOKUP($A955,'SUPPLIER DATA BASE'!$A$2:$G$936,4,0),""))</f>
        <v>-</v>
      </c>
      <c r="E955" s="71" t="str">
        <f>IF($A$3=" "," ", IFERROR( VLOOKUP($A955,'SUPPLIER DATA BASE'!$A$2:$H$936,5,0),""))</f>
        <v>-</v>
      </c>
      <c r="F955" s="72" t="s">
        <v>2877</v>
      </c>
      <c r="G955" s="73"/>
      <c r="H955" s="74"/>
      <c r="I955" s="75"/>
      <c r="J955" s="76" t="s">
        <v>2878</v>
      </c>
      <c r="K955" s="76" t="s">
        <v>2879</v>
      </c>
      <c r="L955" s="73"/>
      <c r="M955" s="70" t="str">
        <f t="shared" si="3"/>
        <v/>
      </c>
      <c r="N955" s="70" t="str">
        <f>IF($A$3=" "," ", IFERROR( VLOOKUP($A955,'SUPPLIER DATA BASE'!$A$2:$O$936,11,0),""))</f>
        <v>-</v>
      </c>
      <c r="O955" s="70" t="str">
        <f>IF($A$3=" "," ", IFERROR( VLOOKUP($A955,'SUPPLIER DATA BASE'!$A$2:$O$936,12,0),""))</f>
        <v>-</v>
      </c>
      <c r="P955" s="70" t="str">
        <f>IF($A$3=" "," ", IFERROR( VLOOKUP($A955,'SUPPLIER DATA BASE'!$A$2:$O$936,13,0),""))</f>
        <v>-</v>
      </c>
      <c r="Q955" s="77"/>
      <c r="R955" s="73"/>
      <c r="S955" s="77"/>
      <c r="T955" s="70"/>
      <c r="U955" s="78"/>
      <c r="V955" s="70" t="str">
        <f t="shared" si="6"/>
        <v/>
      </c>
      <c r="W955" s="23"/>
      <c r="X955" s="23"/>
    </row>
    <row r="956">
      <c r="A956" s="70" t="s">
        <v>677</v>
      </c>
      <c r="B956" s="70" t="str">
        <f>IF($A$3=" "," ", IFERROR( VLOOKUP($A956,'SUPPLIER DATA BASE'!$A$2:$M$936,3,0),""))</f>
        <v>-</v>
      </c>
      <c r="C956" s="70" t="str">
        <f>IF($A$3=" "," ", IFERROR( VLOOKUP($A956,'SUPPLIER DATA BASE'!$A$2:$F$936,6,0),""))</f>
        <v>-</v>
      </c>
      <c r="D956" s="70" t="str">
        <f>IF($A$3=" "," ", IFERROR( VLOOKUP($A956,'SUPPLIER DATA BASE'!$A$2:$G$936,4,0),""))</f>
        <v>-</v>
      </c>
      <c r="E956" s="71" t="str">
        <f>IF($A$3=" "," ", IFERROR( VLOOKUP($A956,'SUPPLIER DATA BASE'!$A$2:$H$936,5,0),""))</f>
        <v>-</v>
      </c>
      <c r="F956" s="72"/>
      <c r="G956" s="73"/>
      <c r="H956" s="74"/>
      <c r="I956" s="75"/>
      <c r="J956" s="76" t="s">
        <v>2880</v>
      </c>
      <c r="K956" s="76" t="s">
        <v>2881</v>
      </c>
      <c r="L956" s="73"/>
      <c r="M956" s="70" t="str">
        <f t="shared" si="3"/>
        <v/>
      </c>
      <c r="N956" s="70" t="str">
        <f>IF($A$3=" "," ", IFERROR( VLOOKUP($A956,'SUPPLIER DATA BASE'!$A$2:$O$936,11,0),""))</f>
        <v>SARAOGI SUPER SALES PVT LTD</v>
      </c>
      <c r="O956" s="70" t="str">
        <f>IF($A$3=" "," ", IFERROR( VLOOKUP($A956,'SUPPLIER DATA BASE'!$A$2:$O$936,12,0),""))</f>
        <v>SASUSP011006</v>
      </c>
      <c r="P956" s="70" t="str">
        <f>IF($A$3=" "," ", IFERROR( VLOOKUP($A956,'SUPPLIER DATA BASE'!$A$2:$O$936,13,0),""))</f>
        <v>ICIC0000106</v>
      </c>
      <c r="Q956" s="77"/>
      <c r="R956" s="73"/>
      <c r="S956" s="77"/>
      <c r="T956" s="70"/>
      <c r="U956" s="78"/>
      <c r="V956" s="70" t="str">
        <f t="shared" si="6"/>
        <v/>
      </c>
      <c r="W956" s="23"/>
      <c r="X956" s="23"/>
    </row>
    <row r="957">
      <c r="A957" s="70"/>
      <c r="B957" s="70" t="str">
        <f>IF($A$3=" "," ", IFERROR( VLOOKUP($A957,'SUPPLIER DATA BASE'!$A$2:$M$936,3,0),""))</f>
        <v/>
      </c>
      <c r="C957" s="70" t="str">
        <f>IF($A$3=" "," ", IFERROR( VLOOKUP($A957,'SUPPLIER DATA BASE'!$A$2:$F$936,6,0),""))</f>
        <v/>
      </c>
      <c r="D957" s="70" t="str">
        <f>IF($A$3=" "," ", IFERROR( VLOOKUP($A957,'SUPPLIER DATA BASE'!$A$2:$G$936,4,0),""))</f>
        <v/>
      </c>
      <c r="E957" s="71" t="str">
        <f>IF($A$3=" "," ", IFERROR( VLOOKUP($A957,'SUPPLIER DATA BASE'!$A$2:$H$936,5,0),""))</f>
        <v/>
      </c>
      <c r="F957" s="72"/>
      <c r="G957" s="73"/>
      <c r="H957" s="74"/>
      <c r="I957" s="75"/>
      <c r="J957" s="76" t="s">
        <v>2882</v>
      </c>
      <c r="K957" s="76" t="s">
        <v>2883</v>
      </c>
      <c r="L957" s="73"/>
      <c r="M957" s="70" t="str">
        <f t="shared" si="3"/>
        <v/>
      </c>
      <c r="N957" s="70" t="str">
        <f>IF($A$3=" "," ", IFERROR( VLOOKUP($A957,'SUPPLIER DATA BASE'!$A$2:$O$936,11,0),""))</f>
        <v/>
      </c>
      <c r="O957" s="70" t="str">
        <f>IF($A$3=" "," ", IFERROR( VLOOKUP($A957,'SUPPLIER DATA BASE'!$A$2:$O$936,12,0),""))</f>
        <v/>
      </c>
      <c r="P957" s="70" t="str">
        <f>IF($A$3=" "," ", IFERROR( VLOOKUP($A957,'SUPPLIER DATA BASE'!$A$2:$O$936,13,0),""))</f>
        <v/>
      </c>
      <c r="Q957" s="77"/>
      <c r="R957" s="73"/>
      <c r="S957" s="77"/>
      <c r="T957" s="70"/>
      <c r="U957" s="78"/>
      <c r="V957" s="70" t="str">
        <f t="shared" si="6"/>
        <v/>
      </c>
      <c r="W957" s="23"/>
      <c r="X957" s="23"/>
    </row>
    <row r="958">
      <c r="A958" s="70" t="s">
        <v>354</v>
      </c>
      <c r="B958" s="70" t="str">
        <f>IF($A$3=" "," ", IFERROR( VLOOKUP($A958,'SUPPLIER DATA BASE'!$A$2:$M$936,3,0),""))</f>
        <v>-</v>
      </c>
      <c r="C958" s="70" t="str">
        <f>IF($A$3=" "," ", IFERROR( VLOOKUP($A958,'SUPPLIER DATA BASE'!$A$2:$F$936,6,0),""))</f>
        <v>-</v>
      </c>
      <c r="D958" s="70" t="str">
        <f>IF($A$3=" "," ", IFERROR( VLOOKUP($A958,'SUPPLIER DATA BASE'!$A$2:$G$936,4,0),""))</f>
        <v>-</v>
      </c>
      <c r="E958" s="71" t="str">
        <f>IF($A$3=" "," ", IFERROR( VLOOKUP($A958,'SUPPLIER DATA BASE'!$A$2:$H$936,5,0),""))</f>
        <v>-</v>
      </c>
      <c r="F958" s="72" t="s">
        <v>2884</v>
      </c>
      <c r="G958" s="73"/>
      <c r="H958" s="74"/>
      <c r="I958" s="75"/>
      <c r="J958" s="76" t="s">
        <v>2885</v>
      </c>
      <c r="K958" s="76" t="s">
        <v>2886</v>
      </c>
      <c r="L958" s="73"/>
      <c r="M958" s="70" t="str">
        <f t="shared" si="3"/>
        <v/>
      </c>
      <c r="N958" s="70" t="str">
        <f>IF($A$3=" "," ", IFERROR( VLOOKUP($A958,'SUPPLIER DATA BASE'!$A$2:$O$936,11,0),""))</f>
        <v>-</v>
      </c>
      <c r="O958" s="70" t="str">
        <f>IF($A$3=" "," ", IFERROR( VLOOKUP($A958,'SUPPLIER DATA BASE'!$A$2:$O$936,12,0),""))</f>
        <v>-</v>
      </c>
      <c r="P958" s="70" t="str">
        <f>IF($A$3=" "," ", IFERROR( VLOOKUP($A958,'SUPPLIER DATA BASE'!$A$2:$O$936,13,0),""))</f>
        <v>-</v>
      </c>
      <c r="Q958" s="77"/>
      <c r="R958" s="73"/>
      <c r="S958" s="77"/>
      <c r="T958" s="70"/>
      <c r="U958" s="78"/>
      <c r="V958" s="70" t="str">
        <f t="shared" si="6"/>
        <v/>
      </c>
      <c r="W958" s="23"/>
      <c r="X958" s="23"/>
    </row>
    <row r="959">
      <c r="A959" s="70" t="s">
        <v>354</v>
      </c>
      <c r="B959" s="70" t="str">
        <f>IF($A$3=" "," ", IFERROR( VLOOKUP($A959,'SUPPLIER DATA BASE'!$A$2:$M$936,3,0),""))</f>
        <v>-</v>
      </c>
      <c r="C959" s="70" t="str">
        <f>IF($A$3=" "," ", IFERROR( VLOOKUP($A959,'SUPPLIER DATA BASE'!$A$2:$F$936,6,0),""))</f>
        <v>-</v>
      </c>
      <c r="D959" s="70" t="str">
        <f>IF($A$3=" "," ", IFERROR( VLOOKUP($A959,'SUPPLIER DATA BASE'!$A$2:$G$936,4,0),""))</f>
        <v>-</v>
      </c>
      <c r="E959" s="71" t="str">
        <f>IF($A$3=" "," ", IFERROR( VLOOKUP($A959,'SUPPLIER DATA BASE'!$A$2:$H$936,5,0),""))</f>
        <v>-</v>
      </c>
      <c r="F959" s="72" t="s">
        <v>2887</v>
      </c>
      <c r="G959" s="73"/>
      <c r="H959" s="74"/>
      <c r="I959" s="75"/>
      <c r="J959" s="76" t="s">
        <v>2888</v>
      </c>
      <c r="K959" s="76" t="s">
        <v>2889</v>
      </c>
      <c r="L959" s="73"/>
      <c r="M959" s="70" t="str">
        <f t="shared" si="3"/>
        <v/>
      </c>
      <c r="N959" s="70" t="str">
        <f>IF($A$3=" "," ", IFERROR( VLOOKUP($A959,'SUPPLIER DATA BASE'!$A$2:$O$936,11,0),""))</f>
        <v>-</v>
      </c>
      <c r="O959" s="70" t="str">
        <f>IF($A$3=" "," ", IFERROR( VLOOKUP($A959,'SUPPLIER DATA BASE'!$A$2:$O$936,12,0),""))</f>
        <v>-</v>
      </c>
      <c r="P959" s="70" t="str">
        <f>IF($A$3=" "," ", IFERROR( VLOOKUP($A959,'SUPPLIER DATA BASE'!$A$2:$O$936,13,0),""))</f>
        <v>-</v>
      </c>
      <c r="Q959" s="77"/>
      <c r="R959" s="73"/>
      <c r="S959" s="77"/>
      <c r="T959" s="70"/>
      <c r="U959" s="78"/>
      <c r="V959" s="70" t="str">
        <f t="shared" si="6"/>
        <v/>
      </c>
      <c r="W959" s="23"/>
      <c r="X959" s="23"/>
    </row>
    <row r="960">
      <c r="A960" s="70" t="s">
        <v>354</v>
      </c>
      <c r="B960" s="70" t="str">
        <f>IF($A$3=" "," ", IFERROR( VLOOKUP($A960,'SUPPLIER DATA BASE'!$A$2:$M$936,3,0),""))</f>
        <v>-</v>
      </c>
      <c r="C960" s="70" t="str">
        <f>IF($A$3=" "," ", IFERROR( VLOOKUP($A960,'SUPPLIER DATA BASE'!$A$2:$F$936,6,0),""))</f>
        <v>-</v>
      </c>
      <c r="D960" s="70" t="str">
        <f>IF($A$3=" "," ", IFERROR( VLOOKUP($A960,'SUPPLIER DATA BASE'!$A$2:$G$936,4,0),""))</f>
        <v>-</v>
      </c>
      <c r="E960" s="71" t="str">
        <f>IF($A$3=" "," ", IFERROR( VLOOKUP($A960,'SUPPLIER DATA BASE'!$A$2:$H$936,5,0),""))</f>
        <v>-</v>
      </c>
      <c r="F960" s="72" t="s">
        <v>2890</v>
      </c>
      <c r="G960" s="73"/>
      <c r="H960" s="74"/>
      <c r="I960" s="75"/>
      <c r="J960" s="76" t="s">
        <v>2891</v>
      </c>
      <c r="K960" s="76" t="s">
        <v>2892</v>
      </c>
      <c r="L960" s="73"/>
      <c r="M960" s="70" t="str">
        <f t="shared" si="3"/>
        <v/>
      </c>
      <c r="N960" s="70" t="str">
        <f>IF($A$3=" "," ", IFERROR( VLOOKUP($A960,'SUPPLIER DATA BASE'!$A$2:$O$936,11,0),""))</f>
        <v>-</v>
      </c>
      <c r="O960" s="70" t="str">
        <f>IF($A$3=" "," ", IFERROR( VLOOKUP($A960,'SUPPLIER DATA BASE'!$A$2:$O$936,12,0),""))</f>
        <v>-</v>
      </c>
      <c r="P960" s="70" t="str">
        <f>IF($A$3=" "," ", IFERROR( VLOOKUP($A960,'SUPPLIER DATA BASE'!$A$2:$O$936,13,0),""))</f>
        <v>-</v>
      </c>
      <c r="Q960" s="77"/>
      <c r="R960" s="73"/>
      <c r="S960" s="77"/>
      <c r="T960" s="70"/>
      <c r="U960" s="78"/>
      <c r="V960" s="70" t="str">
        <f t="shared" si="6"/>
        <v/>
      </c>
      <c r="W960" s="23"/>
      <c r="X960" s="23"/>
    </row>
    <row r="961">
      <c r="A961" s="70" t="s">
        <v>354</v>
      </c>
      <c r="B961" s="70" t="str">
        <f>IF($A$3=" "," ", IFERROR( VLOOKUP($A961,'SUPPLIER DATA BASE'!$A$2:$M$936,3,0),""))</f>
        <v>-</v>
      </c>
      <c r="C961" s="70" t="str">
        <f>IF($A$3=" "," ", IFERROR( VLOOKUP($A961,'SUPPLIER DATA BASE'!$A$2:$F$936,6,0),""))</f>
        <v>-</v>
      </c>
      <c r="D961" s="70" t="str">
        <f>IF($A$3=" "," ", IFERROR( VLOOKUP($A961,'SUPPLIER DATA BASE'!$A$2:$G$936,4,0),""))</f>
        <v>-</v>
      </c>
      <c r="E961" s="71" t="str">
        <f>IF($A$3=" "," ", IFERROR( VLOOKUP($A961,'SUPPLIER DATA BASE'!$A$2:$H$936,5,0),""))</f>
        <v>-</v>
      </c>
      <c r="F961" s="72" t="s">
        <v>2893</v>
      </c>
      <c r="G961" s="73"/>
      <c r="H961" s="74"/>
      <c r="I961" s="75"/>
      <c r="J961" s="76" t="s">
        <v>2894</v>
      </c>
      <c r="K961" s="76" t="s">
        <v>2895</v>
      </c>
      <c r="L961" s="73"/>
      <c r="M961" s="70" t="str">
        <f t="shared" si="3"/>
        <v/>
      </c>
      <c r="N961" s="70" t="str">
        <f>IF($A$3=" "," ", IFERROR( VLOOKUP($A961,'SUPPLIER DATA BASE'!$A$2:$O$936,11,0),""))</f>
        <v>-</v>
      </c>
      <c r="O961" s="70" t="str">
        <f>IF($A$3=" "," ", IFERROR( VLOOKUP($A961,'SUPPLIER DATA BASE'!$A$2:$O$936,12,0),""))</f>
        <v>-</v>
      </c>
      <c r="P961" s="70" t="str">
        <f>IF($A$3=" "," ", IFERROR( VLOOKUP($A961,'SUPPLIER DATA BASE'!$A$2:$O$936,13,0),""))</f>
        <v>-</v>
      </c>
      <c r="Q961" s="77"/>
      <c r="R961" s="73"/>
      <c r="S961" s="77"/>
      <c r="T961" s="70"/>
      <c r="U961" s="78"/>
      <c r="V961" s="70" t="str">
        <f t="shared" si="6"/>
        <v/>
      </c>
      <c r="W961" s="23"/>
      <c r="X961" s="23"/>
    </row>
    <row r="962">
      <c r="A962" s="70" t="s">
        <v>354</v>
      </c>
      <c r="B962" s="70" t="str">
        <f>IF($A$3=" "," ", IFERROR( VLOOKUP($A962,'SUPPLIER DATA BASE'!$A$2:$M$936,3,0),""))</f>
        <v>-</v>
      </c>
      <c r="C962" s="70" t="str">
        <f>IF($A$3=" "," ", IFERROR( VLOOKUP($A962,'SUPPLIER DATA BASE'!$A$2:$F$936,6,0),""))</f>
        <v>-</v>
      </c>
      <c r="D962" s="70" t="str">
        <f>IF($A$3=" "," ", IFERROR( VLOOKUP($A962,'SUPPLIER DATA BASE'!$A$2:$G$936,4,0),""))</f>
        <v>-</v>
      </c>
      <c r="E962" s="71" t="str">
        <f>IF($A$3=" "," ", IFERROR( VLOOKUP($A962,'SUPPLIER DATA BASE'!$A$2:$H$936,5,0),""))</f>
        <v>-</v>
      </c>
      <c r="F962" s="72" t="s">
        <v>2896</v>
      </c>
      <c r="G962" s="73"/>
      <c r="H962" s="74"/>
      <c r="I962" s="75"/>
      <c r="J962" s="76" t="s">
        <v>2897</v>
      </c>
      <c r="K962" s="76" t="s">
        <v>2898</v>
      </c>
      <c r="L962" s="73"/>
      <c r="M962" s="70" t="str">
        <f t="shared" si="3"/>
        <v/>
      </c>
      <c r="N962" s="70" t="str">
        <f>IF($A$3=" "," ", IFERROR( VLOOKUP($A962,'SUPPLIER DATA BASE'!$A$2:$O$936,11,0),""))</f>
        <v>-</v>
      </c>
      <c r="O962" s="70" t="str">
        <f>IF($A$3=" "," ", IFERROR( VLOOKUP($A962,'SUPPLIER DATA BASE'!$A$2:$O$936,12,0),""))</f>
        <v>-</v>
      </c>
      <c r="P962" s="70" t="str">
        <f>IF($A$3=" "," ", IFERROR( VLOOKUP($A962,'SUPPLIER DATA BASE'!$A$2:$O$936,13,0),""))</f>
        <v>-</v>
      </c>
      <c r="Q962" s="77"/>
      <c r="R962" s="73"/>
      <c r="S962" s="77"/>
      <c r="T962" s="70"/>
      <c r="U962" s="78"/>
      <c r="V962" s="70" t="str">
        <f t="shared" si="6"/>
        <v/>
      </c>
      <c r="W962" s="23"/>
      <c r="X962" s="23"/>
    </row>
    <row r="963">
      <c r="A963" s="70" t="s">
        <v>354</v>
      </c>
      <c r="B963" s="70" t="str">
        <f>IF($A$3=" "," ", IFERROR( VLOOKUP($A963,'SUPPLIER DATA BASE'!$A$2:$M$936,3,0),""))</f>
        <v>-</v>
      </c>
      <c r="C963" s="70" t="str">
        <f>IF($A$3=" "," ", IFERROR( VLOOKUP($A963,'SUPPLIER DATA BASE'!$A$2:$F$936,6,0),""))</f>
        <v>-</v>
      </c>
      <c r="D963" s="70" t="str">
        <f>IF($A$3=" "," ", IFERROR( VLOOKUP($A963,'SUPPLIER DATA BASE'!$A$2:$G$936,4,0),""))</f>
        <v>-</v>
      </c>
      <c r="E963" s="71" t="str">
        <f>IF($A$3=" "," ", IFERROR( VLOOKUP($A963,'SUPPLIER DATA BASE'!$A$2:$H$936,5,0),""))</f>
        <v>-</v>
      </c>
      <c r="F963" s="72" t="s">
        <v>2899</v>
      </c>
      <c r="G963" s="73"/>
      <c r="H963" s="74"/>
      <c r="I963" s="75"/>
      <c r="J963" s="76" t="s">
        <v>2900</v>
      </c>
      <c r="K963" s="76" t="s">
        <v>2901</v>
      </c>
      <c r="L963" s="73"/>
      <c r="M963" s="70" t="str">
        <f t="shared" si="3"/>
        <v/>
      </c>
      <c r="N963" s="70" t="str">
        <f>IF($A$3=" "," ", IFERROR( VLOOKUP($A963,'SUPPLIER DATA BASE'!$A$2:$O$936,11,0),""))</f>
        <v>-</v>
      </c>
      <c r="O963" s="70" t="str">
        <f>IF($A$3=" "," ", IFERROR( VLOOKUP($A963,'SUPPLIER DATA BASE'!$A$2:$O$936,12,0),""))</f>
        <v>-</v>
      </c>
      <c r="P963" s="70" t="str">
        <f>IF($A$3=" "," ", IFERROR( VLOOKUP($A963,'SUPPLIER DATA BASE'!$A$2:$O$936,13,0),""))</f>
        <v>-</v>
      </c>
      <c r="Q963" s="77"/>
      <c r="R963" s="73"/>
      <c r="S963" s="77"/>
      <c r="T963" s="70"/>
      <c r="U963" s="78"/>
      <c r="V963" s="70" t="str">
        <f t="shared" si="6"/>
        <v/>
      </c>
      <c r="W963" s="23"/>
      <c r="X963" s="23"/>
    </row>
    <row r="964">
      <c r="A964" s="70" t="s">
        <v>354</v>
      </c>
      <c r="B964" s="70" t="str">
        <f>IF($A$3=" "," ", IFERROR( VLOOKUP($A964,'SUPPLIER DATA BASE'!$A$2:$M$936,3,0),""))</f>
        <v>-</v>
      </c>
      <c r="C964" s="70" t="str">
        <f>IF($A$3=" "," ", IFERROR( VLOOKUP($A964,'SUPPLIER DATA BASE'!$A$2:$F$936,6,0),""))</f>
        <v>-</v>
      </c>
      <c r="D964" s="70" t="str">
        <f>IF($A$3=" "," ", IFERROR( VLOOKUP($A964,'SUPPLIER DATA BASE'!$A$2:$G$936,4,0),""))</f>
        <v>-</v>
      </c>
      <c r="E964" s="71" t="str">
        <f>IF($A$3=" "," ", IFERROR( VLOOKUP($A964,'SUPPLIER DATA BASE'!$A$2:$H$936,5,0),""))</f>
        <v>-</v>
      </c>
      <c r="F964" s="72" t="s">
        <v>2902</v>
      </c>
      <c r="G964" s="73"/>
      <c r="H964" s="74"/>
      <c r="I964" s="75"/>
      <c r="J964" s="76" t="s">
        <v>2903</v>
      </c>
      <c r="K964" s="76" t="s">
        <v>2904</v>
      </c>
      <c r="L964" s="73"/>
      <c r="M964" s="70" t="str">
        <f t="shared" si="3"/>
        <v/>
      </c>
      <c r="N964" s="70" t="str">
        <f>IF($A$3=" "," ", IFERROR( VLOOKUP($A964,'SUPPLIER DATA BASE'!$A$2:$O$936,11,0),""))</f>
        <v>-</v>
      </c>
      <c r="O964" s="70" t="str">
        <f>IF($A$3=" "," ", IFERROR( VLOOKUP($A964,'SUPPLIER DATA BASE'!$A$2:$O$936,12,0),""))</f>
        <v>-</v>
      </c>
      <c r="P964" s="70" t="str">
        <f>IF($A$3=" "," ", IFERROR( VLOOKUP($A964,'SUPPLIER DATA BASE'!$A$2:$O$936,13,0),""))</f>
        <v>-</v>
      </c>
      <c r="Q964" s="77"/>
      <c r="R964" s="73"/>
      <c r="S964" s="77"/>
      <c r="T964" s="70"/>
      <c r="U964" s="78"/>
      <c r="V964" s="70" t="str">
        <f t="shared" si="6"/>
        <v/>
      </c>
      <c r="W964" s="23"/>
      <c r="X964" s="23"/>
    </row>
    <row r="965">
      <c r="A965" s="70" t="s">
        <v>402</v>
      </c>
      <c r="B965" s="70" t="str">
        <f>IF($A$3=" "," ", IFERROR( VLOOKUP($A965,'SUPPLIER DATA BASE'!$A$2:$M$936,3,0),""))</f>
        <v>KHUSHAL/STATUS QUO</v>
      </c>
      <c r="C965" s="70" t="str">
        <f>IF($A$3=" "," ", IFERROR( VLOOKUP($A965,'SUPPLIER DATA BASE'!$A$2:$F$936,6,0),""))</f>
        <v>-</v>
      </c>
      <c r="D965" s="70" t="str">
        <f>IF($A$3=" "," ", IFERROR( VLOOKUP($A965,'SUPPLIER DATA BASE'!$A$2:$G$936,4,0),""))</f>
        <v>-</v>
      </c>
      <c r="E965" s="71" t="str">
        <f>IF($A$3=" "," ", IFERROR( VLOOKUP($A965,'SUPPLIER DATA BASE'!$A$2:$H$936,5,0),""))</f>
        <v>-</v>
      </c>
      <c r="F965" s="72"/>
      <c r="G965" s="73"/>
      <c r="H965" s="74"/>
      <c r="I965" s="75"/>
      <c r="J965" s="76" t="s">
        <v>2905</v>
      </c>
      <c r="K965" s="76" t="s">
        <v>2906</v>
      </c>
      <c r="L965" s="73"/>
      <c r="M965" s="70" t="str">
        <f t="shared" si="3"/>
        <v/>
      </c>
      <c r="N965" s="70" t="str">
        <f>IF($A$3=" "," ", IFERROR( VLOOKUP($A965,'SUPPLIER DATA BASE'!$A$2:$O$936,11,0),""))</f>
        <v>D APPAREL</v>
      </c>
      <c r="O965" s="70" t="str">
        <f>IF($A$3=" "," ", IFERROR( VLOOKUP($A965,'SUPPLIER DATA BASE'!$A$2:$O$936,12,0),""))</f>
        <v>722501010050397</v>
      </c>
      <c r="P965" s="70" t="str">
        <f>IF($A$3=" "," ", IFERROR( VLOOKUP($A965,'SUPPLIER DATA BASE'!$A$2:$O$936,13,0),""))</f>
        <v>UBIN0572250</v>
      </c>
      <c r="Q965" s="77"/>
      <c r="R965" s="73"/>
      <c r="S965" s="77"/>
      <c r="T965" s="70"/>
      <c r="U965" s="78"/>
      <c r="V965" s="70" t="str">
        <f t="shared" si="6"/>
        <v/>
      </c>
      <c r="W965" s="23"/>
      <c r="X965" s="23"/>
    </row>
    <row r="966">
      <c r="A966" s="70"/>
      <c r="B966" s="70" t="str">
        <f>IF($A$3=" "," ", IFERROR( VLOOKUP($A966,'SUPPLIER DATA BASE'!$A$2:$M$936,3,0),""))</f>
        <v/>
      </c>
      <c r="C966" s="70" t="str">
        <f>IF($A$3=" "," ", IFERROR( VLOOKUP($A966,'SUPPLIER DATA BASE'!$A$2:$F$936,6,0),""))</f>
        <v/>
      </c>
      <c r="D966" s="70" t="str">
        <f>IF($A$3=" "," ", IFERROR( VLOOKUP($A966,'SUPPLIER DATA BASE'!$A$2:$G$936,4,0),""))</f>
        <v/>
      </c>
      <c r="E966" s="71" t="str">
        <f>IF($A$3=" "," ", IFERROR( VLOOKUP($A966,'SUPPLIER DATA BASE'!$A$2:$H$936,5,0),""))</f>
        <v/>
      </c>
      <c r="F966" s="72"/>
      <c r="G966" s="73"/>
      <c r="H966" s="74"/>
      <c r="I966" s="75"/>
      <c r="J966" s="76" t="s">
        <v>2907</v>
      </c>
      <c r="K966" s="76" t="s">
        <v>2908</v>
      </c>
      <c r="L966" s="73"/>
      <c r="M966" s="70" t="str">
        <f t="shared" si="3"/>
        <v/>
      </c>
      <c r="N966" s="70" t="str">
        <f>IF($A$3=" "," ", IFERROR( VLOOKUP($A966,'SUPPLIER DATA BASE'!$A$2:$O$936,11,0),""))</f>
        <v/>
      </c>
      <c r="O966" s="70" t="str">
        <f>IF($A$3=" "," ", IFERROR( VLOOKUP($A966,'SUPPLIER DATA BASE'!$A$2:$O$936,12,0),""))</f>
        <v/>
      </c>
      <c r="P966" s="70" t="str">
        <f>IF($A$3=" "," ", IFERROR( VLOOKUP($A966,'SUPPLIER DATA BASE'!$A$2:$O$936,13,0),""))</f>
        <v/>
      </c>
      <c r="Q966" s="77"/>
      <c r="R966" s="73"/>
      <c r="S966" s="77"/>
      <c r="T966" s="70"/>
      <c r="U966" s="78"/>
      <c r="V966" s="70" t="str">
        <f t="shared" si="6"/>
        <v/>
      </c>
      <c r="W966" s="23"/>
      <c r="X966" s="23"/>
    </row>
    <row r="967">
      <c r="A967" s="70"/>
      <c r="B967" s="70" t="str">
        <f>IF($A$3=" "," ", IFERROR( VLOOKUP($A967,'SUPPLIER DATA BASE'!$A$2:$M$936,3,0),""))</f>
        <v/>
      </c>
      <c r="C967" s="70" t="str">
        <f>IF($A$3=" "," ", IFERROR( VLOOKUP($A967,'SUPPLIER DATA BASE'!$A$2:$F$936,6,0),""))</f>
        <v/>
      </c>
      <c r="D967" s="70" t="str">
        <f>IF($A$3=" "," ", IFERROR( VLOOKUP($A967,'SUPPLIER DATA BASE'!$A$2:$G$936,4,0),""))</f>
        <v/>
      </c>
      <c r="E967" s="71" t="str">
        <f>IF($A$3=" "," ", IFERROR( VLOOKUP($A967,'SUPPLIER DATA BASE'!$A$2:$H$936,5,0),""))</f>
        <v/>
      </c>
      <c r="F967" s="72"/>
      <c r="G967" s="73"/>
      <c r="H967" s="74"/>
      <c r="I967" s="75"/>
      <c r="J967" s="76" t="s">
        <v>2909</v>
      </c>
      <c r="K967" s="76" t="s">
        <v>2910</v>
      </c>
      <c r="L967" s="73"/>
      <c r="M967" s="70" t="str">
        <f t="shared" si="3"/>
        <v/>
      </c>
      <c r="N967" s="70" t="str">
        <f>IF($A$3=" "," ", IFERROR( VLOOKUP($A967,'SUPPLIER DATA BASE'!$A$2:$O$936,11,0),""))</f>
        <v/>
      </c>
      <c r="O967" s="70" t="str">
        <f>IF($A$3=" "," ", IFERROR( VLOOKUP($A967,'SUPPLIER DATA BASE'!$A$2:$O$936,12,0),""))</f>
        <v/>
      </c>
      <c r="P967" s="70" t="str">
        <f>IF($A$3=" "," ", IFERROR( VLOOKUP($A967,'SUPPLIER DATA BASE'!$A$2:$O$936,13,0),""))</f>
        <v/>
      </c>
      <c r="Q967" s="77"/>
      <c r="R967" s="73"/>
      <c r="S967" s="77"/>
      <c r="T967" s="70"/>
      <c r="U967" s="78"/>
      <c r="V967" s="70" t="str">
        <f t="shared" si="6"/>
        <v/>
      </c>
      <c r="W967" s="23"/>
      <c r="X967" s="23"/>
    </row>
    <row r="968">
      <c r="A968" s="70" t="s">
        <v>354</v>
      </c>
      <c r="B968" s="70" t="str">
        <f>IF($A$3=" "," ", IFERROR( VLOOKUP($A968,'SUPPLIER DATA BASE'!$A$2:$M$936,3,0),""))</f>
        <v>-</v>
      </c>
      <c r="C968" s="70" t="str">
        <f>IF($A$3=" "," ", IFERROR( VLOOKUP($A968,'SUPPLIER DATA BASE'!$A$2:$F$936,6,0),""))</f>
        <v>-</v>
      </c>
      <c r="D968" s="70" t="str">
        <f>IF($A$3=" "," ", IFERROR( VLOOKUP($A968,'SUPPLIER DATA BASE'!$A$2:$G$936,4,0),""))</f>
        <v>-</v>
      </c>
      <c r="E968" s="71" t="str">
        <f>IF($A$3=" "," ", IFERROR( VLOOKUP($A968,'SUPPLIER DATA BASE'!$A$2:$H$936,5,0),""))</f>
        <v>-</v>
      </c>
      <c r="F968" s="72" t="s">
        <v>2911</v>
      </c>
      <c r="G968" s="73"/>
      <c r="H968" s="74"/>
      <c r="I968" s="75"/>
      <c r="J968" s="76" t="s">
        <v>2912</v>
      </c>
      <c r="K968" s="76" t="s">
        <v>2913</v>
      </c>
      <c r="L968" s="73"/>
      <c r="M968" s="70" t="str">
        <f t="shared" si="3"/>
        <v/>
      </c>
      <c r="N968" s="70" t="str">
        <f>IF($A$3=" "," ", IFERROR( VLOOKUP($A968,'SUPPLIER DATA BASE'!$A$2:$O$936,11,0),""))</f>
        <v>-</v>
      </c>
      <c r="O968" s="70" t="str">
        <f>IF($A$3=" "," ", IFERROR( VLOOKUP($A968,'SUPPLIER DATA BASE'!$A$2:$O$936,12,0),""))</f>
        <v>-</v>
      </c>
      <c r="P968" s="70" t="str">
        <f>IF($A$3=" "," ", IFERROR( VLOOKUP($A968,'SUPPLIER DATA BASE'!$A$2:$O$936,13,0),""))</f>
        <v>-</v>
      </c>
      <c r="Q968" s="77"/>
      <c r="R968" s="73"/>
      <c r="S968" s="77"/>
      <c r="T968" s="70"/>
      <c r="U968" s="78"/>
      <c r="V968" s="70" t="str">
        <f t="shared" si="6"/>
        <v/>
      </c>
      <c r="W968" s="23"/>
      <c r="X968" s="23"/>
    </row>
    <row r="969">
      <c r="A969" s="70" t="s">
        <v>354</v>
      </c>
      <c r="B969" s="70" t="str">
        <f>IF($A$3=" "," ", IFERROR( VLOOKUP($A969,'SUPPLIER DATA BASE'!$A$2:$M$936,3,0),""))</f>
        <v>-</v>
      </c>
      <c r="C969" s="70" t="str">
        <f>IF($A$3=" "," ", IFERROR( VLOOKUP($A969,'SUPPLIER DATA BASE'!$A$2:$F$936,6,0),""))</f>
        <v>-</v>
      </c>
      <c r="D969" s="70" t="str">
        <f>IF($A$3=" "," ", IFERROR( VLOOKUP($A969,'SUPPLIER DATA BASE'!$A$2:$G$936,4,0),""))</f>
        <v>-</v>
      </c>
      <c r="E969" s="71" t="str">
        <f>IF($A$3=" "," ", IFERROR( VLOOKUP($A969,'SUPPLIER DATA BASE'!$A$2:$H$936,5,0),""))</f>
        <v>-</v>
      </c>
      <c r="F969" s="72" t="s">
        <v>2914</v>
      </c>
      <c r="G969" s="73"/>
      <c r="H969" s="74"/>
      <c r="I969" s="75"/>
      <c r="J969" s="76" t="s">
        <v>2915</v>
      </c>
      <c r="K969" s="76" t="s">
        <v>2916</v>
      </c>
      <c r="L969" s="73"/>
      <c r="M969" s="70" t="str">
        <f t="shared" si="3"/>
        <v/>
      </c>
      <c r="N969" s="70" t="str">
        <f>IF($A$3=" "," ", IFERROR( VLOOKUP($A969,'SUPPLIER DATA BASE'!$A$2:$O$936,11,0),""))</f>
        <v>-</v>
      </c>
      <c r="O969" s="70" t="str">
        <f>IF($A$3=" "," ", IFERROR( VLOOKUP($A969,'SUPPLIER DATA BASE'!$A$2:$O$936,12,0),""))</f>
        <v>-</v>
      </c>
      <c r="P969" s="70" t="str">
        <f>IF($A$3=" "," ", IFERROR( VLOOKUP($A969,'SUPPLIER DATA BASE'!$A$2:$O$936,13,0),""))</f>
        <v>-</v>
      </c>
      <c r="Q969" s="77"/>
      <c r="R969" s="73"/>
      <c r="S969" s="77"/>
      <c r="T969" s="70"/>
      <c r="U969" s="78"/>
      <c r="V969" s="70" t="str">
        <f t="shared" si="6"/>
        <v/>
      </c>
      <c r="W969" s="23"/>
      <c r="X969" s="23"/>
    </row>
    <row r="970">
      <c r="A970" s="70" t="s">
        <v>761</v>
      </c>
      <c r="B970" s="70" t="str">
        <f>IF($A$3=" "," ", IFERROR( VLOOKUP($A970,'SUPPLIER DATA BASE'!$A$2:$M$936,3,0),""))</f>
        <v>JOCKEY, LIBAS, ROCKIT, INTIGRITI, AMERICAN TOURISTER</v>
      </c>
      <c r="C970" s="70" t="str">
        <f>IF($A$3=" "," ", IFERROR( VLOOKUP($A970,'SUPPLIER DATA BASE'!$A$2:$F$936,6,0),""))</f>
        <v>DIRECT</v>
      </c>
      <c r="D970" s="70">
        <f>IF($A$3=" "," ", IFERROR( VLOOKUP($A970,'SUPPLIER DATA BASE'!$A$2:$G$936,4,0),""))</f>
        <v>7</v>
      </c>
      <c r="E970" s="71">
        <f>IF($A$3=" "," ", IFERROR( VLOOKUP($A970,'SUPPLIER DATA BASE'!$A$2:$H$936,5,0),""))</f>
        <v>0.02</v>
      </c>
      <c r="F970" s="72"/>
      <c r="G970" s="73"/>
      <c r="H970" s="74"/>
      <c r="I970" s="75"/>
      <c r="J970" s="76" t="s">
        <v>2917</v>
      </c>
      <c r="K970" s="76" t="s">
        <v>2918</v>
      </c>
      <c r="L970" s="73"/>
      <c r="M970" s="70" t="str">
        <f t="shared" si="3"/>
        <v/>
      </c>
      <c r="N970" s="70" t="str">
        <f>IF($A$3=" "," ", IFERROR( VLOOKUP($A970,'SUPPLIER DATA BASE'!$A$2:$O$936,11,0),""))</f>
        <v>TAYAL GARMENTS PVT. LTD.</v>
      </c>
      <c r="O970" s="70" t="str">
        <f>IF($A$3=" "," ", IFERROR( VLOOKUP($A970,'SUPPLIER DATA BASE'!$A$2:$O$936,12,0),""))</f>
        <v>1199911999</v>
      </c>
      <c r="P970" s="70" t="str">
        <f>IF($A$3=" "," ", IFERROR( VLOOKUP($A970,'SUPPLIER DATA BASE'!$A$2:$O$936,13,0),""))</f>
        <v>KKBK0005632</v>
      </c>
      <c r="Q970" s="77"/>
      <c r="R970" s="73"/>
      <c r="S970" s="77"/>
      <c r="T970" s="70"/>
      <c r="U970" s="78"/>
      <c r="V970" s="70" t="str">
        <f t="shared" si="6"/>
        <v/>
      </c>
      <c r="W970" s="23"/>
      <c r="X970" s="23"/>
    </row>
    <row r="971">
      <c r="A971" s="70" t="s">
        <v>761</v>
      </c>
      <c r="B971" s="70" t="str">
        <f>IF($A$3=" "," ", IFERROR( VLOOKUP($A971,'SUPPLIER DATA BASE'!$A$2:$M$936,3,0),""))</f>
        <v>JOCKEY, LIBAS, ROCKIT, INTIGRITI, AMERICAN TOURISTER</v>
      </c>
      <c r="C971" s="70" t="str">
        <f>IF($A$3=" "," ", IFERROR( VLOOKUP($A971,'SUPPLIER DATA BASE'!$A$2:$F$936,6,0),""))</f>
        <v>DIRECT</v>
      </c>
      <c r="D971" s="70">
        <f>IF($A$3=" "," ", IFERROR( VLOOKUP($A971,'SUPPLIER DATA BASE'!$A$2:$G$936,4,0),""))</f>
        <v>7</v>
      </c>
      <c r="E971" s="71">
        <f>IF($A$3=" "," ", IFERROR( VLOOKUP($A971,'SUPPLIER DATA BASE'!$A$2:$H$936,5,0),""))</f>
        <v>0.02</v>
      </c>
      <c r="F971" s="72"/>
      <c r="G971" s="73"/>
      <c r="H971" s="74"/>
      <c r="I971" s="75"/>
      <c r="J971" s="76" t="s">
        <v>2919</v>
      </c>
      <c r="K971" s="76" t="s">
        <v>2920</v>
      </c>
      <c r="L971" s="73"/>
      <c r="M971" s="70" t="str">
        <f t="shared" si="3"/>
        <v/>
      </c>
      <c r="N971" s="70" t="str">
        <f>IF($A$3=" "," ", IFERROR( VLOOKUP($A971,'SUPPLIER DATA BASE'!$A$2:$O$936,11,0),""))</f>
        <v>TAYAL GARMENTS PVT. LTD.</v>
      </c>
      <c r="O971" s="70" t="str">
        <f>IF($A$3=" "," ", IFERROR( VLOOKUP($A971,'SUPPLIER DATA BASE'!$A$2:$O$936,12,0),""))</f>
        <v>1199911999</v>
      </c>
      <c r="P971" s="70" t="str">
        <f>IF($A$3=" "," ", IFERROR( VLOOKUP($A971,'SUPPLIER DATA BASE'!$A$2:$O$936,13,0),""))</f>
        <v>KKBK0005632</v>
      </c>
      <c r="Q971" s="77"/>
      <c r="R971" s="73"/>
      <c r="S971" s="77"/>
      <c r="T971" s="70"/>
      <c r="U971" s="78"/>
      <c r="V971" s="70" t="str">
        <f t="shared" si="6"/>
        <v/>
      </c>
      <c r="W971" s="23"/>
      <c r="X971" s="23"/>
    </row>
    <row r="972">
      <c r="A972" s="70" t="s">
        <v>354</v>
      </c>
      <c r="B972" s="70" t="str">
        <f>IF($A$3=" "," ", IFERROR( VLOOKUP($A972,'SUPPLIER DATA BASE'!$A$2:$M$936,3,0),""))</f>
        <v>-</v>
      </c>
      <c r="C972" s="70" t="str">
        <f>IF($A$3=" "," ", IFERROR( VLOOKUP($A972,'SUPPLIER DATA BASE'!$A$2:$F$936,6,0),""))</f>
        <v>-</v>
      </c>
      <c r="D972" s="70" t="str">
        <f>IF($A$3=" "," ", IFERROR( VLOOKUP($A972,'SUPPLIER DATA BASE'!$A$2:$G$936,4,0),""))</f>
        <v>-</v>
      </c>
      <c r="E972" s="71" t="str">
        <f>IF($A$3=" "," ", IFERROR( VLOOKUP($A972,'SUPPLIER DATA BASE'!$A$2:$H$936,5,0),""))</f>
        <v>-</v>
      </c>
      <c r="F972" s="72" t="s">
        <v>2921</v>
      </c>
      <c r="G972" s="73"/>
      <c r="H972" s="74"/>
      <c r="I972" s="75"/>
      <c r="J972" s="76" t="s">
        <v>2922</v>
      </c>
      <c r="K972" s="76" t="s">
        <v>2923</v>
      </c>
      <c r="L972" s="73"/>
      <c r="M972" s="70" t="str">
        <f t="shared" si="3"/>
        <v/>
      </c>
      <c r="N972" s="70" t="str">
        <f>IF($A$3=" "," ", IFERROR( VLOOKUP($A972,'SUPPLIER DATA BASE'!$A$2:$O$936,11,0),""))</f>
        <v>-</v>
      </c>
      <c r="O972" s="70" t="str">
        <f>IF($A$3=" "," ", IFERROR( VLOOKUP($A972,'SUPPLIER DATA BASE'!$A$2:$O$936,12,0),""))</f>
        <v>-</v>
      </c>
      <c r="P972" s="70" t="str">
        <f>IF($A$3=" "," ", IFERROR( VLOOKUP($A972,'SUPPLIER DATA BASE'!$A$2:$O$936,13,0),""))</f>
        <v>-</v>
      </c>
      <c r="Q972" s="77"/>
      <c r="R972" s="73"/>
      <c r="S972" s="77"/>
      <c r="T972" s="70"/>
      <c r="U972" s="78"/>
      <c r="V972" s="70" t="str">
        <f t="shared" si="6"/>
        <v/>
      </c>
      <c r="W972" s="23"/>
      <c r="X972" s="23"/>
    </row>
    <row r="973">
      <c r="A973" s="70" t="s">
        <v>354</v>
      </c>
      <c r="B973" s="70" t="str">
        <f>IF($A$3=" "," ", IFERROR( VLOOKUP($A973,'SUPPLIER DATA BASE'!$A$2:$M$936,3,0),""))</f>
        <v>-</v>
      </c>
      <c r="C973" s="70" t="str">
        <f>IF($A$3=" "," ", IFERROR( VLOOKUP($A973,'SUPPLIER DATA BASE'!$A$2:$F$936,6,0),""))</f>
        <v>-</v>
      </c>
      <c r="D973" s="70" t="str">
        <f>IF($A$3=" "," ", IFERROR( VLOOKUP($A973,'SUPPLIER DATA BASE'!$A$2:$G$936,4,0),""))</f>
        <v>-</v>
      </c>
      <c r="E973" s="71" t="str">
        <f>IF($A$3=" "," ", IFERROR( VLOOKUP($A973,'SUPPLIER DATA BASE'!$A$2:$H$936,5,0),""))</f>
        <v>-</v>
      </c>
      <c r="F973" s="72" t="s">
        <v>2924</v>
      </c>
      <c r="G973" s="73"/>
      <c r="H973" s="74"/>
      <c r="I973" s="75"/>
      <c r="J973" s="76" t="s">
        <v>2925</v>
      </c>
      <c r="K973" s="76" t="s">
        <v>2926</v>
      </c>
      <c r="L973" s="73"/>
      <c r="M973" s="70" t="str">
        <f t="shared" si="3"/>
        <v/>
      </c>
      <c r="N973" s="70" t="str">
        <f>IF($A$3=" "," ", IFERROR( VLOOKUP($A973,'SUPPLIER DATA BASE'!$A$2:$O$936,11,0),""))</f>
        <v>-</v>
      </c>
      <c r="O973" s="70" t="str">
        <f>IF($A$3=" "," ", IFERROR( VLOOKUP($A973,'SUPPLIER DATA BASE'!$A$2:$O$936,12,0),""))</f>
        <v>-</v>
      </c>
      <c r="P973" s="70" t="str">
        <f>IF($A$3=" "," ", IFERROR( VLOOKUP($A973,'SUPPLIER DATA BASE'!$A$2:$O$936,13,0),""))</f>
        <v>-</v>
      </c>
      <c r="Q973" s="77"/>
      <c r="R973" s="73"/>
      <c r="S973" s="77"/>
      <c r="T973" s="70"/>
      <c r="U973" s="78"/>
      <c r="V973" s="70" t="str">
        <f t="shared" si="6"/>
        <v/>
      </c>
      <c r="W973" s="23"/>
      <c r="X973" s="23"/>
    </row>
    <row r="974">
      <c r="A974" s="70" t="s">
        <v>354</v>
      </c>
      <c r="B974" s="70" t="str">
        <f>IF($A$3=" "," ", IFERROR( VLOOKUP($A974,'SUPPLIER DATA BASE'!$A$2:$M$936,3,0),""))</f>
        <v>-</v>
      </c>
      <c r="C974" s="70" t="str">
        <f>IF($A$3=" "," ", IFERROR( VLOOKUP($A974,'SUPPLIER DATA BASE'!$A$2:$F$936,6,0),""))</f>
        <v>-</v>
      </c>
      <c r="D974" s="70" t="str">
        <f>IF($A$3=" "," ", IFERROR( VLOOKUP($A974,'SUPPLIER DATA BASE'!$A$2:$G$936,4,0),""))</f>
        <v>-</v>
      </c>
      <c r="E974" s="71" t="str">
        <f>IF($A$3=" "," ", IFERROR( VLOOKUP($A974,'SUPPLIER DATA BASE'!$A$2:$H$936,5,0),""))</f>
        <v>-</v>
      </c>
      <c r="F974" s="72" t="s">
        <v>2927</v>
      </c>
      <c r="G974" s="73"/>
      <c r="H974" s="74"/>
      <c r="I974" s="75"/>
      <c r="J974" s="76" t="s">
        <v>2928</v>
      </c>
      <c r="K974" s="76" t="s">
        <v>2929</v>
      </c>
      <c r="L974" s="73"/>
      <c r="M974" s="70" t="str">
        <f t="shared" si="3"/>
        <v/>
      </c>
      <c r="N974" s="70" t="str">
        <f>IF($A$3=" "," ", IFERROR( VLOOKUP($A974,'SUPPLIER DATA BASE'!$A$2:$O$936,11,0),""))</f>
        <v>-</v>
      </c>
      <c r="O974" s="70" t="str">
        <f>IF($A$3=" "," ", IFERROR( VLOOKUP($A974,'SUPPLIER DATA BASE'!$A$2:$O$936,12,0),""))</f>
        <v>-</v>
      </c>
      <c r="P974" s="70" t="str">
        <f>IF($A$3=" "," ", IFERROR( VLOOKUP($A974,'SUPPLIER DATA BASE'!$A$2:$O$936,13,0),""))</f>
        <v>-</v>
      </c>
      <c r="Q974" s="77"/>
      <c r="R974" s="73"/>
      <c r="S974" s="77"/>
      <c r="T974" s="70"/>
      <c r="U974" s="78"/>
      <c r="V974" s="70" t="str">
        <f t="shared" si="6"/>
        <v/>
      </c>
      <c r="W974" s="23"/>
      <c r="X974" s="23"/>
    </row>
    <row r="975">
      <c r="A975" s="70" t="s">
        <v>354</v>
      </c>
      <c r="B975" s="70" t="str">
        <f>IF($A$3=" "," ", IFERROR( VLOOKUP($A975,'SUPPLIER DATA BASE'!$A$2:$M$936,3,0),""))</f>
        <v>-</v>
      </c>
      <c r="C975" s="70" t="str">
        <f>IF($A$3=" "," ", IFERROR( VLOOKUP($A975,'SUPPLIER DATA BASE'!$A$2:$F$936,6,0),""))</f>
        <v>-</v>
      </c>
      <c r="D975" s="70" t="str">
        <f>IF($A$3=" "," ", IFERROR( VLOOKUP($A975,'SUPPLIER DATA BASE'!$A$2:$G$936,4,0),""))</f>
        <v>-</v>
      </c>
      <c r="E975" s="71" t="str">
        <f>IF($A$3=" "," ", IFERROR( VLOOKUP($A975,'SUPPLIER DATA BASE'!$A$2:$H$936,5,0),""))</f>
        <v>-</v>
      </c>
      <c r="F975" s="72" t="s">
        <v>2930</v>
      </c>
      <c r="G975" s="73"/>
      <c r="H975" s="74"/>
      <c r="I975" s="75"/>
      <c r="J975" s="76" t="s">
        <v>2931</v>
      </c>
      <c r="K975" s="76" t="s">
        <v>2932</v>
      </c>
      <c r="L975" s="73"/>
      <c r="M975" s="70" t="str">
        <f t="shared" si="3"/>
        <v/>
      </c>
      <c r="N975" s="70" t="str">
        <f>IF($A$3=" "," ", IFERROR( VLOOKUP($A975,'SUPPLIER DATA BASE'!$A$2:$O$936,11,0),""))</f>
        <v>-</v>
      </c>
      <c r="O975" s="70" t="str">
        <f>IF($A$3=" "," ", IFERROR( VLOOKUP($A975,'SUPPLIER DATA BASE'!$A$2:$O$936,12,0),""))</f>
        <v>-</v>
      </c>
      <c r="P975" s="70" t="str">
        <f>IF($A$3=" "," ", IFERROR( VLOOKUP($A975,'SUPPLIER DATA BASE'!$A$2:$O$936,13,0),""))</f>
        <v>-</v>
      </c>
      <c r="Q975" s="77"/>
      <c r="R975" s="73"/>
      <c r="S975" s="77"/>
      <c r="T975" s="70"/>
      <c r="U975" s="78"/>
      <c r="V975" s="70" t="str">
        <f t="shared" si="6"/>
        <v/>
      </c>
      <c r="W975" s="23"/>
      <c r="X975" s="23"/>
    </row>
    <row r="976">
      <c r="A976" s="70" t="s">
        <v>354</v>
      </c>
      <c r="B976" s="70" t="str">
        <f>IF($A$3=" "," ", IFERROR( VLOOKUP($A976,'SUPPLIER DATA BASE'!$A$2:$M$936,3,0),""))</f>
        <v>-</v>
      </c>
      <c r="C976" s="70" t="str">
        <f>IF($A$3=" "," ", IFERROR( VLOOKUP($A976,'SUPPLIER DATA BASE'!$A$2:$F$936,6,0),""))</f>
        <v>-</v>
      </c>
      <c r="D976" s="70" t="str">
        <f>IF($A$3=" "," ", IFERROR( VLOOKUP($A976,'SUPPLIER DATA BASE'!$A$2:$G$936,4,0),""))</f>
        <v>-</v>
      </c>
      <c r="E976" s="71" t="str">
        <f>IF($A$3=" "," ", IFERROR( VLOOKUP($A976,'SUPPLIER DATA BASE'!$A$2:$H$936,5,0),""))</f>
        <v>-</v>
      </c>
      <c r="F976" s="72" t="s">
        <v>2933</v>
      </c>
      <c r="G976" s="73"/>
      <c r="H976" s="74"/>
      <c r="I976" s="75"/>
      <c r="J976" s="76" t="s">
        <v>2934</v>
      </c>
      <c r="K976" s="76" t="s">
        <v>2935</v>
      </c>
      <c r="L976" s="73"/>
      <c r="M976" s="70" t="str">
        <f t="shared" si="3"/>
        <v/>
      </c>
      <c r="N976" s="70" t="str">
        <f>IF($A$3=" "," ", IFERROR( VLOOKUP($A976,'SUPPLIER DATA BASE'!$A$2:$O$936,11,0),""))</f>
        <v>-</v>
      </c>
      <c r="O976" s="70" t="str">
        <f>IF($A$3=" "," ", IFERROR( VLOOKUP($A976,'SUPPLIER DATA BASE'!$A$2:$O$936,12,0),""))</f>
        <v>-</v>
      </c>
      <c r="P976" s="70" t="str">
        <f>IF($A$3=" "," ", IFERROR( VLOOKUP($A976,'SUPPLIER DATA BASE'!$A$2:$O$936,13,0),""))</f>
        <v>-</v>
      </c>
      <c r="Q976" s="77"/>
      <c r="R976" s="73"/>
      <c r="S976" s="77"/>
      <c r="T976" s="70"/>
      <c r="U976" s="78"/>
      <c r="V976" s="70" t="str">
        <f t="shared" si="6"/>
        <v/>
      </c>
      <c r="W976" s="23"/>
      <c r="X976" s="23"/>
    </row>
    <row r="977">
      <c r="A977" s="70" t="s">
        <v>354</v>
      </c>
      <c r="B977" s="70" t="str">
        <f>IF($A$3=" "," ", IFERROR( VLOOKUP($A977,'SUPPLIER DATA BASE'!$A$2:$M$936,3,0),""))</f>
        <v>-</v>
      </c>
      <c r="C977" s="70" t="str">
        <f>IF($A$3=" "," ", IFERROR( VLOOKUP($A977,'SUPPLIER DATA BASE'!$A$2:$F$936,6,0),""))</f>
        <v>-</v>
      </c>
      <c r="D977" s="70" t="str">
        <f>IF($A$3=" "," ", IFERROR( VLOOKUP($A977,'SUPPLIER DATA BASE'!$A$2:$G$936,4,0),""))</f>
        <v>-</v>
      </c>
      <c r="E977" s="71" t="str">
        <f>IF($A$3=" "," ", IFERROR( VLOOKUP($A977,'SUPPLIER DATA BASE'!$A$2:$H$936,5,0),""))</f>
        <v>-</v>
      </c>
      <c r="F977" s="72" t="s">
        <v>2936</v>
      </c>
      <c r="G977" s="73"/>
      <c r="H977" s="74"/>
      <c r="I977" s="75"/>
      <c r="J977" s="76" t="s">
        <v>2937</v>
      </c>
      <c r="K977" s="76" t="s">
        <v>2938</v>
      </c>
      <c r="L977" s="73"/>
      <c r="M977" s="70" t="str">
        <f t="shared" si="3"/>
        <v/>
      </c>
      <c r="N977" s="70" t="str">
        <f>IF($A$3=" "," ", IFERROR( VLOOKUP($A977,'SUPPLIER DATA BASE'!$A$2:$O$936,11,0),""))</f>
        <v>-</v>
      </c>
      <c r="O977" s="70" t="str">
        <f>IF($A$3=" "," ", IFERROR( VLOOKUP($A977,'SUPPLIER DATA BASE'!$A$2:$O$936,12,0),""))</f>
        <v>-</v>
      </c>
      <c r="P977" s="70" t="str">
        <f>IF($A$3=" "," ", IFERROR( VLOOKUP($A977,'SUPPLIER DATA BASE'!$A$2:$O$936,13,0),""))</f>
        <v>-</v>
      </c>
      <c r="Q977" s="77"/>
      <c r="R977" s="73"/>
      <c r="S977" s="77"/>
      <c r="T977" s="70"/>
      <c r="U977" s="78"/>
      <c r="V977" s="70" t="str">
        <f t="shared" si="6"/>
        <v/>
      </c>
      <c r="W977" s="23"/>
      <c r="X977" s="23"/>
    </row>
    <row r="978">
      <c r="A978" s="70" t="s">
        <v>354</v>
      </c>
      <c r="B978" s="70" t="str">
        <f>IF($A$3=" "," ", IFERROR( VLOOKUP($A978,'SUPPLIER DATA BASE'!$A$2:$M$936,3,0),""))</f>
        <v>-</v>
      </c>
      <c r="C978" s="70" t="str">
        <f>IF($A$3=" "," ", IFERROR( VLOOKUP($A978,'SUPPLIER DATA BASE'!$A$2:$F$936,6,0),""))</f>
        <v>-</v>
      </c>
      <c r="D978" s="70" t="str">
        <f>IF($A$3=" "," ", IFERROR( VLOOKUP($A978,'SUPPLIER DATA BASE'!$A$2:$G$936,4,0),""))</f>
        <v>-</v>
      </c>
      <c r="E978" s="71" t="str">
        <f>IF($A$3=" "," ", IFERROR( VLOOKUP($A978,'SUPPLIER DATA BASE'!$A$2:$H$936,5,0),""))</f>
        <v>-</v>
      </c>
      <c r="F978" s="72" t="s">
        <v>2939</v>
      </c>
      <c r="G978" s="73"/>
      <c r="H978" s="74"/>
      <c r="I978" s="75"/>
      <c r="J978" s="76" t="s">
        <v>2940</v>
      </c>
      <c r="K978" s="76" t="s">
        <v>2941</v>
      </c>
      <c r="L978" s="73"/>
      <c r="M978" s="70" t="str">
        <f t="shared" si="3"/>
        <v/>
      </c>
      <c r="N978" s="70" t="str">
        <f>IF($A$3=" "," ", IFERROR( VLOOKUP($A978,'SUPPLIER DATA BASE'!$A$2:$O$936,11,0),""))</f>
        <v>-</v>
      </c>
      <c r="O978" s="70" t="str">
        <f>IF($A$3=" "," ", IFERROR( VLOOKUP($A978,'SUPPLIER DATA BASE'!$A$2:$O$936,12,0),""))</f>
        <v>-</v>
      </c>
      <c r="P978" s="70" t="str">
        <f>IF($A$3=" "," ", IFERROR( VLOOKUP($A978,'SUPPLIER DATA BASE'!$A$2:$O$936,13,0),""))</f>
        <v>-</v>
      </c>
      <c r="Q978" s="77"/>
      <c r="R978" s="73"/>
      <c r="S978" s="77"/>
      <c r="T978" s="70"/>
      <c r="U978" s="78"/>
      <c r="V978" s="70" t="str">
        <f t="shared" si="6"/>
        <v/>
      </c>
      <c r="W978" s="23"/>
      <c r="X978" s="23"/>
    </row>
    <row r="979">
      <c r="A979" s="70" t="s">
        <v>354</v>
      </c>
      <c r="B979" s="70" t="str">
        <f>IF($A$3=" "," ", IFERROR( VLOOKUP($A979,'SUPPLIER DATA BASE'!$A$2:$M$936,3,0),""))</f>
        <v>-</v>
      </c>
      <c r="C979" s="70" t="str">
        <f>IF($A$3=" "," ", IFERROR( VLOOKUP($A979,'SUPPLIER DATA BASE'!$A$2:$F$936,6,0),""))</f>
        <v>-</v>
      </c>
      <c r="D979" s="70" t="str">
        <f>IF($A$3=" "," ", IFERROR( VLOOKUP($A979,'SUPPLIER DATA BASE'!$A$2:$G$936,4,0),""))</f>
        <v>-</v>
      </c>
      <c r="E979" s="71" t="str">
        <f>IF($A$3=" "," ", IFERROR( VLOOKUP($A979,'SUPPLIER DATA BASE'!$A$2:$H$936,5,0),""))</f>
        <v>-</v>
      </c>
      <c r="F979" s="72" t="s">
        <v>2942</v>
      </c>
      <c r="G979" s="73"/>
      <c r="H979" s="74"/>
      <c r="I979" s="75"/>
      <c r="J979" s="76" t="s">
        <v>2943</v>
      </c>
      <c r="K979" s="76" t="s">
        <v>2944</v>
      </c>
      <c r="L979" s="73"/>
      <c r="M979" s="70" t="str">
        <f t="shared" si="3"/>
        <v/>
      </c>
      <c r="N979" s="70" t="str">
        <f>IF($A$3=" "," ", IFERROR( VLOOKUP($A979,'SUPPLIER DATA BASE'!$A$2:$O$936,11,0),""))</f>
        <v>-</v>
      </c>
      <c r="O979" s="70" t="str">
        <f>IF($A$3=" "," ", IFERROR( VLOOKUP($A979,'SUPPLIER DATA BASE'!$A$2:$O$936,12,0),""))</f>
        <v>-</v>
      </c>
      <c r="P979" s="70" t="str">
        <f>IF($A$3=" "," ", IFERROR( VLOOKUP($A979,'SUPPLIER DATA BASE'!$A$2:$O$936,13,0),""))</f>
        <v>-</v>
      </c>
      <c r="Q979" s="77"/>
      <c r="R979" s="73"/>
      <c r="S979" s="77"/>
      <c r="T979" s="70"/>
      <c r="U979" s="78"/>
      <c r="V979" s="70" t="str">
        <f t="shared" si="6"/>
        <v/>
      </c>
      <c r="W979" s="23"/>
      <c r="X979" s="23"/>
    </row>
    <row r="980">
      <c r="A980" s="70" t="s">
        <v>354</v>
      </c>
      <c r="B980" s="70" t="str">
        <f>IF($A$3=" "," ", IFERROR( VLOOKUP($A980,'SUPPLIER DATA BASE'!$A$2:$M$936,3,0),""))</f>
        <v>-</v>
      </c>
      <c r="C980" s="70" t="str">
        <f>IF($A$3=" "," ", IFERROR( VLOOKUP($A980,'SUPPLIER DATA BASE'!$A$2:$F$936,6,0),""))</f>
        <v>-</v>
      </c>
      <c r="D980" s="70" t="str">
        <f>IF($A$3=" "," ", IFERROR( VLOOKUP($A980,'SUPPLIER DATA BASE'!$A$2:$G$936,4,0),""))</f>
        <v>-</v>
      </c>
      <c r="E980" s="71" t="str">
        <f>IF($A$3=" "," ", IFERROR( VLOOKUP($A980,'SUPPLIER DATA BASE'!$A$2:$H$936,5,0),""))</f>
        <v>-</v>
      </c>
      <c r="F980" s="72" t="s">
        <v>2945</v>
      </c>
      <c r="G980" s="73"/>
      <c r="H980" s="74"/>
      <c r="I980" s="75"/>
      <c r="J980" s="76" t="s">
        <v>2946</v>
      </c>
      <c r="K980" s="76" t="s">
        <v>2947</v>
      </c>
      <c r="L980" s="73"/>
      <c r="M980" s="70" t="str">
        <f t="shared" si="3"/>
        <v/>
      </c>
      <c r="N980" s="70" t="str">
        <f>IF($A$3=" "," ", IFERROR( VLOOKUP($A980,'SUPPLIER DATA BASE'!$A$2:$O$936,11,0),""))</f>
        <v>-</v>
      </c>
      <c r="O980" s="70" t="str">
        <f>IF($A$3=" "," ", IFERROR( VLOOKUP($A980,'SUPPLIER DATA BASE'!$A$2:$O$936,12,0),""))</f>
        <v>-</v>
      </c>
      <c r="P980" s="70" t="str">
        <f>IF($A$3=" "," ", IFERROR( VLOOKUP($A980,'SUPPLIER DATA BASE'!$A$2:$O$936,13,0),""))</f>
        <v>-</v>
      </c>
      <c r="Q980" s="77"/>
      <c r="R980" s="73"/>
      <c r="S980" s="77"/>
      <c r="T980" s="70"/>
      <c r="U980" s="78"/>
      <c r="V980" s="70" t="str">
        <f t="shared" si="6"/>
        <v/>
      </c>
      <c r="W980" s="23"/>
      <c r="X980" s="23"/>
    </row>
    <row r="981">
      <c r="A981" s="70" t="s">
        <v>354</v>
      </c>
      <c r="B981" s="70" t="str">
        <f>IF($A$3=" "," ", IFERROR( VLOOKUP($A981,'SUPPLIER DATA BASE'!$A$2:$M$936,3,0),""))</f>
        <v>-</v>
      </c>
      <c r="C981" s="70" t="str">
        <f>IF($A$3=" "," ", IFERROR( VLOOKUP($A981,'SUPPLIER DATA BASE'!$A$2:$F$936,6,0),""))</f>
        <v>-</v>
      </c>
      <c r="D981" s="70" t="str">
        <f>IF($A$3=" "," ", IFERROR( VLOOKUP($A981,'SUPPLIER DATA BASE'!$A$2:$G$936,4,0),""))</f>
        <v>-</v>
      </c>
      <c r="E981" s="71" t="str">
        <f>IF($A$3=" "," ", IFERROR( VLOOKUP($A981,'SUPPLIER DATA BASE'!$A$2:$H$936,5,0),""))</f>
        <v>-</v>
      </c>
      <c r="F981" s="72" t="s">
        <v>2948</v>
      </c>
      <c r="G981" s="73"/>
      <c r="H981" s="74"/>
      <c r="I981" s="75"/>
      <c r="J981" s="76" t="s">
        <v>2949</v>
      </c>
      <c r="K981" s="76" t="s">
        <v>2950</v>
      </c>
      <c r="L981" s="73"/>
      <c r="M981" s="70" t="str">
        <f t="shared" si="3"/>
        <v/>
      </c>
      <c r="N981" s="70" t="str">
        <f>IF($A$3=" "," ", IFERROR( VLOOKUP($A981,'SUPPLIER DATA BASE'!$A$2:$O$936,11,0),""))</f>
        <v>-</v>
      </c>
      <c r="O981" s="70" t="str">
        <f>IF($A$3=" "," ", IFERROR( VLOOKUP($A981,'SUPPLIER DATA BASE'!$A$2:$O$936,12,0),""))</f>
        <v>-</v>
      </c>
      <c r="P981" s="70" t="str">
        <f>IF($A$3=" "," ", IFERROR( VLOOKUP($A981,'SUPPLIER DATA BASE'!$A$2:$O$936,13,0),""))</f>
        <v>-</v>
      </c>
      <c r="Q981" s="77"/>
      <c r="R981" s="73"/>
      <c r="S981" s="77"/>
      <c r="T981" s="70"/>
      <c r="U981" s="78"/>
      <c r="V981" s="70" t="str">
        <f t="shared" si="6"/>
        <v/>
      </c>
      <c r="W981" s="23"/>
      <c r="X981" s="23"/>
    </row>
    <row r="982">
      <c r="A982" s="70" t="s">
        <v>354</v>
      </c>
      <c r="B982" s="70" t="str">
        <f>IF($A$3=" "," ", IFERROR( VLOOKUP($A982,'SUPPLIER DATA BASE'!$A$2:$M$936,3,0),""))</f>
        <v>-</v>
      </c>
      <c r="C982" s="70" t="str">
        <f>IF($A$3=" "," ", IFERROR( VLOOKUP($A982,'SUPPLIER DATA BASE'!$A$2:$F$936,6,0),""))</f>
        <v>-</v>
      </c>
      <c r="D982" s="70" t="str">
        <f>IF($A$3=" "," ", IFERROR( VLOOKUP($A982,'SUPPLIER DATA BASE'!$A$2:$G$936,4,0),""))</f>
        <v>-</v>
      </c>
      <c r="E982" s="71" t="str">
        <f>IF($A$3=" "," ", IFERROR( VLOOKUP($A982,'SUPPLIER DATA BASE'!$A$2:$H$936,5,0),""))</f>
        <v>-</v>
      </c>
      <c r="F982" s="72" t="s">
        <v>2951</v>
      </c>
      <c r="G982" s="73"/>
      <c r="H982" s="74"/>
      <c r="I982" s="75"/>
      <c r="J982" s="76" t="s">
        <v>2952</v>
      </c>
      <c r="K982" s="76" t="s">
        <v>2953</v>
      </c>
      <c r="L982" s="73"/>
      <c r="M982" s="70" t="str">
        <f t="shared" si="3"/>
        <v/>
      </c>
      <c r="N982" s="70" t="str">
        <f>IF($A$3=" "," ", IFERROR( VLOOKUP($A982,'SUPPLIER DATA BASE'!$A$2:$O$936,11,0),""))</f>
        <v>-</v>
      </c>
      <c r="O982" s="70" t="str">
        <f>IF($A$3=" "," ", IFERROR( VLOOKUP($A982,'SUPPLIER DATA BASE'!$A$2:$O$936,12,0),""))</f>
        <v>-</v>
      </c>
      <c r="P982" s="70" t="str">
        <f>IF($A$3=" "," ", IFERROR( VLOOKUP($A982,'SUPPLIER DATA BASE'!$A$2:$O$936,13,0),""))</f>
        <v>-</v>
      </c>
      <c r="Q982" s="77"/>
      <c r="R982" s="73"/>
      <c r="S982" s="77"/>
      <c r="T982" s="70"/>
      <c r="U982" s="78"/>
      <c r="V982" s="70" t="str">
        <f t="shared" si="6"/>
        <v/>
      </c>
      <c r="W982" s="23"/>
      <c r="X982" s="23"/>
    </row>
    <row r="983">
      <c r="A983" s="70" t="s">
        <v>354</v>
      </c>
      <c r="B983" s="70" t="str">
        <f>IF($A$3=" "," ", IFERROR( VLOOKUP($A983,'SUPPLIER DATA BASE'!$A$2:$M$936,3,0),""))</f>
        <v>-</v>
      </c>
      <c r="C983" s="70" t="str">
        <f>IF($A$3=" "," ", IFERROR( VLOOKUP($A983,'SUPPLIER DATA BASE'!$A$2:$F$936,6,0),""))</f>
        <v>-</v>
      </c>
      <c r="D983" s="70" t="str">
        <f>IF($A$3=" "," ", IFERROR( VLOOKUP($A983,'SUPPLIER DATA BASE'!$A$2:$G$936,4,0),""))</f>
        <v>-</v>
      </c>
      <c r="E983" s="71" t="str">
        <f>IF($A$3=" "," ", IFERROR( VLOOKUP($A983,'SUPPLIER DATA BASE'!$A$2:$H$936,5,0),""))</f>
        <v>-</v>
      </c>
      <c r="F983" s="72" t="s">
        <v>2954</v>
      </c>
      <c r="G983" s="73"/>
      <c r="H983" s="74"/>
      <c r="I983" s="75"/>
      <c r="J983" s="76" t="s">
        <v>2955</v>
      </c>
      <c r="K983" s="76" t="s">
        <v>2956</v>
      </c>
      <c r="L983" s="73"/>
      <c r="M983" s="70" t="str">
        <f t="shared" si="3"/>
        <v/>
      </c>
      <c r="N983" s="70" t="str">
        <f>IF($A$3=" "," ", IFERROR( VLOOKUP($A983,'SUPPLIER DATA BASE'!$A$2:$O$936,11,0),""))</f>
        <v>-</v>
      </c>
      <c r="O983" s="70" t="str">
        <f>IF($A$3=" "," ", IFERROR( VLOOKUP($A983,'SUPPLIER DATA BASE'!$A$2:$O$936,12,0),""))</f>
        <v>-</v>
      </c>
      <c r="P983" s="70" t="str">
        <f>IF($A$3=" "," ", IFERROR( VLOOKUP($A983,'SUPPLIER DATA BASE'!$A$2:$O$936,13,0),""))</f>
        <v>-</v>
      </c>
      <c r="Q983" s="77"/>
      <c r="R983" s="73"/>
      <c r="S983" s="77"/>
      <c r="T983" s="70"/>
      <c r="U983" s="78"/>
      <c r="V983" s="70" t="str">
        <f t="shared" si="6"/>
        <v/>
      </c>
      <c r="W983" s="23"/>
      <c r="X983" s="23"/>
    </row>
    <row r="984">
      <c r="A984" s="70" t="s">
        <v>354</v>
      </c>
      <c r="B984" s="70" t="str">
        <f>IF($A$3=" "," ", IFERROR( VLOOKUP($A984,'SUPPLIER DATA BASE'!$A$2:$M$936,3,0),""))</f>
        <v>-</v>
      </c>
      <c r="C984" s="70" t="str">
        <f>IF($A$3=" "," ", IFERROR( VLOOKUP($A984,'SUPPLIER DATA BASE'!$A$2:$F$936,6,0),""))</f>
        <v>-</v>
      </c>
      <c r="D984" s="70" t="str">
        <f>IF($A$3=" "," ", IFERROR( VLOOKUP($A984,'SUPPLIER DATA BASE'!$A$2:$G$936,4,0),""))</f>
        <v>-</v>
      </c>
      <c r="E984" s="71" t="str">
        <f>IF($A$3=" "," ", IFERROR( VLOOKUP($A984,'SUPPLIER DATA BASE'!$A$2:$H$936,5,0),""))</f>
        <v>-</v>
      </c>
      <c r="F984" s="72" t="s">
        <v>2957</v>
      </c>
      <c r="G984" s="73"/>
      <c r="H984" s="74"/>
      <c r="I984" s="75"/>
      <c r="J984" s="76" t="s">
        <v>2958</v>
      </c>
      <c r="K984" s="76" t="s">
        <v>2959</v>
      </c>
      <c r="L984" s="73"/>
      <c r="M984" s="70" t="str">
        <f t="shared" si="3"/>
        <v/>
      </c>
      <c r="N984" s="70" t="str">
        <f>IF($A$3=" "," ", IFERROR( VLOOKUP($A984,'SUPPLIER DATA BASE'!$A$2:$O$936,11,0),""))</f>
        <v>-</v>
      </c>
      <c r="O984" s="70" t="str">
        <f>IF($A$3=" "," ", IFERROR( VLOOKUP($A984,'SUPPLIER DATA BASE'!$A$2:$O$936,12,0),""))</f>
        <v>-</v>
      </c>
      <c r="P984" s="70" t="str">
        <f>IF($A$3=" "," ", IFERROR( VLOOKUP($A984,'SUPPLIER DATA BASE'!$A$2:$O$936,13,0),""))</f>
        <v>-</v>
      </c>
      <c r="Q984" s="77"/>
      <c r="R984" s="73"/>
      <c r="S984" s="77"/>
      <c r="T984" s="70"/>
      <c r="U984" s="78"/>
      <c r="V984" s="70" t="str">
        <f t="shared" si="6"/>
        <v/>
      </c>
      <c r="W984" s="23"/>
      <c r="X984" s="23"/>
    </row>
    <row r="985">
      <c r="A985" s="70"/>
      <c r="B985" s="70" t="str">
        <f>IF($A$3=" "," ", IFERROR( VLOOKUP($A985,'SUPPLIER DATA BASE'!$A$2:$M$936,3,0),""))</f>
        <v/>
      </c>
      <c r="C985" s="70" t="str">
        <f>IF($A$3=" "," ", IFERROR( VLOOKUP($A985,'SUPPLIER DATA BASE'!$A$2:$F$936,6,0),""))</f>
        <v/>
      </c>
      <c r="D985" s="70" t="str">
        <f>IF($A$3=" "," ", IFERROR( VLOOKUP($A985,'SUPPLIER DATA BASE'!$A$2:$G$936,4,0),""))</f>
        <v/>
      </c>
      <c r="E985" s="71" t="str">
        <f>IF($A$3=" "," ", IFERROR( VLOOKUP($A985,'SUPPLIER DATA BASE'!$A$2:$H$936,5,0),""))</f>
        <v/>
      </c>
      <c r="F985" s="72"/>
      <c r="G985" s="73"/>
      <c r="H985" s="74"/>
      <c r="I985" s="75"/>
      <c r="J985" s="76" t="s">
        <v>2960</v>
      </c>
      <c r="K985" s="76" t="s">
        <v>2961</v>
      </c>
      <c r="L985" s="73"/>
      <c r="M985" s="70" t="str">
        <f t="shared" si="3"/>
        <v/>
      </c>
      <c r="N985" s="70" t="str">
        <f>IF($A$3=" "," ", IFERROR( VLOOKUP($A985,'SUPPLIER DATA BASE'!$A$2:$O$936,11,0),""))</f>
        <v/>
      </c>
      <c r="O985" s="70" t="str">
        <f>IF($A$3=" "," ", IFERROR( VLOOKUP($A985,'SUPPLIER DATA BASE'!$A$2:$O$936,12,0),""))</f>
        <v/>
      </c>
      <c r="P985" s="70" t="str">
        <f>IF($A$3=" "," ", IFERROR( VLOOKUP($A985,'SUPPLIER DATA BASE'!$A$2:$O$936,13,0),""))</f>
        <v/>
      </c>
      <c r="Q985" s="77"/>
      <c r="R985" s="73"/>
      <c r="S985" s="77"/>
      <c r="T985" s="70"/>
      <c r="U985" s="78"/>
      <c r="V985" s="70" t="str">
        <f t="shared" si="6"/>
        <v/>
      </c>
      <c r="W985" s="23"/>
      <c r="X985" s="23"/>
    </row>
    <row r="986">
      <c r="A986" s="70" t="s">
        <v>385</v>
      </c>
      <c r="B986" s="70" t="str">
        <f>IF($A$3=" "," ", IFERROR( VLOOKUP($A986,'SUPPLIER DATA BASE'!$A$2:$M$936,3,0),""))</f>
        <v>-</v>
      </c>
      <c r="C986" s="70" t="str">
        <f>IF($A$3=" "," ", IFERROR( VLOOKUP($A986,'SUPPLIER DATA BASE'!$A$2:$F$936,6,0),""))</f>
        <v>SURYAM TEXTILE AGENCY</v>
      </c>
      <c r="D986" s="70" t="str">
        <f>IF($A$3=" "," ", IFERROR( VLOOKUP($A986,'SUPPLIER DATA BASE'!$A$2:$G$936,4,0),""))</f>
        <v>NO</v>
      </c>
      <c r="E986" s="71" t="str">
        <f>IF($A$3=" "," ", IFERROR( VLOOKUP($A986,'SUPPLIER DATA BASE'!$A$2:$H$936,5,0),""))</f>
        <v>-</v>
      </c>
      <c r="F986" s="72"/>
      <c r="G986" s="73"/>
      <c r="H986" s="74"/>
      <c r="I986" s="75"/>
      <c r="J986" s="76" t="s">
        <v>2962</v>
      </c>
      <c r="K986" s="76" t="s">
        <v>2963</v>
      </c>
      <c r="L986" s="73"/>
      <c r="M986" s="70" t="str">
        <f t="shared" si="3"/>
        <v/>
      </c>
      <c r="N986" s="70" t="str">
        <f>IF($A$3=" "," ", IFERROR( VLOOKUP($A986,'SUPPLIER DATA BASE'!$A$2:$O$936,11,0),""))</f>
        <v>B.K.SILK MILLS NX LLP</v>
      </c>
      <c r="O986" s="70" t="str">
        <f>IF($A$3=" "," ", IFERROR( VLOOKUP($A986,'SUPPLIER DATA BASE'!$A$2:$O$936,12,0),""))</f>
        <v>58451000050</v>
      </c>
      <c r="P986" s="70" t="str">
        <f>IF($A$3=" "," ", IFERROR( VLOOKUP($A986,'SUPPLIER DATA BASE'!$A$2:$O$936,13,0),""))</f>
        <v>ICIC0000584</v>
      </c>
      <c r="Q986" s="77"/>
      <c r="R986" s="73"/>
      <c r="S986" s="77"/>
      <c r="T986" s="70"/>
      <c r="U986" s="78"/>
      <c r="V986" s="70" t="str">
        <f t="shared" si="6"/>
        <v/>
      </c>
      <c r="W986" s="23"/>
      <c r="X986" s="23"/>
    </row>
    <row r="987">
      <c r="A987" s="70" t="s">
        <v>713</v>
      </c>
      <c r="B987" s="70" t="str">
        <f>IF($A$3=" "," ", IFERROR( VLOOKUP($A987,'SUPPLIER DATA BASE'!$A$2:$M$936,3,0),""))</f>
        <v>-</v>
      </c>
      <c r="C987" s="70" t="str">
        <f>IF($A$3=" "," ", IFERROR( VLOOKUP($A987,'SUPPLIER DATA BASE'!$A$2:$F$936,6,0),""))</f>
        <v>SURYAM TEXTILE AGENCY</v>
      </c>
      <c r="D987" s="70" t="str">
        <f>IF($A$3=" "," ", IFERROR( VLOOKUP($A987,'SUPPLIER DATA BASE'!$A$2:$G$936,4,0),""))</f>
        <v>NO</v>
      </c>
      <c r="E987" s="71" t="str">
        <f>IF($A$3=" "," ", IFERROR( VLOOKUP($A987,'SUPPLIER DATA BASE'!$A$2:$H$936,5,0),""))</f>
        <v>-</v>
      </c>
      <c r="F987" s="72"/>
      <c r="G987" s="73"/>
      <c r="H987" s="74"/>
      <c r="I987" s="75"/>
      <c r="J987" s="76" t="s">
        <v>2964</v>
      </c>
      <c r="K987" s="76" t="s">
        <v>2965</v>
      </c>
      <c r="L987" s="73"/>
      <c r="M987" s="70" t="str">
        <f t="shared" si="3"/>
        <v/>
      </c>
      <c r="N987" s="70" t="str">
        <f>IF($A$3=" "," ", IFERROR( VLOOKUP($A987,'SUPPLIER DATA BASE'!$A$2:$O$936,11,0),""))</f>
        <v>SHRITHIK DESIGNER LLP</v>
      </c>
      <c r="O987" s="70" t="str">
        <f>IF($A$3=" "," ", IFERROR( VLOOKUP($A987,'SUPPLIER DATA BASE'!$A$2:$O$936,12,0),""))</f>
        <v>339805000598</v>
      </c>
      <c r="P987" s="70" t="str">
        <f>IF($A$3=" "," ", IFERROR( VLOOKUP($A987,'SUPPLIER DATA BASE'!$A$2:$O$936,13,0),""))</f>
        <v>ICIC0003398</v>
      </c>
      <c r="Q987" s="77"/>
      <c r="R987" s="73"/>
      <c r="S987" s="77"/>
      <c r="T987" s="70"/>
      <c r="U987" s="78"/>
      <c r="V987" s="70" t="str">
        <f t="shared" si="6"/>
        <v/>
      </c>
      <c r="W987" s="23"/>
      <c r="X987" s="23"/>
    </row>
    <row r="988">
      <c r="A988" s="70" t="s">
        <v>713</v>
      </c>
      <c r="B988" s="70" t="str">
        <f>IF($A$3=" "," ", IFERROR( VLOOKUP($A988,'SUPPLIER DATA BASE'!$A$2:$M$936,3,0),""))</f>
        <v>-</v>
      </c>
      <c r="C988" s="70" t="str">
        <f>IF($A$3=" "," ", IFERROR( VLOOKUP($A988,'SUPPLIER DATA BASE'!$A$2:$F$936,6,0),""))</f>
        <v>SURYAM TEXTILE AGENCY</v>
      </c>
      <c r="D988" s="70" t="str">
        <f>IF($A$3=" "," ", IFERROR( VLOOKUP($A988,'SUPPLIER DATA BASE'!$A$2:$G$936,4,0),""))</f>
        <v>NO</v>
      </c>
      <c r="E988" s="71" t="str">
        <f>IF($A$3=" "," ", IFERROR( VLOOKUP($A988,'SUPPLIER DATA BASE'!$A$2:$H$936,5,0),""))</f>
        <v>-</v>
      </c>
      <c r="F988" s="72"/>
      <c r="G988" s="73"/>
      <c r="H988" s="74"/>
      <c r="I988" s="75"/>
      <c r="J988" s="76" t="s">
        <v>2966</v>
      </c>
      <c r="K988" s="76" t="s">
        <v>2967</v>
      </c>
      <c r="L988" s="73"/>
      <c r="M988" s="70" t="str">
        <f t="shared" si="3"/>
        <v/>
      </c>
      <c r="N988" s="70" t="str">
        <f>IF($A$3=" "," ", IFERROR( VLOOKUP($A988,'SUPPLIER DATA BASE'!$A$2:$O$936,11,0),""))</f>
        <v>SHRITHIK DESIGNER LLP</v>
      </c>
      <c r="O988" s="70" t="str">
        <f>IF($A$3=" "," ", IFERROR( VLOOKUP($A988,'SUPPLIER DATA BASE'!$A$2:$O$936,12,0),""))</f>
        <v>339805000598</v>
      </c>
      <c r="P988" s="70" t="str">
        <f>IF($A$3=" "," ", IFERROR( VLOOKUP($A988,'SUPPLIER DATA BASE'!$A$2:$O$936,13,0),""))</f>
        <v>ICIC0003398</v>
      </c>
      <c r="Q988" s="77"/>
      <c r="R988" s="73"/>
      <c r="S988" s="77"/>
      <c r="T988" s="70"/>
      <c r="U988" s="78"/>
      <c r="V988" s="70" t="str">
        <f t="shared" si="6"/>
        <v/>
      </c>
      <c r="W988" s="23"/>
      <c r="X988" s="23"/>
    </row>
    <row r="989">
      <c r="A989" s="70" t="s">
        <v>511</v>
      </c>
      <c r="B989" s="70" t="str">
        <f>IF($A$3=" "," ", IFERROR( VLOOKUP($A989,'SUPPLIER DATA BASE'!$A$2:$M$936,3,0),""))</f>
        <v>-</v>
      </c>
      <c r="C989" s="70" t="str">
        <f>IF($A$3=" "," ", IFERROR( VLOOKUP($A989,'SUPPLIER DATA BASE'!$A$2:$F$936,6,0),""))</f>
        <v>-</v>
      </c>
      <c r="D989" s="70" t="str">
        <f>IF($A$3=" "," ", IFERROR( VLOOKUP($A989,'SUPPLIER DATA BASE'!$A$2:$G$936,4,0),""))</f>
        <v>-</v>
      </c>
      <c r="E989" s="71" t="str">
        <f>IF($A$3=" "," ", IFERROR( VLOOKUP($A989,'SUPPLIER DATA BASE'!$A$2:$H$936,5,0),""))</f>
        <v>-</v>
      </c>
      <c r="F989" s="72"/>
      <c r="G989" s="73"/>
      <c r="H989" s="74"/>
      <c r="I989" s="75"/>
      <c r="J989" s="76" t="s">
        <v>2968</v>
      </c>
      <c r="K989" s="76" t="s">
        <v>2969</v>
      </c>
      <c r="L989" s="73"/>
      <c r="M989" s="70" t="str">
        <f t="shared" si="3"/>
        <v/>
      </c>
      <c r="N989" s="70" t="str">
        <f>IF($A$3=" "," ", IFERROR( VLOOKUP($A989,'SUPPLIER DATA BASE'!$A$2:$O$936,11,0),""))</f>
        <v>KASHNI</v>
      </c>
      <c r="O989" s="70" t="str">
        <f>IF($A$3=" "," ", IFERROR( VLOOKUP($A989,'SUPPLIER DATA BASE'!$A$2:$O$936,12,0),""))</f>
        <v>99999326997373</v>
      </c>
      <c r="P989" s="70" t="str">
        <f>IF($A$3=" "," ", IFERROR( VLOOKUP($A989,'SUPPLIER DATA BASE'!$A$2:$O$936,13,0),""))</f>
        <v>HDFC0001119</v>
      </c>
      <c r="Q989" s="77"/>
      <c r="R989" s="73"/>
      <c r="S989" s="77"/>
      <c r="T989" s="70"/>
      <c r="U989" s="78"/>
      <c r="V989" s="70" t="str">
        <f t="shared" si="6"/>
        <v/>
      </c>
      <c r="W989" s="23"/>
      <c r="X989" s="23"/>
    </row>
    <row r="990">
      <c r="A990" s="70" t="s">
        <v>385</v>
      </c>
      <c r="B990" s="70" t="str">
        <f>IF($A$3=" "," ", IFERROR( VLOOKUP($A990,'SUPPLIER DATA BASE'!$A$2:$M$936,3,0),""))</f>
        <v>-</v>
      </c>
      <c r="C990" s="70" t="str">
        <f>IF($A$3=" "," ", IFERROR( VLOOKUP($A990,'SUPPLIER DATA BASE'!$A$2:$F$936,6,0),""))</f>
        <v>SURYAM TEXTILE AGENCY</v>
      </c>
      <c r="D990" s="70" t="str">
        <f>IF($A$3=" "," ", IFERROR( VLOOKUP($A990,'SUPPLIER DATA BASE'!$A$2:$G$936,4,0),""))</f>
        <v>NO</v>
      </c>
      <c r="E990" s="71" t="str">
        <f>IF($A$3=" "," ", IFERROR( VLOOKUP($A990,'SUPPLIER DATA BASE'!$A$2:$H$936,5,0),""))</f>
        <v>-</v>
      </c>
      <c r="F990" s="72"/>
      <c r="G990" s="73"/>
      <c r="H990" s="74"/>
      <c r="I990" s="75"/>
      <c r="J990" s="76" t="s">
        <v>2970</v>
      </c>
      <c r="K990" s="76" t="s">
        <v>2971</v>
      </c>
      <c r="L990" s="73"/>
      <c r="M990" s="70" t="str">
        <f t="shared" si="3"/>
        <v/>
      </c>
      <c r="N990" s="70" t="str">
        <f>IF($A$3=" "," ", IFERROR( VLOOKUP($A990,'SUPPLIER DATA BASE'!$A$2:$O$936,11,0),""))</f>
        <v>B.K.SILK MILLS NX LLP</v>
      </c>
      <c r="O990" s="70" t="str">
        <f>IF($A$3=" "," ", IFERROR( VLOOKUP($A990,'SUPPLIER DATA BASE'!$A$2:$O$936,12,0),""))</f>
        <v>58451000050</v>
      </c>
      <c r="P990" s="70" t="str">
        <f>IF($A$3=" "," ", IFERROR( VLOOKUP($A990,'SUPPLIER DATA BASE'!$A$2:$O$936,13,0),""))</f>
        <v>ICIC0000584</v>
      </c>
      <c r="Q990" s="77"/>
      <c r="R990" s="73"/>
      <c r="S990" s="77"/>
      <c r="T990" s="70"/>
      <c r="U990" s="78"/>
      <c r="V990" s="70" t="str">
        <f t="shared" si="6"/>
        <v/>
      </c>
      <c r="W990" s="23"/>
      <c r="X990" s="23"/>
    </row>
    <row r="991">
      <c r="A991" s="70" t="s">
        <v>385</v>
      </c>
      <c r="B991" s="70" t="str">
        <f>IF($A$3=" "," ", IFERROR( VLOOKUP($A991,'SUPPLIER DATA BASE'!$A$2:$M$936,3,0),""))</f>
        <v>-</v>
      </c>
      <c r="C991" s="70" t="str">
        <f>IF($A$3=" "," ", IFERROR( VLOOKUP($A991,'SUPPLIER DATA BASE'!$A$2:$F$936,6,0),""))</f>
        <v>SURYAM TEXTILE AGENCY</v>
      </c>
      <c r="D991" s="70" t="str">
        <f>IF($A$3=" "," ", IFERROR( VLOOKUP($A991,'SUPPLIER DATA BASE'!$A$2:$G$936,4,0),""))</f>
        <v>NO</v>
      </c>
      <c r="E991" s="71" t="str">
        <f>IF($A$3=" "," ", IFERROR( VLOOKUP($A991,'SUPPLIER DATA BASE'!$A$2:$H$936,5,0),""))</f>
        <v>-</v>
      </c>
      <c r="F991" s="72"/>
      <c r="G991" s="73"/>
      <c r="H991" s="74"/>
      <c r="I991" s="75"/>
      <c r="J991" s="76" t="s">
        <v>2972</v>
      </c>
      <c r="K991" s="76" t="s">
        <v>2973</v>
      </c>
      <c r="L991" s="73"/>
      <c r="M991" s="70" t="str">
        <f t="shared" si="3"/>
        <v/>
      </c>
      <c r="N991" s="70" t="str">
        <f>IF($A$3=" "," ", IFERROR( VLOOKUP($A991,'SUPPLIER DATA BASE'!$A$2:$O$936,11,0),""))</f>
        <v>B.K.SILK MILLS NX LLP</v>
      </c>
      <c r="O991" s="70" t="str">
        <f>IF($A$3=" "," ", IFERROR( VLOOKUP($A991,'SUPPLIER DATA BASE'!$A$2:$O$936,12,0),""))</f>
        <v>58451000050</v>
      </c>
      <c r="P991" s="70" t="str">
        <f>IF($A$3=" "," ", IFERROR( VLOOKUP($A991,'SUPPLIER DATA BASE'!$A$2:$O$936,13,0),""))</f>
        <v>ICIC0000584</v>
      </c>
      <c r="Q991" s="77"/>
      <c r="R991" s="73"/>
      <c r="S991" s="77"/>
      <c r="T991" s="70"/>
      <c r="U991" s="78"/>
      <c r="V991" s="70" t="str">
        <f t="shared" si="6"/>
        <v/>
      </c>
      <c r="W991" s="23"/>
      <c r="X991" s="23"/>
    </row>
    <row r="992">
      <c r="A992" s="70" t="s">
        <v>385</v>
      </c>
      <c r="B992" s="70" t="str">
        <f>IF($A$3=" "," ", IFERROR( VLOOKUP($A992,'SUPPLIER DATA BASE'!$A$2:$M$936,3,0),""))</f>
        <v>-</v>
      </c>
      <c r="C992" s="70" t="str">
        <f>IF($A$3=" "," ", IFERROR( VLOOKUP($A992,'SUPPLIER DATA BASE'!$A$2:$F$936,6,0),""))</f>
        <v>SURYAM TEXTILE AGENCY</v>
      </c>
      <c r="D992" s="70" t="str">
        <f>IF($A$3=" "," ", IFERROR( VLOOKUP($A992,'SUPPLIER DATA BASE'!$A$2:$G$936,4,0),""))</f>
        <v>NO</v>
      </c>
      <c r="E992" s="71" t="str">
        <f>IF($A$3=" "," ", IFERROR( VLOOKUP($A992,'SUPPLIER DATA BASE'!$A$2:$H$936,5,0),""))</f>
        <v>-</v>
      </c>
      <c r="F992" s="72"/>
      <c r="G992" s="73"/>
      <c r="H992" s="74"/>
      <c r="I992" s="75"/>
      <c r="J992" s="76" t="s">
        <v>2974</v>
      </c>
      <c r="K992" s="76" t="s">
        <v>2975</v>
      </c>
      <c r="L992" s="73"/>
      <c r="M992" s="70" t="str">
        <f t="shared" si="3"/>
        <v/>
      </c>
      <c r="N992" s="70" t="str">
        <f>IF($A$3=" "," ", IFERROR( VLOOKUP($A992,'SUPPLIER DATA BASE'!$A$2:$O$936,11,0),""))</f>
        <v>B.K.SILK MILLS NX LLP</v>
      </c>
      <c r="O992" s="70" t="str">
        <f>IF($A$3=" "," ", IFERROR( VLOOKUP($A992,'SUPPLIER DATA BASE'!$A$2:$O$936,12,0),""))</f>
        <v>58451000050</v>
      </c>
      <c r="P992" s="70" t="str">
        <f>IF($A$3=" "," ", IFERROR( VLOOKUP($A992,'SUPPLIER DATA BASE'!$A$2:$O$936,13,0),""))</f>
        <v>ICIC0000584</v>
      </c>
      <c r="Q992" s="77"/>
      <c r="R992" s="73"/>
      <c r="S992" s="77"/>
      <c r="T992" s="70"/>
      <c r="U992" s="78"/>
      <c r="V992" s="70" t="str">
        <f t="shared" si="6"/>
        <v/>
      </c>
      <c r="W992" s="23"/>
      <c r="X992" s="23"/>
    </row>
    <row r="993">
      <c r="A993" s="70"/>
      <c r="B993" s="70" t="str">
        <f>IF($A$3=" "," ", IFERROR( VLOOKUP($A993,'SUPPLIER DATA BASE'!$A$2:$M$936,3,0),""))</f>
        <v/>
      </c>
      <c r="C993" s="70" t="str">
        <f>IF($A$3=" "," ", IFERROR( VLOOKUP($A993,'SUPPLIER DATA BASE'!$A$2:$F$936,6,0),""))</f>
        <v/>
      </c>
      <c r="D993" s="70" t="str">
        <f>IF($A$3=" "," ", IFERROR( VLOOKUP($A993,'SUPPLIER DATA BASE'!$A$2:$G$936,4,0),""))</f>
        <v/>
      </c>
      <c r="E993" s="71" t="str">
        <f>IF($A$3=" "," ", IFERROR( VLOOKUP($A993,'SUPPLIER DATA BASE'!$A$2:$H$936,5,0),""))</f>
        <v/>
      </c>
      <c r="F993" s="72"/>
      <c r="G993" s="73"/>
      <c r="H993" s="74"/>
      <c r="I993" s="75"/>
      <c r="J993" s="76" t="s">
        <v>2976</v>
      </c>
      <c r="K993" s="76" t="s">
        <v>2977</v>
      </c>
      <c r="L993" s="73"/>
      <c r="M993" s="70" t="str">
        <f t="shared" si="3"/>
        <v/>
      </c>
      <c r="N993" s="70" t="str">
        <f>IF($A$3=" "," ", IFERROR( VLOOKUP($A993,'SUPPLIER DATA BASE'!$A$2:$O$936,11,0),""))</f>
        <v/>
      </c>
      <c r="O993" s="70" t="str">
        <f>IF($A$3=" "," ", IFERROR( VLOOKUP($A993,'SUPPLIER DATA BASE'!$A$2:$O$936,12,0),""))</f>
        <v/>
      </c>
      <c r="P993" s="70" t="str">
        <f>IF($A$3=" "," ", IFERROR( VLOOKUP($A993,'SUPPLIER DATA BASE'!$A$2:$O$936,13,0),""))</f>
        <v/>
      </c>
      <c r="Q993" s="77"/>
      <c r="R993" s="73"/>
      <c r="S993" s="77"/>
      <c r="T993" s="70"/>
      <c r="U993" s="78"/>
      <c r="V993" s="70" t="str">
        <f t="shared" si="6"/>
        <v/>
      </c>
      <c r="W993" s="23"/>
      <c r="X993" s="23"/>
    </row>
    <row r="994">
      <c r="A994" s="70"/>
      <c r="B994" s="70" t="str">
        <f>IF($A$3=" "," ", IFERROR( VLOOKUP($A994,'SUPPLIER DATA BASE'!$A$2:$M$936,3,0),""))</f>
        <v/>
      </c>
      <c r="C994" s="70" t="str">
        <f>IF($A$3=" "," ", IFERROR( VLOOKUP($A994,'SUPPLIER DATA BASE'!$A$2:$F$936,6,0),""))</f>
        <v/>
      </c>
      <c r="D994" s="70" t="str">
        <f>IF($A$3=" "," ", IFERROR( VLOOKUP($A994,'SUPPLIER DATA BASE'!$A$2:$G$936,4,0),""))</f>
        <v/>
      </c>
      <c r="E994" s="71" t="str">
        <f>IF($A$3=" "," ", IFERROR( VLOOKUP($A994,'SUPPLIER DATA BASE'!$A$2:$H$936,5,0),""))</f>
        <v/>
      </c>
      <c r="F994" s="72"/>
      <c r="G994" s="73"/>
      <c r="H994" s="74"/>
      <c r="I994" s="75"/>
      <c r="J994" s="76" t="s">
        <v>2978</v>
      </c>
      <c r="K994" s="76" t="s">
        <v>2979</v>
      </c>
      <c r="L994" s="73"/>
      <c r="M994" s="70" t="str">
        <f t="shared" si="3"/>
        <v/>
      </c>
      <c r="N994" s="70" t="str">
        <f>IF($A$3=" "," ", IFERROR( VLOOKUP($A994,'SUPPLIER DATA BASE'!$A$2:$O$936,11,0),""))</f>
        <v/>
      </c>
      <c r="O994" s="70" t="str">
        <f>IF($A$3=" "," ", IFERROR( VLOOKUP($A994,'SUPPLIER DATA BASE'!$A$2:$O$936,12,0),""))</f>
        <v/>
      </c>
      <c r="P994" s="70" t="str">
        <f>IF($A$3=" "," ", IFERROR( VLOOKUP($A994,'SUPPLIER DATA BASE'!$A$2:$O$936,13,0),""))</f>
        <v/>
      </c>
      <c r="Q994" s="77"/>
      <c r="R994" s="73"/>
      <c r="S994" s="77"/>
      <c r="T994" s="70"/>
      <c r="U994" s="78"/>
      <c r="V994" s="70" t="str">
        <f t="shared" si="6"/>
        <v/>
      </c>
      <c r="W994" s="23"/>
      <c r="X994" s="23"/>
    </row>
    <row r="995">
      <c r="A995" s="70" t="s">
        <v>658</v>
      </c>
      <c r="B995" s="70" t="str">
        <f>IF($A$3=" "," ", IFERROR( VLOOKUP($A995,'SUPPLIER DATA BASE'!$A$2:$M$936,3,0),""))</f>
        <v>-</v>
      </c>
      <c r="C995" s="70" t="str">
        <f>IF($A$3=" "," ", IFERROR( VLOOKUP($A995,'SUPPLIER DATA BASE'!$A$2:$F$936,6,0),""))</f>
        <v>-</v>
      </c>
      <c r="D995" s="70" t="str">
        <f>IF($A$3=" "," ", IFERROR( VLOOKUP($A995,'SUPPLIER DATA BASE'!$A$2:$G$936,4,0),""))</f>
        <v>-</v>
      </c>
      <c r="E995" s="71" t="str">
        <f>IF($A$3=" "," ", IFERROR( VLOOKUP($A995,'SUPPLIER DATA BASE'!$A$2:$H$936,5,0),""))</f>
        <v>-</v>
      </c>
      <c r="F995" s="72"/>
      <c r="G995" s="73"/>
      <c r="H995" s="74"/>
      <c r="I995" s="75"/>
      <c r="J995" s="76" t="s">
        <v>2980</v>
      </c>
      <c r="K995" s="76" t="s">
        <v>2981</v>
      </c>
      <c r="L995" s="73"/>
      <c r="M995" s="70" t="str">
        <f t="shared" si="3"/>
        <v/>
      </c>
      <c r="N995" s="70" t="str">
        <f>IF($A$3=" "," ", IFERROR( VLOOKUP($A995,'SUPPLIER DATA BASE'!$A$2:$O$936,11,0),""))</f>
        <v>-</v>
      </c>
      <c r="O995" s="70" t="str">
        <f>IF($A$3=" "," ", IFERROR( VLOOKUP($A995,'SUPPLIER DATA BASE'!$A$2:$O$936,12,0),""))</f>
        <v>-</v>
      </c>
      <c r="P995" s="70" t="str">
        <f>IF($A$3=" "," ", IFERROR( VLOOKUP($A995,'SUPPLIER DATA BASE'!$A$2:$O$936,13,0),""))</f>
        <v>-</v>
      </c>
      <c r="Q995" s="77"/>
      <c r="R995" s="73"/>
      <c r="S995" s="77"/>
      <c r="T995" s="70"/>
      <c r="U995" s="78"/>
      <c r="V995" s="70" t="str">
        <f t="shared" si="6"/>
        <v/>
      </c>
      <c r="W995" s="23"/>
      <c r="X995" s="23"/>
    </row>
    <row r="996">
      <c r="A996" s="70"/>
      <c r="B996" s="70" t="str">
        <f>IF($A$3=" "," ", IFERROR( VLOOKUP($A996,'SUPPLIER DATA BASE'!$A$2:$M$936,3,0),""))</f>
        <v/>
      </c>
      <c r="C996" s="70" t="str">
        <f>IF($A$3=" "," ", IFERROR( VLOOKUP($A996,'SUPPLIER DATA BASE'!$A$2:$F$936,6,0),""))</f>
        <v/>
      </c>
      <c r="D996" s="70" t="str">
        <f>IF($A$3=" "," ", IFERROR( VLOOKUP($A996,'SUPPLIER DATA BASE'!$A$2:$G$936,4,0),""))</f>
        <v/>
      </c>
      <c r="E996" s="71" t="str">
        <f>IF($A$3=" "," ", IFERROR( VLOOKUP($A996,'SUPPLIER DATA BASE'!$A$2:$H$936,5,0),""))</f>
        <v/>
      </c>
      <c r="F996" s="72"/>
      <c r="G996" s="73"/>
      <c r="H996" s="74"/>
      <c r="I996" s="75"/>
      <c r="J996" s="76" t="s">
        <v>2982</v>
      </c>
      <c r="K996" s="76" t="s">
        <v>2983</v>
      </c>
      <c r="L996" s="73"/>
      <c r="M996" s="70" t="str">
        <f t="shared" si="3"/>
        <v/>
      </c>
      <c r="N996" s="70" t="str">
        <f>IF($A$3=" "," ", IFERROR( VLOOKUP($A996,'SUPPLIER DATA BASE'!$A$2:$O$936,11,0),""))</f>
        <v/>
      </c>
      <c r="O996" s="70" t="str">
        <f>IF($A$3=" "," ", IFERROR( VLOOKUP($A996,'SUPPLIER DATA BASE'!$A$2:$O$936,12,0),""))</f>
        <v/>
      </c>
      <c r="P996" s="70" t="str">
        <f>IF($A$3=" "," ", IFERROR( VLOOKUP($A996,'SUPPLIER DATA BASE'!$A$2:$O$936,13,0),""))</f>
        <v/>
      </c>
      <c r="Q996" s="77"/>
      <c r="R996" s="73"/>
      <c r="S996" s="77"/>
      <c r="T996" s="70"/>
      <c r="U996" s="78"/>
      <c r="V996" s="70" t="str">
        <f t="shared" si="6"/>
        <v/>
      </c>
      <c r="W996" s="23"/>
      <c r="X996" s="23"/>
    </row>
    <row r="997">
      <c r="A997" s="70"/>
      <c r="B997" s="70" t="str">
        <f>IF($A$3=" "," ", IFERROR( VLOOKUP($A997,'SUPPLIER DATA BASE'!$A$2:$M$936,3,0),""))</f>
        <v/>
      </c>
      <c r="C997" s="70" t="str">
        <f>IF($A$3=" "," ", IFERROR( VLOOKUP($A997,'SUPPLIER DATA BASE'!$A$2:$F$936,6,0),""))</f>
        <v/>
      </c>
      <c r="D997" s="70" t="str">
        <f>IF($A$3=" "," ", IFERROR( VLOOKUP($A997,'SUPPLIER DATA BASE'!$A$2:$G$936,4,0),""))</f>
        <v/>
      </c>
      <c r="E997" s="71" t="str">
        <f>IF($A$3=" "," ", IFERROR( VLOOKUP($A997,'SUPPLIER DATA BASE'!$A$2:$H$936,5,0),""))</f>
        <v/>
      </c>
      <c r="F997" s="72"/>
      <c r="G997" s="73"/>
      <c r="H997" s="74"/>
      <c r="I997" s="75"/>
      <c r="J997" s="76" t="s">
        <v>2984</v>
      </c>
      <c r="K997" s="76" t="s">
        <v>2985</v>
      </c>
      <c r="L997" s="73"/>
      <c r="M997" s="70" t="str">
        <f t="shared" si="3"/>
        <v/>
      </c>
      <c r="N997" s="70" t="str">
        <f>IF($A$3=" "," ", IFERROR( VLOOKUP($A997,'SUPPLIER DATA BASE'!$A$2:$O$936,11,0),""))</f>
        <v/>
      </c>
      <c r="O997" s="70" t="str">
        <f>IF($A$3=" "," ", IFERROR( VLOOKUP($A997,'SUPPLIER DATA BASE'!$A$2:$O$936,12,0),""))</f>
        <v/>
      </c>
      <c r="P997" s="70" t="str">
        <f>IF($A$3=" "," ", IFERROR( VLOOKUP($A997,'SUPPLIER DATA BASE'!$A$2:$O$936,13,0),""))</f>
        <v/>
      </c>
      <c r="Q997" s="77"/>
      <c r="R997" s="73"/>
      <c r="S997" s="77"/>
      <c r="T997" s="70"/>
      <c r="U997" s="78"/>
      <c r="V997" s="70" t="str">
        <f t="shared" si="6"/>
        <v/>
      </c>
      <c r="W997" s="23"/>
      <c r="X997" s="23"/>
    </row>
    <row r="998">
      <c r="A998" s="70"/>
      <c r="B998" s="70" t="str">
        <f>IF($A$3=" "," ", IFERROR( VLOOKUP($A998,'SUPPLIER DATA BASE'!$A$2:$M$936,3,0),""))</f>
        <v/>
      </c>
      <c r="C998" s="70" t="str">
        <f>IF($A$3=" "," ", IFERROR( VLOOKUP($A998,'SUPPLIER DATA BASE'!$A$2:$F$936,6,0),""))</f>
        <v/>
      </c>
      <c r="D998" s="70" t="str">
        <f>IF($A$3=" "," ", IFERROR( VLOOKUP($A998,'SUPPLIER DATA BASE'!$A$2:$G$936,4,0),""))</f>
        <v/>
      </c>
      <c r="E998" s="71" t="str">
        <f>IF($A$3=" "," ", IFERROR( VLOOKUP($A998,'SUPPLIER DATA BASE'!$A$2:$H$936,5,0),""))</f>
        <v/>
      </c>
      <c r="F998" s="72"/>
      <c r="G998" s="73"/>
      <c r="H998" s="74"/>
      <c r="I998" s="75"/>
      <c r="J998" s="76" t="s">
        <v>2986</v>
      </c>
      <c r="K998" s="76" t="s">
        <v>2987</v>
      </c>
      <c r="L998" s="73"/>
      <c r="M998" s="70" t="str">
        <f t="shared" si="3"/>
        <v/>
      </c>
      <c r="N998" s="70" t="str">
        <f>IF($A$3=" "," ", IFERROR( VLOOKUP($A998,'SUPPLIER DATA BASE'!$A$2:$O$936,11,0),""))</f>
        <v/>
      </c>
      <c r="O998" s="70" t="str">
        <f>IF($A$3=" "," ", IFERROR( VLOOKUP($A998,'SUPPLIER DATA BASE'!$A$2:$O$936,12,0),""))</f>
        <v/>
      </c>
      <c r="P998" s="70" t="str">
        <f>IF($A$3=" "," ", IFERROR( VLOOKUP($A998,'SUPPLIER DATA BASE'!$A$2:$O$936,13,0),""))</f>
        <v/>
      </c>
      <c r="Q998" s="77"/>
      <c r="R998" s="73"/>
      <c r="S998" s="77"/>
      <c r="T998" s="70"/>
      <c r="U998" s="78"/>
      <c r="V998" s="70" t="str">
        <f t="shared" si="6"/>
        <v/>
      </c>
      <c r="W998" s="23"/>
      <c r="X998" s="23"/>
    </row>
    <row r="999">
      <c r="A999" s="70" t="s">
        <v>689</v>
      </c>
      <c r="B999" s="70" t="str">
        <f>IF($A$3=" "," ", IFERROR( VLOOKUP($A999,'SUPPLIER DATA BASE'!$A$2:$M$936,3,0),""))</f>
        <v>-</v>
      </c>
      <c r="C999" s="70" t="str">
        <f>IF($A$3=" "," ", IFERROR( VLOOKUP($A999,'SUPPLIER DATA BASE'!$A$2:$F$936,6,0),""))</f>
        <v>-</v>
      </c>
      <c r="D999" s="70" t="str">
        <f>IF($A$3=" "," ", IFERROR( VLOOKUP($A999,'SUPPLIER DATA BASE'!$A$2:$G$936,4,0),""))</f>
        <v>-</v>
      </c>
      <c r="E999" s="71" t="str">
        <f>IF($A$3=" "," ", IFERROR( VLOOKUP($A999,'SUPPLIER DATA BASE'!$A$2:$H$936,5,0),""))</f>
        <v>-</v>
      </c>
      <c r="F999" s="72"/>
      <c r="G999" s="73"/>
      <c r="H999" s="74"/>
      <c r="I999" s="75"/>
      <c r="J999" s="76" t="s">
        <v>2988</v>
      </c>
      <c r="K999" s="76" t="s">
        <v>2989</v>
      </c>
      <c r="L999" s="73"/>
      <c r="M999" s="70" t="str">
        <f t="shared" si="3"/>
        <v/>
      </c>
      <c r="N999" s="70" t="str">
        <f>IF($A$3=" "," ", IFERROR( VLOOKUP($A999,'SUPPLIER DATA BASE'!$A$2:$O$936,11,0),""))</f>
        <v>-</v>
      </c>
      <c r="O999" s="70" t="str">
        <f>IF($A$3=" "," ", IFERROR( VLOOKUP($A999,'SUPPLIER DATA BASE'!$A$2:$O$936,12,0),""))</f>
        <v>-</v>
      </c>
      <c r="P999" s="70" t="str">
        <f>IF($A$3=" "," ", IFERROR( VLOOKUP($A999,'SUPPLIER DATA BASE'!$A$2:$O$936,13,0),""))</f>
        <v>-</v>
      </c>
      <c r="Q999" s="77"/>
      <c r="R999" s="73"/>
      <c r="S999" s="77"/>
      <c r="T999" s="70"/>
      <c r="U999" s="78"/>
      <c r="V999" s="70" t="str">
        <f t="shared" si="6"/>
        <v/>
      </c>
      <c r="W999" s="23"/>
      <c r="X999" s="23"/>
    </row>
    <row r="1000">
      <c r="A1000" s="70" t="s">
        <v>805</v>
      </c>
      <c r="B1000" s="70" t="str">
        <f>IF($A$3=" "," ", IFERROR( VLOOKUP($A1000,'SUPPLIER DATA BASE'!$A$2:$M$936,3,0),""))</f>
        <v>-</v>
      </c>
      <c r="C1000" s="70" t="str">
        <f>IF($A$3=" "," ", IFERROR( VLOOKUP($A1000,'SUPPLIER DATA BASE'!$A$2:$F$936,6,0),""))</f>
        <v>SURYAM TEXTILE AGENCY</v>
      </c>
      <c r="D1000" s="70" t="str">
        <f>IF($A$3=" "," ", IFERROR( VLOOKUP($A1000,'SUPPLIER DATA BASE'!$A$2:$G$936,4,0),""))</f>
        <v>NO</v>
      </c>
      <c r="E1000" s="71" t="str">
        <f>IF($A$3=" "," ", IFERROR( VLOOKUP($A1000,'SUPPLIER DATA BASE'!$A$2:$H$936,5,0),""))</f>
        <v>-</v>
      </c>
      <c r="F1000" s="72"/>
      <c r="G1000" s="73"/>
      <c r="H1000" s="74"/>
      <c r="I1000" s="75"/>
      <c r="J1000" s="76" t="s">
        <v>2990</v>
      </c>
      <c r="K1000" s="76" t="s">
        <v>2991</v>
      </c>
      <c r="L1000" s="73"/>
      <c r="M1000" s="70" t="str">
        <f t="shared" si="3"/>
        <v/>
      </c>
      <c r="N1000" s="70" t="str">
        <f>IF($A$3=" "," ", IFERROR( VLOOKUP($A1000,'SUPPLIER DATA BASE'!$A$2:$O$936,11,0),""))</f>
        <v>WILSON PRINTS</v>
      </c>
      <c r="O1000" s="70" t="str">
        <f>IF($A$3=" "," ", IFERROR( VLOOKUP($A1000,'SUPPLIER DATA BASE'!$A$2:$O$936,12,0),""))</f>
        <v>510044017719</v>
      </c>
      <c r="P1000" s="70" t="str">
        <f>IF($A$3=" "," ", IFERROR( VLOOKUP($A1000,'SUPPLIER DATA BASE'!$A$2:$O$936,13,0),""))</f>
        <v>KKBK0002852</v>
      </c>
      <c r="Q1000" s="77"/>
      <c r="R1000" s="73"/>
      <c r="S1000" s="77"/>
      <c r="T1000" s="70"/>
      <c r="U1000" s="78"/>
      <c r="V1000" s="70" t="str">
        <f t="shared" si="6"/>
        <v/>
      </c>
      <c r="W1000" s="23"/>
      <c r="X1000" s="23"/>
    </row>
    <row r="1001">
      <c r="A1001" s="70" t="s">
        <v>354</v>
      </c>
      <c r="B1001" s="70" t="str">
        <f>IF($A$3=" "," ", IFERROR( VLOOKUP($A1001,'SUPPLIER DATA BASE'!$A$2:$M$936,3,0),""))</f>
        <v>-</v>
      </c>
      <c r="C1001" s="70" t="str">
        <f>IF($A$3=" "," ", IFERROR( VLOOKUP($A1001,'SUPPLIER DATA BASE'!$A$2:$F$936,6,0),""))</f>
        <v>-</v>
      </c>
      <c r="D1001" s="70" t="str">
        <f>IF($A$3=" "," ", IFERROR( VLOOKUP($A1001,'SUPPLIER DATA BASE'!$A$2:$G$936,4,0),""))</f>
        <v>-</v>
      </c>
      <c r="E1001" s="71" t="str">
        <f>IF($A$3=" "," ", IFERROR( VLOOKUP($A1001,'SUPPLIER DATA BASE'!$A$2:$H$936,5,0),""))</f>
        <v>-</v>
      </c>
      <c r="F1001" s="72" t="s">
        <v>2992</v>
      </c>
      <c r="G1001" s="73"/>
      <c r="H1001" s="74"/>
      <c r="I1001" s="75"/>
      <c r="J1001" s="76" t="s">
        <v>2993</v>
      </c>
      <c r="K1001" s="76" t="s">
        <v>2994</v>
      </c>
      <c r="L1001" s="73"/>
      <c r="M1001" s="70" t="str">
        <f t="shared" si="3"/>
        <v/>
      </c>
      <c r="N1001" s="70" t="str">
        <f>IF($A$3=" "," ", IFERROR( VLOOKUP($A1001,'SUPPLIER DATA BASE'!$A$2:$O$936,11,0),""))</f>
        <v>-</v>
      </c>
      <c r="O1001" s="70" t="str">
        <f>IF($A$3=" "," ", IFERROR( VLOOKUP($A1001,'SUPPLIER DATA BASE'!$A$2:$O$936,12,0),""))</f>
        <v>-</v>
      </c>
      <c r="P1001" s="70" t="str">
        <f>IF($A$3=" "," ", IFERROR( VLOOKUP($A1001,'SUPPLIER DATA BASE'!$A$2:$O$936,13,0),""))</f>
        <v>-</v>
      </c>
      <c r="Q1001" s="77"/>
      <c r="R1001" s="73"/>
      <c r="S1001" s="77"/>
      <c r="T1001" s="70"/>
      <c r="U1001" s="78"/>
      <c r="V1001" s="70" t="str">
        <f t="shared" si="6"/>
        <v/>
      </c>
      <c r="W1001" s="23"/>
      <c r="X1001" s="23"/>
    </row>
    <row r="1002">
      <c r="A1002" s="70" t="s">
        <v>354</v>
      </c>
      <c r="B1002" s="70" t="str">
        <f>IF($A$3=" "," ", IFERROR( VLOOKUP($A1002,'SUPPLIER DATA BASE'!$A$2:$M$936,3,0),""))</f>
        <v>-</v>
      </c>
      <c r="C1002" s="70" t="str">
        <f>IF($A$3=" "," ", IFERROR( VLOOKUP($A1002,'SUPPLIER DATA BASE'!$A$2:$F$936,6,0),""))</f>
        <v>-</v>
      </c>
      <c r="D1002" s="70" t="str">
        <f>IF($A$3=" "," ", IFERROR( VLOOKUP($A1002,'SUPPLIER DATA BASE'!$A$2:$G$936,4,0),""))</f>
        <v>-</v>
      </c>
      <c r="E1002" s="71" t="str">
        <f>IF($A$3=" "," ", IFERROR( VLOOKUP($A1002,'SUPPLIER DATA BASE'!$A$2:$H$936,5,0),""))</f>
        <v>-</v>
      </c>
      <c r="F1002" s="72" t="s">
        <v>2995</v>
      </c>
      <c r="G1002" s="73"/>
      <c r="H1002" s="74"/>
      <c r="I1002" s="75"/>
      <c r="J1002" s="76" t="s">
        <v>2996</v>
      </c>
      <c r="K1002" s="76" t="s">
        <v>2997</v>
      </c>
      <c r="L1002" s="73"/>
      <c r="M1002" s="70" t="str">
        <f t="shared" si="3"/>
        <v/>
      </c>
      <c r="N1002" s="70" t="str">
        <f>IF($A$3=" "," ", IFERROR( VLOOKUP($A1002,'SUPPLIER DATA BASE'!$A$2:$O$936,11,0),""))</f>
        <v>-</v>
      </c>
      <c r="O1002" s="70" t="str">
        <f>IF($A$3=" "," ", IFERROR( VLOOKUP($A1002,'SUPPLIER DATA BASE'!$A$2:$O$936,12,0),""))</f>
        <v>-</v>
      </c>
      <c r="P1002" s="70" t="str">
        <f>IF($A$3=" "," ", IFERROR( VLOOKUP($A1002,'SUPPLIER DATA BASE'!$A$2:$O$936,13,0),""))</f>
        <v>-</v>
      </c>
      <c r="Q1002" s="77"/>
      <c r="R1002" s="73"/>
      <c r="S1002" s="77"/>
      <c r="T1002" s="70"/>
      <c r="U1002" s="78"/>
      <c r="V1002" s="70" t="str">
        <f t="shared" si="6"/>
        <v/>
      </c>
      <c r="W1002" s="23"/>
      <c r="X1002" s="23"/>
    </row>
    <row r="1003">
      <c r="A1003" s="70"/>
      <c r="B1003" s="70" t="str">
        <f>IF($A$3=" "," ", IFERROR( VLOOKUP($A1003,'SUPPLIER DATA BASE'!$A$2:$M$936,3,0),""))</f>
        <v/>
      </c>
      <c r="C1003" s="70" t="str">
        <f>IF($A$3=" "," ", IFERROR( VLOOKUP($A1003,'SUPPLIER DATA BASE'!$A$2:$F$936,6,0),""))</f>
        <v/>
      </c>
      <c r="D1003" s="70" t="str">
        <f>IF($A$3=" "," ", IFERROR( VLOOKUP($A1003,'SUPPLIER DATA BASE'!$A$2:$G$936,4,0),""))</f>
        <v/>
      </c>
      <c r="E1003" s="71" t="str">
        <f>IF($A$3=" "," ", IFERROR( VLOOKUP($A1003,'SUPPLIER DATA BASE'!$A$2:$H$936,5,0),""))</f>
        <v/>
      </c>
      <c r="F1003" s="72"/>
      <c r="G1003" s="73"/>
      <c r="H1003" s="74"/>
      <c r="I1003" s="75"/>
      <c r="J1003" s="76" t="s">
        <v>2998</v>
      </c>
      <c r="K1003" s="76" t="s">
        <v>2999</v>
      </c>
      <c r="L1003" s="73"/>
      <c r="M1003" s="70" t="str">
        <f t="shared" si="3"/>
        <v/>
      </c>
      <c r="N1003" s="70" t="str">
        <f>IF($A$3=" "," ", IFERROR( VLOOKUP($A1003,'SUPPLIER DATA BASE'!$A$2:$O$936,11,0),""))</f>
        <v/>
      </c>
      <c r="O1003" s="70" t="str">
        <f>IF($A$3=" "," ", IFERROR( VLOOKUP($A1003,'SUPPLIER DATA BASE'!$A$2:$O$936,12,0),""))</f>
        <v/>
      </c>
      <c r="P1003" s="70" t="str">
        <f>IF($A$3=" "," ", IFERROR( VLOOKUP($A1003,'SUPPLIER DATA BASE'!$A$2:$O$936,13,0),""))</f>
        <v/>
      </c>
      <c r="Q1003" s="77"/>
      <c r="R1003" s="73"/>
      <c r="S1003" s="77"/>
      <c r="T1003" s="70"/>
      <c r="U1003" s="78"/>
      <c r="V1003" s="70" t="str">
        <f t="shared" si="6"/>
        <v/>
      </c>
      <c r="W1003" s="23"/>
      <c r="X1003" s="23"/>
    </row>
    <row r="1004">
      <c r="A1004" s="70" t="s">
        <v>689</v>
      </c>
      <c r="B1004" s="70" t="str">
        <f>IF($A$3=" "," ", IFERROR( VLOOKUP($A1004,'SUPPLIER DATA BASE'!$A$2:$M$936,3,0),""))</f>
        <v>-</v>
      </c>
      <c r="C1004" s="70" t="str">
        <f>IF($A$3=" "," ", IFERROR( VLOOKUP($A1004,'SUPPLIER DATA BASE'!$A$2:$F$936,6,0),""))</f>
        <v>-</v>
      </c>
      <c r="D1004" s="70" t="str">
        <f>IF($A$3=" "," ", IFERROR( VLOOKUP($A1004,'SUPPLIER DATA BASE'!$A$2:$G$936,4,0),""))</f>
        <v>-</v>
      </c>
      <c r="E1004" s="71" t="str">
        <f>IF($A$3=" "," ", IFERROR( VLOOKUP($A1004,'SUPPLIER DATA BASE'!$A$2:$H$936,5,0),""))</f>
        <v>-</v>
      </c>
      <c r="F1004" s="72"/>
      <c r="G1004" s="73"/>
      <c r="H1004" s="74"/>
      <c r="I1004" s="75"/>
      <c r="J1004" s="76" t="s">
        <v>3000</v>
      </c>
      <c r="K1004" s="76" t="s">
        <v>3001</v>
      </c>
      <c r="L1004" s="73"/>
      <c r="M1004" s="70" t="str">
        <f t="shared" si="3"/>
        <v/>
      </c>
      <c r="N1004" s="70" t="str">
        <f>IF($A$3=" "," ", IFERROR( VLOOKUP($A1004,'SUPPLIER DATA BASE'!$A$2:$O$936,11,0),""))</f>
        <v>-</v>
      </c>
      <c r="O1004" s="70" t="str">
        <f>IF($A$3=" "," ", IFERROR( VLOOKUP($A1004,'SUPPLIER DATA BASE'!$A$2:$O$936,12,0),""))</f>
        <v>-</v>
      </c>
      <c r="P1004" s="70" t="str">
        <f>IF($A$3=" "," ", IFERROR( VLOOKUP($A1004,'SUPPLIER DATA BASE'!$A$2:$O$936,13,0),""))</f>
        <v>-</v>
      </c>
      <c r="Q1004" s="77"/>
      <c r="R1004" s="73"/>
      <c r="S1004" s="77"/>
      <c r="T1004" s="70"/>
      <c r="U1004" s="78"/>
      <c r="V1004" s="70" t="str">
        <f t="shared" si="6"/>
        <v/>
      </c>
      <c r="W1004" s="23"/>
      <c r="X1004" s="23"/>
    </row>
    <row r="1005">
      <c r="A1005" s="70" t="s">
        <v>354</v>
      </c>
      <c r="B1005" s="70" t="str">
        <f>IF($A$3=" "," ", IFERROR( VLOOKUP($A1005,'SUPPLIER DATA BASE'!$A$2:$M$936,3,0),""))</f>
        <v>-</v>
      </c>
      <c r="C1005" s="70" t="str">
        <f>IF($A$3=" "," ", IFERROR( VLOOKUP($A1005,'SUPPLIER DATA BASE'!$A$2:$F$936,6,0),""))</f>
        <v>-</v>
      </c>
      <c r="D1005" s="70" t="str">
        <f>IF($A$3=" "," ", IFERROR( VLOOKUP($A1005,'SUPPLIER DATA BASE'!$A$2:$G$936,4,0),""))</f>
        <v>-</v>
      </c>
      <c r="E1005" s="71" t="str">
        <f>IF($A$3=" "," ", IFERROR( VLOOKUP($A1005,'SUPPLIER DATA BASE'!$A$2:$H$936,5,0),""))</f>
        <v>-</v>
      </c>
      <c r="F1005" s="72" t="s">
        <v>3002</v>
      </c>
      <c r="G1005" s="73"/>
      <c r="H1005" s="74"/>
      <c r="I1005" s="75"/>
      <c r="J1005" s="76" t="s">
        <v>3003</v>
      </c>
      <c r="K1005" s="76" t="s">
        <v>3004</v>
      </c>
      <c r="L1005" s="73"/>
      <c r="M1005" s="70" t="str">
        <f t="shared" si="3"/>
        <v/>
      </c>
      <c r="N1005" s="70" t="str">
        <f>IF($A$3=" "," ", IFERROR( VLOOKUP($A1005,'SUPPLIER DATA BASE'!$A$2:$O$936,11,0),""))</f>
        <v>-</v>
      </c>
      <c r="O1005" s="70" t="str">
        <f>IF($A$3=" "," ", IFERROR( VLOOKUP($A1005,'SUPPLIER DATA BASE'!$A$2:$O$936,12,0),""))</f>
        <v>-</v>
      </c>
      <c r="P1005" s="70" t="str">
        <f>IF($A$3=" "," ", IFERROR( VLOOKUP($A1005,'SUPPLIER DATA BASE'!$A$2:$O$936,13,0),""))</f>
        <v>-</v>
      </c>
      <c r="Q1005" s="77"/>
      <c r="R1005" s="73"/>
      <c r="S1005" s="77"/>
      <c r="T1005" s="70"/>
      <c r="U1005" s="78"/>
      <c r="V1005" s="70" t="str">
        <f t="shared" si="6"/>
        <v/>
      </c>
      <c r="W1005" s="23"/>
      <c r="X1005" s="23"/>
    </row>
    <row r="1006">
      <c r="A1006" s="70" t="s">
        <v>609</v>
      </c>
      <c r="B1006" s="70" t="str">
        <f>IF($A$3=" "," ", IFERROR( VLOOKUP($A1006,'SUPPLIER DATA BASE'!$A$2:$M$936,3,0),""))</f>
        <v>-</v>
      </c>
      <c r="C1006" s="70" t="str">
        <f>IF($A$3=" "," ", IFERROR( VLOOKUP($A1006,'SUPPLIER DATA BASE'!$A$2:$F$936,6,0),""))</f>
        <v>-</v>
      </c>
      <c r="D1006" s="70" t="str">
        <f>IF($A$3=" "," ", IFERROR( VLOOKUP($A1006,'SUPPLIER DATA BASE'!$A$2:$G$936,4,0),""))</f>
        <v>-</v>
      </c>
      <c r="E1006" s="71" t="str">
        <f>IF($A$3=" "," ", IFERROR( VLOOKUP($A1006,'SUPPLIER DATA BASE'!$A$2:$H$936,5,0),""))</f>
        <v>-</v>
      </c>
      <c r="F1006" s="72"/>
      <c r="G1006" s="73"/>
      <c r="H1006" s="74"/>
      <c r="I1006" s="75"/>
      <c r="J1006" s="76" t="s">
        <v>3005</v>
      </c>
      <c r="K1006" s="76" t="s">
        <v>3006</v>
      </c>
      <c r="L1006" s="73"/>
      <c r="M1006" s="70" t="str">
        <f t="shared" si="3"/>
        <v/>
      </c>
      <c r="N1006" s="70" t="str">
        <f>IF($A$3=" "," ", IFERROR( VLOOKUP($A1006,'SUPPLIER DATA BASE'!$A$2:$O$936,11,0),""))</f>
        <v>P R MODI AND SONS</v>
      </c>
      <c r="O1006" s="70" t="str">
        <f>IF($A$3=" "," ", IFERROR( VLOOKUP($A1006,'SUPPLIER DATA BASE'!$A$2:$O$936,12,0),""))</f>
        <v>490930150000030</v>
      </c>
      <c r="P1006" s="70" t="str">
        <f>IF($A$3=" "," ", IFERROR( VLOOKUP($A1006,'SUPPLIER DATA BASE'!$A$2:$O$936,13,0),""))</f>
        <v>BKID0004909</v>
      </c>
      <c r="Q1006" s="77"/>
      <c r="R1006" s="73"/>
      <c r="S1006" s="77"/>
      <c r="T1006" s="70"/>
      <c r="U1006" s="78"/>
      <c r="V1006" s="70" t="str">
        <f t="shared" si="6"/>
        <v/>
      </c>
      <c r="W1006" s="23"/>
      <c r="X1006" s="23"/>
    </row>
    <row r="1007">
      <c r="A1007" s="70" t="s">
        <v>689</v>
      </c>
      <c r="B1007" s="70" t="str">
        <f>IF($A$3=" "," ", IFERROR( VLOOKUP($A1007,'SUPPLIER DATA BASE'!$A$2:$M$936,3,0),""))</f>
        <v>-</v>
      </c>
      <c r="C1007" s="70" t="str">
        <f>IF($A$3=" "," ", IFERROR( VLOOKUP($A1007,'SUPPLIER DATA BASE'!$A$2:$F$936,6,0),""))</f>
        <v>-</v>
      </c>
      <c r="D1007" s="70" t="str">
        <f>IF($A$3=" "," ", IFERROR( VLOOKUP($A1007,'SUPPLIER DATA BASE'!$A$2:$G$936,4,0),""))</f>
        <v>-</v>
      </c>
      <c r="E1007" s="71" t="str">
        <f>IF($A$3=" "," ", IFERROR( VLOOKUP($A1007,'SUPPLIER DATA BASE'!$A$2:$H$936,5,0),""))</f>
        <v>-</v>
      </c>
      <c r="F1007" s="72"/>
      <c r="G1007" s="73"/>
      <c r="H1007" s="74"/>
      <c r="I1007" s="75"/>
      <c r="J1007" s="76" t="s">
        <v>3007</v>
      </c>
      <c r="K1007" s="76" t="s">
        <v>3008</v>
      </c>
      <c r="L1007" s="73"/>
      <c r="M1007" s="70" t="str">
        <f t="shared" si="3"/>
        <v/>
      </c>
      <c r="N1007" s="70" t="str">
        <f>IF($A$3=" "," ", IFERROR( VLOOKUP($A1007,'SUPPLIER DATA BASE'!$A$2:$O$936,11,0),""))</f>
        <v>-</v>
      </c>
      <c r="O1007" s="70" t="str">
        <f>IF($A$3=" "," ", IFERROR( VLOOKUP($A1007,'SUPPLIER DATA BASE'!$A$2:$O$936,12,0),""))</f>
        <v>-</v>
      </c>
      <c r="P1007" s="70" t="str">
        <f>IF($A$3=" "," ", IFERROR( VLOOKUP($A1007,'SUPPLIER DATA BASE'!$A$2:$O$936,13,0),""))</f>
        <v>-</v>
      </c>
      <c r="Q1007" s="77"/>
      <c r="R1007" s="73"/>
      <c r="S1007" s="77"/>
      <c r="T1007" s="70"/>
      <c r="U1007" s="78"/>
      <c r="V1007" s="70" t="str">
        <f t="shared" si="6"/>
        <v/>
      </c>
      <c r="W1007" s="23"/>
      <c r="X1007" s="23"/>
    </row>
    <row r="1008">
      <c r="A1008" s="70"/>
      <c r="B1008" s="70" t="str">
        <f>IF($A$3=" "," ", IFERROR( VLOOKUP($A1008,'SUPPLIER DATA BASE'!$A$2:$M$936,3,0),""))</f>
        <v/>
      </c>
      <c r="C1008" s="70" t="str">
        <f>IF($A$3=" "," ", IFERROR( VLOOKUP($A1008,'SUPPLIER DATA BASE'!$A$2:$F$936,6,0),""))</f>
        <v/>
      </c>
      <c r="D1008" s="70" t="str">
        <f>IF($A$3=" "," ", IFERROR( VLOOKUP($A1008,'SUPPLIER DATA BASE'!$A$2:$G$936,4,0),""))</f>
        <v/>
      </c>
      <c r="E1008" s="71" t="str">
        <f>IF($A$3=" "," ", IFERROR( VLOOKUP($A1008,'SUPPLIER DATA BASE'!$A$2:$H$936,5,0),""))</f>
        <v/>
      </c>
      <c r="F1008" s="72"/>
      <c r="G1008" s="73"/>
      <c r="H1008" s="74"/>
      <c r="I1008" s="75"/>
      <c r="J1008" s="76" t="s">
        <v>3009</v>
      </c>
      <c r="K1008" s="76" t="s">
        <v>3010</v>
      </c>
      <c r="L1008" s="73"/>
      <c r="M1008" s="70" t="str">
        <f t="shared" si="3"/>
        <v/>
      </c>
      <c r="N1008" s="70" t="str">
        <f>IF($A$3=" "," ", IFERROR( VLOOKUP($A1008,'SUPPLIER DATA BASE'!$A$2:$O$936,11,0),""))</f>
        <v/>
      </c>
      <c r="O1008" s="70" t="str">
        <f>IF($A$3=" "," ", IFERROR( VLOOKUP($A1008,'SUPPLIER DATA BASE'!$A$2:$O$936,12,0),""))</f>
        <v/>
      </c>
      <c r="P1008" s="70" t="str">
        <f>IF($A$3=" "," ", IFERROR( VLOOKUP($A1008,'SUPPLIER DATA BASE'!$A$2:$O$936,13,0),""))</f>
        <v/>
      </c>
      <c r="Q1008" s="77"/>
      <c r="R1008" s="73"/>
      <c r="S1008" s="77"/>
      <c r="T1008" s="70"/>
      <c r="U1008" s="78"/>
      <c r="V1008" s="70" t="str">
        <f t="shared" si="6"/>
        <v/>
      </c>
      <c r="W1008" s="23"/>
      <c r="X1008" s="23"/>
    </row>
    <row r="1009">
      <c r="A1009" s="70"/>
      <c r="B1009" s="70" t="str">
        <f>IF($A$3=" "," ", IFERROR( VLOOKUP($A1009,'SUPPLIER DATA BASE'!$A$2:$M$936,3,0),""))</f>
        <v/>
      </c>
      <c r="C1009" s="70" t="str">
        <f>IF($A$3=" "," ", IFERROR( VLOOKUP($A1009,'SUPPLIER DATA BASE'!$A$2:$F$936,6,0),""))</f>
        <v/>
      </c>
      <c r="D1009" s="70" t="str">
        <f>IF($A$3=" "," ", IFERROR( VLOOKUP($A1009,'SUPPLIER DATA BASE'!$A$2:$G$936,4,0),""))</f>
        <v/>
      </c>
      <c r="E1009" s="71" t="str">
        <f>IF($A$3=" "," ", IFERROR( VLOOKUP($A1009,'SUPPLIER DATA BASE'!$A$2:$H$936,5,0),""))</f>
        <v/>
      </c>
      <c r="F1009" s="72"/>
      <c r="G1009" s="73"/>
      <c r="H1009" s="74"/>
      <c r="I1009" s="75"/>
      <c r="J1009" s="76" t="s">
        <v>3011</v>
      </c>
      <c r="K1009" s="76" t="s">
        <v>3012</v>
      </c>
      <c r="L1009" s="73"/>
      <c r="M1009" s="70" t="str">
        <f t="shared" si="3"/>
        <v/>
      </c>
      <c r="N1009" s="70" t="str">
        <f>IF($A$3=" "," ", IFERROR( VLOOKUP($A1009,'SUPPLIER DATA BASE'!$A$2:$O$936,11,0),""))</f>
        <v/>
      </c>
      <c r="O1009" s="70" t="str">
        <f>IF($A$3=" "," ", IFERROR( VLOOKUP($A1009,'SUPPLIER DATA BASE'!$A$2:$O$936,12,0),""))</f>
        <v/>
      </c>
      <c r="P1009" s="70" t="str">
        <f>IF($A$3=" "," ", IFERROR( VLOOKUP($A1009,'SUPPLIER DATA BASE'!$A$2:$O$936,13,0),""))</f>
        <v/>
      </c>
      <c r="Q1009" s="77"/>
      <c r="R1009" s="73"/>
      <c r="S1009" s="77"/>
      <c r="T1009" s="70"/>
      <c r="U1009" s="78"/>
      <c r="V1009" s="70" t="str">
        <f t="shared" si="6"/>
        <v/>
      </c>
      <c r="W1009" s="23"/>
      <c r="X1009" s="23"/>
    </row>
    <row r="1010">
      <c r="A1010" s="70" t="s">
        <v>692</v>
      </c>
      <c r="B1010" s="70" t="str">
        <f>IF($A$3=" "," ", IFERROR( VLOOKUP($A1010,'SUPPLIER DATA BASE'!$A$2:$M$936,3,0),""))</f>
        <v>JOCKEY</v>
      </c>
      <c r="C1010" s="70" t="str">
        <f>IF($A$3=" "," ", IFERROR( VLOOKUP($A1010,'SUPPLIER DATA BASE'!$A$2:$F$936,6,0),""))</f>
        <v>DIRECT</v>
      </c>
      <c r="D1010" s="70">
        <f>IF($A$3=" "," ", IFERROR( VLOOKUP($A1010,'SUPPLIER DATA BASE'!$A$2:$G$936,4,0),""))</f>
        <v>30</v>
      </c>
      <c r="E1010" s="71">
        <f>IF($A$3=" "," ", IFERROR( VLOOKUP($A1010,'SUPPLIER DATA BASE'!$A$2:$H$936,5,0),""))</f>
        <v>2</v>
      </c>
      <c r="F1010" s="72"/>
      <c r="G1010" s="73"/>
      <c r="H1010" s="74"/>
      <c r="I1010" s="75"/>
      <c r="J1010" s="76" t="s">
        <v>3013</v>
      </c>
      <c r="K1010" s="76" t="s">
        <v>3014</v>
      </c>
      <c r="L1010" s="73"/>
      <c r="M1010" s="70" t="str">
        <f t="shared" si="3"/>
        <v/>
      </c>
      <c r="N1010" s="70" t="str">
        <f>IF($A$3=" "," ", IFERROR( VLOOKUP($A1010,'SUPPLIER DATA BASE'!$A$2:$O$936,11,0),""))</f>
        <v>SHREE NARAYANI ENTERPRISE</v>
      </c>
      <c r="O1010" s="70" t="str">
        <f>IF($A$3=" "," ", IFERROR( VLOOKUP($A1010,'SUPPLIER DATA BASE'!$A$2:$O$936,12,0),""))</f>
        <v>29205005382</v>
      </c>
      <c r="P1010" s="70" t="str">
        <f>IF($A$3=" "," ", IFERROR( VLOOKUP($A1010,'SUPPLIER DATA BASE'!$A$2:$O$936,13,0),""))</f>
        <v>ICIC0000292</v>
      </c>
      <c r="Q1010" s="77"/>
      <c r="R1010" s="73"/>
      <c r="S1010" s="77"/>
      <c r="T1010" s="70"/>
      <c r="U1010" s="78"/>
      <c r="V1010" s="70" t="str">
        <f t="shared" si="6"/>
        <v/>
      </c>
      <c r="W1010" s="23"/>
      <c r="X1010" s="23"/>
    </row>
    <row r="1011">
      <c r="A1011" s="70" t="s">
        <v>413</v>
      </c>
      <c r="B1011" s="70" t="str">
        <f>IF($A$3=" "," ", IFERROR( VLOOKUP($A1011,'SUPPLIER DATA BASE'!$A$2:$M$936,3,0),""))</f>
        <v>KILLER</v>
      </c>
      <c r="C1011" s="70" t="str">
        <f>IF($A$3=" "," ", IFERROR( VLOOKUP($A1011,'SUPPLIER DATA BASE'!$A$2:$F$936,6,0),""))</f>
        <v>-</v>
      </c>
      <c r="D1011" s="70" t="str">
        <f>IF($A$3=" "," ", IFERROR( VLOOKUP($A1011,'SUPPLIER DATA BASE'!$A$2:$G$936,4,0),""))</f>
        <v>NO</v>
      </c>
      <c r="E1011" s="71" t="str">
        <f>IF($A$3=" "," ", IFERROR( VLOOKUP($A1011,'SUPPLIER DATA BASE'!$A$2:$H$936,5,0),""))</f>
        <v>-</v>
      </c>
      <c r="F1011" s="72"/>
      <c r="G1011" s="73"/>
      <c r="H1011" s="74"/>
      <c r="I1011" s="75"/>
      <c r="J1011" s="76" t="s">
        <v>3015</v>
      </c>
      <c r="K1011" s="76" t="s">
        <v>3016</v>
      </c>
      <c r="L1011" s="73"/>
      <c r="M1011" s="70" t="str">
        <f t="shared" si="3"/>
        <v/>
      </c>
      <c r="N1011" s="70" t="str">
        <f>IF($A$3=" "," ", IFERROR( VLOOKUP($A1011,'SUPPLIER DATA BASE'!$A$2:$O$936,11,0),""))</f>
        <v>D D SALES CO</v>
      </c>
      <c r="O1011" s="70" t="str">
        <f>IF($A$3=" "," ", IFERROR( VLOOKUP($A1011,'SUPPLIER DATA BASE'!$A$2:$O$936,12,0),""))</f>
        <v>29205007835</v>
      </c>
      <c r="P1011" s="70" t="str">
        <f>IF($A$3=" "," ", IFERROR( VLOOKUP($A1011,'SUPPLIER DATA BASE'!$A$2:$O$936,13,0),""))</f>
        <v>ICIC0000292</v>
      </c>
      <c r="Q1011" s="77"/>
      <c r="R1011" s="73"/>
      <c r="S1011" s="77"/>
      <c r="T1011" s="70"/>
      <c r="U1011" s="78"/>
      <c r="V1011" s="70" t="str">
        <f t="shared" si="6"/>
        <v/>
      </c>
      <c r="W1011" s="23"/>
      <c r="X1011" s="23"/>
    </row>
    <row r="1012">
      <c r="A1012" s="70"/>
      <c r="B1012" s="70" t="str">
        <f>IF($A$3=" "," ", IFERROR( VLOOKUP($A1012,'SUPPLIER DATA BASE'!$A$2:$M$936,3,0),""))</f>
        <v/>
      </c>
      <c r="C1012" s="70" t="str">
        <f>IF($A$3=" "," ", IFERROR( VLOOKUP($A1012,'SUPPLIER DATA BASE'!$A$2:$F$936,6,0),""))</f>
        <v/>
      </c>
      <c r="D1012" s="70" t="str">
        <f>IF($A$3=" "," ", IFERROR( VLOOKUP($A1012,'SUPPLIER DATA BASE'!$A$2:$G$936,4,0),""))</f>
        <v/>
      </c>
      <c r="E1012" s="71" t="str">
        <f>IF($A$3=" "," ", IFERROR( VLOOKUP($A1012,'SUPPLIER DATA BASE'!$A$2:$H$936,5,0),""))</f>
        <v/>
      </c>
      <c r="F1012" s="72"/>
      <c r="G1012" s="73"/>
      <c r="H1012" s="74"/>
      <c r="I1012" s="75"/>
      <c r="J1012" s="76" t="s">
        <v>3017</v>
      </c>
      <c r="K1012" s="76" t="s">
        <v>3018</v>
      </c>
      <c r="L1012" s="73"/>
      <c r="M1012" s="70" t="str">
        <f t="shared" si="3"/>
        <v/>
      </c>
      <c r="N1012" s="70" t="str">
        <f>IF($A$3=" "," ", IFERROR( VLOOKUP($A1012,'SUPPLIER DATA BASE'!$A$2:$O$936,11,0),""))</f>
        <v/>
      </c>
      <c r="O1012" s="70" t="str">
        <f>IF($A$3=" "," ", IFERROR( VLOOKUP($A1012,'SUPPLIER DATA BASE'!$A$2:$O$936,12,0),""))</f>
        <v/>
      </c>
      <c r="P1012" s="70" t="str">
        <f>IF($A$3=" "," ", IFERROR( VLOOKUP($A1012,'SUPPLIER DATA BASE'!$A$2:$O$936,13,0),""))</f>
        <v/>
      </c>
      <c r="Q1012" s="77"/>
      <c r="R1012" s="73"/>
      <c r="S1012" s="77"/>
      <c r="T1012" s="70"/>
      <c r="U1012" s="78"/>
      <c r="V1012" s="70" t="str">
        <f t="shared" si="6"/>
        <v/>
      </c>
      <c r="W1012" s="23"/>
      <c r="X1012" s="23"/>
    </row>
    <row r="1013">
      <c r="A1013" s="70"/>
      <c r="B1013" s="70" t="str">
        <f>IF($A$3=" "," ", IFERROR( VLOOKUP($A1013,'SUPPLIER DATA BASE'!$A$2:$M$936,3,0),""))</f>
        <v/>
      </c>
      <c r="C1013" s="70" t="str">
        <f>IF($A$3=" "," ", IFERROR( VLOOKUP($A1013,'SUPPLIER DATA BASE'!$A$2:$F$936,6,0),""))</f>
        <v/>
      </c>
      <c r="D1013" s="70" t="str">
        <f>IF($A$3=" "," ", IFERROR( VLOOKUP($A1013,'SUPPLIER DATA BASE'!$A$2:$G$936,4,0),""))</f>
        <v/>
      </c>
      <c r="E1013" s="71" t="str">
        <f>IF($A$3=" "," ", IFERROR( VLOOKUP($A1013,'SUPPLIER DATA BASE'!$A$2:$H$936,5,0),""))</f>
        <v/>
      </c>
      <c r="F1013" s="72"/>
      <c r="G1013" s="73"/>
      <c r="H1013" s="74"/>
      <c r="I1013" s="75"/>
      <c r="J1013" s="76" t="s">
        <v>3019</v>
      </c>
      <c r="K1013" s="76" t="s">
        <v>3020</v>
      </c>
      <c r="L1013" s="73"/>
      <c r="M1013" s="70" t="str">
        <f t="shared" si="3"/>
        <v/>
      </c>
      <c r="N1013" s="70" t="str">
        <f>IF($A$3=" "," ", IFERROR( VLOOKUP($A1013,'SUPPLIER DATA BASE'!$A$2:$O$936,11,0),""))</f>
        <v/>
      </c>
      <c r="O1013" s="70" t="str">
        <f>IF($A$3=" "," ", IFERROR( VLOOKUP($A1013,'SUPPLIER DATA BASE'!$A$2:$O$936,12,0),""))</f>
        <v/>
      </c>
      <c r="P1013" s="70" t="str">
        <f>IF($A$3=" "," ", IFERROR( VLOOKUP($A1013,'SUPPLIER DATA BASE'!$A$2:$O$936,13,0),""))</f>
        <v/>
      </c>
      <c r="Q1013" s="77"/>
      <c r="R1013" s="73"/>
      <c r="S1013" s="77"/>
      <c r="T1013" s="70"/>
      <c r="U1013" s="78"/>
      <c r="V1013" s="70" t="str">
        <f t="shared" si="6"/>
        <v/>
      </c>
      <c r="W1013" s="23"/>
      <c r="X1013" s="23"/>
    </row>
    <row r="1014">
      <c r="A1014" s="70"/>
      <c r="B1014" s="70" t="str">
        <f>IF($A$3=" "," ", IFERROR( VLOOKUP($A1014,'SUPPLIER DATA BASE'!$A$2:$M$936,3,0),""))</f>
        <v/>
      </c>
      <c r="C1014" s="70" t="str">
        <f>IF($A$3=" "," ", IFERROR( VLOOKUP($A1014,'SUPPLIER DATA BASE'!$A$2:$F$936,6,0),""))</f>
        <v/>
      </c>
      <c r="D1014" s="70" t="str">
        <f>IF($A$3=" "," ", IFERROR( VLOOKUP($A1014,'SUPPLIER DATA BASE'!$A$2:$G$936,4,0),""))</f>
        <v/>
      </c>
      <c r="E1014" s="71" t="str">
        <f>IF($A$3=" "," ", IFERROR( VLOOKUP($A1014,'SUPPLIER DATA BASE'!$A$2:$H$936,5,0),""))</f>
        <v/>
      </c>
      <c r="F1014" s="72"/>
      <c r="G1014" s="73"/>
      <c r="H1014" s="74"/>
      <c r="I1014" s="75"/>
      <c r="J1014" s="76" t="s">
        <v>3021</v>
      </c>
      <c r="K1014" s="76" t="s">
        <v>3022</v>
      </c>
      <c r="L1014" s="73"/>
      <c r="M1014" s="70" t="str">
        <f t="shared" si="3"/>
        <v/>
      </c>
      <c r="N1014" s="70" t="str">
        <f>IF($A$3=" "," ", IFERROR( VLOOKUP($A1014,'SUPPLIER DATA BASE'!$A$2:$O$936,11,0),""))</f>
        <v/>
      </c>
      <c r="O1014" s="70" t="str">
        <f>IF($A$3=" "," ", IFERROR( VLOOKUP($A1014,'SUPPLIER DATA BASE'!$A$2:$O$936,12,0),""))</f>
        <v/>
      </c>
      <c r="P1014" s="70" t="str">
        <f>IF($A$3=" "," ", IFERROR( VLOOKUP($A1014,'SUPPLIER DATA BASE'!$A$2:$O$936,13,0),""))</f>
        <v/>
      </c>
      <c r="Q1014" s="77"/>
      <c r="R1014" s="73"/>
      <c r="S1014" s="77"/>
      <c r="T1014" s="70"/>
      <c r="U1014" s="78"/>
      <c r="V1014" s="70" t="str">
        <f t="shared" si="6"/>
        <v/>
      </c>
      <c r="W1014" s="23"/>
      <c r="X1014" s="23"/>
    </row>
    <row r="1015">
      <c r="A1015" s="70"/>
      <c r="B1015" s="70" t="str">
        <f>IF($A$3=" "," ", IFERROR( VLOOKUP($A1015,'SUPPLIER DATA BASE'!$A$2:$M$936,3,0),""))</f>
        <v/>
      </c>
      <c r="C1015" s="70" t="str">
        <f>IF($A$3=" "," ", IFERROR( VLOOKUP($A1015,'SUPPLIER DATA BASE'!$A$2:$F$936,6,0),""))</f>
        <v/>
      </c>
      <c r="D1015" s="70" t="str">
        <f>IF($A$3=" "," ", IFERROR( VLOOKUP($A1015,'SUPPLIER DATA BASE'!$A$2:$G$936,4,0),""))</f>
        <v/>
      </c>
      <c r="E1015" s="71" t="str">
        <f>IF($A$3=" "," ", IFERROR( VLOOKUP($A1015,'SUPPLIER DATA BASE'!$A$2:$H$936,5,0),""))</f>
        <v/>
      </c>
      <c r="F1015" s="72"/>
      <c r="G1015" s="73"/>
      <c r="H1015" s="74"/>
      <c r="I1015" s="75"/>
      <c r="J1015" s="76" t="s">
        <v>3023</v>
      </c>
      <c r="K1015" s="76" t="s">
        <v>3024</v>
      </c>
      <c r="L1015" s="73"/>
      <c r="M1015" s="70" t="str">
        <f t="shared" si="3"/>
        <v/>
      </c>
      <c r="N1015" s="70" t="str">
        <f>IF($A$3=" "," ", IFERROR( VLOOKUP($A1015,'SUPPLIER DATA BASE'!$A$2:$O$936,11,0),""))</f>
        <v/>
      </c>
      <c r="O1015" s="70" t="str">
        <f>IF($A$3=" "," ", IFERROR( VLOOKUP($A1015,'SUPPLIER DATA BASE'!$A$2:$O$936,12,0),""))</f>
        <v/>
      </c>
      <c r="P1015" s="70" t="str">
        <f>IF($A$3=" "," ", IFERROR( VLOOKUP($A1015,'SUPPLIER DATA BASE'!$A$2:$O$936,13,0),""))</f>
        <v/>
      </c>
      <c r="Q1015" s="77"/>
      <c r="R1015" s="73"/>
      <c r="S1015" s="77"/>
      <c r="T1015" s="70"/>
      <c r="U1015" s="78"/>
      <c r="V1015" s="70" t="str">
        <f t="shared" si="6"/>
        <v/>
      </c>
      <c r="W1015" s="23"/>
      <c r="X1015" s="23"/>
    </row>
    <row r="1016">
      <c r="A1016" s="70" t="s">
        <v>677</v>
      </c>
      <c r="B1016" s="70" t="str">
        <f>IF($A$3=" "," ", IFERROR( VLOOKUP($A1016,'SUPPLIER DATA BASE'!$A$2:$M$936,3,0),""))</f>
        <v>-</v>
      </c>
      <c r="C1016" s="70" t="str">
        <f>IF($A$3=" "," ", IFERROR( VLOOKUP($A1016,'SUPPLIER DATA BASE'!$A$2:$F$936,6,0),""))</f>
        <v>-</v>
      </c>
      <c r="D1016" s="70" t="str">
        <f>IF($A$3=" "," ", IFERROR( VLOOKUP($A1016,'SUPPLIER DATA BASE'!$A$2:$G$936,4,0),""))</f>
        <v>-</v>
      </c>
      <c r="E1016" s="71" t="str">
        <f>IF($A$3=" "," ", IFERROR( VLOOKUP($A1016,'SUPPLIER DATA BASE'!$A$2:$H$936,5,0),""))</f>
        <v>-</v>
      </c>
      <c r="F1016" s="72"/>
      <c r="G1016" s="73"/>
      <c r="H1016" s="74"/>
      <c r="I1016" s="75"/>
      <c r="J1016" s="76" t="s">
        <v>3025</v>
      </c>
      <c r="K1016" s="76" t="s">
        <v>3026</v>
      </c>
      <c r="L1016" s="73"/>
      <c r="M1016" s="70" t="str">
        <f t="shared" si="3"/>
        <v/>
      </c>
      <c r="N1016" s="70" t="str">
        <f>IF($A$3=" "," ", IFERROR( VLOOKUP($A1016,'SUPPLIER DATA BASE'!$A$2:$O$936,11,0),""))</f>
        <v>SARAOGI SUPER SALES PVT LTD</v>
      </c>
      <c r="O1016" s="70" t="str">
        <f>IF($A$3=" "," ", IFERROR( VLOOKUP($A1016,'SUPPLIER DATA BASE'!$A$2:$O$936,12,0),""))</f>
        <v>SASUSP011006</v>
      </c>
      <c r="P1016" s="70" t="str">
        <f>IF($A$3=" "," ", IFERROR( VLOOKUP($A1016,'SUPPLIER DATA BASE'!$A$2:$O$936,13,0),""))</f>
        <v>ICIC0000106</v>
      </c>
      <c r="Q1016" s="77"/>
      <c r="R1016" s="73"/>
      <c r="S1016" s="77"/>
      <c r="T1016" s="70"/>
      <c r="U1016" s="78"/>
      <c r="V1016" s="70" t="str">
        <f t="shared" si="6"/>
        <v/>
      </c>
      <c r="W1016" s="23"/>
      <c r="X1016" s="23"/>
    </row>
    <row r="1017">
      <c r="A1017" s="70" t="s">
        <v>677</v>
      </c>
      <c r="B1017" s="70" t="str">
        <f>IF($A$3=" "," ", IFERROR( VLOOKUP($A1017,'SUPPLIER DATA BASE'!$A$2:$M$936,3,0),""))</f>
        <v>-</v>
      </c>
      <c r="C1017" s="70" t="str">
        <f>IF($A$3=" "," ", IFERROR( VLOOKUP($A1017,'SUPPLIER DATA BASE'!$A$2:$F$936,6,0),""))</f>
        <v>-</v>
      </c>
      <c r="D1017" s="70" t="str">
        <f>IF($A$3=" "," ", IFERROR( VLOOKUP($A1017,'SUPPLIER DATA BASE'!$A$2:$G$936,4,0),""))</f>
        <v>-</v>
      </c>
      <c r="E1017" s="71" t="str">
        <f>IF($A$3=" "," ", IFERROR( VLOOKUP($A1017,'SUPPLIER DATA BASE'!$A$2:$H$936,5,0),""))</f>
        <v>-</v>
      </c>
      <c r="F1017" s="72"/>
      <c r="G1017" s="73"/>
      <c r="H1017" s="74"/>
      <c r="I1017" s="75"/>
      <c r="J1017" s="76" t="s">
        <v>3027</v>
      </c>
      <c r="K1017" s="76" t="s">
        <v>3028</v>
      </c>
      <c r="L1017" s="73"/>
      <c r="M1017" s="70" t="str">
        <f t="shared" si="3"/>
        <v/>
      </c>
      <c r="N1017" s="70" t="str">
        <f>IF($A$3=" "," ", IFERROR( VLOOKUP($A1017,'SUPPLIER DATA BASE'!$A$2:$O$936,11,0),""))</f>
        <v>SARAOGI SUPER SALES PVT LTD</v>
      </c>
      <c r="O1017" s="70" t="str">
        <f>IF($A$3=" "," ", IFERROR( VLOOKUP($A1017,'SUPPLIER DATA BASE'!$A$2:$O$936,12,0),""))</f>
        <v>SASUSP011006</v>
      </c>
      <c r="P1017" s="70" t="str">
        <f>IF($A$3=" "," ", IFERROR( VLOOKUP($A1017,'SUPPLIER DATA BASE'!$A$2:$O$936,13,0),""))</f>
        <v>ICIC0000106</v>
      </c>
      <c r="Q1017" s="77"/>
      <c r="R1017" s="73"/>
      <c r="S1017" s="77"/>
      <c r="T1017" s="70"/>
      <c r="U1017" s="78"/>
      <c r="V1017" s="70" t="str">
        <f t="shared" si="6"/>
        <v/>
      </c>
      <c r="W1017" s="23"/>
      <c r="X1017" s="23"/>
    </row>
    <row r="1018">
      <c r="A1018" s="70" t="s">
        <v>677</v>
      </c>
      <c r="B1018" s="70" t="str">
        <f>IF($A$3=" "," ", IFERROR( VLOOKUP($A1018,'SUPPLIER DATA BASE'!$A$2:$M$936,3,0),""))</f>
        <v>-</v>
      </c>
      <c r="C1018" s="70" t="str">
        <f>IF($A$3=" "," ", IFERROR( VLOOKUP($A1018,'SUPPLIER DATA BASE'!$A$2:$F$936,6,0),""))</f>
        <v>-</v>
      </c>
      <c r="D1018" s="70" t="str">
        <f>IF($A$3=" "," ", IFERROR( VLOOKUP($A1018,'SUPPLIER DATA BASE'!$A$2:$G$936,4,0),""))</f>
        <v>-</v>
      </c>
      <c r="E1018" s="71" t="str">
        <f>IF($A$3=" "," ", IFERROR( VLOOKUP($A1018,'SUPPLIER DATA BASE'!$A$2:$H$936,5,0),""))</f>
        <v>-</v>
      </c>
      <c r="F1018" s="72"/>
      <c r="G1018" s="73"/>
      <c r="H1018" s="74"/>
      <c r="I1018" s="75"/>
      <c r="J1018" s="76" t="s">
        <v>3029</v>
      </c>
      <c r="K1018" s="76" t="s">
        <v>3030</v>
      </c>
      <c r="L1018" s="73"/>
      <c r="M1018" s="70" t="str">
        <f t="shared" si="3"/>
        <v/>
      </c>
      <c r="N1018" s="70" t="str">
        <f>IF($A$3=" "," ", IFERROR( VLOOKUP($A1018,'SUPPLIER DATA BASE'!$A$2:$O$936,11,0),""))</f>
        <v>SARAOGI SUPER SALES PVT LTD</v>
      </c>
      <c r="O1018" s="70" t="str">
        <f>IF($A$3=" "," ", IFERROR( VLOOKUP($A1018,'SUPPLIER DATA BASE'!$A$2:$O$936,12,0),""))</f>
        <v>SASUSP011006</v>
      </c>
      <c r="P1018" s="70" t="str">
        <f>IF($A$3=" "," ", IFERROR( VLOOKUP($A1018,'SUPPLIER DATA BASE'!$A$2:$O$936,13,0),""))</f>
        <v>ICIC0000106</v>
      </c>
      <c r="Q1018" s="77"/>
      <c r="R1018" s="73"/>
      <c r="S1018" s="77"/>
      <c r="T1018" s="70"/>
      <c r="U1018" s="78"/>
      <c r="V1018" s="70" t="str">
        <f t="shared" si="6"/>
        <v/>
      </c>
      <c r="W1018" s="23"/>
      <c r="X1018" s="23"/>
    </row>
    <row r="1019">
      <c r="A1019" s="70" t="s">
        <v>677</v>
      </c>
      <c r="B1019" s="70" t="str">
        <f>IF($A$3=" "," ", IFERROR( VLOOKUP($A1019,'SUPPLIER DATA BASE'!$A$2:$M$936,3,0),""))</f>
        <v>-</v>
      </c>
      <c r="C1019" s="70" t="str">
        <f>IF($A$3=" "," ", IFERROR( VLOOKUP($A1019,'SUPPLIER DATA BASE'!$A$2:$F$936,6,0),""))</f>
        <v>-</v>
      </c>
      <c r="D1019" s="70" t="str">
        <f>IF($A$3=" "," ", IFERROR( VLOOKUP($A1019,'SUPPLIER DATA BASE'!$A$2:$G$936,4,0),""))</f>
        <v>-</v>
      </c>
      <c r="E1019" s="71" t="str">
        <f>IF($A$3=" "," ", IFERROR( VLOOKUP($A1019,'SUPPLIER DATA BASE'!$A$2:$H$936,5,0),""))</f>
        <v>-</v>
      </c>
      <c r="F1019" s="72"/>
      <c r="G1019" s="73"/>
      <c r="H1019" s="74"/>
      <c r="I1019" s="75"/>
      <c r="J1019" s="76" t="s">
        <v>3031</v>
      </c>
      <c r="K1019" s="76" t="s">
        <v>3032</v>
      </c>
      <c r="L1019" s="73"/>
      <c r="M1019" s="70" t="str">
        <f t="shared" si="3"/>
        <v/>
      </c>
      <c r="N1019" s="70" t="str">
        <f>IF($A$3=" "," ", IFERROR( VLOOKUP($A1019,'SUPPLIER DATA BASE'!$A$2:$O$936,11,0),""))</f>
        <v>SARAOGI SUPER SALES PVT LTD</v>
      </c>
      <c r="O1019" s="70" t="str">
        <f>IF($A$3=" "," ", IFERROR( VLOOKUP($A1019,'SUPPLIER DATA BASE'!$A$2:$O$936,12,0),""))</f>
        <v>SASUSP011006</v>
      </c>
      <c r="P1019" s="70" t="str">
        <f>IF($A$3=" "," ", IFERROR( VLOOKUP($A1019,'SUPPLIER DATA BASE'!$A$2:$O$936,13,0),""))</f>
        <v>ICIC0000106</v>
      </c>
      <c r="Q1019" s="77"/>
      <c r="R1019" s="73"/>
      <c r="S1019" s="77"/>
      <c r="T1019" s="70"/>
      <c r="U1019" s="78"/>
      <c r="V1019" s="70" t="str">
        <f t="shared" si="6"/>
        <v/>
      </c>
      <c r="W1019" s="23"/>
      <c r="X1019" s="23"/>
    </row>
    <row r="1020">
      <c r="A1020" s="70" t="s">
        <v>677</v>
      </c>
      <c r="B1020" s="70" t="str">
        <f>IF($A$3=" "," ", IFERROR( VLOOKUP($A1020,'SUPPLIER DATA BASE'!$A$2:$M$936,3,0),""))</f>
        <v>-</v>
      </c>
      <c r="C1020" s="70" t="str">
        <f>IF($A$3=" "," ", IFERROR( VLOOKUP($A1020,'SUPPLIER DATA BASE'!$A$2:$F$936,6,0),""))</f>
        <v>-</v>
      </c>
      <c r="D1020" s="70" t="str">
        <f>IF($A$3=" "," ", IFERROR( VLOOKUP($A1020,'SUPPLIER DATA BASE'!$A$2:$G$936,4,0),""))</f>
        <v>-</v>
      </c>
      <c r="E1020" s="71" t="str">
        <f>IF($A$3=" "," ", IFERROR( VLOOKUP($A1020,'SUPPLIER DATA BASE'!$A$2:$H$936,5,0),""))</f>
        <v>-</v>
      </c>
      <c r="F1020" s="72"/>
      <c r="G1020" s="73"/>
      <c r="H1020" s="74"/>
      <c r="I1020" s="75"/>
      <c r="J1020" s="76" t="s">
        <v>3033</v>
      </c>
      <c r="K1020" s="76" t="s">
        <v>3034</v>
      </c>
      <c r="L1020" s="73"/>
      <c r="M1020" s="70" t="str">
        <f t="shared" si="3"/>
        <v/>
      </c>
      <c r="N1020" s="70" t="str">
        <f>IF($A$3=" "," ", IFERROR( VLOOKUP($A1020,'SUPPLIER DATA BASE'!$A$2:$O$936,11,0),""))</f>
        <v>SARAOGI SUPER SALES PVT LTD</v>
      </c>
      <c r="O1020" s="70" t="str">
        <f>IF($A$3=" "," ", IFERROR( VLOOKUP($A1020,'SUPPLIER DATA BASE'!$A$2:$O$936,12,0),""))</f>
        <v>SASUSP011006</v>
      </c>
      <c r="P1020" s="70" t="str">
        <f>IF($A$3=" "," ", IFERROR( VLOOKUP($A1020,'SUPPLIER DATA BASE'!$A$2:$O$936,13,0),""))</f>
        <v>ICIC0000106</v>
      </c>
      <c r="Q1020" s="77"/>
      <c r="R1020" s="73"/>
      <c r="S1020" s="77"/>
      <c r="T1020" s="70"/>
      <c r="U1020" s="78"/>
      <c r="V1020" s="70" t="str">
        <f t="shared" si="6"/>
        <v/>
      </c>
      <c r="W1020" s="23"/>
      <c r="X1020" s="23"/>
    </row>
    <row r="1021">
      <c r="A1021" s="70" t="s">
        <v>677</v>
      </c>
      <c r="B1021" s="70" t="str">
        <f>IF($A$3=" "," ", IFERROR( VLOOKUP($A1021,'SUPPLIER DATA BASE'!$A$2:$M$936,3,0),""))</f>
        <v>-</v>
      </c>
      <c r="C1021" s="70" t="str">
        <f>IF($A$3=" "," ", IFERROR( VLOOKUP($A1021,'SUPPLIER DATA BASE'!$A$2:$F$936,6,0),""))</f>
        <v>-</v>
      </c>
      <c r="D1021" s="70" t="str">
        <f>IF($A$3=" "," ", IFERROR( VLOOKUP($A1021,'SUPPLIER DATA BASE'!$A$2:$G$936,4,0),""))</f>
        <v>-</v>
      </c>
      <c r="E1021" s="71" t="str">
        <f>IF($A$3=" "," ", IFERROR( VLOOKUP($A1021,'SUPPLIER DATA BASE'!$A$2:$H$936,5,0),""))</f>
        <v>-</v>
      </c>
      <c r="F1021" s="72"/>
      <c r="G1021" s="73"/>
      <c r="H1021" s="74"/>
      <c r="I1021" s="75"/>
      <c r="J1021" s="76" t="s">
        <v>3035</v>
      </c>
      <c r="K1021" s="76" t="s">
        <v>3036</v>
      </c>
      <c r="L1021" s="73"/>
      <c r="M1021" s="70" t="str">
        <f t="shared" si="3"/>
        <v/>
      </c>
      <c r="N1021" s="70" t="str">
        <f>IF($A$3=" "," ", IFERROR( VLOOKUP($A1021,'SUPPLIER DATA BASE'!$A$2:$O$936,11,0),""))</f>
        <v>SARAOGI SUPER SALES PVT LTD</v>
      </c>
      <c r="O1021" s="70" t="str">
        <f>IF($A$3=" "," ", IFERROR( VLOOKUP($A1021,'SUPPLIER DATA BASE'!$A$2:$O$936,12,0),""))</f>
        <v>SASUSP011006</v>
      </c>
      <c r="P1021" s="70" t="str">
        <f>IF($A$3=" "," ", IFERROR( VLOOKUP($A1021,'SUPPLIER DATA BASE'!$A$2:$O$936,13,0),""))</f>
        <v>ICIC0000106</v>
      </c>
      <c r="Q1021" s="77"/>
      <c r="R1021" s="73"/>
      <c r="S1021" s="77"/>
      <c r="T1021" s="70"/>
      <c r="U1021" s="78"/>
      <c r="V1021" s="70" t="str">
        <f t="shared" si="6"/>
        <v/>
      </c>
      <c r="W1021" s="23"/>
      <c r="X1021" s="23"/>
    </row>
    <row r="1022">
      <c r="A1022" s="70" t="s">
        <v>352</v>
      </c>
      <c r="B1022" s="70" t="str">
        <f>IF($A$3=" "," ", IFERROR( VLOOKUP($A1022,'SUPPLIER DATA BASE'!$A$2:$M$936,3,0),""))</f>
        <v>-</v>
      </c>
      <c r="C1022" s="70" t="str">
        <f>IF($A$3=" "," ", IFERROR( VLOOKUP($A1022,'SUPPLIER DATA BASE'!$A$2:$F$936,6,0),""))</f>
        <v>-</v>
      </c>
      <c r="D1022" s="70" t="str">
        <f>IF($A$3=" "," ", IFERROR( VLOOKUP($A1022,'SUPPLIER DATA BASE'!$A$2:$G$936,4,0),""))</f>
        <v>-</v>
      </c>
      <c r="E1022" s="71" t="str">
        <f>IF($A$3=" "," ", IFERROR( VLOOKUP($A1022,'SUPPLIER DATA BASE'!$A$2:$H$936,5,0),""))</f>
        <v>-</v>
      </c>
      <c r="F1022" s="72"/>
      <c r="G1022" s="73"/>
      <c r="H1022" s="74"/>
      <c r="I1022" s="75"/>
      <c r="J1022" s="76" t="s">
        <v>3037</v>
      </c>
      <c r="K1022" s="76" t="s">
        <v>3038</v>
      </c>
      <c r="L1022" s="73"/>
      <c r="M1022" s="70" t="str">
        <f t="shared" si="3"/>
        <v/>
      </c>
      <c r="N1022" s="70" t="str">
        <f>IF($A$3=" "," ", IFERROR( VLOOKUP($A1022,'SUPPLIER DATA BASE'!$A$2:$O$936,11,0),""))</f>
        <v>-</v>
      </c>
      <c r="O1022" s="70" t="str">
        <f>IF($A$3=" "," ", IFERROR( VLOOKUP($A1022,'SUPPLIER DATA BASE'!$A$2:$O$936,12,0),""))</f>
        <v>-</v>
      </c>
      <c r="P1022" s="70" t="str">
        <f>IF($A$3=" "," ", IFERROR( VLOOKUP($A1022,'SUPPLIER DATA BASE'!$A$2:$O$936,13,0),""))</f>
        <v>-</v>
      </c>
      <c r="Q1022" s="77"/>
      <c r="R1022" s="73"/>
      <c r="S1022" s="77"/>
      <c r="T1022" s="70"/>
      <c r="U1022" s="78"/>
      <c r="V1022" s="70" t="str">
        <f t="shared" si="6"/>
        <v/>
      </c>
      <c r="W1022" s="23"/>
      <c r="X1022" s="23"/>
    </row>
    <row r="1023">
      <c r="A1023" s="70" t="s">
        <v>596</v>
      </c>
      <c r="B1023" s="70" t="str">
        <f>IF($A$3=" "," ", IFERROR( VLOOKUP($A1023,'SUPPLIER DATA BASE'!$A$2:$M$936,3,0),""))</f>
        <v>JOCKEY</v>
      </c>
      <c r="C1023" s="70" t="str">
        <f>IF($A$3=" "," ", IFERROR( VLOOKUP($A1023,'SUPPLIER DATA BASE'!$A$2:$F$936,6,0),""))</f>
        <v>DIRECT</v>
      </c>
      <c r="D1023" s="70">
        <f>IF($A$3=" "," ", IFERROR( VLOOKUP($A1023,'SUPPLIER DATA BASE'!$A$2:$G$936,4,0),""))</f>
        <v>21</v>
      </c>
      <c r="E1023" s="71">
        <f>IF($A$3=" "," ", IFERROR( VLOOKUP($A1023,'SUPPLIER DATA BASE'!$A$2:$H$936,5,0),""))</f>
        <v>0.02</v>
      </c>
      <c r="F1023" s="72"/>
      <c r="G1023" s="73"/>
      <c r="H1023" s="74"/>
      <c r="I1023" s="75"/>
      <c r="J1023" s="76" t="s">
        <v>3039</v>
      </c>
      <c r="K1023" s="76" t="s">
        <v>3040</v>
      </c>
      <c r="L1023" s="73"/>
      <c r="M1023" s="70" t="str">
        <f t="shared" si="3"/>
        <v/>
      </c>
      <c r="N1023" s="70" t="str">
        <f>IF($A$3=" "," ", IFERROR( VLOOKUP($A1023,'SUPPLIER DATA BASE'!$A$2:$O$936,11,0),""))</f>
        <v>NARVADA TEXTILES</v>
      </c>
      <c r="O1023" s="70" t="str">
        <f>IF($A$3=" "," ", IFERROR( VLOOKUP($A1023,'SUPPLIER DATA BASE'!$A$2:$O$936,12,0),""))</f>
        <v>72610200000442</v>
      </c>
      <c r="P1023" s="70" t="str">
        <f>IF($A$3=" "," ", IFERROR( VLOOKUP($A1023,'SUPPLIER DATA BASE'!$A$2:$O$936,13,0),""))</f>
        <v>BARB0DBRANC</v>
      </c>
      <c r="Q1023" s="77"/>
      <c r="R1023" s="73"/>
      <c r="S1023" s="77"/>
      <c r="T1023" s="70"/>
      <c r="U1023" s="78"/>
      <c r="V1023" s="70" t="str">
        <f t="shared" si="6"/>
        <v/>
      </c>
      <c r="W1023" s="23"/>
      <c r="X1023" s="23"/>
    </row>
    <row r="1024">
      <c r="A1024" s="70" t="s">
        <v>756</v>
      </c>
      <c r="B1024" s="70" t="str">
        <f>IF($A$3=" "," ", IFERROR( VLOOKUP($A1024,'SUPPLIER DATA BASE'!$A$2:$M$936,3,0),""))</f>
        <v>JOCKEY</v>
      </c>
      <c r="C1024" s="70" t="str">
        <f>IF($A$3=" "," ", IFERROR( VLOOKUP($A1024,'SUPPLIER DATA BASE'!$A$2:$F$936,6,0),""))</f>
        <v>DIRECT</v>
      </c>
      <c r="D1024" s="70">
        <f>IF($A$3=" "," ", IFERROR( VLOOKUP($A1024,'SUPPLIER DATA BASE'!$A$2:$G$936,4,0),""))</f>
        <v>15</v>
      </c>
      <c r="E1024" s="71">
        <f>IF($A$3=" "," ", IFERROR( VLOOKUP($A1024,'SUPPLIER DATA BASE'!$A$2:$H$936,5,0),""))</f>
        <v>0.02</v>
      </c>
      <c r="F1024" s="72"/>
      <c r="G1024" s="73"/>
      <c r="H1024" s="74"/>
      <c r="I1024" s="75"/>
      <c r="J1024" s="76" t="s">
        <v>3041</v>
      </c>
      <c r="K1024" s="76" t="s">
        <v>3042</v>
      </c>
      <c r="L1024" s="73"/>
      <c r="M1024" s="70" t="str">
        <f t="shared" si="3"/>
        <v/>
      </c>
      <c r="N1024" s="70" t="str">
        <f>IF($A$3=" "," ", IFERROR( VLOOKUP($A1024,'SUPPLIER DATA BASE'!$A$2:$O$936,11,0),""))</f>
        <v>-</v>
      </c>
      <c r="O1024" s="70" t="str">
        <f>IF($A$3=" "," ", IFERROR( VLOOKUP($A1024,'SUPPLIER DATA BASE'!$A$2:$O$936,12,0),""))</f>
        <v>-</v>
      </c>
      <c r="P1024" s="70" t="str">
        <f>IF($A$3=" "," ", IFERROR( VLOOKUP($A1024,'SUPPLIER DATA BASE'!$A$2:$O$936,13,0),""))</f>
        <v>-</v>
      </c>
      <c r="Q1024" s="77"/>
      <c r="R1024" s="73"/>
      <c r="S1024" s="77"/>
      <c r="T1024" s="70"/>
      <c r="U1024" s="78"/>
      <c r="V1024" s="70" t="str">
        <f t="shared" si="6"/>
        <v/>
      </c>
      <c r="W1024" s="23"/>
      <c r="X1024" s="23"/>
    </row>
    <row r="1025">
      <c r="A1025" s="70" t="s">
        <v>596</v>
      </c>
      <c r="B1025" s="70" t="str">
        <f>IF($A$3=" "," ", IFERROR( VLOOKUP($A1025,'SUPPLIER DATA BASE'!$A$2:$M$936,3,0),""))</f>
        <v>JOCKEY</v>
      </c>
      <c r="C1025" s="70" t="str">
        <f>IF($A$3=" "," ", IFERROR( VLOOKUP($A1025,'SUPPLIER DATA BASE'!$A$2:$F$936,6,0),""))</f>
        <v>DIRECT</v>
      </c>
      <c r="D1025" s="70">
        <f>IF($A$3=" "," ", IFERROR( VLOOKUP($A1025,'SUPPLIER DATA BASE'!$A$2:$G$936,4,0),""))</f>
        <v>21</v>
      </c>
      <c r="E1025" s="71">
        <f>IF($A$3=" "," ", IFERROR( VLOOKUP($A1025,'SUPPLIER DATA BASE'!$A$2:$H$936,5,0),""))</f>
        <v>0.02</v>
      </c>
      <c r="F1025" s="72"/>
      <c r="G1025" s="73"/>
      <c r="H1025" s="74"/>
      <c r="I1025" s="75"/>
      <c r="J1025" s="76" t="s">
        <v>3043</v>
      </c>
      <c r="K1025" s="76" t="s">
        <v>3044</v>
      </c>
      <c r="L1025" s="73"/>
      <c r="M1025" s="70" t="str">
        <f t="shared" si="3"/>
        <v/>
      </c>
      <c r="N1025" s="70" t="str">
        <f>IF($A$3=" "," ", IFERROR( VLOOKUP($A1025,'SUPPLIER DATA BASE'!$A$2:$O$936,11,0),""))</f>
        <v>NARVADA TEXTILES</v>
      </c>
      <c r="O1025" s="70" t="str">
        <f>IF($A$3=" "," ", IFERROR( VLOOKUP($A1025,'SUPPLIER DATA BASE'!$A$2:$O$936,12,0),""))</f>
        <v>72610200000442</v>
      </c>
      <c r="P1025" s="70" t="str">
        <f>IF($A$3=" "," ", IFERROR( VLOOKUP($A1025,'SUPPLIER DATA BASE'!$A$2:$O$936,13,0),""))</f>
        <v>BARB0DBRANC</v>
      </c>
      <c r="Q1025" s="77"/>
      <c r="R1025" s="73"/>
      <c r="S1025" s="77"/>
      <c r="T1025" s="70"/>
      <c r="U1025" s="78"/>
      <c r="V1025" s="70" t="str">
        <f t="shared" si="6"/>
        <v/>
      </c>
      <c r="W1025" s="23"/>
      <c r="X1025" s="23"/>
    </row>
    <row r="1026">
      <c r="A1026" s="70" t="s">
        <v>413</v>
      </c>
      <c r="B1026" s="70" t="str">
        <f>IF($A$3=" "," ", IFERROR( VLOOKUP($A1026,'SUPPLIER DATA BASE'!$A$2:$M$936,3,0),""))</f>
        <v>KILLER</v>
      </c>
      <c r="C1026" s="70" t="str">
        <f>IF($A$3=" "," ", IFERROR( VLOOKUP($A1026,'SUPPLIER DATA BASE'!$A$2:$F$936,6,0),""))</f>
        <v>-</v>
      </c>
      <c r="D1026" s="70" t="str">
        <f>IF($A$3=" "," ", IFERROR( VLOOKUP($A1026,'SUPPLIER DATA BASE'!$A$2:$G$936,4,0),""))</f>
        <v>NO</v>
      </c>
      <c r="E1026" s="71" t="str">
        <f>IF($A$3=" "," ", IFERROR( VLOOKUP($A1026,'SUPPLIER DATA BASE'!$A$2:$H$936,5,0),""))</f>
        <v>-</v>
      </c>
      <c r="F1026" s="72"/>
      <c r="G1026" s="73"/>
      <c r="H1026" s="74"/>
      <c r="I1026" s="75"/>
      <c r="J1026" s="76" t="s">
        <v>3045</v>
      </c>
      <c r="K1026" s="76" t="s">
        <v>3046</v>
      </c>
      <c r="L1026" s="73"/>
      <c r="M1026" s="70" t="str">
        <f t="shared" si="3"/>
        <v/>
      </c>
      <c r="N1026" s="70" t="str">
        <f>IF($A$3=" "," ", IFERROR( VLOOKUP($A1026,'SUPPLIER DATA BASE'!$A$2:$O$936,11,0),""))</f>
        <v>D D SALES CO</v>
      </c>
      <c r="O1026" s="70" t="str">
        <f>IF($A$3=" "," ", IFERROR( VLOOKUP($A1026,'SUPPLIER DATA BASE'!$A$2:$O$936,12,0),""))</f>
        <v>29205007835</v>
      </c>
      <c r="P1026" s="70" t="str">
        <f>IF($A$3=" "," ", IFERROR( VLOOKUP($A1026,'SUPPLIER DATA BASE'!$A$2:$O$936,13,0),""))</f>
        <v>ICIC0000292</v>
      </c>
      <c r="Q1026" s="77"/>
      <c r="R1026" s="73"/>
      <c r="S1026" s="77"/>
      <c r="T1026" s="70"/>
      <c r="U1026" s="78"/>
      <c r="V1026" s="70" t="str">
        <f t="shared" si="6"/>
        <v/>
      </c>
      <c r="W1026" s="23"/>
      <c r="X1026" s="23"/>
    </row>
    <row r="1027">
      <c r="A1027" s="70" t="s">
        <v>354</v>
      </c>
      <c r="B1027" s="70" t="str">
        <f>IF($A$3=" "," ", IFERROR( VLOOKUP($A1027,'SUPPLIER DATA BASE'!$A$2:$M$936,3,0),""))</f>
        <v>-</v>
      </c>
      <c r="C1027" s="70" t="str">
        <f>IF($A$3=" "," ", IFERROR( VLOOKUP($A1027,'SUPPLIER DATA BASE'!$A$2:$F$936,6,0),""))</f>
        <v>-</v>
      </c>
      <c r="D1027" s="70" t="str">
        <f>IF($A$3=" "," ", IFERROR( VLOOKUP($A1027,'SUPPLIER DATA BASE'!$A$2:$G$936,4,0),""))</f>
        <v>-</v>
      </c>
      <c r="E1027" s="71" t="str">
        <f>IF($A$3=" "," ", IFERROR( VLOOKUP($A1027,'SUPPLIER DATA BASE'!$A$2:$H$936,5,0),""))</f>
        <v>-</v>
      </c>
      <c r="F1027" s="72" t="s">
        <v>3047</v>
      </c>
      <c r="G1027" s="73"/>
      <c r="H1027" s="74"/>
      <c r="I1027" s="75"/>
      <c r="J1027" s="76" t="s">
        <v>3048</v>
      </c>
      <c r="K1027" s="76" t="s">
        <v>3049</v>
      </c>
      <c r="L1027" s="73"/>
      <c r="M1027" s="70" t="str">
        <f t="shared" si="3"/>
        <v/>
      </c>
      <c r="N1027" s="70" t="str">
        <f>IF($A$3=" "," ", IFERROR( VLOOKUP($A1027,'SUPPLIER DATA BASE'!$A$2:$O$936,11,0),""))</f>
        <v>-</v>
      </c>
      <c r="O1027" s="70" t="str">
        <f>IF($A$3=" "," ", IFERROR( VLOOKUP($A1027,'SUPPLIER DATA BASE'!$A$2:$O$936,12,0),""))</f>
        <v>-</v>
      </c>
      <c r="P1027" s="70" t="str">
        <f>IF($A$3=" "," ", IFERROR( VLOOKUP($A1027,'SUPPLIER DATA BASE'!$A$2:$O$936,13,0),""))</f>
        <v>-</v>
      </c>
      <c r="Q1027" s="77"/>
      <c r="R1027" s="73"/>
      <c r="S1027" s="77"/>
      <c r="T1027" s="70"/>
      <c r="U1027" s="78"/>
      <c r="V1027" s="70" t="str">
        <f t="shared" si="6"/>
        <v/>
      </c>
      <c r="W1027" s="23"/>
      <c r="X1027" s="23"/>
    </row>
    <row r="1028">
      <c r="A1028" s="70" t="s">
        <v>354</v>
      </c>
      <c r="B1028" s="70" t="str">
        <f>IF($A$3=" "," ", IFERROR( VLOOKUP($A1028,'SUPPLIER DATA BASE'!$A$2:$M$936,3,0),""))</f>
        <v>-</v>
      </c>
      <c r="C1028" s="70" t="str">
        <f>IF($A$3=" "," ", IFERROR( VLOOKUP($A1028,'SUPPLIER DATA BASE'!$A$2:$F$936,6,0),""))</f>
        <v>-</v>
      </c>
      <c r="D1028" s="70" t="str">
        <f>IF($A$3=" "," ", IFERROR( VLOOKUP($A1028,'SUPPLIER DATA BASE'!$A$2:$G$936,4,0),""))</f>
        <v>-</v>
      </c>
      <c r="E1028" s="71" t="str">
        <f>IF($A$3=" "," ", IFERROR( VLOOKUP($A1028,'SUPPLIER DATA BASE'!$A$2:$H$936,5,0),""))</f>
        <v>-</v>
      </c>
      <c r="F1028" s="72" t="s">
        <v>3050</v>
      </c>
      <c r="G1028" s="73"/>
      <c r="H1028" s="74"/>
      <c r="I1028" s="75"/>
      <c r="J1028" s="76" t="s">
        <v>3051</v>
      </c>
      <c r="K1028" s="76" t="s">
        <v>3052</v>
      </c>
      <c r="L1028" s="73"/>
      <c r="M1028" s="70" t="str">
        <f t="shared" si="3"/>
        <v/>
      </c>
      <c r="N1028" s="70" t="str">
        <f>IF($A$3=" "," ", IFERROR( VLOOKUP($A1028,'SUPPLIER DATA BASE'!$A$2:$O$936,11,0),""))</f>
        <v>-</v>
      </c>
      <c r="O1028" s="70" t="str">
        <f>IF($A$3=" "," ", IFERROR( VLOOKUP($A1028,'SUPPLIER DATA BASE'!$A$2:$O$936,12,0),""))</f>
        <v>-</v>
      </c>
      <c r="P1028" s="70" t="str">
        <f>IF($A$3=" "," ", IFERROR( VLOOKUP($A1028,'SUPPLIER DATA BASE'!$A$2:$O$936,13,0),""))</f>
        <v>-</v>
      </c>
      <c r="Q1028" s="77"/>
      <c r="R1028" s="73"/>
      <c r="S1028" s="77"/>
      <c r="T1028" s="70"/>
      <c r="U1028" s="78"/>
      <c r="V1028" s="70" t="str">
        <f t="shared" si="6"/>
        <v/>
      </c>
      <c r="W1028" s="23"/>
      <c r="X1028" s="23"/>
    </row>
    <row r="1029">
      <c r="A1029" s="70" t="s">
        <v>370</v>
      </c>
      <c r="B1029" s="70" t="str">
        <f>IF($A$3=" "," ", IFERROR( VLOOKUP($A1029,'SUPPLIER DATA BASE'!$A$2:$M$936,3,0),""))</f>
        <v>-</v>
      </c>
      <c r="C1029" s="70" t="str">
        <f>IF($A$3=" "," ", IFERROR( VLOOKUP($A1029,'SUPPLIER DATA BASE'!$A$2:$F$936,6,0),""))</f>
        <v>SURYAM TEXTILE AGENCY</v>
      </c>
      <c r="D1029" s="70">
        <f>IF($A$3=" "," ", IFERROR( VLOOKUP($A1029,'SUPPLIER DATA BASE'!$A$2:$G$936,4,0),""))</f>
        <v>30</v>
      </c>
      <c r="E1029" s="71">
        <f>IF($A$3=" "," ", IFERROR( VLOOKUP($A1029,'SUPPLIER DATA BASE'!$A$2:$H$936,5,0),""))</f>
        <v>0.09</v>
      </c>
      <c r="F1029" s="72"/>
      <c r="G1029" s="73"/>
      <c r="H1029" s="74"/>
      <c r="I1029" s="75"/>
      <c r="J1029" s="76" t="s">
        <v>3053</v>
      </c>
      <c r="K1029" s="76" t="s">
        <v>3054</v>
      </c>
      <c r="L1029" s="73"/>
      <c r="M1029" s="70" t="str">
        <f t="shared" si="3"/>
        <v/>
      </c>
      <c r="N1029" s="70" t="str">
        <f>IF($A$3=" "," ", IFERROR( VLOOKUP($A1029,'SUPPLIER DATA BASE'!$A$2:$O$936,11,0),""))</f>
        <v>AS TEXTILE</v>
      </c>
      <c r="O1029" s="70" t="str">
        <f>IF($A$3=" "," ", IFERROR( VLOOKUP($A1029,'SUPPLIER DATA BASE'!$A$2:$O$936,12,0),""))</f>
        <v>50200012846193</v>
      </c>
      <c r="P1029" s="70" t="str">
        <f>IF($A$3=" "," ", IFERROR( VLOOKUP($A1029,'SUPPLIER DATA BASE'!$A$2:$O$936,13,0),""))</f>
        <v>HDFC0001249</v>
      </c>
      <c r="Q1029" s="77"/>
      <c r="R1029" s="73"/>
      <c r="S1029" s="77"/>
      <c r="T1029" s="70"/>
      <c r="U1029" s="78"/>
      <c r="V1029" s="70" t="str">
        <f t="shared" si="6"/>
        <v/>
      </c>
      <c r="W1029" s="23"/>
      <c r="X1029" s="23"/>
    </row>
    <row r="1030">
      <c r="A1030" s="70" t="s">
        <v>370</v>
      </c>
      <c r="B1030" s="70" t="str">
        <f>IF($A$3=" "," ", IFERROR( VLOOKUP($A1030,'SUPPLIER DATA BASE'!$A$2:$M$936,3,0),""))</f>
        <v>-</v>
      </c>
      <c r="C1030" s="70" t="str">
        <f>IF($A$3=" "," ", IFERROR( VLOOKUP($A1030,'SUPPLIER DATA BASE'!$A$2:$F$936,6,0),""))</f>
        <v>SURYAM TEXTILE AGENCY</v>
      </c>
      <c r="D1030" s="70">
        <f>IF($A$3=" "," ", IFERROR( VLOOKUP($A1030,'SUPPLIER DATA BASE'!$A$2:$G$936,4,0),""))</f>
        <v>30</v>
      </c>
      <c r="E1030" s="71">
        <f>IF($A$3=" "," ", IFERROR( VLOOKUP($A1030,'SUPPLIER DATA BASE'!$A$2:$H$936,5,0),""))</f>
        <v>0.09</v>
      </c>
      <c r="F1030" s="72"/>
      <c r="G1030" s="73"/>
      <c r="H1030" s="74"/>
      <c r="I1030" s="75"/>
      <c r="J1030" s="76" t="s">
        <v>3055</v>
      </c>
      <c r="K1030" s="76" t="s">
        <v>3056</v>
      </c>
      <c r="L1030" s="73"/>
      <c r="M1030" s="70" t="str">
        <f t="shared" si="3"/>
        <v/>
      </c>
      <c r="N1030" s="70" t="str">
        <f>IF($A$3=" "," ", IFERROR( VLOOKUP($A1030,'SUPPLIER DATA BASE'!$A$2:$O$936,11,0),""))</f>
        <v>AS TEXTILE</v>
      </c>
      <c r="O1030" s="70" t="str">
        <f>IF($A$3=" "," ", IFERROR( VLOOKUP($A1030,'SUPPLIER DATA BASE'!$A$2:$O$936,12,0),""))</f>
        <v>50200012846193</v>
      </c>
      <c r="P1030" s="70" t="str">
        <f>IF($A$3=" "," ", IFERROR( VLOOKUP($A1030,'SUPPLIER DATA BASE'!$A$2:$O$936,13,0),""))</f>
        <v>HDFC0001249</v>
      </c>
      <c r="Q1030" s="77"/>
      <c r="R1030" s="73"/>
      <c r="S1030" s="77"/>
      <c r="T1030" s="70"/>
      <c r="U1030" s="78"/>
      <c r="V1030" s="70" t="str">
        <f t="shared" si="6"/>
        <v/>
      </c>
      <c r="W1030" s="23"/>
      <c r="X1030" s="23"/>
    </row>
    <row r="1031">
      <c r="A1031" s="70" t="s">
        <v>370</v>
      </c>
      <c r="B1031" s="70" t="str">
        <f>IF($A$3=" "," ", IFERROR( VLOOKUP($A1031,'SUPPLIER DATA BASE'!$A$2:$M$936,3,0),""))</f>
        <v>-</v>
      </c>
      <c r="C1031" s="70" t="str">
        <f>IF($A$3=" "," ", IFERROR( VLOOKUP($A1031,'SUPPLIER DATA BASE'!$A$2:$F$936,6,0),""))</f>
        <v>SURYAM TEXTILE AGENCY</v>
      </c>
      <c r="D1031" s="70">
        <f>IF($A$3=" "," ", IFERROR( VLOOKUP($A1031,'SUPPLIER DATA BASE'!$A$2:$G$936,4,0),""))</f>
        <v>30</v>
      </c>
      <c r="E1031" s="71">
        <f>IF($A$3=" "," ", IFERROR( VLOOKUP($A1031,'SUPPLIER DATA BASE'!$A$2:$H$936,5,0),""))</f>
        <v>0.09</v>
      </c>
      <c r="F1031" s="72"/>
      <c r="G1031" s="73"/>
      <c r="H1031" s="74"/>
      <c r="I1031" s="75"/>
      <c r="J1031" s="76" t="s">
        <v>3057</v>
      </c>
      <c r="K1031" s="76" t="s">
        <v>3058</v>
      </c>
      <c r="L1031" s="73"/>
      <c r="M1031" s="70" t="str">
        <f t="shared" si="3"/>
        <v/>
      </c>
      <c r="N1031" s="70" t="str">
        <f>IF($A$3=" "," ", IFERROR( VLOOKUP($A1031,'SUPPLIER DATA BASE'!$A$2:$O$936,11,0),""))</f>
        <v>AS TEXTILE</v>
      </c>
      <c r="O1031" s="70" t="str">
        <f>IF($A$3=" "," ", IFERROR( VLOOKUP($A1031,'SUPPLIER DATA BASE'!$A$2:$O$936,12,0),""))</f>
        <v>50200012846193</v>
      </c>
      <c r="P1031" s="70" t="str">
        <f>IF($A$3=" "," ", IFERROR( VLOOKUP($A1031,'SUPPLIER DATA BASE'!$A$2:$O$936,13,0),""))</f>
        <v>HDFC0001249</v>
      </c>
      <c r="Q1031" s="77"/>
      <c r="R1031" s="73"/>
      <c r="S1031" s="77"/>
      <c r="T1031" s="70"/>
      <c r="U1031" s="78"/>
      <c r="V1031" s="70" t="str">
        <f t="shared" si="6"/>
        <v/>
      </c>
      <c r="W1031" s="23"/>
      <c r="X1031" s="23"/>
    </row>
    <row r="1032">
      <c r="A1032" s="70" t="s">
        <v>370</v>
      </c>
      <c r="B1032" s="70" t="str">
        <f>IF($A$3=" "," ", IFERROR( VLOOKUP($A1032,'SUPPLIER DATA BASE'!$A$2:$M$936,3,0),""))</f>
        <v>-</v>
      </c>
      <c r="C1032" s="70" t="str">
        <f>IF($A$3=" "," ", IFERROR( VLOOKUP($A1032,'SUPPLIER DATA BASE'!$A$2:$F$936,6,0),""))</f>
        <v>SURYAM TEXTILE AGENCY</v>
      </c>
      <c r="D1032" s="70">
        <f>IF($A$3=" "," ", IFERROR( VLOOKUP($A1032,'SUPPLIER DATA BASE'!$A$2:$G$936,4,0),""))</f>
        <v>30</v>
      </c>
      <c r="E1032" s="71">
        <f>IF($A$3=" "," ", IFERROR( VLOOKUP($A1032,'SUPPLIER DATA BASE'!$A$2:$H$936,5,0),""))</f>
        <v>0.09</v>
      </c>
      <c r="F1032" s="72"/>
      <c r="G1032" s="73"/>
      <c r="H1032" s="74"/>
      <c r="I1032" s="75"/>
      <c r="J1032" s="76" t="s">
        <v>3059</v>
      </c>
      <c r="K1032" s="76" t="s">
        <v>3060</v>
      </c>
      <c r="L1032" s="73"/>
      <c r="M1032" s="70" t="str">
        <f t="shared" si="3"/>
        <v/>
      </c>
      <c r="N1032" s="70" t="str">
        <f>IF($A$3=" "," ", IFERROR( VLOOKUP($A1032,'SUPPLIER DATA BASE'!$A$2:$O$936,11,0),""))</f>
        <v>AS TEXTILE</v>
      </c>
      <c r="O1032" s="70" t="str">
        <f>IF($A$3=" "," ", IFERROR( VLOOKUP($A1032,'SUPPLIER DATA BASE'!$A$2:$O$936,12,0),""))</f>
        <v>50200012846193</v>
      </c>
      <c r="P1032" s="70" t="str">
        <f>IF($A$3=" "," ", IFERROR( VLOOKUP($A1032,'SUPPLIER DATA BASE'!$A$2:$O$936,13,0),""))</f>
        <v>HDFC0001249</v>
      </c>
      <c r="Q1032" s="77"/>
      <c r="R1032" s="73"/>
      <c r="S1032" s="77"/>
      <c r="T1032" s="70"/>
      <c r="U1032" s="78"/>
      <c r="V1032" s="70" t="str">
        <f t="shared" si="6"/>
        <v/>
      </c>
      <c r="W1032" s="23"/>
      <c r="X1032" s="23"/>
    </row>
    <row r="1033">
      <c r="A1033" s="70" t="s">
        <v>370</v>
      </c>
      <c r="B1033" s="70" t="str">
        <f>IF($A$3=" "," ", IFERROR( VLOOKUP($A1033,'SUPPLIER DATA BASE'!$A$2:$M$936,3,0),""))</f>
        <v>-</v>
      </c>
      <c r="C1033" s="70" t="str">
        <f>IF($A$3=" "," ", IFERROR( VLOOKUP($A1033,'SUPPLIER DATA BASE'!$A$2:$F$936,6,0),""))</f>
        <v>SURYAM TEXTILE AGENCY</v>
      </c>
      <c r="D1033" s="70">
        <f>IF($A$3=" "," ", IFERROR( VLOOKUP($A1033,'SUPPLIER DATA BASE'!$A$2:$G$936,4,0),""))</f>
        <v>30</v>
      </c>
      <c r="E1033" s="71">
        <f>IF($A$3=" "," ", IFERROR( VLOOKUP($A1033,'SUPPLIER DATA BASE'!$A$2:$H$936,5,0),""))</f>
        <v>0.09</v>
      </c>
      <c r="F1033" s="72"/>
      <c r="G1033" s="73"/>
      <c r="H1033" s="74"/>
      <c r="I1033" s="75"/>
      <c r="J1033" s="76" t="s">
        <v>3061</v>
      </c>
      <c r="K1033" s="76" t="s">
        <v>3062</v>
      </c>
      <c r="L1033" s="73"/>
      <c r="M1033" s="70" t="str">
        <f t="shared" si="3"/>
        <v/>
      </c>
      <c r="N1033" s="70" t="str">
        <f>IF($A$3=" "," ", IFERROR( VLOOKUP($A1033,'SUPPLIER DATA BASE'!$A$2:$O$936,11,0),""))</f>
        <v>AS TEXTILE</v>
      </c>
      <c r="O1033" s="70" t="str">
        <f>IF($A$3=" "," ", IFERROR( VLOOKUP($A1033,'SUPPLIER DATA BASE'!$A$2:$O$936,12,0),""))</f>
        <v>50200012846193</v>
      </c>
      <c r="P1033" s="70" t="str">
        <f>IF($A$3=" "," ", IFERROR( VLOOKUP($A1033,'SUPPLIER DATA BASE'!$A$2:$O$936,13,0),""))</f>
        <v>HDFC0001249</v>
      </c>
      <c r="Q1033" s="77"/>
      <c r="R1033" s="73"/>
      <c r="S1033" s="77"/>
      <c r="T1033" s="70"/>
      <c r="U1033" s="78"/>
      <c r="V1033" s="70" t="str">
        <f t="shared" si="6"/>
        <v/>
      </c>
      <c r="W1033" s="23"/>
      <c r="X1033" s="23"/>
    </row>
    <row r="1034">
      <c r="A1034" s="70" t="s">
        <v>370</v>
      </c>
      <c r="B1034" s="70" t="str">
        <f>IF($A$3=" "," ", IFERROR( VLOOKUP($A1034,'SUPPLIER DATA BASE'!$A$2:$M$936,3,0),""))</f>
        <v>-</v>
      </c>
      <c r="C1034" s="70" t="str">
        <f>IF($A$3=" "," ", IFERROR( VLOOKUP($A1034,'SUPPLIER DATA BASE'!$A$2:$F$936,6,0),""))</f>
        <v>SURYAM TEXTILE AGENCY</v>
      </c>
      <c r="D1034" s="70">
        <f>IF($A$3=" "," ", IFERROR( VLOOKUP($A1034,'SUPPLIER DATA BASE'!$A$2:$G$936,4,0),""))</f>
        <v>30</v>
      </c>
      <c r="E1034" s="71">
        <f>IF($A$3=" "," ", IFERROR( VLOOKUP($A1034,'SUPPLIER DATA BASE'!$A$2:$H$936,5,0),""))</f>
        <v>0.09</v>
      </c>
      <c r="F1034" s="72"/>
      <c r="G1034" s="73"/>
      <c r="H1034" s="74"/>
      <c r="I1034" s="75"/>
      <c r="J1034" s="76" t="s">
        <v>3063</v>
      </c>
      <c r="K1034" s="76" t="s">
        <v>3064</v>
      </c>
      <c r="L1034" s="73"/>
      <c r="M1034" s="70" t="str">
        <f t="shared" si="3"/>
        <v/>
      </c>
      <c r="N1034" s="70" t="str">
        <f>IF($A$3=" "," ", IFERROR( VLOOKUP($A1034,'SUPPLIER DATA BASE'!$A$2:$O$936,11,0),""))</f>
        <v>AS TEXTILE</v>
      </c>
      <c r="O1034" s="70" t="str">
        <f>IF($A$3=" "," ", IFERROR( VLOOKUP($A1034,'SUPPLIER DATA BASE'!$A$2:$O$936,12,0),""))</f>
        <v>50200012846193</v>
      </c>
      <c r="P1034" s="70" t="str">
        <f>IF($A$3=" "," ", IFERROR( VLOOKUP($A1034,'SUPPLIER DATA BASE'!$A$2:$O$936,13,0),""))</f>
        <v>HDFC0001249</v>
      </c>
      <c r="Q1034" s="77"/>
      <c r="R1034" s="73"/>
      <c r="S1034" s="77"/>
      <c r="T1034" s="70"/>
      <c r="U1034" s="78"/>
      <c r="V1034" s="70" t="str">
        <f t="shared" si="6"/>
        <v/>
      </c>
      <c r="W1034" s="23"/>
      <c r="X1034" s="23"/>
    </row>
    <row r="1035">
      <c r="A1035" s="70"/>
      <c r="B1035" s="70" t="str">
        <f>IF($A$3=" "," ", IFERROR( VLOOKUP($A1035,'SUPPLIER DATA BASE'!$A$2:$M$936,3,0),""))</f>
        <v/>
      </c>
      <c r="C1035" s="70" t="str">
        <f>IF($A$3=" "," ", IFERROR( VLOOKUP($A1035,'SUPPLIER DATA BASE'!$A$2:$F$936,6,0),""))</f>
        <v/>
      </c>
      <c r="D1035" s="70" t="str">
        <f>IF($A$3=" "," ", IFERROR( VLOOKUP($A1035,'SUPPLIER DATA BASE'!$A$2:$G$936,4,0),""))</f>
        <v/>
      </c>
      <c r="E1035" s="71" t="str">
        <f>IF($A$3=" "," ", IFERROR( VLOOKUP($A1035,'SUPPLIER DATA BASE'!$A$2:$H$936,5,0),""))</f>
        <v/>
      </c>
      <c r="F1035" s="72"/>
      <c r="G1035" s="73"/>
      <c r="H1035" s="74"/>
      <c r="I1035" s="75"/>
      <c r="J1035" s="76" t="s">
        <v>3065</v>
      </c>
      <c r="K1035" s="76" t="s">
        <v>3066</v>
      </c>
      <c r="L1035" s="73"/>
      <c r="M1035" s="70" t="str">
        <f t="shared" si="3"/>
        <v/>
      </c>
      <c r="N1035" s="70" t="str">
        <f>IF($A$3=" "," ", IFERROR( VLOOKUP($A1035,'SUPPLIER DATA BASE'!$A$2:$O$936,11,0),""))</f>
        <v/>
      </c>
      <c r="O1035" s="70" t="str">
        <f>IF($A$3=" "," ", IFERROR( VLOOKUP($A1035,'SUPPLIER DATA BASE'!$A$2:$O$936,12,0),""))</f>
        <v/>
      </c>
      <c r="P1035" s="70" t="str">
        <f>IF($A$3=" "," ", IFERROR( VLOOKUP($A1035,'SUPPLIER DATA BASE'!$A$2:$O$936,13,0),""))</f>
        <v/>
      </c>
      <c r="Q1035" s="77"/>
      <c r="R1035" s="73"/>
      <c r="S1035" s="77"/>
      <c r="T1035" s="70"/>
      <c r="U1035" s="78"/>
      <c r="V1035" s="70" t="str">
        <f t="shared" si="6"/>
        <v/>
      </c>
      <c r="W1035" s="23"/>
      <c r="X1035" s="23"/>
    </row>
    <row r="1036">
      <c r="A1036" s="70"/>
      <c r="B1036" s="70" t="str">
        <f>IF($A$3=" "," ", IFERROR( VLOOKUP($A1036,'SUPPLIER DATA BASE'!$A$2:$M$936,3,0),""))</f>
        <v/>
      </c>
      <c r="C1036" s="70" t="str">
        <f>IF($A$3=" "," ", IFERROR( VLOOKUP($A1036,'SUPPLIER DATA BASE'!$A$2:$F$936,6,0),""))</f>
        <v/>
      </c>
      <c r="D1036" s="70" t="str">
        <f>IF($A$3=" "," ", IFERROR( VLOOKUP($A1036,'SUPPLIER DATA BASE'!$A$2:$G$936,4,0),""))</f>
        <v/>
      </c>
      <c r="E1036" s="71" t="str">
        <f>IF($A$3=" "," ", IFERROR( VLOOKUP($A1036,'SUPPLIER DATA BASE'!$A$2:$H$936,5,0),""))</f>
        <v/>
      </c>
      <c r="F1036" s="72"/>
      <c r="G1036" s="73"/>
      <c r="H1036" s="74"/>
      <c r="I1036" s="75"/>
      <c r="J1036" s="76" t="s">
        <v>3067</v>
      </c>
      <c r="K1036" s="76" t="s">
        <v>3068</v>
      </c>
      <c r="L1036" s="73"/>
      <c r="M1036" s="70" t="str">
        <f t="shared" si="3"/>
        <v/>
      </c>
      <c r="N1036" s="70" t="str">
        <f>IF($A$3=" "," ", IFERROR( VLOOKUP($A1036,'SUPPLIER DATA BASE'!$A$2:$O$936,11,0),""))</f>
        <v/>
      </c>
      <c r="O1036" s="70" t="str">
        <f>IF($A$3=" "," ", IFERROR( VLOOKUP($A1036,'SUPPLIER DATA BASE'!$A$2:$O$936,12,0),""))</f>
        <v/>
      </c>
      <c r="P1036" s="70" t="str">
        <f>IF($A$3=" "," ", IFERROR( VLOOKUP($A1036,'SUPPLIER DATA BASE'!$A$2:$O$936,13,0),""))</f>
        <v/>
      </c>
      <c r="Q1036" s="77"/>
      <c r="R1036" s="73"/>
      <c r="S1036" s="77"/>
      <c r="T1036" s="70"/>
      <c r="U1036" s="78"/>
      <c r="V1036" s="70" t="str">
        <f t="shared" si="6"/>
        <v/>
      </c>
      <c r="W1036" s="23"/>
      <c r="X1036" s="23"/>
    </row>
    <row r="1037">
      <c r="A1037" s="70" t="s">
        <v>354</v>
      </c>
      <c r="B1037" s="70" t="str">
        <f>IF($A$3=" "," ", IFERROR( VLOOKUP($A1037,'SUPPLIER DATA BASE'!$A$2:$M$936,3,0),""))</f>
        <v>-</v>
      </c>
      <c r="C1037" s="70" t="str">
        <f>IF($A$3=" "," ", IFERROR( VLOOKUP($A1037,'SUPPLIER DATA BASE'!$A$2:$F$936,6,0),""))</f>
        <v>-</v>
      </c>
      <c r="D1037" s="70" t="str">
        <f>IF($A$3=" "," ", IFERROR( VLOOKUP($A1037,'SUPPLIER DATA BASE'!$A$2:$G$936,4,0),""))</f>
        <v>-</v>
      </c>
      <c r="E1037" s="71" t="str">
        <f>IF($A$3=" "," ", IFERROR( VLOOKUP($A1037,'SUPPLIER DATA BASE'!$A$2:$H$936,5,0),""))</f>
        <v>-</v>
      </c>
      <c r="F1037" s="72" t="s">
        <v>3069</v>
      </c>
      <c r="G1037" s="73"/>
      <c r="H1037" s="74"/>
      <c r="I1037" s="75"/>
      <c r="J1037" s="76" t="s">
        <v>3070</v>
      </c>
      <c r="K1037" s="76" t="s">
        <v>3071</v>
      </c>
      <c r="L1037" s="73"/>
      <c r="M1037" s="70" t="str">
        <f t="shared" si="3"/>
        <v/>
      </c>
      <c r="N1037" s="70" t="str">
        <f>IF($A$3=" "," ", IFERROR( VLOOKUP($A1037,'SUPPLIER DATA BASE'!$A$2:$O$936,11,0),""))</f>
        <v>-</v>
      </c>
      <c r="O1037" s="70" t="str">
        <f>IF($A$3=" "," ", IFERROR( VLOOKUP($A1037,'SUPPLIER DATA BASE'!$A$2:$O$936,12,0),""))</f>
        <v>-</v>
      </c>
      <c r="P1037" s="70" t="str">
        <f>IF($A$3=" "," ", IFERROR( VLOOKUP($A1037,'SUPPLIER DATA BASE'!$A$2:$O$936,13,0),""))</f>
        <v>-</v>
      </c>
      <c r="Q1037" s="77"/>
      <c r="R1037" s="73"/>
      <c r="S1037" s="77"/>
      <c r="T1037" s="70"/>
      <c r="U1037" s="78"/>
      <c r="V1037" s="70" t="str">
        <f t="shared" si="6"/>
        <v/>
      </c>
      <c r="W1037" s="23"/>
      <c r="X1037" s="23"/>
    </row>
    <row r="1038">
      <c r="A1038" s="70" t="s">
        <v>354</v>
      </c>
      <c r="B1038" s="70" t="str">
        <f>IF($A$3=" "," ", IFERROR( VLOOKUP($A1038,'SUPPLIER DATA BASE'!$A$2:$M$936,3,0),""))</f>
        <v>-</v>
      </c>
      <c r="C1038" s="70" t="str">
        <f>IF($A$3=" "," ", IFERROR( VLOOKUP($A1038,'SUPPLIER DATA BASE'!$A$2:$F$936,6,0),""))</f>
        <v>-</v>
      </c>
      <c r="D1038" s="70" t="str">
        <f>IF($A$3=" "," ", IFERROR( VLOOKUP($A1038,'SUPPLIER DATA BASE'!$A$2:$G$936,4,0),""))</f>
        <v>-</v>
      </c>
      <c r="E1038" s="71" t="str">
        <f>IF($A$3=" "," ", IFERROR( VLOOKUP($A1038,'SUPPLIER DATA BASE'!$A$2:$H$936,5,0),""))</f>
        <v>-</v>
      </c>
      <c r="F1038" s="72" t="s">
        <v>3072</v>
      </c>
      <c r="G1038" s="73"/>
      <c r="H1038" s="74"/>
      <c r="I1038" s="75"/>
      <c r="J1038" s="76" t="s">
        <v>3073</v>
      </c>
      <c r="K1038" s="76" t="s">
        <v>3074</v>
      </c>
      <c r="L1038" s="73"/>
      <c r="M1038" s="70" t="str">
        <f t="shared" si="3"/>
        <v/>
      </c>
      <c r="N1038" s="70" t="str">
        <f>IF($A$3=" "," ", IFERROR( VLOOKUP($A1038,'SUPPLIER DATA BASE'!$A$2:$O$936,11,0),""))</f>
        <v>-</v>
      </c>
      <c r="O1038" s="70" t="str">
        <f>IF($A$3=" "," ", IFERROR( VLOOKUP($A1038,'SUPPLIER DATA BASE'!$A$2:$O$936,12,0),""))</f>
        <v>-</v>
      </c>
      <c r="P1038" s="70" t="str">
        <f>IF($A$3=" "," ", IFERROR( VLOOKUP($A1038,'SUPPLIER DATA BASE'!$A$2:$O$936,13,0),""))</f>
        <v>-</v>
      </c>
      <c r="Q1038" s="77"/>
      <c r="R1038" s="73"/>
      <c r="S1038" s="77"/>
      <c r="T1038" s="70"/>
      <c r="U1038" s="78"/>
      <c r="V1038" s="70" t="str">
        <f t="shared" si="6"/>
        <v/>
      </c>
      <c r="W1038" s="23"/>
      <c r="X1038" s="23"/>
    </row>
    <row r="1039">
      <c r="A1039" s="70" t="s">
        <v>354</v>
      </c>
      <c r="B1039" s="70" t="str">
        <f>IF($A$3=" "," ", IFERROR( VLOOKUP($A1039,'SUPPLIER DATA BASE'!$A$2:$M$936,3,0),""))</f>
        <v>-</v>
      </c>
      <c r="C1039" s="70" t="str">
        <f>IF($A$3=" "," ", IFERROR( VLOOKUP($A1039,'SUPPLIER DATA BASE'!$A$2:$F$936,6,0),""))</f>
        <v>-</v>
      </c>
      <c r="D1039" s="70" t="str">
        <f>IF($A$3=" "," ", IFERROR( VLOOKUP($A1039,'SUPPLIER DATA BASE'!$A$2:$G$936,4,0),""))</f>
        <v>-</v>
      </c>
      <c r="E1039" s="71" t="str">
        <f>IF($A$3=" "," ", IFERROR( VLOOKUP($A1039,'SUPPLIER DATA BASE'!$A$2:$H$936,5,0),""))</f>
        <v>-</v>
      </c>
      <c r="F1039" s="72" t="s">
        <v>3075</v>
      </c>
      <c r="G1039" s="73"/>
      <c r="H1039" s="74"/>
      <c r="I1039" s="75"/>
      <c r="J1039" s="76" t="s">
        <v>3076</v>
      </c>
      <c r="K1039" s="76" t="s">
        <v>3077</v>
      </c>
      <c r="L1039" s="73"/>
      <c r="M1039" s="70" t="str">
        <f t="shared" si="3"/>
        <v/>
      </c>
      <c r="N1039" s="70" t="str">
        <f>IF($A$3=" "," ", IFERROR( VLOOKUP($A1039,'SUPPLIER DATA BASE'!$A$2:$O$936,11,0),""))</f>
        <v>-</v>
      </c>
      <c r="O1039" s="70" t="str">
        <f>IF($A$3=" "," ", IFERROR( VLOOKUP($A1039,'SUPPLIER DATA BASE'!$A$2:$O$936,12,0),""))</f>
        <v>-</v>
      </c>
      <c r="P1039" s="70" t="str">
        <f>IF($A$3=" "," ", IFERROR( VLOOKUP($A1039,'SUPPLIER DATA BASE'!$A$2:$O$936,13,0),""))</f>
        <v>-</v>
      </c>
      <c r="Q1039" s="77"/>
      <c r="R1039" s="73"/>
      <c r="S1039" s="77"/>
      <c r="T1039" s="70"/>
      <c r="U1039" s="78"/>
      <c r="V1039" s="70" t="str">
        <f t="shared" si="6"/>
        <v/>
      </c>
      <c r="W1039" s="23"/>
      <c r="X1039" s="23"/>
    </row>
    <row r="1040">
      <c r="A1040" s="70" t="s">
        <v>799</v>
      </c>
      <c r="B1040" s="70" t="str">
        <f>IF($A$3=" "," ", IFERROR( VLOOKUP($A1040,'SUPPLIER DATA BASE'!$A$2:$M$936,3,0),""))</f>
        <v>-</v>
      </c>
      <c r="C1040" s="70" t="str">
        <f>IF($A$3=" "," ", IFERROR( VLOOKUP($A1040,'SUPPLIER DATA BASE'!$A$2:$F$936,6,0),""))</f>
        <v>-</v>
      </c>
      <c r="D1040" s="70" t="str">
        <f>IF($A$3=" "," ", IFERROR( VLOOKUP($A1040,'SUPPLIER DATA BASE'!$A$2:$G$936,4,0),""))</f>
        <v>-</v>
      </c>
      <c r="E1040" s="71" t="str">
        <f>IF($A$3=" "," ", IFERROR( VLOOKUP($A1040,'SUPPLIER DATA BASE'!$A$2:$H$936,5,0),""))</f>
        <v>-</v>
      </c>
      <c r="F1040" s="72"/>
      <c r="G1040" s="73"/>
      <c r="H1040" s="74"/>
      <c r="I1040" s="75"/>
      <c r="J1040" s="76" t="s">
        <v>3078</v>
      </c>
      <c r="K1040" s="76" t="s">
        <v>3079</v>
      </c>
      <c r="L1040" s="73"/>
      <c r="M1040" s="70" t="str">
        <f t="shared" si="3"/>
        <v/>
      </c>
      <c r="N1040" s="70" t="str">
        <f>IF($A$3=" "," ", IFERROR( VLOOKUP($A1040,'SUPPLIER DATA BASE'!$A$2:$O$936,11,0),""))</f>
        <v>VISHAL MARKETING &amp; CO.</v>
      </c>
      <c r="O1040" s="70" t="str">
        <f>IF($A$3=" "," ", IFERROR( VLOOKUP($A1040,'SUPPLIER DATA BASE'!$A$2:$O$936,12,0),""))</f>
        <v>1091008700001025</v>
      </c>
      <c r="P1040" s="70" t="str">
        <f>IF($A$3=" "," ", IFERROR( VLOOKUP($A1040,'SUPPLIER DATA BASE'!$A$2:$O$936,13,0),""))</f>
        <v>PUNB0109100</v>
      </c>
      <c r="Q1040" s="77"/>
      <c r="R1040" s="73"/>
      <c r="S1040" s="77"/>
      <c r="T1040" s="70"/>
      <c r="U1040" s="78"/>
      <c r="V1040" s="70" t="str">
        <f t="shared" si="6"/>
        <v/>
      </c>
      <c r="W1040" s="23"/>
      <c r="X1040" s="23"/>
    </row>
    <row r="1041">
      <c r="A1041" s="70" t="s">
        <v>370</v>
      </c>
      <c r="B1041" s="70" t="str">
        <f>IF($A$3=" "," ", IFERROR( VLOOKUP($A1041,'SUPPLIER DATA BASE'!$A$2:$M$936,3,0),""))</f>
        <v>-</v>
      </c>
      <c r="C1041" s="70" t="str">
        <f>IF($A$3=" "," ", IFERROR( VLOOKUP($A1041,'SUPPLIER DATA BASE'!$A$2:$F$936,6,0),""))</f>
        <v>SURYAM TEXTILE AGENCY</v>
      </c>
      <c r="D1041" s="70">
        <f>IF($A$3=" "," ", IFERROR( VLOOKUP($A1041,'SUPPLIER DATA BASE'!$A$2:$G$936,4,0),""))</f>
        <v>30</v>
      </c>
      <c r="E1041" s="71">
        <f>IF($A$3=" "," ", IFERROR( VLOOKUP($A1041,'SUPPLIER DATA BASE'!$A$2:$H$936,5,0),""))</f>
        <v>0.09</v>
      </c>
      <c r="F1041" s="72"/>
      <c r="G1041" s="73"/>
      <c r="H1041" s="74"/>
      <c r="I1041" s="75"/>
      <c r="J1041" s="76" t="s">
        <v>3080</v>
      </c>
      <c r="K1041" s="76" t="s">
        <v>3081</v>
      </c>
      <c r="L1041" s="73"/>
      <c r="M1041" s="70" t="str">
        <f t="shared" si="3"/>
        <v/>
      </c>
      <c r="N1041" s="70" t="str">
        <f>IF($A$3=" "," ", IFERROR( VLOOKUP($A1041,'SUPPLIER DATA BASE'!$A$2:$O$936,11,0),""))</f>
        <v>AS TEXTILE</v>
      </c>
      <c r="O1041" s="70" t="str">
        <f>IF($A$3=" "," ", IFERROR( VLOOKUP($A1041,'SUPPLIER DATA BASE'!$A$2:$O$936,12,0),""))</f>
        <v>50200012846193</v>
      </c>
      <c r="P1041" s="70" t="str">
        <f>IF($A$3=" "," ", IFERROR( VLOOKUP($A1041,'SUPPLIER DATA BASE'!$A$2:$O$936,13,0),""))</f>
        <v>HDFC0001249</v>
      </c>
      <c r="Q1041" s="77"/>
      <c r="R1041" s="73"/>
      <c r="S1041" s="77"/>
      <c r="T1041" s="70"/>
      <c r="U1041" s="78"/>
      <c r="V1041" s="70" t="str">
        <f t="shared" si="6"/>
        <v/>
      </c>
      <c r="W1041" s="23"/>
      <c r="X1041" s="23"/>
    </row>
    <row r="1042">
      <c r="A1042" s="70" t="s">
        <v>370</v>
      </c>
      <c r="B1042" s="70" t="str">
        <f>IF($A$3=" "," ", IFERROR( VLOOKUP($A1042,'SUPPLIER DATA BASE'!$A$2:$M$936,3,0),""))</f>
        <v>-</v>
      </c>
      <c r="C1042" s="70" t="str">
        <f>IF($A$3=" "," ", IFERROR( VLOOKUP($A1042,'SUPPLIER DATA BASE'!$A$2:$F$936,6,0),""))</f>
        <v>SURYAM TEXTILE AGENCY</v>
      </c>
      <c r="D1042" s="70">
        <f>IF($A$3=" "," ", IFERROR( VLOOKUP($A1042,'SUPPLIER DATA BASE'!$A$2:$G$936,4,0),""))</f>
        <v>30</v>
      </c>
      <c r="E1042" s="71">
        <f>IF($A$3=" "," ", IFERROR( VLOOKUP($A1042,'SUPPLIER DATA BASE'!$A$2:$H$936,5,0),""))</f>
        <v>0.09</v>
      </c>
      <c r="F1042" s="72"/>
      <c r="G1042" s="73"/>
      <c r="H1042" s="74"/>
      <c r="I1042" s="75"/>
      <c r="J1042" s="76" t="s">
        <v>3082</v>
      </c>
      <c r="K1042" s="76" t="s">
        <v>3083</v>
      </c>
      <c r="L1042" s="73"/>
      <c r="M1042" s="70" t="str">
        <f t="shared" si="3"/>
        <v/>
      </c>
      <c r="N1042" s="70" t="str">
        <f>IF($A$3=" "," ", IFERROR( VLOOKUP($A1042,'SUPPLIER DATA BASE'!$A$2:$O$936,11,0),""))</f>
        <v>AS TEXTILE</v>
      </c>
      <c r="O1042" s="70" t="str">
        <f>IF($A$3=" "," ", IFERROR( VLOOKUP($A1042,'SUPPLIER DATA BASE'!$A$2:$O$936,12,0),""))</f>
        <v>50200012846193</v>
      </c>
      <c r="P1042" s="70" t="str">
        <f>IF($A$3=" "," ", IFERROR( VLOOKUP($A1042,'SUPPLIER DATA BASE'!$A$2:$O$936,13,0),""))</f>
        <v>HDFC0001249</v>
      </c>
      <c r="Q1042" s="77"/>
      <c r="R1042" s="73"/>
      <c r="S1042" s="77"/>
      <c r="T1042" s="70"/>
      <c r="U1042" s="78"/>
      <c r="V1042" s="70" t="str">
        <f t="shared" si="6"/>
        <v/>
      </c>
      <c r="W1042" s="23"/>
      <c r="X1042" s="23"/>
    </row>
    <row r="1043">
      <c r="A1043" s="70" t="s">
        <v>370</v>
      </c>
      <c r="B1043" s="70" t="str">
        <f>IF($A$3=" "," ", IFERROR( VLOOKUP($A1043,'SUPPLIER DATA BASE'!$A$2:$M$936,3,0),""))</f>
        <v>-</v>
      </c>
      <c r="C1043" s="70" t="str">
        <f>IF($A$3=" "," ", IFERROR( VLOOKUP($A1043,'SUPPLIER DATA BASE'!$A$2:$F$936,6,0),""))</f>
        <v>SURYAM TEXTILE AGENCY</v>
      </c>
      <c r="D1043" s="70">
        <f>IF($A$3=" "," ", IFERROR( VLOOKUP($A1043,'SUPPLIER DATA BASE'!$A$2:$G$936,4,0),""))</f>
        <v>30</v>
      </c>
      <c r="E1043" s="71">
        <f>IF($A$3=" "," ", IFERROR( VLOOKUP($A1043,'SUPPLIER DATA BASE'!$A$2:$H$936,5,0),""))</f>
        <v>0.09</v>
      </c>
      <c r="F1043" s="72"/>
      <c r="G1043" s="73"/>
      <c r="H1043" s="74"/>
      <c r="I1043" s="75"/>
      <c r="J1043" s="76" t="s">
        <v>3084</v>
      </c>
      <c r="K1043" s="76" t="s">
        <v>3085</v>
      </c>
      <c r="L1043" s="73"/>
      <c r="M1043" s="70" t="str">
        <f t="shared" si="3"/>
        <v/>
      </c>
      <c r="N1043" s="70" t="str">
        <f>IF($A$3=" "," ", IFERROR( VLOOKUP($A1043,'SUPPLIER DATA BASE'!$A$2:$O$936,11,0),""))</f>
        <v>AS TEXTILE</v>
      </c>
      <c r="O1043" s="70" t="str">
        <f>IF($A$3=" "," ", IFERROR( VLOOKUP($A1043,'SUPPLIER DATA BASE'!$A$2:$O$936,12,0),""))</f>
        <v>50200012846193</v>
      </c>
      <c r="P1043" s="70" t="str">
        <f>IF($A$3=" "," ", IFERROR( VLOOKUP($A1043,'SUPPLIER DATA BASE'!$A$2:$O$936,13,0),""))</f>
        <v>HDFC0001249</v>
      </c>
      <c r="Q1043" s="77"/>
      <c r="R1043" s="73"/>
      <c r="S1043" s="77"/>
      <c r="T1043" s="70"/>
      <c r="U1043" s="78"/>
      <c r="V1043" s="70" t="str">
        <f t="shared" si="6"/>
        <v/>
      </c>
      <c r="W1043" s="23"/>
      <c r="X1043" s="23"/>
    </row>
    <row r="1044">
      <c r="A1044" s="70" t="s">
        <v>370</v>
      </c>
      <c r="B1044" s="70" t="str">
        <f>IF($A$3=" "," ", IFERROR( VLOOKUP($A1044,'SUPPLIER DATA BASE'!$A$2:$M$936,3,0),""))</f>
        <v>-</v>
      </c>
      <c r="C1044" s="70" t="str">
        <f>IF($A$3=" "," ", IFERROR( VLOOKUP($A1044,'SUPPLIER DATA BASE'!$A$2:$F$936,6,0),""))</f>
        <v>SURYAM TEXTILE AGENCY</v>
      </c>
      <c r="D1044" s="70">
        <f>IF($A$3=" "," ", IFERROR( VLOOKUP($A1044,'SUPPLIER DATA BASE'!$A$2:$G$936,4,0),""))</f>
        <v>30</v>
      </c>
      <c r="E1044" s="71">
        <f>IF($A$3=" "," ", IFERROR( VLOOKUP($A1044,'SUPPLIER DATA BASE'!$A$2:$H$936,5,0),""))</f>
        <v>0.09</v>
      </c>
      <c r="F1044" s="72"/>
      <c r="G1044" s="73"/>
      <c r="H1044" s="74"/>
      <c r="I1044" s="75"/>
      <c r="J1044" s="76" t="s">
        <v>3086</v>
      </c>
      <c r="K1044" s="76" t="s">
        <v>3087</v>
      </c>
      <c r="L1044" s="73"/>
      <c r="M1044" s="70" t="str">
        <f t="shared" si="3"/>
        <v/>
      </c>
      <c r="N1044" s="70" t="str">
        <f>IF($A$3=" "," ", IFERROR( VLOOKUP($A1044,'SUPPLIER DATA BASE'!$A$2:$O$936,11,0),""))</f>
        <v>AS TEXTILE</v>
      </c>
      <c r="O1044" s="70" t="str">
        <f>IF($A$3=" "," ", IFERROR( VLOOKUP($A1044,'SUPPLIER DATA BASE'!$A$2:$O$936,12,0),""))</f>
        <v>50200012846193</v>
      </c>
      <c r="P1044" s="70" t="str">
        <f>IF($A$3=" "," ", IFERROR( VLOOKUP($A1044,'SUPPLIER DATA BASE'!$A$2:$O$936,13,0),""))</f>
        <v>HDFC0001249</v>
      </c>
      <c r="Q1044" s="77"/>
      <c r="R1044" s="73"/>
      <c r="S1044" s="77"/>
      <c r="T1044" s="70"/>
      <c r="U1044" s="78"/>
      <c r="V1044" s="70" t="str">
        <f t="shared" si="6"/>
        <v/>
      </c>
      <c r="W1044" s="23"/>
      <c r="X1044" s="23"/>
    </row>
    <row r="1045">
      <c r="A1045" s="70" t="s">
        <v>370</v>
      </c>
      <c r="B1045" s="70" t="str">
        <f>IF($A$3=" "," ", IFERROR( VLOOKUP($A1045,'SUPPLIER DATA BASE'!$A$2:$M$936,3,0),""))</f>
        <v>-</v>
      </c>
      <c r="C1045" s="70" t="str">
        <f>IF($A$3=" "," ", IFERROR( VLOOKUP($A1045,'SUPPLIER DATA BASE'!$A$2:$F$936,6,0),""))</f>
        <v>SURYAM TEXTILE AGENCY</v>
      </c>
      <c r="D1045" s="70">
        <f>IF($A$3=" "," ", IFERROR( VLOOKUP($A1045,'SUPPLIER DATA BASE'!$A$2:$G$936,4,0),""))</f>
        <v>30</v>
      </c>
      <c r="E1045" s="71">
        <f>IF($A$3=" "," ", IFERROR( VLOOKUP($A1045,'SUPPLIER DATA BASE'!$A$2:$H$936,5,0),""))</f>
        <v>0.09</v>
      </c>
      <c r="F1045" s="72"/>
      <c r="G1045" s="73"/>
      <c r="H1045" s="74"/>
      <c r="I1045" s="75"/>
      <c r="J1045" s="76" t="s">
        <v>3088</v>
      </c>
      <c r="K1045" s="76" t="s">
        <v>3089</v>
      </c>
      <c r="L1045" s="73"/>
      <c r="M1045" s="70" t="str">
        <f t="shared" si="3"/>
        <v/>
      </c>
      <c r="N1045" s="70" t="str">
        <f>IF($A$3=" "," ", IFERROR( VLOOKUP($A1045,'SUPPLIER DATA BASE'!$A$2:$O$936,11,0),""))</f>
        <v>AS TEXTILE</v>
      </c>
      <c r="O1045" s="70" t="str">
        <f>IF($A$3=" "," ", IFERROR( VLOOKUP($A1045,'SUPPLIER DATA BASE'!$A$2:$O$936,12,0),""))</f>
        <v>50200012846193</v>
      </c>
      <c r="P1045" s="70" t="str">
        <f>IF($A$3=" "," ", IFERROR( VLOOKUP($A1045,'SUPPLIER DATA BASE'!$A$2:$O$936,13,0),""))</f>
        <v>HDFC0001249</v>
      </c>
      <c r="Q1045" s="77"/>
      <c r="R1045" s="73"/>
      <c r="S1045" s="77"/>
      <c r="T1045" s="70"/>
      <c r="U1045" s="78"/>
      <c r="V1045" s="70" t="str">
        <f t="shared" si="6"/>
        <v/>
      </c>
      <c r="W1045" s="23"/>
      <c r="X1045" s="23"/>
    </row>
    <row r="1046">
      <c r="A1046" s="70" t="s">
        <v>370</v>
      </c>
      <c r="B1046" s="70" t="str">
        <f>IF($A$3=" "," ", IFERROR( VLOOKUP($A1046,'SUPPLIER DATA BASE'!$A$2:$M$936,3,0),""))</f>
        <v>-</v>
      </c>
      <c r="C1046" s="70" t="str">
        <f>IF($A$3=" "," ", IFERROR( VLOOKUP($A1046,'SUPPLIER DATA BASE'!$A$2:$F$936,6,0),""))</f>
        <v>SURYAM TEXTILE AGENCY</v>
      </c>
      <c r="D1046" s="70">
        <f>IF($A$3=" "," ", IFERROR( VLOOKUP($A1046,'SUPPLIER DATA BASE'!$A$2:$G$936,4,0),""))</f>
        <v>30</v>
      </c>
      <c r="E1046" s="71">
        <f>IF($A$3=" "," ", IFERROR( VLOOKUP($A1046,'SUPPLIER DATA BASE'!$A$2:$H$936,5,0),""))</f>
        <v>0.09</v>
      </c>
      <c r="F1046" s="72"/>
      <c r="G1046" s="73"/>
      <c r="H1046" s="74"/>
      <c r="I1046" s="75"/>
      <c r="J1046" s="76" t="s">
        <v>3090</v>
      </c>
      <c r="K1046" s="76" t="s">
        <v>3091</v>
      </c>
      <c r="L1046" s="73"/>
      <c r="M1046" s="70" t="str">
        <f t="shared" si="3"/>
        <v/>
      </c>
      <c r="N1046" s="70" t="str">
        <f>IF($A$3=" "," ", IFERROR( VLOOKUP($A1046,'SUPPLIER DATA BASE'!$A$2:$O$936,11,0),""))</f>
        <v>AS TEXTILE</v>
      </c>
      <c r="O1046" s="70" t="str">
        <f>IF($A$3=" "," ", IFERROR( VLOOKUP($A1046,'SUPPLIER DATA BASE'!$A$2:$O$936,12,0),""))</f>
        <v>50200012846193</v>
      </c>
      <c r="P1046" s="70" t="str">
        <f>IF($A$3=" "," ", IFERROR( VLOOKUP($A1046,'SUPPLIER DATA BASE'!$A$2:$O$936,13,0),""))</f>
        <v>HDFC0001249</v>
      </c>
      <c r="Q1046" s="77"/>
      <c r="R1046" s="73"/>
      <c r="S1046" s="77"/>
      <c r="T1046" s="70"/>
      <c r="U1046" s="78"/>
      <c r="V1046" s="70" t="str">
        <f t="shared" si="6"/>
        <v/>
      </c>
      <c r="W1046" s="23"/>
      <c r="X1046" s="23"/>
    </row>
    <row r="1047">
      <c r="A1047" s="70" t="s">
        <v>370</v>
      </c>
      <c r="B1047" s="70" t="str">
        <f>IF($A$3=" "," ", IFERROR( VLOOKUP($A1047,'SUPPLIER DATA BASE'!$A$2:$M$936,3,0),""))</f>
        <v>-</v>
      </c>
      <c r="C1047" s="70" t="str">
        <f>IF($A$3=" "," ", IFERROR( VLOOKUP($A1047,'SUPPLIER DATA BASE'!$A$2:$F$936,6,0),""))</f>
        <v>SURYAM TEXTILE AGENCY</v>
      </c>
      <c r="D1047" s="70">
        <f>IF($A$3=" "," ", IFERROR( VLOOKUP($A1047,'SUPPLIER DATA BASE'!$A$2:$G$936,4,0),""))</f>
        <v>30</v>
      </c>
      <c r="E1047" s="71">
        <f>IF($A$3=" "," ", IFERROR( VLOOKUP($A1047,'SUPPLIER DATA BASE'!$A$2:$H$936,5,0),""))</f>
        <v>0.09</v>
      </c>
      <c r="F1047" s="72"/>
      <c r="G1047" s="73"/>
      <c r="H1047" s="74"/>
      <c r="I1047" s="75"/>
      <c r="J1047" s="76" t="s">
        <v>3092</v>
      </c>
      <c r="K1047" s="76" t="s">
        <v>3093</v>
      </c>
      <c r="L1047" s="73"/>
      <c r="M1047" s="70" t="str">
        <f t="shared" si="3"/>
        <v/>
      </c>
      <c r="N1047" s="70" t="str">
        <f>IF($A$3=" "," ", IFERROR( VLOOKUP($A1047,'SUPPLIER DATA BASE'!$A$2:$O$936,11,0),""))</f>
        <v>AS TEXTILE</v>
      </c>
      <c r="O1047" s="70" t="str">
        <f>IF($A$3=" "," ", IFERROR( VLOOKUP($A1047,'SUPPLIER DATA BASE'!$A$2:$O$936,12,0),""))</f>
        <v>50200012846193</v>
      </c>
      <c r="P1047" s="70" t="str">
        <f>IF($A$3=" "," ", IFERROR( VLOOKUP($A1047,'SUPPLIER DATA BASE'!$A$2:$O$936,13,0),""))</f>
        <v>HDFC0001249</v>
      </c>
      <c r="Q1047" s="77"/>
      <c r="R1047" s="73"/>
      <c r="S1047" s="77"/>
      <c r="T1047" s="70"/>
      <c r="U1047" s="78"/>
      <c r="V1047" s="70" t="str">
        <f t="shared" si="6"/>
        <v/>
      </c>
      <c r="W1047" s="23"/>
      <c r="X1047" s="23"/>
    </row>
    <row r="1048">
      <c r="A1048" s="70"/>
      <c r="B1048" s="70" t="str">
        <f>IF($A$3=" "," ", IFERROR( VLOOKUP($A1048,'SUPPLIER DATA BASE'!$A$2:$M$936,3,0),""))</f>
        <v/>
      </c>
      <c r="C1048" s="70" t="str">
        <f>IF($A$3=" "," ", IFERROR( VLOOKUP($A1048,'SUPPLIER DATA BASE'!$A$2:$F$936,6,0),""))</f>
        <v/>
      </c>
      <c r="D1048" s="70" t="str">
        <f>IF($A$3=" "," ", IFERROR( VLOOKUP($A1048,'SUPPLIER DATA BASE'!$A$2:$G$936,4,0),""))</f>
        <v/>
      </c>
      <c r="E1048" s="71" t="str">
        <f>IF($A$3=" "," ", IFERROR( VLOOKUP($A1048,'SUPPLIER DATA BASE'!$A$2:$H$936,5,0),""))</f>
        <v/>
      </c>
      <c r="F1048" s="72"/>
      <c r="G1048" s="73"/>
      <c r="H1048" s="74"/>
      <c r="I1048" s="75"/>
      <c r="J1048" s="76" t="s">
        <v>3094</v>
      </c>
      <c r="K1048" s="76" t="s">
        <v>3095</v>
      </c>
      <c r="L1048" s="73"/>
      <c r="M1048" s="70" t="str">
        <f t="shared" si="3"/>
        <v/>
      </c>
      <c r="N1048" s="70" t="str">
        <f>IF($A$3=" "," ", IFERROR( VLOOKUP($A1048,'SUPPLIER DATA BASE'!$A$2:$O$936,11,0),""))</f>
        <v/>
      </c>
      <c r="O1048" s="70" t="str">
        <f>IF($A$3=" "," ", IFERROR( VLOOKUP($A1048,'SUPPLIER DATA BASE'!$A$2:$O$936,12,0),""))</f>
        <v/>
      </c>
      <c r="P1048" s="70" t="str">
        <f>IF($A$3=" "," ", IFERROR( VLOOKUP($A1048,'SUPPLIER DATA BASE'!$A$2:$O$936,13,0),""))</f>
        <v/>
      </c>
      <c r="Q1048" s="77"/>
      <c r="R1048" s="73"/>
      <c r="S1048" s="77"/>
      <c r="T1048" s="70"/>
      <c r="U1048" s="78"/>
      <c r="V1048" s="70" t="str">
        <f t="shared" si="6"/>
        <v/>
      </c>
      <c r="W1048" s="23"/>
      <c r="X1048" s="23"/>
    </row>
    <row r="1049">
      <c r="A1049" s="70"/>
      <c r="B1049" s="70" t="str">
        <f>IF($A$3=" "," ", IFERROR( VLOOKUP($A1049,'SUPPLIER DATA BASE'!$A$2:$M$936,3,0),""))</f>
        <v/>
      </c>
      <c r="C1049" s="70" t="str">
        <f>IF($A$3=" "," ", IFERROR( VLOOKUP($A1049,'SUPPLIER DATA BASE'!$A$2:$F$936,6,0),""))</f>
        <v/>
      </c>
      <c r="D1049" s="70" t="str">
        <f>IF($A$3=" "," ", IFERROR( VLOOKUP($A1049,'SUPPLIER DATA BASE'!$A$2:$G$936,4,0),""))</f>
        <v/>
      </c>
      <c r="E1049" s="71" t="str">
        <f>IF($A$3=" "," ", IFERROR( VLOOKUP($A1049,'SUPPLIER DATA BASE'!$A$2:$H$936,5,0),""))</f>
        <v/>
      </c>
      <c r="F1049" s="72"/>
      <c r="G1049" s="73"/>
      <c r="H1049" s="74"/>
      <c r="I1049" s="75"/>
      <c r="J1049" s="76" t="s">
        <v>3096</v>
      </c>
      <c r="K1049" s="76" t="s">
        <v>3097</v>
      </c>
      <c r="L1049" s="73"/>
      <c r="M1049" s="70" t="str">
        <f t="shared" si="3"/>
        <v/>
      </c>
      <c r="N1049" s="70" t="str">
        <f>IF($A$3=" "," ", IFERROR( VLOOKUP($A1049,'SUPPLIER DATA BASE'!$A$2:$O$936,11,0),""))</f>
        <v/>
      </c>
      <c r="O1049" s="70" t="str">
        <f>IF($A$3=" "," ", IFERROR( VLOOKUP($A1049,'SUPPLIER DATA BASE'!$A$2:$O$936,12,0),""))</f>
        <v/>
      </c>
      <c r="P1049" s="70" t="str">
        <f>IF($A$3=" "," ", IFERROR( VLOOKUP($A1049,'SUPPLIER DATA BASE'!$A$2:$O$936,13,0),""))</f>
        <v/>
      </c>
      <c r="Q1049" s="77"/>
      <c r="R1049" s="73"/>
      <c r="S1049" s="77"/>
      <c r="T1049" s="70"/>
      <c r="U1049" s="78"/>
      <c r="V1049" s="70" t="str">
        <f t="shared" si="6"/>
        <v/>
      </c>
      <c r="W1049" s="23"/>
      <c r="X1049" s="23"/>
    </row>
    <row r="1050">
      <c r="A1050" s="70" t="s">
        <v>358</v>
      </c>
      <c r="B1050" s="70" t="str">
        <f>IF($A$3=" "," ", IFERROR( VLOOKUP($A1050,'SUPPLIER DATA BASE'!$A$2:$M$936,3,0),""))</f>
        <v>-</v>
      </c>
      <c r="C1050" s="70" t="str">
        <f>IF($A$3=" "," ", IFERROR( VLOOKUP($A1050,'SUPPLIER DATA BASE'!$A$2:$F$936,6,0),""))</f>
        <v>SURYAM TEXTILE AGENCY</v>
      </c>
      <c r="D1050" s="70" t="str">
        <f>IF($A$3=" "," ", IFERROR( VLOOKUP($A1050,'SUPPLIER DATA BASE'!$A$2:$G$936,4,0),""))</f>
        <v>NO</v>
      </c>
      <c r="E1050" s="71" t="str">
        <f>IF($A$3=" "," ", IFERROR( VLOOKUP($A1050,'SUPPLIER DATA BASE'!$A$2:$H$936,5,0),""))</f>
        <v>-</v>
      </c>
      <c r="F1050" s="72"/>
      <c r="G1050" s="73"/>
      <c r="H1050" s="74"/>
      <c r="I1050" s="75"/>
      <c r="J1050" s="76" t="s">
        <v>3098</v>
      </c>
      <c r="K1050" s="76" t="s">
        <v>3099</v>
      </c>
      <c r="L1050" s="73"/>
      <c r="M1050" s="70" t="str">
        <f t="shared" si="3"/>
        <v/>
      </c>
      <c r="N1050" s="70" t="str">
        <f>IF($A$3=" "," ", IFERROR( VLOOKUP($A1050,'SUPPLIER DATA BASE'!$A$2:$O$936,11,0),""))</f>
        <v>AJJAWAM DESIGNER PRIVATE LIMITED</v>
      </c>
      <c r="O1050" s="70" t="str">
        <f>IF($A$3=" "," ", IFERROR( VLOOKUP($A1050,'SUPPLIER DATA BASE'!$A$2:$O$936,12,0),""))</f>
        <v>925020021188499</v>
      </c>
      <c r="P1050" s="70" t="str">
        <f>IF($A$3=" "," ", IFERROR( VLOOKUP($A1050,'SUPPLIER DATA BASE'!$A$2:$O$936,13,0),""))</f>
        <v>UTIB0004665</v>
      </c>
      <c r="Q1050" s="77"/>
      <c r="R1050" s="73"/>
      <c r="S1050" s="77"/>
      <c r="T1050" s="70"/>
      <c r="U1050" s="78"/>
      <c r="V1050" s="70" t="str">
        <f t="shared" si="6"/>
        <v/>
      </c>
      <c r="W1050" s="23"/>
      <c r="X1050" s="23"/>
    </row>
    <row r="1051">
      <c r="A1051" s="70" t="s">
        <v>358</v>
      </c>
      <c r="B1051" s="70" t="str">
        <f>IF($A$3=" "," ", IFERROR( VLOOKUP($A1051,'SUPPLIER DATA BASE'!$A$2:$M$936,3,0),""))</f>
        <v>-</v>
      </c>
      <c r="C1051" s="70" t="str">
        <f>IF($A$3=" "," ", IFERROR( VLOOKUP($A1051,'SUPPLIER DATA BASE'!$A$2:$F$936,6,0),""))</f>
        <v>SURYAM TEXTILE AGENCY</v>
      </c>
      <c r="D1051" s="70" t="str">
        <f>IF($A$3=" "," ", IFERROR( VLOOKUP($A1051,'SUPPLIER DATA BASE'!$A$2:$G$936,4,0),""))</f>
        <v>NO</v>
      </c>
      <c r="E1051" s="71" t="str">
        <f>IF($A$3=" "," ", IFERROR( VLOOKUP($A1051,'SUPPLIER DATA BASE'!$A$2:$H$936,5,0),""))</f>
        <v>-</v>
      </c>
      <c r="F1051" s="72"/>
      <c r="G1051" s="73"/>
      <c r="H1051" s="74"/>
      <c r="I1051" s="75"/>
      <c r="J1051" s="76" t="s">
        <v>3100</v>
      </c>
      <c r="K1051" s="76" t="s">
        <v>3101</v>
      </c>
      <c r="L1051" s="73"/>
      <c r="M1051" s="70" t="str">
        <f t="shared" si="3"/>
        <v/>
      </c>
      <c r="N1051" s="70" t="str">
        <f>IF($A$3=" "," ", IFERROR( VLOOKUP($A1051,'SUPPLIER DATA BASE'!$A$2:$O$936,11,0),""))</f>
        <v>AJJAWAM DESIGNER PRIVATE LIMITED</v>
      </c>
      <c r="O1051" s="70" t="str">
        <f>IF($A$3=" "," ", IFERROR( VLOOKUP($A1051,'SUPPLIER DATA BASE'!$A$2:$O$936,12,0),""))</f>
        <v>925020021188499</v>
      </c>
      <c r="P1051" s="70" t="str">
        <f>IF($A$3=" "," ", IFERROR( VLOOKUP($A1051,'SUPPLIER DATA BASE'!$A$2:$O$936,13,0),""))</f>
        <v>UTIB0004665</v>
      </c>
      <c r="Q1051" s="77"/>
      <c r="R1051" s="73"/>
      <c r="S1051" s="77"/>
      <c r="T1051" s="70"/>
      <c r="U1051" s="78"/>
      <c r="V1051" s="70" t="str">
        <f t="shared" si="6"/>
        <v/>
      </c>
      <c r="W1051" s="23"/>
      <c r="X1051" s="23"/>
    </row>
    <row r="1052">
      <c r="A1052" s="70" t="s">
        <v>391</v>
      </c>
      <c r="B1052" s="70" t="str">
        <f>IF($A$3=" "," ", IFERROR( VLOOKUP($A1052,'SUPPLIER DATA BASE'!$A$2:$M$936,3,0),""))</f>
        <v>BLAZO</v>
      </c>
      <c r="C1052" s="70" t="str">
        <f>IF($A$3=" "," ", IFERROR( VLOOKUP($A1052,'SUPPLIER DATA BASE'!$A$2:$F$936,6,0),""))</f>
        <v>-</v>
      </c>
      <c r="D1052" s="70" t="str">
        <f>IF($A$3=" "," ", IFERROR( VLOOKUP($A1052,'SUPPLIER DATA BASE'!$A$2:$G$936,4,0),""))</f>
        <v>-</v>
      </c>
      <c r="E1052" s="71" t="str">
        <f>IF($A$3=" "," ", IFERROR( VLOOKUP($A1052,'SUPPLIER DATA BASE'!$A$2:$H$936,5,0),""))</f>
        <v>-</v>
      </c>
      <c r="F1052" s="72"/>
      <c r="G1052" s="73"/>
      <c r="H1052" s="74"/>
      <c r="I1052" s="75"/>
      <c r="J1052" s="76" t="s">
        <v>3102</v>
      </c>
      <c r="K1052" s="76" t="s">
        <v>3103</v>
      </c>
      <c r="L1052" s="73"/>
      <c r="M1052" s="70" t="str">
        <f t="shared" si="3"/>
        <v/>
      </c>
      <c r="N1052" s="70" t="str">
        <f>IF($A$3=" "," ", IFERROR( VLOOKUP($A1052,'SUPPLIER DATA BASE'!$A$2:$O$936,11,0),""))</f>
        <v>-</v>
      </c>
      <c r="O1052" s="70" t="str">
        <f>IF($A$3=" "," ", IFERROR( VLOOKUP($A1052,'SUPPLIER DATA BASE'!$A$2:$O$936,12,0),""))</f>
        <v>-</v>
      </c>
      <c r="P1052" s="70" t="str">
        <f>IF($A$3=" "," ", IFERROR( VLOOKUP($A1052,'SUPPLIER DATA BASE'!$A$2:$O$936,13,0),""))</f>
        <v>-</v>
      </c>
      <c r="Q1052" s="77"/>
      <c r="R1052" s="73"/>
      <c r="S1052" s="77"/>
      <c r="T1052" s="70"/>
      <c r="U1052" s="78"/>
      <c r="V1052" s="70" t="str">
        <f t="shared" si="6"/>
        <v/>
      </c>
      <c r="W1052" s="23"/>
      <c r="X1052" s="23"/>
    </row>
    <row r="1053">
      <c r="A1053" s="70" t="s">
        <v>402</v>
      </c>
      <c r="B1053" s="70" t="str">
        <f>IF($A$3=" "," ", IFERROR( VLOOKUP($A1053,'SUPPLIER DATA BASE'!$A$2:$M$936,3,0),""))</f>
        <v>KHUSHAL/STATUS QUO</v>
      </c>
      <c r="C1053" s="70" t="str">
        <f>IF($A$3=" "," ", IFERROR( VLOOKUP($A1053,'SUPPLIER DATA BASE'!$A$2:$F$936,6,0),""))</f>
        <v>-</v>
      </c>
      <c r="D1053" s="70" t="str">
        <f>IF($A$3=" "," ", IFERROR( VLOOKUP($A1053,'SUPPLIER DATA BASE'!$A$2:$G$936,4,0),""))</f>
        <v>-</v>
      </c>
      <c r="E1053" s="71" t="str">
        <f>IF($A$3=" "," ", IFERROR( VLOOKUP($A1053,'SUPPLIER DATA BASE'!$A$2:$H$936,5,0),""))</f>
        <v>-</v>
      </c>
      <c r="F1053" s="72"/>
      <c r="G1053" s="73"/>
      <c r="H1053" s="74"/>
      <c r="I1053" s="75"/>
      <c r="J1053" s="76" t="s">
        <v>3104</v>
      </c>
      <c r="K1053" s="76" t="s">
        <v>3105</v>
      </c>
      <c r="L1053" s="73"/>
      <c r="M1053" s="70" t="str">
        <f t="shared" si="3"/>
        <v/>
      </c>
      <c r="N1053" s="70" t="str">
        <f>IF($A$3=" "," ", IFERROR( VLOOKUP($A1053,'SUPPLIER DATA BASE'!$A$2:$O$936,11,0),""))</f>
        <v>D APPAREL</v>
      </c>
      <c r="O1053" s="70" t="str">
        <f>IF($A$3=" "," ", IFERROR( VLOOKUP($A1053,'SUPPLIER DATA BASE'!$A$2:$O$936,12,0),""))</f>
        <v>722501010050397</v>
      </c>
      <c r="P1053" s="70" t="str">
        <f>IF($A$3=" "," ", IFERROR( VLOOKUP($A1053,'SUPPLIER DATA BASE'!$A$2:$O$936,13,0),""))</f>
        <v>UBIN0572250</v>
      </c>
      <c r="Q1053" s="77"/>
      <c r="R1053" s="73"/>
      <c r="S1053" s="77"/>
      <c r="T1053" s="70"/>
      <c r="U1053" s="78"/>
      <c r="V1053" s="70" t="str">
        <f t="shared" si="6"/>
        <v/>
      </c>
      <c r="W1053" s="23"/>
      <c r="X1053" s="23"/>
    </row>
    <row r="1054">
      <c r="A1054" s="70" t="s">
        <v>402</v>
      </c>
      <c r="B1054" s="70" t="str">
        <f>IF($A$3=" "," ", IFERROR( VLOOKUP($A1054,'SUPPLIER DATA BASE'!$A$2:$M$936,3,0),""))</f>
        <v>KHUSHAL/STATUS QUO</v>
      </c>
      <c r="C1054" s="70" t="str">
        <f>IF($A$3=" "," ", IFERROR( VLOOKUP($A1054,'SUPPLIER DATA BASE'!$A$2:$F$936,6,0),""))</f>
        <v>-</v>
      </c>
      <c r="D1054" s="70" t="str">
        <f>IF($A$3=" "," ", IFERROR( VLOOKUP($A1054,'SUPPLIER DATA BASE'!$A$2:$G$936,4,0),""))</f>
        <v>-</v>
      </c>
      <c r="E1054" s="71" t="str">
        <f>IF($A$3=" "," ", IFERROR( VLOOKUP($A1054,'SUPPLIER DATA BASE'!$A$2:$H$936,5,0),""))</f>
        <v>-</v>
      </c>
      <c r="F1054" s="72"/>
      <c r="G1054" s="73"/>
      <c r="H1054" s="74"/>
      <c r="I1054" s="75"/>
      <c r="J1054" s="76" t="s">
        <v>3106</v>
      </c>
      <c r="K1054" s="76" t="s">
        <v>3107</v>
      </c>
      <c r="L1054" s="73"/>
      <c r="M1054" s="70" t="str">
        <f t="shared" si="3"/>
        <v/>
      </c>
      <c r="N1054" s="70" t="str">
        <f>IF($A$3=" "," ", IFERROR( VLOOKUP($A1054,'SUPPLIER DATA BASE'!$A$2:$O$936,11,0),""))</f>
        <v>D APPAREL</v>
      </c>
      <c r="O1054" s="70" t="str">
        <f>IF($A$3=" "," ", IFERROR( VLOOKUP($A1054,'SUPPLIER DATA BASE'!$A$2:$O$936,12,0),""))</f>
        <v>722501010050397</v>
      </c>
      <c r="P1054" s="70" t="str">
        <f>IF($A$3=" "," ", IFERROR( VLOOKUP($A1054,'SUPPLIER DATA BASE'!$A$2:$O$936,13,0),""))</f>
        <v>UBIN0572250</v>
      </c>
      <c r="Q1054" s="77"/>
      <c r="R1054" s="73"/>
      <c r="S1054" s="77"/>
      <c r="T1054" s="70"/>
      <c r="U1054" s="78"/>
      <c r="V1054" s="70" t="str">
        <f t="shared" si="6"/>
        <v/>
      </c>
      <c r="W1054" s="23"/>
      <c r="X1054" s="23"/>
    </row>
    <row r="1055">
      <c r="A1055" s="70" t="s">
        <v>402</v>
      </c>
      <c r="B1055" s="70" t="str">
        <f>IF($A$3=" "," ", IFERROR( VLOOKUP($A1055,'SUPPLIER DATA BASE'!$A$2:$M$936,3,0),""))</f>
        <v>KHUSHAL/STATUS QUO</v>
      </c>
      <c r="C1055" s="70" t="str">
        <f>IF($A$3=" "," ", IFERROR( VLOOKUP($A1055,'SUPPLIER DATA BASE'!$A$2:$F$936,6,0),""))</f>
        <v>-</v>
      </c>
      <c r="D1055" s="70" t="str">
        <f>IF($A$3=" "," ", IFERROR( VLOOKUP($A1055,'SUPPLIER DATA BASE'!$A$2:$G$936,4,0),""))</f>
        <v>-</v>
      </c>
      <c r="E1055" s="71" t="str">
        <f>IF($A$3=" "," ", IFERROR( VLOOKUP($A1055,'SUPPLIER DATA BASE'!$A$2:$H$936,5,0),""))</f>
        <v>-</v>
      </c>
      <c r="F1055" s="72"/>
      <c r="G1055" s="73"/>
      <c r="H1055" s="74"/>
      <c r="I1055" s="75"/>
      <c r="J1055" s="76" t="s">
        <v>3108</v>
      </c>
      <c r="K1055" s="76" t="s">
        <v>3109</v>
      </c>
      <c r="L1055" s="73"/>
      <c r="M1055" s="70" t="str">
        <f t="shared" si="3"/>
        <v/>
      </c>
      <c r="N1055" s="70" t="str">
        <f>IF($A$3=" "," ", IFERROR( VLOOKUP($A1055,'SUPPLIER DATA BASE'!$A$2:$O$936,11,0),""))</f>
        <v>D APPAREL</v>
      </c>
      <c r="O1055" s="70" t="str">
        <f>IF($A$3=" "," ", IFERROR( VLOOKUP($A1055,'SUPPLIER DATA BASE'!$A$2:$O$936,12,0),""))</f>
        <v>722501010050397</v>
      </c>
      <c r="P1055" s="70" t="str">
        <f>IF($A$3=" "," ", IFERROR( VLOOKUP($A1055,'SUPPLIER DATA BASE'!$A$2:$O$936,13,0),""))</f>
        <v>UBIN0572250</v>
      </c>
      <c r="Q1055" s="77"/>
      <c r="R1055" s="73"/>
      <c r="S1055" s="77"/>
      <c r="T1055" s="70"/>
      <c r="U1055" s="78"/>
      <c r="V1055" s="70" t="str">
        <f t="shared" si="6"/>
        <v/>
      </c>
      <c r="W1055" s="23"/>
      <c r="X1055" s="23"/>
    </row>
    <row r="1056">
      <c r="A1056" s="70" t="s">
        <v>410</v>
      </c>
      <c r="B1056" s="70" t="str">
        <f>IF($A$3=" "," ", IFERROR( VLOOKUP($A1056,'SUPPLIER DATA BASE'!$A$2:$M$936,3,0),""))</f>
        <v>JOCKEY</v>
      </c>
      <c r="C1056" s="70" t="str">
        <f>IF($A$3=" "," ", IFERROR( VLOOKUP($A1056,'SUPPLIER DATA BASE'!$A$2:$F$936,6,0),""))</f>
        <v>-</v>
      </c>
      <c r="D1056" s="70" t="str">
        <f>IF($A$3=" "," ", IFERROR( VLOOKUP($A1056,'SUPPLIER DATA BASE'!$A$2:$G$936,4,0),""))</f>
        <v>-</v>
      </c>
      <c r="E1056" s="71" t="str">
        <f>IF($A$3=" "," ", IFERROR( VLOOKUP($A1056,'SUPPLIER DATA BASE'!$A$2:$H$936,5,0),""))</f>
        <v>-</v>
      </c>
      <c r="F1056" s="72"/>
      <c r="G1056" s="73"/>
      <c r="H1056" s="74"/>
      <c r="I1056" s="75"/>
      <c r="J1056" s="76" t="s">
        <v>3110</v>
      </c>
      <c r="K1056" s="76" t="s">
        <v>3111</v>
      </c>
      <c r="L1056" s="73"/>
      <c r="M1056" s="70" t="str">
        <f t="shared" si="3"/>
        <v/>
      </c>
      <c r="N1056" s="70" t="str">
        <f>IF($A$3=" "," ", IFERROR( VLOOKUP($A1056,'SUPPLIER DATA BASE'!$A$2:$O$936,11,0),""))</f>
        <v>-</v>
      </c>
      <c r="O1056" s="70" t="str">
        <f>IF($A$3=" "," ", IFERROR( VLOOKUP($A1056,'SUPPLIER DATA BASE'!$A$2:$O$936,12,0),""))</f>
        <v>-</v>
      </c>
      <c r="P1056" s="70" t="str">
        <f>IF($A$3=" "," ", IFERROR( VLOOKUP($A1056,'SUPPLIER DATA BASE'!$A$2:$O$936,13,0),""))</f>
        <v>-</v>
      </c>
      <c r="Q1056" s="77"/>
      <c r="R1056" s="73"/>
      <c r="S1056" s="77"/>
      <c r="T1056" s="70"/>
      <c r="U1056" s="78"/>
      <c r="V1056" s="70" t="str">
        <f t="shared" si="6"/>
        <v/>
      </c>
      <c r="W1056" s="23"/>
      <c r="X1056" s="23"/>
    </row>
    <row r="1057">
      <c r="A1057" s="70" t="s">
        <v>410</v>
      </c>
      <c r="B1057" s="70" t="str">
        <f>IF($A$3=" "," ", IFERROR( VLOOKUP($A1057,'SUPPLIER DATA BASE'!$A$2:$M$936,3,0),""))</f>
        <v>JOCKEY</v>
      </c>
      <c r="C1057" s="70" t="str">
        <f>IF($A$3=" "," ", IFERROR( VLOOKUP($A1057,'SUPPLIER DATA BASE'!$A$2:$F$936,6,0),""))</f>
        <v>-</v>
      </c>
      <c r="D1057" s="70" t="str">
        <f>IF($A$3=" "," ", IFERROR( VLOOKUP($A1057,'SUPPLIER DATA BASE'!$A$2:$G$936,4,0),""))</f>
        <v>-</v>
      </c>
      <c r="E1057" s="71" t="str">
        <f>IF($A$3=" "," ", IFERROR( VLOOKUP($A1057,'SUPPLIER DATA BASE'!$A$2:$H$936,5,0),""))</f>
        <v>-</v>
      </c>
      <c r="F1057" s="72"/>
      <c r="G1057" s="73"/>
      <c r="H1057" s="74"/>
      <c r="I1057" s="75"/>
      <c r="J1057" s="76" t="s">
        <v>3112</v>
      </c>
      <c r="K1057" s="76" t="s">
        <v>3113</v>
      </c>
      <c r="L1057" s="73"/>
      <c r="M1057" s="70" t="str">
        <f t="shared" si="3"/>
        <v/>
      </c>
      <c r="N1057" s="70" t="str">
        <f>IF($A$3=" "," ", IFERROR( VLOOKUP($A1057,'SUPPLIER DATA BASE'!$A$2:$O$936,11,0),""))</f>
        <v>-</v>
      </c>
      <c r="O1057" s="70" t="str">
        <f>IF($A$3=" "," ", IFERROR( VLOOKUP($A1057,'SUPPLIER DATA BASE'!$A$2:$O$936,12,0),""))</f>
        <v>-</v>
      </c>
      <c r="P1057" s="70" t="str">
        <f>IF($A$3=" "," ", IFERROR( VLOOKUP($A1057,'SUPPLIER DATA BASE'!$A$2:$O$936,13,0),""))</f>
        <v>-</v>
      </c>
      <c r="Q1057" s="77"/>
      <c r="R1057" s="73"/>
      <c r="S1057" s="77"/>
      <c r="T1057" s="70"/>
      <c r="U1057" s="78"/>
      <c r="V1057" s="70" t="str">
        <f t="shared" si="6"/>
        <v/>
      </c>
      <c r="W1057" s="23"/>
      <c r="X1057" s="23"/>
    </row>
    <row r="1058">
      <c r="A1058" s="70" t="s">
        <v>413</v>
      </c>
      <c r="B1058" s="70" t="str">
        <f>IF($A$3=" "," ", IFERROR( VLOOKUP($A1058,'SUPPLIER DATA BASE'!$A$2:$M$936,3,0),""))</f>
        <v>KILLER</v>
      </c>
      <c r="C1058" s="70" t="str">
        <f>IF($A$3=" "," ", IFERROR( VLOOKUP($A1058,'SUPPLIER DATA BASE'!$A$2:$F$936,6,0),""))</f>
        <v>-</v>
      </c>
      <c r="D1058" s="70" t="str">
        <f>IF($A$3=" "," ", IFERROR( VLOOKUP($A1058,'SUPPLIER DATA BASE'!$A$2:$G$936,4,0),""))</f>
        <v>NO</v>
      </c>
      <c r="E1058" s="71" t="str">
        <f>IF($A$3=" "," ", IFERROR( VLOOKUP($A1058,'SUPPLIER DATA BASE'!$A$2:$H$936,5,0),""))</f>
        <v>-</v>
      </c>
      <c r="F1058" s="72"/>
      <c r="G1058" s="73"/>
      <c r="H1058" s="74"/>
      <c r="I1058" s="75"/>
      <c r="J1058" s="76" t="s">
        <v>3114</v>
      </c>
      <c r="K1058" s="76" t="s">
        <v>3115</v>
      </c>
      <c r="L1058" s="73"/>
      <c r="M1058" s="70" t="str">
        <f t="shared" si="3"/>
        <v/>
      </c>
      <c r="N1058" s="70" t="str">
        <f>IF($A$3=" "," ", IFERROR( VLOOKUP($A1058,'SUPPLIER DATA BASE'!$A$2:$O$936,11,0),""))</f>
        <v>D D SALES CO</v>
      </c>
      <c r="O1058" s="70" t="str">
        <f>IF($A$3=" "," ", IFERROR( VLOOKUP($A1058,'SUPPLIER DATA BASE'!$A$2:$O$936,12,0),""))</f>
        <v>29205007835</v>
      </c>
      <c r="P1058" s="70" t="str">
        <f>IF($A$3=" "," ", IFERROR( VLOOKUP($A1058,'SUPPLIER DATA BASE'!$A$2:$O$936,13,0),""))</f>
        <v>ICIC0000292</v>
      </c>
      <c r="Q1058" s="77"/>
      <c r="R1058" s="73"/>
      <c r="S1058" s="77"/>
      <c r="T1058" s="70"/>
      <c r="U1058" s="78"/>
      <c r="V1058" s="70" t="str">
        <f t="shared" si="6"/>
        <v/>
      </c>
      <c r="W1058" s="23"/>
      <c r="X1058" s="23"/>
    </row>
    <row r="1059">
      <c r="A1059" s="70" t="s">
        <v>413</v>
      </c>
      <c r="B1059" s="70" t="str">
        <f>IF($A$3=" "," ", IFERROR( VLOOKUP($A1059,'SUPPLIER DATA BASE'!$A$2:$M$936,3,0),""))</f>
        <v>KILLER</v>
      </c>
      <c r="C1059" s="70" t="str">
        <f>IF($A$3=" "," ", IFERROR( VLOOKUP($A1059,'SUPPLIER DATA BASE'!$A$2:$F$936,6,0),""))</f>
        <v>-</v>
      </c>
      <c r="D1059" s="70" t="str">
        <f>IF($A$3=" "," ", IFERROR( VLOOKUP($A1059,'SUPPLIER DATA BASE'!$A$2:$G$936,4,0),""))</f>
        <v>NO</v>
      </c>
      <c r="E1059" s="71" t="str">
        <f>IF($A$3=" "," ", IFERROR( VLOOKUP($A1059,'SUPPLIER DATA BASE'!$A$2:$H$936,5,0),""))</f>
        <v>-</v>
      </c>
      <c r="F1059" s="72"/>
      <c r="G1059" s="73"/>
      <c r="H1059" s="74"/>
      <c r="I1059" s="75"/>
      <c r="J1059" s="76" t="s">
        <v>3116</v>
      </c>
      <c r="K1059" s="76" t="s">
        <v>3117</v>
      </c>
      <c r="L1059" s="73"/>
      <c r="M1059" s="70" t="str">
        <f t="shared" si="3"/>
        <v/>
      </c>
      <c r="N1059" s="70" t="str">
        <f>IF($A$3=" "," ", IFERROR( VLOOKUP($A1059,'SUPPLIER DATA BASE'!$A$2:$O$936,11,0),""))</f>
        <v>D D SALES CO</v>
      </c>
      <c r="O1059" s="70" t="str">
        <f>IF($A$3=" "," ", IFERROR( VLOOKUP($A1059,'SUPPLIER DATA BASE'!$A$2:$O$936,12,0),""))</f>
        <v>29205007835</v>
      </c>
      <c r="P1059" s="70" t="str">
        <f>IF($A$3=" "," ", IFERROR( VLOOKUP($A1059,'SUPPLIER DATA BASE'!$A$2:$O$936,13,0),""))</f>
        <v>ICIC0000292</v>
      </c>
      <c r="Q1059" s="77"/>
      <c r="R1059" s="73"/>
      <c r="S1059" s="77"/>
      <c r="T1059" s="70"/>
      <c r="U1059" s="78"/>
      <c r="V1059" s="70" t="str">
        <f t="shared" si="6"/>
        <v/>
      </c>
      <c r="W1059" s="23"/>
      <c r="X1059" s="23"/>
    </row>
    <row r="1060">
      <c r="A1060" s="70" t="s">
        <v>413</v>
      </c>
      <c r="B1060" s="70" t="str">
        <f>IF($A$3=" "," ", IFERROR( VLOOKUP($A1060,'SUPPLIER DATA BASE'!$A$2:$M$936,3,0),""))</f>
        <v>KILLER</v>
      </c>
      <c r="C1060" s="70" t="str">
        <f>IF($A$3=" "," ", IFERROR( VLOOKUP($A1060,'SUPPLIER DATA BASE'!$A$2:$F$936,6,0),""))</f>
        <v>-</v>
      </c>
      <c r="D1060" s="70" t="str">
        <f>IF($A$3=" "," ", IFERROR( VLOOKUP($A1060,'SUPPLIER DATA BASE'!$A$2:$G$936,4,0),""))</f>
        <v>NO</v>
      </c>
      <c r="E1060" s="71" t="str">
        <f>IF($A$3=" "," ", IFERROR( VLOOKUP($A1060,'SUPPLIER DATA BASE'!$A$2:$H$936,5,0),""))</f>
        <v>-</v>
      </c>
      <c r="F1060" s="72"/>
      <c r="G1060" s="73"/>
      <c r="H1060" s="74"/>
      <c r="I1060" s="75"/>
      <c r="J1060" s="76" t="s">
        <v>3118</v>
      </c>
      <c r="K1060" s="76" t="s">
        <v>3119</v>
      </c>
      <c r="L1060" s="73"/>
      <c r="M1060" s="70" t="str">
        <f t="shared" si="3"/>
        <v/>
      </c>
      <c r="N1060" s="70" t="str">
        <f>IF($A$3=" "," ", IFERROR( VLOOKUP($A1060,'SUPPLIER DATA BASE'!$A$2:$O$936,11,0),""))</f>
        <v>D D SALES CO</v>
      </c>
      <c r="O1060" s="70" t="str">
        <f>IF($A$3=" "," ", IFERROR( VLOOKUP($A1060,'SUPPLIER DATA BASE'!$A$2:$O$936,12,0),""))</f>
        <v>29205007835</v>
      </c>
      <c r="P1060" s="70" t="str">
        <f>IF($A$3=" "," ", IFERROR( VLOOKUP($A1060,'SUPPLIER DATA BASE'!$A$2:$O$936,13,0),""))</f>
        <v>ICIC0000292</v>
      </c>
      <c r="Q1060" s="77"/>
      <c r="R1060" s="73"/>
      <c r="S1060" s="77"/>
      <c r="T1060" s="70"/>
      <c r="U1060" s="78"/>
      <c r="V1060" s="70" t="str">
        <f t="shared" si="6"/>
        <v/>
      </c>
      <c r="W1060" s="23"/>
      <c r="X1060" s="23"/>
    </row>
    <row r="1061">
      <c r="A1061" s="70" t="s">
        <v>413</v>
      </c>
      <c r="B1061" s="70" t="str">
        <f>IF($A$3=" "," ", IFERROR( VLOOKUP($A1061,'SUPPLIER DATA BASE'!$A$2:$M$936,3,0),""))</f>
        <v>KILLER</v>
      </c>
      <c r="C1061" s="70" t="str">
        <f>IF($A$3=" "," ", IFERROR( VLOOKUP($A1061,'SUPPLIER DATA BASE'!$A$2:$F$936,6,0),""))</f>
        <v>-</v>
      </c>
      <c r="D1061" s="70" t="str">
        <f>IF($A$3=" "," ", IFERROR( VLOOKUP($A1061,'SUPPLIER DATA BASE'!$A$2:$G$936,4,0),""))</f>
        <v>NO</v>
      </c>
      <c r="E1061" s="71" t="str">
        <f>IF($A$3=" "," ", IFERROR( VLOOKUP($A1061,'SUPPLIER DATA BASE'!$A$2:$H$936,5,0),""))</f>
        <v>-</v>
      </c>
      <c r="F1061" s="72"/>
      <c r="G1061" s="73"/>
      <c r="H1061" s="74"/>
      <c r="I1061" s="75"/>
      <c r="J1061" s="76" t="s">
        <v>3120</v>
      </c>
      <c r="K1061" s="76" t="s">
        <v>3121</v>
      </c>
      <c r="L1061" s="73"/>
      <c r="M1061" s="70" t="str">
        <f t="shared" si="3"/>
        <v/>
      </c>
      <c r="N1061" s="70" t="str">
        <f>IF($A$3=" "," ", IFERROR( VLOOKUP($A1061,'SUPPLIER DATA BASE'!$A$2:$O$936,11,0),""))</f>
        <v>D D SALES CO</v>
      </c>
      <c r="O1061" s="70" t="str">
        <f>IF($A$3=" "," ", IFERROR( VLOOKUP($A1061,'SUPPLIER DATA BASE'!$A$2:$O$936,12,0),""))</f>
        <v>29205007835</v>
      </c>
      <c r="P1061" s="70" t="str">
        <f>IF($A$3=" "," ", IFERROR( VLOOKUP($A1061,'SUPPLIER DATA BASE'!$A$2:$O$936,13,0),""))</f>
        <v>ICIC0000292</v>
      </c>
      <c r="Q1061" s="77"/>
      <c r="R1061" s="73"/>
      <c r="S1061" s="77"/>
      <c r="T1061" s="70"/>
      <c r="U1061" s="78"/>
      <c r="V1061" s="70" t="str">
        <f t="shared" si="6"/>
        <v/>
      </c>
      <c r="W1061" s="23"/>
      <c r="X1061" s="23"/>
    </row>
    <row r="1062">
      <c r="A1062" s="70" t="s">
        <v>413</v>
      </c>
      <c r="B1062" s="70" t="str">
        <f>IF($A$3=" "," ", IFERROR( VLOOKUP($A1062,'SUPPLIER DATA BASE'!$A$2:$M$936,3,0),""))</f>
        <v>KILLER</v>
      </c>
      <c r="C1062" s="70" t="str">
        <f>IF($A$3=" "," ", IFERROR( VLOOKUP($A1062,'SUPPLIER DATA BASE'!$A$2:$F$936,6,0),""))</f>
        <v>-</v>
      </c>
      <c r="D1062" s="70" t="str">
        <f>IF($A$3=" "," ", IFERROR( VLOOKUP($A1062,'SUPPLIER DATA BASE'!$A$2:$G$936,4,0),""))</f>
        <v>NO</v>
      </c>
      <c r="E1062" s="71" t="str">
        <f>IF($A$3=" "," ", IFERROR( VLOOKUP($A1062,'SUPPLIER DATA BASE'!$A$2:$H$936,5,0),""))</f>
        <v>-</v>
      </c>
      <c r="F1062" s="72"/>
      <c r="G1062" s="73"/>
      <c r="H1062" s="74"/>
      <c r="I1062" s="75"/>
      <c r="J1062" s="76" t="s">
        <v>3122</v>
      </c>
      <c r="K1062" s="76" t="s">
        <v>3123</v>
      </c>
      <c r="L1062" s="73"/>
      <c r="M1062" s="70" t="str">
        <f t="shared" si="3"/>
        <v/>
      </c>
      <c r="N1062" s="70" t="str">
        <f>IF($A$3=" "," ", IFERROR( VLOOKUP($A1062,'SUPPLIER DATA BASE'!$A$2:$O$936,11,0),""))</f>
        <v>D D SALES CO</v>
      </c>
      <c r="O1062" s="70" t="str">
        <f>IF($A$3=" "," ", IFERROR( VLOOKUP($A1062,'SUPPLIER DATA BASE'!$A$2:$O$936,12,0),""))</f>
        <v>29205007835</v>
      </c>
      <c r="P1062" s="70" t="str">
        <f>IF($A$3=" "," ", IFERROR( VLOOKUP($A1062,'SUPPLIER DATA BASE'!$A$2:$O$936,13,0),""))</f>
        <v>ICIC0000292</v>
      </c>
      <c r="Q1062" s="77"/>
      <c r="R1062" s="73"/>
      <c r="S1062" s="77"/>
      <c r="T1062" s="70"/>
      <c r="U1062" s="78"/>
      <c r="V1062" s="70" t="str">
        <f t="shared" si="6"/>
        <v/>
      </c>
      <c r="W1062" s="23"/>
      <c r="X1062" s="23"/>
    </row>
    <row r="1063">
      <c r="A1063" s="70" t="s">
        <v>818</v>
      </c>
      <c r="B1063" s="70" t="str">
        <f>IF($A$3=" "," ", IFERROR( VLOOKUP($A1063,'SUPPLIER DATA BASE'!$A$2:$M$936,3,0),""))</f>
        <v>DS YUVRAAJ</v>
      </c>
      <c r="C1063" s="70" t="str">
        <f>IF($A$3=" "," ", IFERROR( VLOOKUP($A1063,'SUPPLIER DATA BASE'!$A$2:$F$936,6,0),""))</f>
        <v/>
      </c>
      <c r="D1063" s="70" t="str">
        <f>IF($A$3=" "," ", IFERROR( VLOOKUP($A1063,'SUPPLIER DATA BASE'!$A$2:$G$936,4,0),""))</f>
        <v>-</v>
      </c>
      <c r="E1063" s="71" t="str">
        <f>IF($A$3=" "," ", IFERROR( VLOOKUP($A1063,'SUPPLIER DATA BASE'!$A$2:$H$936,5,0),""))</f>
        <v>-</v>
      </c>
      <c r="F1063" s="72"/>
      <c r="G1063" s="73"/>
      <c r="H1063" s="74"/>
      <c r="I1063" s="75"/>
      <c r="J1063" s="76" t="s">
        <v>3124</v>
      </c>
      <c r="K1063" s="76" t="s">
        <v>3125</v>
      </c>
      <c r="L1063" s="73"/>
      <c r="M1063" s="70" t="str">
        <f t="shared" si="3"/>
        <v/>
      </c>
      <c r="N1063" s="70" t="str">
        <f>IF($A$3=" "," ", IFERROR( VLOOKUP($A1063,'SUPPLIER DATA BASE'!$A$2:$O$936,11,0),""))</f>
        <v>DS YUVRAAJ</v>
      </c>
      <c r="O1063" s="70" t="str">
        <f>IF($A$3=" "," ", IFERROR( VLOOKUP($A1063,'SUPPLIER DATA BASE'!$A$2:$O$936,12,0),""))</f>
        <v>6912012063</v>
      </c>
      <c r="P1063" s="70" t="str">
        <f>IF($A$3=" "," ", IFERROR( VLOOKUP($A1063,'SUPPLIER DATA BASE'!$A$2:$O$936,13,0),""))</f>
        <v>KKBK0004586</v>
      </c>
      <c r="Q1063" s="77"/>
      <c r="R1063" s="73"/>
      <c r="S1063" s="77"/>
      <c r="T1063" s="70"/>
      <c r="U1063" s="78"/>
      <c r="V1063" s="70" t="str">
        <f t="shared" si="6"/>
        <v/>
      </c>
      <c r="W1063" s="23"/>
      <c r="X1063" s="23"/>
    </row>
    <row r="1064">
      <c r="A1064" s="70" t="s">
        <v>818</v>
      </c>
      <c r="B1064" s="70" t="str">
        <f>IF($A$3=" "," ", IFERROR( VLOOKUP($A1064,'SUPPLIER DATA BASE'!$A$2:$M$936,3,0),""))</f>
        <v>DS YUVRAAJ</v>
      </c>
      <c r="C1064" s="70" t="str">
        <f>IF($A$3=" "," ", IFERROR( VLOOKUP($A1064,'SUPPLIER DATA BASE'!$A$2:$F$936,6,0),""))</f>
        <v/>
      </c>
      <c r="D1064" s="70" t="str">
        <f>IF($A$3=" "," ", IFERROR( VLOOKUP($A1064,'SUPPLIER DATA BASE'!$A$2:$G$936,4,0),""))</f>
        <v>-</v>
      </c>
      <c r="E1064" s="71" t="str">
        <f>IF($A$3=" "," ", IFERROR( VLOOKUP($A1064,'SUPPLIER DATA BASE'!$A$2:$H$936,5,0),""))</f>
        <v>-</v>
      </c>
      <c r="F1064" s="72"/>
      <c r="G1064" s="73"/>
      <c r="H1064" s="74"/>
      <c r="I1064" s="75"/>
      <c r="J1064" s="76" t="s">
        <v>3126</v>
      </c>
      <c r="K1064" s="76" t="s">
        <v>3127</v>
      </c>
      <c r="L1064" s="73"/>
      <c r="M1064" s="70" t="str">
        <f t="shared" si="3"/>
        <v/>
      </c>
      <c r="N1064" s="70" t="str">
        <f>IF($A$3=" "," ", IFERROR( VLOOKUP($A1064,'SUPPLIER DATA BASE'!$A$2:$O$936,11,0),""))</f>
        <v>DS YUVRAAJ</v>
      </c>
      <c r="O1064" s="70" t="str">
        <f>IF($A$3=" "," ", IFERROR( VLOOKUP($A1064,'SUPPLIER DATA BASE'!$A$2:$O$936,12,0),""))</f>
        <v>6912012063</v>
      </c>
      <c r="P1064" s="70" t="str">
        <f>IF($A$3=" "," ", IFERROR( VLOOKUP($A1064,'SUPPLIER DATA BASE'!$A$2:$O$936,13,0),""))</f>
        <v>KKBK0004586</v>
      </c>
      <c r="Q1064" s="77"/>
      <c r="R1064" s="73"/>
      <c r="S1064" s="77"/>
      <c r="T1064" s="70"/>
      <c r="U1064" s="78"/>
      <c r="V1064" s="70" t="str">
        <f t="shared" si="6"/>
        <v/>
      </c>
      <c r="W1064" s="23"/>
      <c r="X1064" s="23"/>
    </row>
    <row r="1065">
      <c r="A1065" s="70"/>
      <c r="B1065" s="70" t="str">
        <f>IF($A$3=" "," ", IFERROR( VLOOKUP($A1065,'SUPPLIER DATA BASE'!$A$2:$M$936,3,0),""))</f>
        <v/>
      </c>
      <c r="C1065" s="70" t="str">
        <f>IF($A$3=" "," ", IFERROR( VLOOKUP($A1065,'SUPPLIER DATA BASE'!$A$2:$F$936,6,0),""))</f>
        <v/>
      </c>
      <c r="D1065" s="70" t="str">
        <f>IF($A$3=" "," ", IFERROR( VLOOKUP($A1065,'SUPPLIER DATA BASE'!$A$2:$G$936,4,0),""))</f>
        <v/>
      </c>
      <c r="E1065" s="71" t="str">
        <f>IF($A$3=" "," ", IFERROR( VLOOKUP($A1065,'SUPPLIER DATA BASE'!$A$2:$H$936,5,0),""))</f>
        <v/>
      </c>
      <c r="F1065" s="72"/>
      <c r="G1065" s="73"/>
      <c r="H1065" s="74"/>
      <c r="I1065" s="75"/>
      <c r="J1065" s="76" t="s">
        <v>3128</v>
      </c>
      <c r="K1065" s="76" t="s">
        <v>3129</v>
      </c>
      <c r="L1065" s="73"/>
      <c r="M1065" s="70" t="str">
        <f t="shared" si="3"/>
        <v/>
      </c>
      <c r="N1065" s="70" t="str">
        <f>IF($A$3=" "," ", IFERROR( VLOOKUP($A1065,'SUPPLIER DATA BASE'!$A$2:$O$936,11,0),""))</f>
        <v/>
      </c>
      <c r="O1065" s="70" t="str">
        <f>IF($A$3=" "," ", IFERROR( VLOOKUP($A1065,'SUPPLIER DATA BASE'!$A$2:$O$936,12,0),""))</f>
        <v/>
      </c>
      <c r="P1065" s="70" t="str">
        <f>IF($A$3=" "," ", IFERROR( VLOOKUP($A1065,'SUPPLIER DATA BASE'!$A$2:$O$936,13,0),""))</f>
        <v/>
      </c>
      <c r="Q1065" s="77"/>
      <c r="R1065" s="73"/>
      <c r="S1065" s="77"/>
      <c r="T1065" s="70"/>
      <c r="U1065" s="78"/>
      <c r="V1065" s="70" t="str">
        <f t="shared" si="6"/>
        <v/>
      </c>
      <c r="W1065" s="23"/>
      <c r="X1065" s="23"/>
    </row>
    <row r="1066">
      <c r="A1066" s="70"/>
      <c r="B1066" s="70" t="str">
        <f>IF($A$3=" "," ", IFERROR( VLOOKUP($A1066,'SUPPLIER DATA BASE'!$A$2:$M$936,3,0),""))</f>
        <v/>
      </c>
      <c r="C1066" s="70" t="str">
        <f>IF($A$3=" "," ", IFERROR( VLOOKUP($A1066,'SUPPLIER DATA BASE'!$A$2:$F$936,6,0),""))</f>
        <v/>
      </c>
      <c r="D1066" s="70" t="str">
        <f>IF($A$3=" "," ", IFERROR( VLOOKUP($A1066,'SUPPLIER DATA BASE'!$A$2:$G$936,4,0),""))</f>
        <v/>
      </c>
      <c r="E1066" s="71" t="str">
        <f>IF($A$3=" "," ", IFERROR( VLOOKUP($A1066,'SUPPLIER DATA BASE'!$A$2:$H$936,5,0),""))</f>
        <v/>
      </c>
      <c r="F1066" s="72"/>
      <c r="G1066" s="73"/>
      <c r="H1066" s="74"/>
      <c r="I1066" s="75"/>
      <c r="J1066" s="76" t="s">
        <v>3130</v>
      </c>
      <c r="K1066" s="76" t="s">
        <v>3131</v>
      </c>
      <c r="L1066" s="73"/>
      <c r="M1066" s="70" t="str">
        <f t="shared" si="3"/>
        <v/>
      </c>
      <c r="N1066" s="70" t="str">
        <f>IF($A$3=" "," ", IFERROR( VLOOKUP($A1066,'SUPPLIER DATA BASE'!$A$2:$O$936,11,0),""))</f>
        <v/>
      </c>
      <c r="O1066" s="70" t="str">
        <f>IF($A$3=" "," ", IFERROR( VLOOKUP($A1066,'SUPPLIER DATA BASE'!$A$2:$O$936,12,0),""))</f>
        <v/>
      </c>
      <c r="P1066" s="70" t="str">
        <f>IF($A$3=" "," ", IFERROR( VLOOKUP($A1066,'SUPPLIER DATA BASE'!$A$2:$O$936,13,0),""))</f>
        <v/>
      </c>
      <c r="Q1066" s="77"/>
      <c r="R1066" s="73"/>
      <c r="S1066" s="77"/>
      <c r="T1066" s="70"/>
      <c r="U1066" s="78"/>
      <c r="V1066" s="70" t="str">
        <f t="shared" si="6"/>
        <v/>
      </c>
      <c r="W1066" s="23"/>
      <c r="X1066" s="23"/>
    </row>
    <row r="1067">
      <c r="A1067" s="70" t="s">
        <v>495</v>
      </c>
      <c r="B1067" s="70" t="str">
        <f>IF($A$3=" "," ", IFERROR( VLOOKUP($A1067,'SUPPLIER DATA BASE'!$A$2:$M$936,3,0),""))</f>
        <v>-</v>
      </c>
      <c r="C1067" s="70" t="str">
        <f>IF($A$3=" "," ", IFERROR( VLOOKUP($A1067,'SUPPLIER DATA BASE'!$A$2:$F$936,6,0),""))</f>
        <v>-</v>
      </c>
      <c r="D1067" s="70" t="str">
        <f>IF($A$3=" "," ", IFERROR( VLOOKUP($A1067,'SUPPLIER DATA BASE'!$A$2:$G$936,4,0),""))</f>
        <v>-</v>
      </c>
      <c r="E1067" s="71" t="str">
        <f>IF($A$3=" "," ", IFERROR( VLOOKUP($A1067,'SUPPLIER DATA BASE'!$A$2:$H$936,5,0),""))</f>
        <v>-</v>
      </c>
      <c r="F1067" s="72"/>
      <c r="G1067" s="73"/>
      <c r="H1067" s="74"/>
      <c r="I1067" s="75"/>
      <c r="J1067" s="76" t="s">
        <v>3132</v>
      </c>
      <c r="K1067" s="76" t="s">
        <v>3133</v>
      </c>
      <c r="L1067" s="73"/>
      <c r="M1067" s="70" t="str">
        <f t="shared" si="3"/>
        <v/>
      </c>
      <c r="N1067" s="70" t="str">
        <f>IF($A$3=" "," ", IFERROR( VLOOKUP($A1067,'SUPPLIER DATA BASE'!$A$2:$O$936,11,0),""))</f>
        <v>JAIN ADISHWAR HOSIERY WORKS LLP</v>
      </c>
      <c r="O1067" s="70" t="str">
        <f>IF($A$3=" "," ", IFERROR( VLOOKUP($A1067,'SUPPLIER DATA BASE'!$A$2:$O$936,12,0),""))</f>
        <v>99917644444444</v>
      </c>
      <c r="P1067" s="70" t="str">
        <f>IF($A$3=" "," ", IFERROR( VLOOKUP($A1067,'SUPPLIER DATA BASE'!$A$2:$O$936,13,0),""))</f>
        <v>HDFC0002063</v>
      </c>
      <c r="Q1067" s="77"/>
      <c r="R1067" s="73"/>
      <c r="S1067" s="77"/>
      <c r="T1067" s="70"/>
      <c r="U1067" s="78"/>
      <c r="V1067" s="70" t="str">
        <f t="shared" si="6"/>
        <v/>
      </c>
      <c r="W1067" s="23"/>
      <c r="X1067" s="23"/>
    </row>
    <row r="1068">
      <c r="A1068" s="70" t="s">
        <v>851</v>
      </c>
      <c r="B1068" s="70" t="str">
        <f>IF($A$3=" "," ", IFERROR( VLOOKUP($A1068,'SUPPLIER DATA BASE'!$A$2:$M$936,3,0),""))</f>
        <v/>
      </c>
      <c r="C1068" s="70" t="str">
        <f>IF($A$3=" "," ", IFERROR( VLOOKUP($A1068,'SUPPLIER DATA BASE'!$A$2:$F$936,6,0),""))</f>
        <v/>
      </c>
      <c r="D1068" s="70" t="str">
        <f>IF($A$3=" "," ", IFERROR( VLOOKUP($A1068,'SUPPLIER DATA BASE'!$A$2:$G$936,4,0),""))</f>
        <v/>
      </c>
      <c r="E1068" s="71" t="str">
        <f>IF($A$3=" "," ", IFERROR( VLOOKUP($A1068,'SUPPLIER DATA BASE'!$A$2:$H$936,5,0),""))</f>
        <v/>
      </c>
      <c r="F1068" s="72"/>
      <c r="G1068" s="73"/>
      <c r="H1068" s="74"/>
      <c r="I1068" s="75"/>
      <c r="J1068" s="76" t="s">
        <v>3134</v>
      </c>
      <c r="K1068" s="76" t="s">
        <v>3135</v>
      </c>
      <c r="L1068" s="73"/>
      <c r="M1068" s="70" t="str">
        <f t="shared" si="3"/>
        <v/>
      </c>
      <c r="N1068" s="70" t="str">
        <f>IF($A$3=" "," ", IFERROR( VLOOKUP($A1068,'SUPPLIER DATA BASE'!$A$2:$O$936,11,0),""))</f>
        <v/>
      </c>
      <c r="O1068" s="70" t="str">
        <f>IF($A$3=" "," ", IFERROR( VLOOKUP($A1068,'SUPPLIER DATA BASE'!$A$2:$O$936,12,0),""))</f>
        <v/>
      </c>
      <c r="P1068" s="70" t="str">
        <f>IF($A$3=" "," ", IFERROR( VLOOKUP($A1068,'SUPPLIER DATA BASE'!$A$2:$O$936,13,0),""))</f>
        <v/>
      </c>
      <c r="Q1068" s="77"/>
      <c r="R1068" s="73"/>
      <c r="S1068" s="77"/>
      <c r="T1068" s="70"/>
      <c r="U1068" s="78"/>
      <c r="V1068" s="70" t="str">
        <f t="shared" si="6"/>
        <v/>
      </c>
      <c r="W1068" s="23"/>
      <c r="X1068" s="23"/>
    </row>
    <row r="1069">
      <c r="A1069" s="70" t="s">
        <v>851</v>
      </c>
      <c r="B1069" s="70" t="str">
        <f>IF($A$3=" "," ", IFERROR( VLOOKUP($A1069,'SUPPLIER DATA BASE'!$A$2:$M$936,3,0),""))</f>
        <v/>
      </c>
      <c r="C1069" s="70" t="str">
        <f>IF($A$3=" "," ", IFERROR( VLOOKUP($A1069,'SUPPLIER DATA BASE'!$A$2:$F$936,6,0),""))</f>
        <v/>
      </c>
      <c r="D1069" s="70" t="str">
        <f>IF($A$3=" "," ", IFERROR( VLOOKUP($A1069,'SUPPLIER DATA BASE'!$A$2:$G$936,4,0),""))</f>
        <v/>
      </c>
      <c r="E1069" s="71" t="str">
        <f>IF($A$3=" "," ", IFERROR( VLOOKUP($A1069,'SUPPLIER DATA BASE'!$A$2:$H$936,5,0),""))</f>
        <v/>
      </c>
      <c r="F1069" s="72"/>
      <c r="G1069" s="73"/>
      <c r="H1069" s="74"/>
      <c r="I1069" s="75"/>
      <c r="J1069" s="76" t="s">
        <v>3136</v>
      </c>
      <c r="K1069" s="76" t="s">
        <v>3137</v>
      </c>
      <c r="L1069" s="73"/>
      <c r="M1069" s="70" t="str">
        <f t="shared" si="3"/>
        <v/>
      </c>
      <c r="N1069" s="70" t="str">
        <f>IF($A$3=" "," ", IFERROR( VLOOKUP($A1069,'SUPPLIER DATA BASE'!$A$2:$O$936,11,0),""))</f>
        <v/>
      </c>
      <c r="O1069" s="70" t="str">
        <f>IF($A$3=" "," ", IFERROR( VLOOKUP($A1069,'SUPPLIER DATA BASE'!$A$2:$O$936,12,0),""))</f>
        <v/>
      </c>
      <c r="P1069" s="70" t="str">
        <f>IF($A$3=" "," ", IFERROR( VLOOKUP($A1069,'SUPPLIER DATA BASE'!$A$2:$O$936,13,0),""))</f>
        <v/>
      </c>
      <c r="Q1069" s="77"/>
      <c r="R1069" s="73"/>
      <c r="S1069" s="77"/>
      <c r="T1069" s="70"/>
      <c r="U1069" s="78"/>
      <c r="V1069" s="70" t="str">
        <f t="shared" si="6"/>
        <v/>
      </c>
      <c r="W1069" s="23"/>
      <c r="X1069" s="23"/>
    </row>
    <row r="1070">
      <c r="A1070" s="70" t="s">
        <v>851</v>
      </c>
      <c r="B1070" s="70" t="str">
        <f>IF($A$3=" "," ", IFERROR( VLOOKUP($A1070,'SUPPLIER DATA BASE'!$A$2:$M$936,3,0),""))</f>
        <v/>
      </c>
      <c r="C1070" s="70" t="str">
        <f>IF($A$3=" "," ", IFERROR( VLOOKUP($A1070,'SUPPLIER DATA BASE'!$A$2:$F$936,6,0),""))</f>
        <v/>
      </c>
      <c r="D1070" s="70" t="str">
        <f>IF($A$3=" "," ", IFERROR( VLOOKUP($A1070,'SUPPLIER DATA BASE'!$A$2:$G$936,4,0),""))</f>
        <v/>
      </c>
      <c r="E1070" s="71" t="str">
        <f>IF($A$3=" "," ", IFERROR( VLOOKUP($A1070,'SUPPLIER DATA BASE'!$A$2:$H$936,5,0),""))</f>
        <v/>
      </c>
      <c r="F1070" s="72"/>
      <c r="G1070" s="73"/>
      <c r="H1070" s="74"/>
      <c r="I1070" s="75"/>
      <c r="J1070" s="76" t="s">
        <v>3138</v>
      </c>
      <c r="K1070" s="76" t="s">
        <v>3139</v>
      </c>
      <c r="L1070" s="73"/>
      <c r="M1070" s="70" t="str">
        <f t="shared" si="3"/>
        <v/>
      </c>
      <c r="N1070" s="70" t="str">
        <f>IF($A$3=" "," ", IFERROR( VLOOKUP($A1070,'SUPPLIER DATA BASE'!$A$2:$O$936,11,0),""))</f>
        <v/>
      </c>
      <c r="O1070" s="70" t="str">
        <f>IF($A$3=" "," ", IFERROR( VLOOKUP($A1070,'SUPPLIER DATA BASE'!$A$2:$O$936,12,0),""))</f>
        <v/>
      </c>
      <c r="P1070" s="70" t="str">
        <f>IF($A$3=" "," ", IFERROR( VLOOKUP($A1070,'SUPPLIER DATA BASE'!$A$2:$O$936,13,0),""))</f>
        <v/>
      </c>
      <c r="Q1070" s="77"/>
      <c r="R1070" s="73"/>
      <c r="S1070" s="77"/>
      <c r="T1070" s="70"/>
      <c r="U1070" s="78"/>
      <c r="V1070" s="70" t="str">
        <f t="shared" si="6"/>
        <v/>
      </c>
      <c r="W1070" s="23"/>
      <c r="X1070" s="23"/>
    </row>
    <row r="1071">
      <c r="A1071" s="70" t="s">
        <v>851</v>
      </c>
      <c r="B1071" s="70" t="str">
        <f>IF($A$3=" "," ", IFERROR( VLOOKUP($A1071,'SUPPLIER DATA BASE'!$A$2:$M$936,3,0),""))</f>
        <v/>
      </c>
      <c r="C1071" s="70" t="str">
        <f>IF($A$3=" "," ", IFERROR( VLOOKUP($A1071,'SUPPLIER DATA BASE'!$A$2:$F$936,6,0),""))</f>
        <v/>
      </c>
      <c r="D1071" s="70" t="str">
        <f>IF($A$3=" "," ", IFERROR( VLOOKUP($A1071,'SUPPLIER DATA BASE'!$A$2:$G$936,4,0),""))</f>
        <v/>
      </c>
      <c r="E1071" s="71" t="str">
        <f>IF($A$3=" "," ", IFERROR( VLOOKUP($A1071,'SUPPLIER DATA BASE'!$A$2:$H$936,5,0),""))</f>
        <v/>
      </c>
      <c r="F1071" s="72"/>
      <c r="G1071" s="73"/>
      <c r="H1071" s="74"/>
      <c r="I1071" s="75"/>
      <c r="J1071" s="76" t="s">
        <v>3140</v>
      </c>
      <c r="K1071" s="76" t="s">
        <v>3141</v>
      </c>
      <c r="L1071" s="73"/>
      <c r="M1071" s="70" t="str">
        <f t="shared" si="3"/>
        <v/>
      </c>
      <c r="N1071" s="70" t="str">
        <f>IF($A$3=" "," ", IFERROR( VLOOKUP($A1071,'SUPPLIER DATA BASE'!$A$2:$O$936,11,0),""))</f>
        <v/>
      </c>
      <c r="O1071" s="70" t="str">
        <f>IF($A$3=" "," ", IFERROR( VLOOKUP($A1071,'SUPPLIER DATA BASE'!$A$2:$O$936,12,0),""))</f>
        <v/>
      </c>
      <c r="P1071" s="70" t="str">
        <f>IF($A$3=" "," ", IFERROR( VLOOKUP($A1071,'SUPPLIER DATA BASE'!$A$2:$O$936,13,0),""))</f>
        <v/>
      </c>
      <c r="Q1071" s="77"/>
      <c r="R1071" s="73"/>
      <c r="S1071" s="77"/>
      <c r="T1071" s="70"/>
      <c r="U1071" s="78"/>
      <c r="V1071" s="70" t="str">
        <f t="shared" si="6"/>
        <v/>
      </c>
      <c r="W1071" s="23"/>
      <c r="X1071" s="23"/>
    </row>
    <row r="1072">
      <c r="A1072" s="70"/>
      <c r="B1072" s="70" t="str">
        <f>IF($A$3=" "," ", IFERROR( VLOOKUP($A1072,'SUPPLIER DATA BASE'!$A$2:$M$936,3,0),""))</f>
        <v/>
      </c>
      <c r="C1072" s="70" t="str">
        <f>IF($A$3=" "," ", IFERROR( VLOOKUP($A1072,'SUPPLIER DATA BASE'!$A$2:$F$936,6,0),""))</f>
        <v/>
      </c>
      <c r="D1072" s="70" t="str">
        <f>IF($A$3=" "," ", IFERROR( VLOOKUP($A1072,'SUPPLIER DATA BASE'!$A$2:$G$936,4,0),""))</f>
        <v/>
      </c>
      <c r="E1072" s="71" t="str">
        <f>IF($A$3=" "," ", IFERROR( VLOOKUP($A1072,'SUPPLIER DATA BASE'!$A$2:$H$936,5,0),""))</f>
        <v/>
      </c>
      <c r="F1072" s="72"/>
      <c r="G1072" s="73"/>
      <c r="H1072" s="74"/>
      <c r="I1072" s="75"/>
      <c r="J1072" s="76" t="s">
        <v>3142</v>
      </c>
      <c r="K1072" s="76" t="s">
        <v>3143</v>
      </c>
      <c r="L1072" s="73"/>
      <c r="M1072" s="70" t="str">
        <f t="shared" si="3"/>
        <v/>
      </c>
      <c r="N1072" s="70" t="str">
        <f>IF($A$3=" "," ", IFERROR( VLOOKUP($A1072,'SUPPLIER DATA BASE'!$A$2:$O$936,11,0),""))</f>
        <v/>
      </c>
      <c r="O1072" s="70" t="str">
        <f>IF($A$3=" "," ", IFERROR( VLOOKUP($A1072,'SUPPLIER DATA BASE'!$A$2:$O$936,12,0),""))</f>
        <v/>
      </c>
      <c r="P1072" s="70" t="str">
        <f>IF($A$3=" "," ", IFERROR( VLOOKUP($A1072,'SUPPLIER DATA BASE'!$A$2:$O$936,13,0),""))</f>
        <v/>
      </c>
      <c r="Q1072" s="77"/>
      <c r="R1072" s="73"/>
      <c r="S1072" s="77"/>
      <c r="T1072" s="70"/>
      <c r="U1072" s="78"/>
      <c r="V1072" s="70" t="str">
        <f t="shared" si="6"/>
        <v/>
      </c>
      <c r="W1072" s="23"/>
      <c r="X1072" s="23"/>
    </row>
    <row r="1073">
      <c r="A1073" s="70"/>
      <c r="B1073" s="70" t="str">
        <f>IF($A$3=" "," ", IFERROR( VLOOKUP($A1073,'SUPPLIER DATA BASE'!$A$2:$M$936,3,0),""))</f>
        <v/>
      </c>
      <c r="C1073" s="70" t="str">
        <f>IF($A$3=" "," ", IFERROR( VLOOKUP($A1073,'SUPPLIER DATA BASE'!$A$2:$F$936,6,0),""))</f>
        <v/>
      </c>
      <c r="D1073" s="70" t="str">
        <f>IF($A$3=" "," ", IFERROR( VLOOKUP($A1073,'SUPPLIER DATA BASE'!$A$2:$G$936,4,0),""))</f>
        <v/>
      </c>
      <c r="E1073" s="71" t="str">
        <f>IF($A$3=" "," ", IFERROR( VLOOKUP($A1073,'SUPPLIER DATA BASE'!$A$2:$H$936,5,0),""))</f>
        <v/>
      </c>
      <c r="F1073" s="72"/>
      <c r="G1073" s="73"/>
      <c r="H1073" s="74"/>
      <c r="I1073" s="75"/>
      <c r="J1073" s="76" t="s">
        <v>3144</v>
      </c>
      <c r="K1073" s="76" t="s">
        <v>3145</v>
      </c>
      <c r="L1073" s="73"/>
      <c r="M1073" s="70" t="str">
        <f t="shared" si="3"/>
        <v/>
      </c>
      <c r="N1073" s="70" t="str">
        <f>IF($A$3=" "," ", IFERROR( VLOOKUP($A1073,'SUPPLIER DATA BASE'!$A$2:$O$936,11,0),""))</f>
        <v/>
      </c>
      <c r="O1073" s="70" t="str">
        <f>IF($A$3=" "," ", IFERROR( VLOOKUP($A1073,'SUPPLIER DATA BASE'!$A$2:$O$936,12,0),""))</f>
        <v/>
      </c>
      <c r="P1073" s="70" t="str">
        <f>IF($A$3=" "," ", IFERROR( VLOOKUP($A1073,'SUPPLIER DATA BASE'!$A$2:$O$936,13,0),""))</f>
        <v/>
      </c>
      <c r="Q1073" s="77"/>
      <c r="R1073" s="73"/>
      <c r="S1073" s="77"/>
      <c r="T1073" s="70"/>
      <c r="U1073" s="78"/>
      <c r="V1073" s="70" t="str">
        <f t="shared" si="6"/>
        <v/>
      </c>
      <c r="W1073" s="23"/>
      <c r="X1073" s="23"/>
    </row>
    <row r="1074">
      <c r="A1074" s="70"/>
      <c r="B1074" s="70" t="str">
        <f>IF($A$3=" "," ", IFERROR( VLOOKUP($A1074,'SUPPLIER DATA BASE'!$A$2:$M$936,3,0),""))</f>
        <v/>
      </c>
      <c r="C1074" s="70" t="str">
        <f>IF($A$3=" "," ", IFERROR( VLOOKUP($A1074,'SUPPLIER DATA BASE'!$A$2:$F$936,6,0),""))</f>
        <v/>
      </c>
      <c r="D1074" s="70" t="str">
        <f>IF($A$3=" "," ", IFERROR( VLOOKUP($A1074,'SUPPLIER DATA BASE'!$A$2:$G$936,4,0),""))</f>
        <v/>
      </c>
      <c r="E1074" s="71" t="str">
        <f>IF($A$3=" "," ", IFERROR( VLOOKUP($A1074,'SUPPLIER DATA BASE'!$A$2:$H$936,5,0),""))</f>
        <v/>
      </c>
      <c r="F1074" s="72"/>
      <c r="G1074" s="73"/>
      <c r="H1074" s="74"/>
      <c r="I1074" s="75"/>
      <c r="J1074" s="76" t="s">
        <v>3146</v>
      </c>
      <c r="K1074" s="76" t="s">
        <v>3147</v>
      </c>
      <c r="L1074" s="73"/>
      <c r="M1074" s="70" t="str">
        <f t="shared" si="3"/>
        <v/>
      </c>
      <c r="N1074" s="70" t="str">
        <f>IF($A$3=" "," ", IFERROR( VLOOKUP($A1074,'SUPPLIER DATA BASE'!$A$2:$O$936,11,0),""))</f>
        <v/>
      </c>
      <c r="O1074" s="70" t="str">
        <f>IF($A$3=" "," ", IFERROR( VLOOKUP($A1074,'SUPPLIER DATA BASE'!$A$2:$O$936,12,0),""))</f>
        <v/>
      </c>
      <c r="P1074" s="70" t="str">
        <f>IF($A$3=" "," ", IFERROR( VLOOKUP($A1074,'SUPPLIER DATA BASE'!$A$2:$O$936,13,0),""))</f>
        <v/>
      </c>
      <c r="Q1074" s="77"/>
      <c r="R1074" s="73"/>
      <c r="S1074" s="77"/>
      <c r="T1074" s="70"/>
      <c r="U1074" s="78"/>
      <c r="V1074" s="70" t="str">
        <f t="shared" si="6"/>
        <v/>
      </c>
      <c r="W1074" s="23"/>
      <c r="X1074" s="23"/>
    </row>
    <row r="1075">
      <c r="A1075" s="70"/>
      <c r="B1075" s="70" t="str">
        <f>IF($A$3=" "," ", IFERROR( VLOOKUP($A1075,'SUPPLIER DATA BASE'!$A$2:$M$936,3,0),""))</f>
        <v/>
      </c>
      <c r="C1075" s="70" t="str">
        <f>IF($A$3=" "," ", IFERROR( VLOOKUP($A1075,'SUPPLIER DATA BASE'!$A$2:$F$936,6,0),""))</f>
        <v/>
      </c>
      <c r="D1075" s="70" t="str">
        <f>IF($A$3=" "," ", IFERROR( VLOOKUP($A1075,'SUPPLIER DATA BASE'!$A$2:$G$936,4,0),""))</f>
        <v/>
      </c>
      <c r="E1075" s="71" t="str">
        <f>IF($A$3=" "," ", IFERROR( VLOOKUP($A1075,'SUPPLIER DATA BASE'!$A$2:$H$936,5,0),""))</f>
        <v/>
      </c>
      <c r="F1075" s="72"/>
      <c r="G1075" s="73"/>
      <c r="H1075" s="74"/>
      <c r="I1075" s="75"/>
      <c r="J1075" s="76" t="s">
        <v>3148</v>
      </c>
      <c r="K1075" s="76" t="s">
        <v>3149</v>
      </c>
      <c r="L1075" s="73"/>
      <c r="M1075" s="70" t="str">
        <f t="shared" si="3"/>
        <v/>
      </c>
      <c r="N1075" s="70" t="str">
        <f>IF($A$3=" "," ", IFERROR( VLOOKUP($A1075,'SUPPLIER DATA BASE'!$A$2:$O$936,11,0),""))</f>
        <v/>
      </c>
      <c r="O1075" s="70" t="str">
        <f>IF($A$3=" "," ", IFERROR( VLOOKUP($A1075,'SUPPLIER DATA BASE'!$A$2:$O$936,12,0),""))</f>
        <v/>
      </c>
      <c r="P1075" s="70" t="str">
        <f>IF($A$3=" "," ", IFERROR( VLOOKUP($A1075,'SUPPLIER DATA BASE'!$A$2:$O$936,13,0),""))</f>
        <v/>
      </c>
      <c r="Q1075" s="77"/>
      <c r="R1075" s="73"/>
      <c r="S1075" s="77"/>
      <c r="T1075" s="70"/>
      <c r="U1075" s="78"/>
      <c r="V1075" s="70" t="str">
        <f t="shared" si="6"/>
        <v/>
      </c>
      <c r="W1075" s="23"/>
      <c r="X1075" s="23"/>
    </row>
    <row r="1076">
      <c r="A1076" s="70"/>
      <c r="B1076" s="70" t="str">
        <f>IF($A$3=" "," ", IFERROR( VLOOKUP($A1076,'SUPPLIER DATA BASE'!$A$2:$M$936,3,0),""))</f>
        <v/>
      </c>
      <c r="C1076" s="70" t="str">
        <f>IF($A$3=" "," ", IFERROR( VLOOKUP($A1076,'SUPPLIER DATA BASE'!$A$2:$F$936,6,0),""))</f>
        <v/>
      </c>
      <c r="D1076" s="70" t="str">
        <f>IF($A$3=" "," ", IFERROR( VLOOKUP($A1076,'SUPPLIER DATA BASE'!$A$2:$G$936,4,0),""))</f>
        <v/>
      </c>
      <c r="E1076" s="71" t="str">
        <f>IF($A$3=" "," ", IFERROR( VLOOKUP($A1076,'SUPPLIER DATA BASE'!$A$2:$H$936,5,0),""))</f>
        <v/>
      </c>
      <c r="F1076" s="72"/>
      <c r="G1076" s="73"/>
      <c r="H1076" s="74"/>
      <c r="I1076" s="75"/>
      <c r="J1076" s="76" t="s">
        <v>3150</v>
      </c>
      <c r="K1076" s="76" t="s">
        <v>3151</v>
      </c>
      <c r="L1076" s="73"/>
      <c r="M1076" s="70" t="str">
        <f t="shared" si="3"/>
        <v/>
      </c>
      <c r="N1076" s="70" t="str">
        <f>IF($A$3=" "," ", IFERROR( VLOOKUP($A1076,'SUPPLIER DATA BASE'!$A$2:$O$936,11,0),""))</f>
        <v/>
      </c>
      <c r="O1076" s="70" t="str">
        <f>IF($A$3=" "," ", IFERROR( VLOOKUP($A1076,'SUPPLIER DATA BASE'!$A$2:$O$936,12,0),""))</f>
        <v/>
      </c>
      <c r="P1076" s="70" t="str">
        <f>IF($A$3=" "," ", IFERROR( VLOOKUP($A1076,'SUPPLIER DATA BASE'!$A$2:$O$936,13,0),""))</f>
        <v/>
      </c>
      <c r="Q1076" s="77"/>
      <c r="R1076" s="73"/>
      <c r="S1076" s="77"/>
      <c r="T1076" s="70"/>
      <c r="U1076" s="78"/>
      <c r="V1076" s="70" t="str">
        <f t="shared" si="6"/>
        <v/>
      </c>
      <c r="W1076" s="23"/>
      <c r="X1076" s="23"/>
    </row>
    <row r="1077">
      <c r="A1077" s="70"/>
      <c r="B1077" s="70" t="str">
        <f>IF($A$3=" "," ", IFERROR( VLOOKUP($A1077,'SUPPLIER DATA BASE'!$A$2:$M$936,3,0),""))</f>
        <v/>
      </c>
      <c r="C1077" s="70" t="str">
        <f>IF($A$3=" "," ", IFERROR( VLOOKUP($A1077,'SUPPLIER DATA BASE'!$A$2:$F$936,6,0),""))</f>
        <v/>
      </c>
      <c r="D1077" s="70" t="str">
        <f>IF($A$3=" "," ", IFERROR( VLOOKUP($A1077,'SUPPLIER DATA BASE'!$A$2:$G$936,4,0),""))</f>
        <v/>
      </c>
      <c r="E1077" s="71" t="str">
        <f>IF($A$3=" "," ", IFERROR( VLOOKUP($A1077,'SUPPLIER DATA BASE'!$A$2:$H$936,5,0),""))</f>
        <v/>
      </c>
      <c r="F1077" s="72"/>
      <c r="G1077" s="73"/>
      <c r="H1077" s="74"/>
      <c r="I1077" s="75"/>
      <c r="J1077" s="76" t="s">
        <v>3152</v>
      </c>
      <c r="K1077" s="76" t="s">
        <v>3153</v>
      </c>
      <c r="L1077" s="73"/>
      <c r="M1077" s="70" t="str">
        <f t="shared" si="3"/>
        <v/>
      </c>
      <c r="N1077" s="70" t="str">
        <f>IF($A$3=" "," ", IFERROR( VLOOKUP($A1077,'SUPPLIER DATA BASE'!$A$2:$O$936,11,0),""))</f>
        <v/>
      </c>
      <c r="O1077" s="70" t="str">
        <f>IF($A$3=" "," ", IFERROR( VLOOKUP($A1077,'SUPPLIER DATA BASE'!$A$2:$O$936,12,0),""))</f>
        <v/>
      </c>
      <c r="P1077" s="70" t="str">
        <f>IF($A$3=" "," ", IFERROR( VLOOKUP($A1077,'SUPPLIER DATA BASE'!$A$2:$O$936,13,0),""))</f>
        <v/>
      </c>
      <c r="Q1077" s="77"/>
      <c r="R1077" s="73"/>
      <c r="S1077" s="77"/>
      <c r="T1077" s="70"/>
      <c r="U1077" s="78"/>
      <c r="V1077" s="70" t="str">
        <f t="shared" si="6"/>
        <v/>
      </c>
      <c r="W1077" s="23"/>
      <c r="X1077" s="23"/>
    </row>
    <row r="1078">
      <c r="A1078" s="70" t="s">
        <v>527</v>
      </c>
      <c r="B1078" s="70" t="str">
        <f>IF($A$3=" "," ", IFERROR( VLOOKUP($A1078,'SUPPLIER DATA BASE'!$A$2:$M$936,3,0),""))</f>
        <v>-</v>
      </c>
      <c r="C1078" s="70" t="str">
        <f>IF($A$3=" "," ", IFERROR( VLOOKUP($A1078,'SUPPLIER DATA BASE'!$A$2:$F$936,6,0),""))</f>
        <v>NEPOLIAN</v>
      </c>
      <c r="D1078" s="70">
        <f>IF($A$3=" "," ", IFERROR( VLOOKUP($A1078,'SUPPLIER DATA BASE'!$A$2:$G$936,4,0),""))</f>
        <v>60</v>
      </c>
      <c r="E1078" s="71" t="str">
        <f>IF($A$3=" "," ", IFERROR( VLOOKUP($A1078,'SUPPLIER DATA BASE'!$A$2:$H$936,5,0),""))</f>
        <v>NET</v>
      </c>
      <c r="F1078" s="72"/>
      <c r="G1078" s="73"/>
      <c r="H1078" s="74"/>
      <c r="I1078" s="75"/>
      <c r="J1078" s="76" t="s">
        <v>3154</v>
      </c>
      <c r="K1078" s="76" t="s">
        <v>3155</v>
      </c>
      <c r="L1078" s="73"/>
      <c r="M1078" s="70" t="str">
        <f t="shared" si="3"/>
        <v/>
      </c>
      <c r="N1078" s="70" t="str">
        <f>IF($A$3=" "," ", IFERROR( VLOOKUP($A1078,'SUPPLIER DATA BASE'!$A$2:$O$936,11,0),""))</f>
        <v>LADDU PRINTS</v>
      </c>
      <c r="O1078" s="70" t="str">
        <f>IF($A$3=" "," ", IFERROR( VLOOKUP($A1078,'SUPPLIER DATA BASE'!$A$2:$O$936,12,0),""))</f>
        <v>915020029941646</v>
      </c>
      <c r="P1078" s="70" t="str">
        <f>IF($A$3=" "," ", IFERROR( VLOOKUP($A1078,'SUPPLIER DATA BASE'!$A$2:$O$936,13,0),""))</f>
        <v>UTIB0000236</v>
      </c>
      <c r="Q1078" s="77"/>
      <c r="R1078" s="73"/>
      <c r="S1078" s="77"/>
      <c r="T1078" s="70"/>
      <c r="U1078" s="78"/>
      <c r="V1078" s="70" t="str">
        <f t="shared" si="6"/>
        <v/>
      </c>
      <c r="W1078" s="23"/>
      <c r="X1078" s="23"/>
    </row>
    <row r="1079">
      <c r="A1079" s="70"/>
      <c r="B1079" s="70" t="str">
        <f>IF($A$3=" "," ", IFERROR( VLOOKUP($A1079,'SUPPLIER DATA BASE'!$A$2:$M$936,3,0),""))</f>
        <v/>
      </c>
      <c r="C1079" s="70" t="str">
        <f>IF($A$3=" "," ", IFERROR( VLOOKUP($A1079,'SUPPLIER DATA BASE'!$A$2:$F$936,6,0),""))</f>
        <v/>
      </c>
      <c r="D1079" s="70" t="str">
        <f>IF($A$3=" "," ", IFERROR( VLOOKUP($A1079,'SUPPLIER DATA BASE'!$A$2:$G$936,4,0),""))</f>
        <v/>
      </c>
      <c r="E1079" s="71" t="str">
        <f>IF($A$3=" "," ", IFERROR( VLOOKUP($A1079,'SUPPLIER DATA BASE'!$A$2:$H$936,5,0),""))</f>
        <v/>
      </c>
      <c r="F1079" s="72"/>
      <c r="G1079" s="73"/>
      <c r="H1079" s="74"/>
      <c r="I1079" s="75"/>
      <c r="J1079" s="76" t="s">
        <v>3156</v>
      </c>
      <c r="K1079" s="76" t="s">
        <v>3157</v>
      </c>
      <c r="L1079" s="73"/>
      <c r="M1079" s="70" t="str">
        <f t="shared" si="3"/>
        <v/>
      </c>
      <c r="N1079" s="70" t="str">
        <f>IF($A$3=" "," ", IFERROR( VLOOKUP($A1079,'SUPPLIER DATA BASE'!$A$2:$O$936,11,0),""))</f>
        <v/>
      </c>
      <c r="O1079" s="70" t="str">
        <f>IF($A$3=" "," ", IFERROR( VLOOKUP($A1079,'SUPPLIER DATA BASE'!$A$2:$O$936,12,0),""))</f>
        <v/>
      </c>
      <c r="P1079" s="70" t="str">
        <f>IF($A$3=" "," ", IFERROR( VLOOKUP($A1079,'SUPPLIER DATA BASE'!$A$2:$O$936,13,0),""))</f>
        <v/>
      </c>
      <c r="Q1079" s="77"/>
      <c r="R1079" s="73"/>
      <c r="S1079" s="77"/>
      <c r="T1079" s="70"/>
      <c r="U1079" s="78"/>
      <c r="V1079" s="70" t="str">
        <f t="shared" si="6"/>
        <v/>
      </c>
      <c r="W1079" s="23"/>
      <c r="X1079" s="23"/>
    </row>
    <row r="1080">
      <c r="A1080" s="70" t="s">
        <v>557</v>
      </c>
      <c r="B1080" s="70" t="str">
        <f>IF($A$3=" "," ", IFERROR( VLOOKUP($A1080,'SUPPLIER DATA BASE'!$A$2:$M$936,3,0),""))</f>
        <v>-</v>
      </c>
      <c r="C1080" s="70" t="str">
        <f>IF($A$3=" "," ", IFERROR( VLOOKUP($A1080,'SUPPLIER DATA BASE'!$A$2:$F$936,6,0),""))</f>
        <v>-</v>
      </c>
      <c r="D1080" s="70" t="str">
        <f>IF($A$3=" "," ", IFERROR( VLOOKUP($A1080,'SUPPLIER DATA BASE'!$A$2:$G$936,4,0),""))</f>
        <v>-</v>
      </c>
      <c r="E1080" s="71" t="str">
        <f>IF($A$3=" "," ", IFERROR( VLOOKUP($A1080,'SUPPLIER DATA BASE'!$A$2:$H$936,5,0),""))</f>
        <v>-</v>
      </c>
      <c r="F1080" s="72"/>
      <c r="G1080" s="73"/>
      <c r="H1080" s="74"/>
      <c r="I1080" s="75"/>
      <c r="J1080" s="76" t="s">
        <v>3158</v>
      </c>
      <c r="K1080" s="76" t="s">
        <v>3159</v>
      </c>
      <c r="L1080" s="73"/>
      <c r="M1080" s="70" t="str">
        <f t="shared" si="3"/>
        <v/>
      </c>
      <c r="N1080" s="70" t="str">
        <f>IF($A$3=" "," ", IFERROR( VLOOKUP($A1080,'SUPPLIER DATA BASE'!$A$2:$O$936,11,0),""))</f>
        <v>-</v>
      </c>
      <c r="O1080" s="70" t="str">
        <f>IF($A$3=" "," ", IFERROR( VLOOKUP($A1080,'SUPPLIER DATA BASE'!$A$2:$O$936,12,0),""))</f>
        <v>-</v>
      </c>
      <c r="P1080" s="70" t="str">
        <f>IF($A$3=" "," ", IFERROR( VLOOKUP($A1080,'SUPPLIER DATA BASE'!$A$2:$O$936,13,0),""))</f>
        <v>-</v>
      </c>
      <c r="Q1080" s="77"/>
      <c r="R1080" s="73"/>
      <c r="S1080" s="77"/>
      <c r="T1080" s="70"/>
      <c r="U1080" s="78"/>
      <c r="V1080" s="70" t="str">
        <f t="shared" si="6"/>
        <v/>
      </c>
      <c r="W1080" s="23"/>
      <c r="X1080" s="23"/>
    </row>
    <row r="1081">
      <c r="A1081" s="70" t="s">
        <v>557</v>
      </c>
      <c r="B1081" s="70" t="str">
        <f>IF($A$3=" "," ", IFERROR( VLOOKUP($A1081,'SUPPLIER DATA BASE'!$A$2:$M$936,3,0),""))</f>
        <v>-</v>
      </c>
      <c r="C1081" s="70" t="str">
        <f>IF($A$3=" "," ", IFERROR( VLOOKUP($A1081,'SUPPLIER DATA BASE'!$A$2:$F$936,6,0),""))</f>
        <v>-</v>
      </c>
      <c r="D1081" s="70" t="str">
        <f>IF($A$3=" "," ", IFERROR( VLOOKUP($A1081,'SUPPLIER DATA BASE'!$A$2:$G$936,4,0),""))</f>
        <v>-</v>
      </c>
      <c r="E1081" s="71" t="str">
        <f>IF($A$3=" "," ", IFERROR( VLOOKUP($A1081,'SUPPLIER DATA BASE'!$A$2:$H$936,5,0),""))</f>
        <v>-</v>
      </c>
      <c r="F1081" s="72"/>
      <c r="G1081" s="73"/>
      <c r="H1081" s="74"/>
      <c r="I1081" s="75"/>
      <c r="J1081" s="76" t="s">
        <v>3160</v>
      </c>
      <c r="K1081" s="76" t="s">
        <v>3161</v>
      </c>
      <c r="L1081" s="73"/>
      <c r="M1081" s="70" t="str">
        <f t="shared" si="3"/>
        <v/>
      </c>
      <c r="N1081" s="70" t="str">
        <f>IF($A$3=" "," ", IFERROR( VLOOKUP($A1081,'SUPPLIER DATA BASE'!$A$2:$O$936,11,0),""))</f>
        <v>-</v>
      </c>
      <c r="O1081" s="70" t="str">
        <f>IF($A$3=" "," ", IFERROR( VLOOKUP($A1081,'SUPPLIER DATA BASE'!$A$2:$O$936,12,0),""))</f>
        <v>-</v>
      </c>
      <c r="P1081" s="70" t="str">
        <f>IF($A$3=" "," ", IFERROR( VLOOKUP($A1081,'SUPPLIER DATA BASE'!$A$2:$O$936,13,0),""))</f>
        <v>-</v>
      </c>
      <c r="Q1081" s="77"/>
      <c r="R1081" s="73"/>
      <c r="S1081" s="77"/>
      <c r="T1081" s="70"/>
      <c r="U1081" s="78"/>
      <c r="V1081" s="70" t="str">
        <f t="shared" si="6"/>
        <v/>
      </c>
      <c r="W1081" s="23"/>
      <c r="X1081" s="23"/>
    </row>
    <row r="1082">
      <c r="A1082" s="70" t="s">
        <v>557</v>
      </c>
      <c r="B1082" s="70" t="str">
        <f>IF($A$3=" "," ", IFERROR( VLOOKUP($A1082,'SUPPLIER DATA BASE'!$A$2:$M$936,3,0),""))</f>
        <v>-</v>
      </c>
      <c r="C1082" s="70" t="str">
        <f>IF($A$3=" "," ", IFERROR( VLOOKUP($A1082,'SUPPLIER DATA BASE'!$A$2:$F$936,6,0),""))</f>
        <v>-</v>
      </c>
      <c r="D1082" s="70" t="str">
        <f>IF($A$3=" "," ", IFERROR( VLOOKUP($A1082,'SUPPLIER DATA BASE'!$A$2:$G$936,4,0),""))</f>
        <v>-</v>
      </c>
      <c r="E1082" s="71" t="str">
        <f>IF($A$3=" "," ", IFERROR( VLOOKUP($A1082,'SUPPLIER DATA BASE'!$A$2:$H$936,5,0),""))</f>
        <v>-</v>
      </c>
      <c r="F1082" s="72"/>
      <c r="G1082" s="73"/>
      <c r="H1082" s="74"/>
      <c r="I1082" s="75"/>
      <c r="J1082" s="76" t="s">
        <v>3162</v>
      </c>
      <c r="K1082" s="76" t="s">
        <v>3163</v>
      </c>
      <c r="L1082" s="73"/>
      <c r="M1082" s="70" t="str">
        <f t="shared" si="3"/>
        <v/>
      </c>
      <c r="N1082" s="70" t="str">
        <f>IF($A$3=" "," ", IFERROR( VLOOKUP($A1082,'SUPPLIER DATA BASE'!$A$2:$O$936,11,0),""))</f>
        <v>-</v>
      </c>
      <c r="O1082" s="70" t="str">
        <f>IF($A$3=" "," ", IFERROR( VLOOKUP($A1082,'SUPPLIER DATA BASE'!$A$2:$O$936,12,0),""))</f>
        <v>-</v>
      </c>
      <c r="P1082" s="70" t="str">
        <f>IF($A$3=" "," ", IFERROR( VLOOKUP($A1082,'SUPPLIER DATA BASE'!$A$2:$O$936,13,0),""))</f>
        <v>-</v>
      </c>
      <c r="Q1082" s="77"/>
      <c r="R1082" s="73"/>
      <c r="S1082" s="77"/>
      <c r="T1082" s="70"/>
      <c r="U1082" s="78"/>
      <c r="V1082" s="70" t="str">
        <f t="shared" si="6"/>
        <v/>
      </c>
      <c r="W1082" s="23"/>
      <c r="X1082" s="23"/>
    </row>
    <row r="1083">
      <c r="A1083" s="70" t="s">
        <v>557</v>
      </c>
      <c r="B1083" s="70" t="str">
        <f>IF($A$3=" "," ", IFERROR( VLOOKUP($A1083,'SUPPLIER DATA BASE'!$A$2:$M$936,3,0),""))</f>
        <v>-</v>
      </c>
      <c r="C1083" s="70" t="str">
        <f>IF($A$3=" "," ", IFERROR( VLOOKUP($A1083,'SUPPLIER DATA BASE'!$A$2:$F$936,6,0),""))</f>
        <v>-</v>
      </c>
      <c r="D1083" s="70" t="str">
        <f>IF($A$3=" "," ", IFERROR( VLOOKUP($A1083,'SUPPLIER DATA BASE'!$A$2:$G$936,4,0),""))</f>
        <v>-</v>
      </c>
      <c r="E1083" s="71" t="str">
        <f>IF($A$3=" "," ", IFERROR( VLOOKUP($A1083,'SUPPLIER DATA BASE'!$A$2:$H$936,5,0),""))</f>
        <v>-</v>
      </c>
      <c r="F1083" s="72"/>
      <c r="G1083" s="73"/>
      <c r="H1083" s="74"/>
      <c r="I1083" s="75"/>
      <c r="J1083" s="76" t="s">
        <v>3164</v>
      </c>
      <c r="K1083" s="76" t="s">
        <v>3165</v>
      </c>
      <c r="L1083" s="73"/>
      <c r="M1083" s="70" t="str">
        <f t="shared" si="3"/>
        <v/>
      </c>
      <c r="N1083" s="70" t="str">
        <f>IF($A$3=" "," ", IFERROR( VLOOKUP($A1083,'SUPPLIER DATA BASE'!$A$2:$O$936,11,0),""))</f>
        <v>-</v>
      </c>
      <c r="O1083" s="70" t="str">
        <f>IF($A$3=" "," ", IFERROR( VLOOKUP($A1083,'SUPPLIER DATA BASE'!$A$2:$O$936,12,0),""))</f>
        <v>-</v>
      </c>
      <c r="P1083" s="70" t="str">
        <f>IF($A$3=" "," ", IFERROR( VLOOKUP($A1083,'SUPPLIER DATA BASE'!$A$2:$O$936,13,0),""))</f>
        <v>-</v>
      </c>
      <c r="Q1083" s="77"/>
      <c r="R1083" s="73"/>
      <c r="S1083" s="77"/>
      <c r="T1083" s="70"/>
      <c r="U1083" s="78"/>
      <c r="V1083" s="70" t="str">
        <f t="shared" si="6"/>
        <v/>
      </c>
      <c r="W1083" s="23"/>
      <c r="X1083" s="23"/>
    </row>
    <row r="1084">
      <c r="A1084" s="70" t="s">
        <v>575</v>
      </c>
      <c r="B1084" s="70" t="str">
        <f>IF($A$3=" "," ", IFERROR( VLOOKUP($A1084,'SUPPLIER DATA BASE'!$A$2:$M$936,3,0),""))</f>
        <v>BLACKBERRY</v>
      </c>
      <c r="C1084" s="70" t="str">
        <f>IF($A$3=" "," ", IFERROR( VLOOKUP($A1084,'SUPPLIER DATA BASE'!$A$2:$F$936,6,0),""))</f>
        <v>-</v>
      </c>
      <c r="D1084" s="70" t="str">
        <f>IF($A$3=" "," ", IFERROR( VLOOKUP($A1084,'SUPPLIER DATA BASE'!$A$2:$G$936,4,0),""))</f>
        <v>-</v>
      </c>
      <c r="E1084" s="71" t="str">
        <f>IF($A$3=" "," ", IFERROR( VLOOKUP($A1084,'SUPPLIER DATA BASE'!$A$2:$H$936,5,0),""))</f>
        <v>-</v>
      </c>
      <c r="F1084" s="72"/>
      <c r="G1084" s="73"/>
      <c r="H1084" s="74"/>
      <c r="I1084" s="75"/>
      <c r="J1084" s="76" t="s">
        <v>3166</v>
      </c>
      <c r="K1084" s="76" t="s">
        <v>3167</v>
      </c>
      <c r="L1084" s="73"/>
      <c r="M1084" s="70" t="str">
        <f t="shared" si="3"/>
        <v/>
      </c>
      <c r="N1084" s="70" t="str">
        <f>IF($A$3=" "," ", IFERROR( VLOOKUP($A1084,'SUPPLIER DATA BASE'!$A$2:$O$936,11,0),""))</f>
        <v>MOHAN CLOTHING COMPANY PVT LTD</v>
      </c>
      <c r="O1084" s="70" t="str">
        <f>IF($A$3=" "," ", IFERROR( VLOOKUP($A1084,'SUPPLIER DATA BASE'!$A$2:$O$936,12,0),""))</f>
        <v>0710096023</v>
      </c>
      <c r="P1084" s="70" t="str">
        <f>IF($A$3=" "," ", IFERROR( VLOOKUP($A1084,'SUPPLIER DATA BASE'!$A$2:$O$936,13,0),""))</f>
        <v>CITI0000002</v>
      </c>
      <c r="Q1084" s="77"/>
      <c r="R1084" s="73"/>
      <c r="S1084" s="77"/>
      <c r="T1084" s="70"/>
      <c r="U1084" s="78"/>
      <c r="V1084" s="70" t="str">
        <f t="shared" si="6"/>
        <v/>
      </c>
      <c r="W1084" s="23"/>
      <c r="X1084" s="23"/>
    </row>
    <row r="1085">
      <c r="A1085" s="70" t="s">
        <v>575</v>
      </c>
      <c r="B1085" s="70" t="str">
        <f>IF($A$3=" "," ", IFERROR( VLOOKUP($A1085,'SUPPLIER DATA BASE'!$A$2:$M$936,3,0),""))</f>
        <v>BLACKBERRY</v>
      </c>
      <c r="C1085" s="70" t="str">
        <f>IF($A$3=" "," ", IFERROR( VLOOKUP($A1085,'SUPPLIER DATA BASE'!$A$2:$F$936,6,0),""))</f>
        <v>-</v>
      </c>
      <c r="D1085" s="70" t="str">
        <f>IF($A$3=" "," ", IFERROR( VLOOKUP($A1085,'SUPPLIER DATA BASE'!$A$2:$G$936,4,0),""))</f>
        <v>-</v>
      </c>
      <c r="E1085" s="71" t="str">
        <f>IF($A$3=" "," ", IFERROR( VLOOKUP($A1085,'SUPPLIER DATA BASE'!$A$2:$H$936,5,0),""))</f>
        <v>-</v>
      </c>
      <c r="F1085" s="72"/>
      <c r="G1085" s="73"/>
      <c r="H1085" s="74"/>
      <c r="I1085" s="75"/>
      <c r="J1085" s="76" t="s">
        <v>3168</v>
      </c>
      <c r="K1085" s="76" t="s">
        <v>3169</v>
      </c>
      <c r="L1085" s="73"/>
      <c r="M1085" s="70" t="str">
        <f t="shared" si="3"/>
        <v/>
      </c>
      <c r="N1085" s="70" t="str">
        <f>IF($A$3=" "," ", IFERROR( VLOOKUP($A1085,'SUPPLIER DATA BASE'!$A$2:$O$936,11,0),""))</f>
        <v>MOHAN CLOTHING COMPANY PVT LTD</v>
      </c>
      <c r="O1085" s="70" t="str">
        <f>IF($A$3=" "," ", IFERROR( VLOOKUP($A1085,'SUPPLIER DATA BASE'!$A$2:$O$936,12,0),""))</f>
        <v>0710096023</v>
      </c>
      <c r="P1085" s="70" t="str">
        <f>IF($A$3=" "," ", IFERROR( VLOOKUP($A1085,'SUPPLIER DATA BASE'!$A$2:$O$936,13,0),""))</f>
        <v>CITI0000002</v>
      </c>
      <c r="Q1085" s="77"/>
      <c r="R1085" s="73"/>
      <c r="S1085" s="77"/>
      <c r="T1085" s="70"/>
      <c r="U1085" s="78"/>
      <c r="V1085" s="70" t="str">
        <f t="shared" si="6"/>
        <v/>
      </c>
      <c r="W1085" s="23"/>
      <c r="X1085" s="23"/>
    </row>
    <row r="1086">
      <c r="A1086" s="70" t="s">
        <v>575</v>
      </c>
      <c r="B1086" s="70" t="str">
        <f>IF($A$3=" "," ", IFERROR( VLOOKUP($A1086,'SUPPLIER DATA BASE'!$A$2:$M$936,3,0),""))</f>
        <v>BLACKBERRY</v>
      </c>
      <c r="C1086" s="70" t="str">
        <f>IF($A$3=" "," ", IFERROR( VLOOKUP($A1086,'SUPPLIER DATA BASE'!$A$2:$F$936,6,0),""))</f>
        <v>-</v>
      </c>
      <c r="D1086" s="70" t="str">
        <f>IF($A$3=" "," ", IFERROR( VLOOKUP($A1086,'SUPPLIER DATA BASE'!$A$2:$G$936,4,0),""))</f>
        <v>-</v>
      </c>
      <c r="E1086" s="71" t="str">
        <f>IF($A$3=" "," ", IFERROR( VLOOKUP($A1086,'SUPPLIER DATA BASE'!$A$2:$H$936,5,0),""))</f>
        <v>-</v>
      </c>
      <c r="F1086" s="72"/>
      <c r="G1086" s="73"/>
      <c r="H1086" s="74"/>
      <c r="I1086" s="75"/>
      <c r="J1086" s="76" t="s">
        <v>3170</v>
      </c>
      <c r="K1086" s="76" t="s">
        <v>3171</v>
      </c>
      <c r="L1086" s="73"/>
      <c r="M1086" s="70" t="str">
        <f t="shared" si="3"/>
        <v/>
      </c>
      <c r="N1086" s="70" t="str">
        <f>IF($A$3=" "," ", IFERROR( VLOOKUP($A1086,'SUPPLIER DATA BASE'!$A$2:$O$936,11,0),""))</f>
        <v>MOHAN CLOTHING COMPANY PVT LTD</v>
      </c>
      <c r="O1086" s="70" t="str">
        <f>IF($A$3=" "," ", IFERROR( VLOOKUP($A1086,'SUPPLIER DATA BASE'!$A$2:$O$936,12,0),""))</f>
        <v>0710096023</v>
      </c>
      <c r="P1086" s="70" t="str">
        <f>IF($A$3=" "," ", IFERROR( VLOOKUP($A1086,'SUPPLIER DATA BASE'!$A$2:$O$936,13,0),""))</f>
        <v>CITI0000002</v>
      </c>
      <c r="Q1086" s="77"/>
      <c r="R1086" s="73"/>
      <c r="S1086" s="77"/>
      <c r="T1086" s="70"/>
      <c r="U1086" s="78"/>
      <c r="V1086" s="70" t="str">
        <f t="shared" si="6"/>
        <v/>
      </c>
      <c r="W1086" s="23"/>
      <c r="X1086" s="23"/>
    </row>
    <row r="1087">
      <c r="A1087" s="70" t="s">
        <v>354</v>
      </c>
      <c r="B1087" s="70" t="str">
        <f>IF($A$3=" "," ", IFERROR( VLOOKUP($A1087,'SUPPLIER DATA BASE'!$A$2:$M$936,3,0),""))</f>
        <v>-</v>
      </c>
      <c r="C1087" s="70" t="str">
        <f>IF($A$3=" "," ", IFERROR( VLOOKUP($A1087,'SUPPLIER DATA BASE'!$A$2:$F$936,6,0),""))</f>
        <v>-</v>
      </c>
      <c r="D1087" s="70" t="str">
        <f>IF($A$3=" "," ", IFERROR( VLOOKUP($A1087,'SUPPLIER DATA BASE'!$A$2:$G$936,4,0),""))</f>
        <v>-</v>
      </c>
      <c r="E1087" s="71" t="str">
        <f>IF($A$3=" "," ", IFERROR( VLOOKUP($A1087,'SUPPLIER DATA BASE'!$A$2:$H$936,5,0),""))</f>
        <v>-</v>
      </c>
      <c r="F1087" s="72" t="s">
        <v>3172</v>
      </c>
      <c r="G1087" s="73"/>
      <c r="H1087" s="74"/>
      <c r="I1087" s="75"/>
      <c r="J1087" s="76" t="s">
        <v>3173</v>
      </c>
      <c r="K1087" s="76" t="s">
        <v>3174</v>
      </c>
      <c r="L1087" s="73"/>
      <c r="M1087" s="70" t="str">
        <f t="shared" si="3"/>
        <v/>
      </c>
      <c r="N1087" s="70" t="str">
        <f>IF($A$3=" "," ", IFERROR( VLOOKUP($A1087,'SUPPLIER DATA BASE'!$A$2:$O$936,11,0),""))</f>
        <v>-</v>
      </c>
      <c r="O1087" s="70" t="str">
        <f>IF($A$3=" "," ", IFERROR( VLOOKUP($A1087,'SUPPLIER DATA BASE'!$A$2:$O$936,12,0),""))</f>
        <v>-</v>
      </c>
      <c r="P1087" s="70" t="str">
        <f>IF($A$3=" "," ", IFERROR( VLOOKUP($A1087,'SUPPLIER DATA BASE'!$A$2:$O$936,13,0),""))</f>
        <v>-</v>
      </c>
      <c r="Q1087" s="77"/>
      <c r="R1087" s="73"/>
      <c r="S1087" s="77"/>
      <c r="T1087" s="70"/>
      <c r="U1087" s="78"/>
      <c r="V1087" s="70" t="str">
        <f t="shared" si="6"/>
        <v/>
      </c>
      <c r="W1087" s="23"/>
      <c r="X1087" s="23"/>
    </row>
    <row r="1088">
      <c r="A1088" s="70" t="s">
        <v>354</v>
      </c>
      <c r="B1088" s="70" t="str">
        <f>IF($A$3=" "," ", IFERROR( VLOOKUP($A1088,'SUPPLIER DATA BASE'!$A$2:$M$936,3,0),""))</f>
        <v>-</v>
      </c>
      <c r="C1088" s="70" t="str">
        <f>IF($A$3=" "," ", IFERROR( VLOOKUP($A1088,'SUPPLIER DATA BASE'!$A$2:$F$936,6,0),""))</f>
        <v>-</v>
      </c>
      <c r="D1088" s="70" t="str">
        <f>IF($A$3=" "," ", IFERROR( VLOOKUP($A1088,'SUPPLIER DATA BASE'!$A$2:$G$936,4,0),""))</f>
        <v>-</v>
      </c>
      <c r="E1088" s="71" t="str">
        <f>IF($A$3=" "," ", IFERROR( VLOOKUP($A1088,'SUPPLIER DATA BASE'!$A$2:$H$936,5,0),""))</f>
        <v>-</v>
      </c>
      <c r="F1088" s="72" t="s">
        <v>3175</v>
      </c>
      <c r="G1088" s="73"/>
      <c r="H1088" s="74"/>
      <c r="I1088" s="75"/>
      <c r="J1088" s="76" t="s">
        <v>3176</v>
      </c>
      <c r="K1088" s="76" t="s">
        <v>3177</v>
      </c>
      <c r="L1088" s="73"/>
      <c r="M1088" s="70" t="str">
        <f t="shared" si="3"/>
        <v/>
      </c>
      <c r="N1088" s="70" t="str">
        <f>IF($A$3=" "," ", IFERROR( VLOOKUP($A1088,'SUPPLIER DATA BASE'!$A$2:$O$936,11,0),""))</f>
        <v>-</v>
      </c>
      <c r="O1088" s="70" t="str">
        <f>IF($A$3=" "," ", IFERROR( VLOOKUP($A1088,'SUPPLIER DATA BASE'!$A$2:$O$936,12,0),""))</f>
        <v>-</v>
      </c>
      <c r="P1088" s="70" t="str">
        <f>IF($A$3=" "," ", IFERROR( VLOOKUP($A1088,'SUPPLIER DATA BASE'!$A$2:$O$936,13,0),""))</f>
        <v>-</v>
      </c>
      <c r="Q1088" s="77"/>
      <c r="R1088" s="73"/>
      <c r="S1088" s="77"/>
      <c r="T1088" s="70"/>
      <c r="U1088" s="78"/>
      <c r="V1088" s="70" t="str">
        <f t="shared" si="6"/>
        <v/>
      </c>
      <c r="W1088" s="23"/>
      <c r="X1088" s="23"/>
    </row>
    <row r="1089">
      <c r="A1089" s="70" t="s">
        <v>354</v>
      </c>
      <c r="B1089" s="70" t="str">
        <f>IF($A$3=" "," ", IFERROR( VLOOKUP($A1089,'SUPPLIER DATA BASE'!$A$2:$M$936,3,0),""))</f>
        <v>-</v>
      </c>
      <c r="C1089" s="70" t="str">
        <f>IF($A$3=" "," ", IFERROR( VLOOKUP($A1089,'SUPPLIER DATA BASE'!$A$2:$F$936,6,0),""))</f>
        <v>-</v>
      </c>
      <c r="D1089" s="70" t="str">
        <f>IF($A$3=" "," ", IFERROR( VLOOKUP($A1089,'SUPPLIER DATA BASE'!$A$2:$G$936,4,0),""))</f>
        <v>-</v>
      </c>
      <c r="E1089" s="71" t="str">
        <f>IF($A$3=" "," ", IFERROR( VLOOKUP($A1089,'SUPPLIER DATA BASE'!$A$2:$H$936,5,0),""))</f>
        <v>-</v>
      </c>
      <c r="F1089" s="72" t="s">
        <v>3178</v>
      </c>
      <c r="G1089" s="73"/>
      <c r="H1089" s="74"/>
      <c r="I1089" s="75"/>
      <c r="J1089" s="76" t="s">
        <v>3179</v>
      </c>
      <c r="K1089" s="76" t="s">
        <v>3180</v>
      </c>
      <c r="L1089" s="73"/>
      <c r="M1089" s="70" t="str">
        <f t="shared" si="3"/>
        <v/>
      </c>
      <c r="N1089" s="70" t="str">
        <f>IF($A$3=" "," ", IFERROR( VLOOKUP($A1089,'SUPPLIER DATA BASE'!$A$2:$O$936,11,0),""))</f>
        <v>-</v>
      </c>
      <c r="O1089" s="70" t="str">
        <f>IF($A$3=" "," ", IFERROR( VLOOKUP($A1089,'SUPPLIER DATA BASE'!$A$2:$O$936,12,0),""))</f>
        <v>-</v>
      </c>
      <c r="P1089" s="70" t="str">
        <f>IF($A$3=" "," ", IFERROR( VLOOKUP($A1089,'SUPPLIER DATA BASE'!$A$2:$O$936,13,0),""))</f>
        <v>-</v>
      </c>
      <c r="Q1089" s="77"/>
      <c r="R1089" s="73"/>
      <c r="S1089" s="77"/>
      <c r="T1089" s="70"/>
      <c r="U1089" s="78"/>
      <c r="V1089" s="70" t="str">
        <f t="shared" si="6"/>
        <v/>
      </c>
      <c r="W1089" s="23"/>
      <c r="X1089" s="23"/>
    </row>
    <row r="1090">
      <c r="A1090" s="70" t="s">
        <v>354</v>
      </c>
      <c r="B1090" s="70" t="str">
        <f>IF($A$3=" "," ", IFERROR( VLOOKUP($A1090,'SUPPLIER DATA BASE'!$A$2:$M$936,3,0),""))</f>
        <v>-</v>
      </c>
      <c r="C1090" s="70" t="str">
        <f>IF($A$3=" "," ", IFERROR( VLOOKUP($A1090,'SUPPLIER DATA BASE'!$A$2:$F$936,6,0),""))</f>
        <v>-</v>
      </c>
      <c r="D1090" s="70" t="str">
        <f>IF($A$3=" "," ", IFERROR( VLOOKUP($A1090,'SUPPLIER DATA BASE'!$A$2:$G$936,4,0),""))</f>
        <v>-</v>
      </c>
      <c r="E1090" s="71" t="str">
        <f>IF($A$3=" "," ", IFERROR( VLOOKUP($A1090,'SUPPLIER DATA BASE'!$A$2:$H$936,5,0),""))</f>
        <v>-</v>
      </c>
      <c r="F1090" s="72" t="s">
        <v>3181</v>
      </c>
      <c r="G1090" s="73"/>
      <c r="H1090" s="74"/>
      <c r="I1090" s="75"/>
      <c r="J1090" s="76" t="s">
        <v>3182</v>
      </c>
      <c r="K1090" s="76" t="s">
        <v>3183</v>
      </c>
      <c r="L1090" s="73"/>
      <c r="M1090" s="70" t="str">
        <f t="shared" si="3"/>
        <v/>
      </c>
      <c r="N1090" s="70" t="str">
        <f>IF($A$3=" "," ", IFERROR( VLOOKUP($A1090,'SUPPLIER DATA BASE'!$A$2:$O$936,11,0),""))</f>
        <v>-</v>
      </c>
      <c r="O1090" s="70" t="str">
        <f>IF($A$3=" "," ", IFERROR( VLOOKUP($A1090,'SUPPLIER DATA BASE'!$A$2:$O$936,12,0),""))</f>
        <v>-</v>
      </c>
      <c r="P1090" s="70" t="str">
        <f>IF($A$3=" "," ", IFERROR( VLOOKUP($A1090,'SUPPLIER DATA BASE'!$A$2:$O$936,13,0),""))</f>
        <v>-</v>
      </c>
      <c r="Q1090" s="77"/>
      <c r="R1090" s="73"/>
      <c r="S1090" s="77"/>
      <c r="T1090" s="70"/>
      <c r="U1090" s="78"/>
      <c r="V1090" s="70" t="str">
        <f t="shared" si="6"/>
        <v/>
      </c>
      <c r="W1090" s="23"/>
      <c r="X1090" s="23"/>
    </row>
    <row r="1091">
      <c r="A1091" s="70" t="s">
        <v>354</v>
      </c>
      <c r="B1091" s="70" t="str">
        <f>IF($A$3=" "," ", IFERROR( VLOOKUP($A1091,'SUPPLIER DATA BASE'!$A$2:$M$936,3,0),""))</f>
        <v>-</v>
      </c>
      <c r="C1091" s="70" t="str">
        <f>IF($A$3=" "," ", IFERROR( VLOOKUP($A1091,'SUPPLIER DATA BASE'!$A$2:$F$936,6,0),""))</f>
        <v>-</v>
      </c>
      <c r="D1091" s="70" t="str">
        <f>IF($A$3=" "," ", IFERROR( VLOOKUP($A1091,'SUPPLIER DATA BASE'!$A$2:$G$936,4,0),""))</f>
        <v>-</v>
      </c>
      <c r="E1091" s="71" t="str">
        <f>IF($A$3=" "," ", IFERROR( VLOOKUP($A1091,'SUPPLIER DATA BASE'!$A$2:$H$936,5,0),""))</f>
        <v>-</v>
      </c>
      <c r="F1091" s="72" t="s">
        <v>3184</v>
      </c>
      <c r="G1091" s="73"/>
      <c r="H1091" s="74"/>
      <c r="I1091" s="75"/>
      <c r="J1091" s="76" t="s">
        <v>3185</v>
      </c>
      <c r="K1091" s="76" t="s">
        <v>3186</v>
      </c>
      <c r="L1091" s="73"/>
      <c r="M1091" s="70" t="str">
        <f t="shared" si="3"/>
        <v/>
      </c>
      <c r="N1091" s="70" t="str">
        <f>IF($A$3=" "," ", IFERROR( VLOOKUP($A1091,'SUPPLIER DATA BASE'!$A$2:$O$936,11,0),""))</f>
        <v>-</v>
      </c>
      <c r="O1091" s="70" t="str">
        <f>IF($A$3=" "," ", IFERROR( VLOOKUP($A1091,'SUPPLIER DATA BASE'!$A$2:$O$936,12,0),""))</f>
        <v>-</v>
      </c>
      <c r="P1091" s="70" t="str">
        <f>IF($A$3=" "," ", IFERROR( VLOOKUP($A1091,'SUPPLIER DATA BASE'!$A$2:$O$936,13,0),""))</f>
        <v>-</v>
      </c>
      <c r="Q1091" s="77"/>
      <c r="R1091" s="73"/>
      <c r="S1091" s="77"/>
      <c r="T1091" s="70"/>
      <c r="U1091" s="78"/>
      <c r="V1091" s="70" t="str">
        <f t="shared" si="6"/>
        <v/>
      </c>
      <c r="W1091" s="23"/>
      <c r="X1091" s="23"/>
    </row>
    <row r="1092">
      <c r="A1092" s="70" t="s">
        <v>354</v>
      </c>
      <c r="B1092" s="70" t="str">
        <f>IF($A$3=" "," ", IFERROR( VLOOKUP($A1092,'SUPPLIER DATA BASE'!$A$2:$M$936,3,0),""))</f>
        <v>-</v>
      </c>
      <c r="C1092" s="70" t="str">
        <f>IF($A$3=" "," ", IFERROR( VLOOKUP($A1092,'SUPPLIER DATA BASE'!$A$2:$F$936,6,0),""))</f>
        <v>-</v>
      </c>
      <c r="D1092" s="70" t="str">
        <f>IF($A$3=" "," ", IFERROR( VLOOKUP($A1092,'SUPPLIER DATA BASE'!$A$2:$G$936,4,0),""))</f>
        <v>-</v>
      </c>
      <c r="E1092" s="71" t="str">
        <f>IF($A$3=" "," ", IFERROR( VLOOKUP($A1092,'SUPPLIER DATA BASE'!$A$2:$H$936,5,0),""))</f>
        <v>-</v>
      </c>
      <c r="F1092" s="72" t="s">
        <v>3187</v>
      </c>
      <c r="G1092" s="73"/>
      <c r="H1092" s="74"/>
      <c r="I1092" s="75"/>
      <c r="J1092" s="76" t="s">
        <v>3188</v>
      </c>
      <c r="K1092" s="76" t="s">
        <v>3189</v>
      </c>
      <c r="L1092" s="73"/>
      <c r="M1092" s="70" t="str">
        <f t="shared" si="3"/>
        <v/>
      </c>
      <c r="N1092" s="70" t="str">
        <f>IF($A$3=" "," ", IFERROR( VLOOKUP($A1092,'SUPPLIER DATA BASE'!$A$2:$O$936,11,0),""))</f>
        <v>-</v>
      </c>
      <c r="O1092" s="70" t="str">
        <f>IF($A$3=" "," ", IFERROR( VLOOKUP($A1092,'SUPPLIER DATA BASE'!$A$2:$O$936,12,0),""))</f>
        <v>-</v>
      </c>
      <c r="P1092" s="70" t="str">
        <f>IF($A$3=" "," ", IFERROR( VLOOKUP($A1092,'SUPPLIER DATA BASE'!$A$2:$O$936,13,0),""))</f>
        <v>-</v>
      </c>
      <c r="Q1092" s="77"/>
      <c r="R1092" s="73"/>
      <c r="S1092" s="77"/>
      <c r="T1092" s="70"/>
      <c r="U1092" s="78"/>
      <c r="V1092" s="70" t="str">
        <f t="shared" si="6"/>
        <v/>
      </c>
      <c r="W1092" s="23"/>
      <c r="X1092" s="23"/>
    </row>
    <row r="1093">
      <c r="A1093" s="70" t="s">
        <v>354</v>
      </c>
      <c r="B1093" s="70" t="str">
        <f>IF($A$3=" "," ", IFERROR( VLOOKUP($A1093,'SUPPLIER DATA BASE'!$A$2:$M$936,3,0),""))</f>
        <v>-</v>
      </c>
      <c r="C1093" s="70" t="str">
        <f>IF($A$3=" "," ", IFERROR( VLOOKUP($A1093,'SUPPLIER DATA BASE'!$A$2:$F$936,6,0),""))</f>
        <v>-</v>
      </c>
      <c r="D1093" s="70" t="str">
        <f>IF($A$3=" "," ", IFERROR( VLOOKUP($A1093,'SUPPLIER DATA BASE'!$A$2:$G$936,4,0),""))</f>
        <v>-</v>
      </c>
      <c r="E1093" s="71" t="str">
        <f>IF($A$3=" "," ", IFERROR( VLOOKUP($A1093,'SUPPLIER DATA BASE'!$A$2:$H$936,5,0),""))</f>
        <v>-</v>
      </c>
      <c r="F1093" s="72" t="s">
        <v>2452</v>
      </c>
      <c r="G1093" s="73"/>
      <c r="H1093" s="74"/>
      <c r="I1093" s="75"/>
      <c r="J1093" s="76" t="s">
        <v>3190</v>
      </c>
      <c r="K1093" s="76" t="s">
        <v>3191</v>
      </c>
      <c r="L1093" s="73"/>
      <c r="M1093" s="70" t="str">
        <f t="shared" si="3"/>
        <v/>
      </c>
      <c r="N1093" s="70" t="str">
        <f>IF($A$3=" "," ", IFERROR( VLOOKUP($A1093,'SUPPLIER DATA BASE'!$A$2:$O$936,11,0),""))</f>
        <v>-</v>
      </c>
      <c r="O1093" s="70" t="str">
        <f>IF($A$3=" "," ", IFERROR( VLOOKUP($A1093,'SUPPLIER DATA BASE'!$A$2:$O$936,12,0),""))</f>
        <v>-</v>
      </c>
      <c r="P1093" s="70" t="str">
        <f>IF($A$3=" "," ", IFERROR( VLOOKUP($A1093,'SUPPLIER DATA BASE'!$A$2:$O$936,13,0),""))</f>
        <v>-</v>
      </c>
      <c r="Q1093" s="77"/>
      <c r="R1093" s="73"/>
      <c r="S1093" s="77"/>
      <c r="T1093" s="70"/>
      <c r="U1093" s="78"/>
      <c r="V1093" s="70" t="str">
        <f t="shared" si="6"/>
        <v/>
      </c>
      <c r="W1093" s="23"/>
      <c r="X1093" s="23"/>
    </row>
    <row r="1094">
      <c r="A1094" s="70" t="s">
        <v>354</v>
      </c>
      <c r="B1094" s="70" t="str">
        <f>IF($A$3=" "," ", IFERROR( VLOOKUP($A1094,'SUPPLIER DATA BASE'!$A$2:$M$936,3,0),""))</f>
        <v>-</v>
      </c>
      <c r="C1094" s="70" t="str">
        <f>IF($A$3=" "," ", IFERROR( VLOOKUP($A1094,'SUPPLIER DATA BASE'!$A$2:$F$936,6,0),""))</f>
        <v>-</v>
      </c>
      <c r="D1094" s="70" t="str">
        <f>IF($A$3=" "," ", IFERROR( VLOOKUP($A1094,'SUPPLIER DATA BASE'!$A$2:$G$936,4,0),""))</f>
        <v>-</v>
      </c>
      <c r="E1094" s="71" t="str">
        <f>IF($A$3=" "," ", IFERROR( VLOOKUP($A1094,'SUPPLIER DATA BASE'!$A$2:$H$936,5,0),""))</f>
        <v>-</v>
      </c>
      <c r="F1094" s="72" t="s">
        <v>2549</v>
      </c>
      <c r="G1094" s="73"/>
      <c r="H1094" s="74"/>
      <c r="I1094" s="75"/>
      <c r="J1094" s="76" t="s">
        <v>3192</v>
      </c>
      <c r="K1094" s="76" t="s">
        <v>3193</v>
      </c>
      <c r="L1094" s="73"/>
      <c r="M1094" s="70" t="str">
        <f t="shared" si="3"/>
        <v/>
      </c>
      <c r="N1094" s="70" t="str">
        <f>IF($A$3=" "," ", IFERROR( VLOOKUP($A1094,'SUPPLIER DATA BASE'!$A$2:$O$936,11,0),""))</f>
        <v>-</v>
      </c>
      <c r="O1094" s="70" t="str">
        <f>IF($A$3=" "," ", IFERROR( VLOOKUP($A1094,'SUPPLIER DATA BASE'!$A$2:$O$936,12,0),""))</f>
        <v>-</v>
      </c>
      <c r="P1094" s="70" t="str">
        <f>IF($A$3=" "," ", IFERROR( VLOOKUP($A1094,'SUPPLIER DATA BASE'!$A$2:$O$936,13,0),""))</f>
        <v>-</v>
      </c>
      <c r="Q1094" s="77"/>
      <c r="R1094" s="73"/>
      <c r="S1094" s="77"/>
      <c r="T1094" s="70"/>
      <c r="U1094" s="78"/>
      <c r="V1094" s="70" t="str">
        <f t="shared" si="6"/>
        <v/>
      </c>
      <c r="W1094" s="23"/>
      <c r="X1094" s="23"/>
    </row>
    <row r="1095">
      <c r="A1095" s="70" t="s">
        <v>354</v>
      </c>
      <c r="B1095" s="70" t="str">
        <f>IF($A$3=" "," ", IFERROR( VLOOKUP($A1095,'SUPPLIER DATA BASE'!$A$2:$M$936,3,0),""))</f>
        <v>-</v>
      </c>
      <c r="C1095" s="70" t="str">
        <f>IF($A$3=" "," ", IFERROR( VLOOKUP($A1095,'SUPPLIER DATA BASE'!$A$2:$F$936,6,0),""))</f>
        <v>-</v>
      </c>
      <c r="D1095" s="70" t="str">
        <f>IF($A$3=" "," ", IFERROR( VLOOKUP($A1095,'SUPPLIER DATA BASE'!$A$2:$G$936,4,0),""))</f>
        <v>-</v>
      </c>
      <c r="E1095" s="71" t="str">
        <f>IF($A$3=" "," ", IFERROR( VLOOKUP($A1095,'SUPPLIER DATA BASE'!$A$2:$H$936,5,0),""))</f>
        <v>-</v>
      </c>
      <c r="F1095" s="72" t="s">
        <v>3194</v>
      </c>
      <c r="G1095" s="73"/>
      <c r="H1095" s="74"/>
      <c r="I1095" s="75"/>
      <c r="J1095" s="76" t="s">
        <v>3195</v>
      </c>
      <c r="K1095" s="76" t="s">
        <v>3196</v>
      </c>
      <c r="L1095" s="73"/>
      <c r="M1095" s="70" t="str">
        <f t="shared" si="3"/>
        <v/>
      </c>
      <c r="N1095" s="70" t="str">
        <f>IF($A$3=" "," ", IFERROR( VLOOKUP($A1095,'SUPPLIER DATA BASE'!$A$2:$O$936,11,0),""))</f>
        <v>-</v>
      </c>
      <c r="O1095" s="70" t="str">
        <f>IF($A$3=" "," ", IFERROR( VLOOKUP($A1095,'SUPPLIER DATA BASE'!$A$2:$O$936,12,0),""))</f>
        <v>-</v>
      </c>
      <c r="P1095" s="70" t="str">
        <f>IF($A$3=" "," ", IFERROR( VLOOKUP($A1095,'SUPPLIER DATA BASE'!$A$2:$O$936,13,0),""))</f>
        <v>-</v>
      </c>
      <c r="Q1095" s="77"/>
      <c r="R1095" s="73"/>
      <c r="S1095" s="77"/>
      <c r="T1095" s="70"/>
      <c r="U1095" s="78"/>
      <c r="V1095" s="70" t="str">
        <f t="shared" si="6"/>
        <v/>
      </c>
      <c r="W1095" s="23"/>
      <c r="X1095" s="23"/>
    </row>
    <row r="1096">
      <c r="A1096" s="70" t="s">
        <v>354</v>
      </c>
      <c r="B1096" s="70" t="str">
        <f>IF($A$3=" "," ", IFERROR( VLOOKUP($A1096,'SUPPLIER DATA BASE'!$A$2:$M$936,3,0),""))</f>
        <v>-</v>
      </c>
      <c r="C1096" s="70" t="str">
        <f>IF($A$3=" "," ", IFERROR( VLOOKUP($A1096,'SUPPLIER DATA BASE'!$A$2:$F$936,6,0),""))</f>
        <v>-</v>
      </c>
      <c r="D1096" s="70" t="str">
        <f>IF($A$3=" "," ", IFERROR( VLOOKUP($A1096,'SUPPLIER DATA BASE'!$A$2:$G$936,4,0),""))</f>
        <v>-</v>
      </c>
      <c r="E1096" s="71" t="str">
        <f>IF($A$3=" "," ", IFERROR( VLOOKUP($A1096,'SUPPLIER DATA BASE'!$A$2:$H$936,5,0),""))</f>
        <v>-</v>
      </c>
      <c r="F1096" s="72" t="s">
        <v>3197</v>
      </c>
      <c r="G1096" s="73"/>
      <c r="H1096" s="74"/>
      <c r="I1096" s="75"/>
      <c r="J1096" s="76" t="s">
        <v>3198</v>
      </c>
      <c r="K1096" s="76" t="s">
        <v>3199</v>
      </c>
      <c r="L1096" s="73"/>
      <c r="M1096" s="70" t="str">
        <f t="shared" si="3"/>
        <v/>
      </c>
      <c r="N1096" s="70" t="str">
        <f>IF($A$3=" "," ", IFERROR( VLOOKUP($A1096,'SUPPLIER DATA BASE'!$A$2:$O$936,11,0),""))</f>
        <v>-</v>
      </c>
      <c r="O1096" s="70" t="str">
        <f>IF($A$3=" "," ", IFERROR( VLOOKUP($A1096,'SUPPLIER DATA BASE'!$A$2:$O$936,12,0),""))</f>
        <v>-</v>
      </c>
      <c r="P1096" s="70" t="str">
        <f>IF($A$3=" "," ", IFERROR( VLOOKUP($A1096,'SUPPLIER DATA BASE'!$A$2:$O$936,13,0),""))</f>
        <v>-</v>
      </c>
      <c r="Q1096" s="77"/>
      <c r="R1096" s="73"/>
      <c r="S1096" s="77"/>
      <c r="T1096" s="70"/>
      <c r="U1096" s="78"/>
      <c r="V1096" s="70" t="str">
        <f t="shared" si="6"/>
        <v/>
      </c>
      <c r="W1096" s="23"/>
      <c r="X1096" s="23"/>
    </row>
    <row r="1097">
      <c r="A1097" s="70" t="s">
        <v>354</v>
      </c>
      <c r="B1097" s="70" t="str">
        <f>IF($A$3=" "," ", IFERROR( VLOOKUP($A1097,'SUPPLIER DATA BASE'!$A$2:$M$936,3,0),""))</f>
        <v>-</v>
      </c>
      <c r="C1097" s="70" t="str">
        <f>IF($A$3=" "," ", IFERROR( VLOOKUP($A1097,'SUPPLIER DATA BASE'!$A$2:$F$936,6,0),""))</f>
        <v>-</v>
      </c>
      <c r="D1097" s="70" t="str">
        <f>IF($A$3=" "," ", IFERROR( VLOOKUP($A1097,'SUPPLIER DATA BASE'!$A$2:$G$936,4,0),""))</f>
        <v>-</v>
      </c>
      <c r="E1097" s="71" t="str">
        <f>IF($A$3=" "," ", IFERROR( VLOOKUP($A1097,'SUPPLIER DATA BASE'!$A$2:$H$936,5,0),""))</f>
        <v>-</v>
      </c>
      <c r="F1097" s="72" t="s">
        <v>3200</v>
      </c>
      <c r="G1097" s="73"/>
      <c r="H1097" s="74"/>
      <c r="I1097" s="75"/>
      <c r="J1097" s="76" t="s">
        <v>3201</v>
      </c>
      <c r="K1097" s="76" t="s">
        <v>3202</v>
      </c>
      <c r="L1097" s="73"/>
      <c r="M1097" s="70" t="str">
        <f t="shared" si="3"/>
        <v/>
      </c>
      <c r="N1097" s="70" t="str">
        <f>IF($A$3=" "," ", IFERROR( VLOOKUP($A1097,'SUPPLIER DATA BASE'!$A$2:$O$936,11,0),""))</f>
        <v>-</v>
      </c>
      <c r="O1097" s="70" t="str">
        <f>IF($A$3=" "," ", IFERROR( VLOOKUP($A1097,'SUPPLIER DATA BASE'!$A$2:$O$936,12,0),""))</f>
        <v>-</v>
      </c>
      <c r="P1097" s="70" t="str">
        <f>IF($A$3=" "," ", IFERROR( VLOOKUP($A1097,'SUPPLIER DATA BASE'!$A$2:$O$936,13,0),""))</f>
        <v>-</v>
      </c>
      <c r="Q1097" s="77"/>
      <c r="R1097" s="73"/>
      <c r="S1097" s="77"/>
      <c r="T1097" s="70"/>
      <c r="U1097" s="78"/>
      <c r="V1097" s="70" t="str">
        <f t="shared" si="6"/>
        <v/>
      </c>
      <c r="W1097" s="23"/>
      <c r="X1097" s="23"/>
    </row>
    <row r="1098">
      <c r="A1098" s="70" t="s">
        <v>354</v>
      </c>
      <c r="B1098" s="70" t="str">
        <f>IF($A$3=" "," ", IFERROR( VLOOKUP($A1098,'SUPPLIER DATA BASE'!$A$2:$M$936,3,0),""))</f>
        <v>-</v>
      </c>
      <c r="C1098" s="70" t="str">
        <f>IF($A$3=" "," ", IFERROR( VLOOKUP($A1098,'SUPPLIER DATA BASE'!$A$2:$F$936,6,0),""))</f>
        <v>-</v>
      </c>
      <c r="D1098" s="70" t="str">
        <f>IF($A$3=" "," ", IFERROR( VLOOKUP($A1098,'SUPPLIER DATA BASE'!$A$2:$G$936,4,0),""))</f>
        <v>-</v>
      </c>
      <c r="E1098" s="71" t="str">
        <f>IF($A$3=" "," ", IFERROR( VLOOKUP($A1098,'SUPPLIER DATA BASE'!$A$2:$H$936,5,0),""))</f>
        <v>-</v>
      </c>
      <c r="F1098" s="72" t="s">
        <v>3203</v>
      </c>
      <c r="G1098" s="73"/>
      <c r="H1098" s="74"/>
      <c r="I1098" s="75"/>
      <c r="J1098" s="76" t="s">
        <v>3204</v>
      </c>
      <c r="K1098" s="76" t="s">
        <v>3205</v>
      </c>
      <c r="L1098" s="73"/>
      <c r="M1098" s="70" t="str">
        <f t="shared" si="3"/>
        <v/>
      </c>
      <c r="N1098" s="70" t="str">
        <f>IF($A$3=" "," ", IFERROR( VLOOKUP($A1098,'SUPPLIER DATA BASE'!$A$2:$O$936,11,0),""))</f>
        <v>-</v>
      </c>
      <c r="O1098" s="70" t="str">
        <f>IF($A$3=" "," ", IFERROR( VLOOKUP($A1098,'SUPPLIER DATA BASE'!$A$2:$O$936,12,0),""))</f>
        <v>-</v>
      </c>
      <c r="P1098" s="70" t="str">
        <f>IF($A$3=" "," ", IFERROR( VLOOKUP($A1098,'SUPPLIER DATA BASE'!$A$2:$O$936,13,0),""))</f>
        <v>-</v>
      </c>
      <c r="Q1098" s="77"/>
      <c r="R1098" s="73"/>
      <c r="S1098" s="77"/>
      <c r="T1098" s="70"/>
      <c r="U1098" s="78"/>
      <c r="V1098" s="70" t="str">
        <f t="shared" si="6"/>
        <v/>
      </c>
      <c r="W1098" s="23"/>
      <c r="X1098" s="23"/>
    </row>
    <row r="1099">
      <c r="A1099" s="70" t="s">
        <v>354</v>
      </c>
      <c r="B1099" s="70" t="str">
        <f>IF($A$3=" "," ", IFERROR( VLOOKUP($A1099,'SUPPLIER DATA BASE'!$A$2:$M$936,3,0),""))</f>
        <v>-</v>
      </c>
      <c r="C1099" s="70" t="str">
        <f>IF($A$3=" "," ", IFERROR( VLOOKUP($A1099,'SUPPLIER DATA BASE'!$A$2:$F$936,6,0),""))</f>
        <v>-</v>
      </c>
      <c r="D1099" s="70" t="str">
        <f>IF($A$3=" "," ", IFERROR( VLOOKUP($A1099,'SUPPLIER DATA BASE'!$A$2:$G$936,4,0),""))</f>
        <v>-</v>
      </c>
      <c r="E1099" s="71" t="str">
        <f>IF($A$3=" "," ", IFERROR( VLOOKUP($A1099,'SUPPLIER DATA BASE'!$A$2:$H$936,5,0),""))</f>
        <v>-</v>
      </c>
      <c r="F1099" s="72" t="s">
        <v>3206</v>
      </c>
      <c r="G1099" s="73"/>
      <c r="H1099" s="74"/>
      <c r="I1099" s="75"/>
      <c r="J1099" s="76" t="s">
        <v>3207</v>
      </c>
      <c r="K1099" s="76" t="s">
        <v>3208</v>
      </c>
      <c r="L1099" s="73"/>
      <c r="M1099" s="70" t="str">
        <f t="shared" si="3"/>
        <v/>
      </c>
      <c r="N1099" s="70" t="str">
        <f>IF($A$3=" "," ", IFERROR( VLOOKUP($A1099,'SUPPLIER DATA BASE'!$A$2:$O$936,11,0),""))</f>
        <v>-</v>
      </c>
      <c r="O1099" s="70" t="str">
        <f>IF($A$3=" "," ", IFERROR( VLOOKUP($A1099,'SUPPLIER DATA BASE'!$A$2:$O$936,12,0),""))</f>
        <v>-</v>
      </c>
      <c r="P1099" s="70" t="str">
        <f>IF($A$3=" "," ", IFERROR( VLOOKUP($A1099,'SUPPLIER DATA BASE'!$A$2:$O$936,13,0),""))</f>
        <v>-</v>
      </c>
      <c r="Q1099" s="77"/>
      <c r="R1099" s="73"/>
      <c r="S1099" s="77"/>
      <c r="T1099" s="70"/>
      <c r="U1099" s="78"/>
      <c r="V1099" s="70" t="str">
        <f t="shared" si="6"/>
        <v/>
      </c>
      <c r="W1099" s="23"/>
      <c r="X1099" s="23"/>
    </row>
    <row r="1100">
      <c r="A1100" s="70" t="s">
        <v>354</v>
      </c>
      <c r="B1100" s="70" t="str">
        <f>IF($A$3=" "," ", IFERROR( VLOOKUP($A1100,'SUPPLIER DATA BASE'!$A$2:$M$936,3,0),""))</f>
        <v>-</v>
      </c>
      <c r="C1100" s="70" t="str">
        <f>IF($A$3=" "," ", IFERROR( VLOOKUP($A1100,'SUPPLIER DATA BASE'!$A$2:$F$936,6,0),""))</f>
        <v>-</v>
      </c>
      <c r="D1100" s="70" t="str">
        <f>IF($A$3=" "," ", IFERROR( VLOOKUP($A1100,'SUPPLIER DATA BASE'!$A$2:$G$936,4,0),""))</f>
        <v>-</v>
      </c>
      <c r="E1100" s="71" t="str">
        <f>IF($A$3=" "," ", IFERROR( VLOOKUP($A1100,'SUPPLIER DATA BASE'!$A$2:$H$936,5,0),""))</f>
        <v>-</v>
      </c>
      <c r="F1100" s="72" t="s">
        <v>3209</v>
      </c>
      <c r="G1100" s="73"/>
      <c r="H1100" s="74"/>
      <c r="I1100" s="75"/>
      <c r="J1100" s="76" t="s">
        <v>3210</v>
      </c>
      <c r="K1100" s="76" t="s">
        <v>3211</v>
      </c>
      <c r="L1100" s="73"/>
      <c r="M1100" s="70" t="str">
        <f t="shared" si="3"/>
        <v/>
      </c>
      <c r="N1100" s="70" t="str">
        <f>IF($A$3=" "," ", IFERROR( VLOOKUP($A1100,'SUPPLIER DATA BASE'!$A$2:$O$936,11,0),""))</f>
        <v>-</v>
      </c>
      <c r="O1100" s="70" t="str">
        <f>IF($A$3=" "," ", IFERROR( VLOOKUP($A1100,'SUPPLIER DATA BASE'!$A$2:$O$936,12,0),""))</f>
        <v>-</v>
      </c>
      <c r="P1100" s="70" t="str">
        <f>IF($A$3=" "," ", IFERROR( VLOOKUP($A1100,'SUPPLIER DATA BASE'!$A$2:$O$936,13,0),""))</f>
        <v>-</v>
      </c>
      <c r="Q1100" s="77"/>
      <c r="R1100" s="73"/>
      <c r="S1100" s="77"/>
      <c r="T1100" s="70"/>
      <c r="U1100" s="78"/>
      <c r="V1100" s="70" t="str">
        <f t="shared" si="6"/>
        <v/>
      </c>
      <c r="W1100" s="23"/>
      <c r="X1100" s="23"/>
    </row>
    <row r="1101">
      <c r="A1101" s="70" t="s">
        <v>354</v>
      </c>
      <c r="B1101" s="70" t="str">
        <f>IF($A$3=" "," ", IFERROR( VLOOKUP($A1101,'SUPPLIER DATA BASE'!$A$2:$M$936,3,0),""))</f>
        <v>-</v>
      </c>
      <c r="C1101" s="70" t="str">
        <f>IF($A$3=" "," ", IFERROR( VLOOKUP($A1101,'SUPPLIER DATA BASE'!$A$2:$F$936,6,0),""))</f>
        <v>-</v>
      </c>
      <c r="D1101" s="70" t="str">
        <f>IF($A$3=" "," ", IFERROR( VLOOKUP($A1101,'SUPPLIER DATA BASE'!$A$2:$G$936,4,0),""))</f>
        <v>-</v>
      </c>
      <c r="E1101" s="71" t="str">
        <f>IF($A$3=" "," ", IFERROR( VLOOKUP($A1101,'SUPPLIER DATA BASE'!$A$2:$H$936,5,0),""))</f>
        <v>-</v>
      </c>
      <c r="F1101" s="72" t="s">
        <v>3212</v>
      </c>
      <c r="G1101" s="73"/>
      <c r="H1101" s="74"/>
      <c r="I1101" s="75"/>
      <c r="J1101" s="76" t="s">
        <v>3213</v>
      </c>
      <c r="K1101" s="76" t="s">
        <v>3214</v>
      </c>
      <c r="L1101" s="73"/>
      <c r="M1101" s="70" t="str">
        <f t="shared" si="3"/>
        <v/>
      </c>
      <c r="N1101" s="70" t="str">
        <f>IF($A$3=" "," ", IFERROR( VLOOKUP($A1101,'SUPPLIER DATA BASE'!$A$2:$O$936,11,0),""))</f>
        <v>-</v>
      </c>
      <c r="O1101" s="70" t="str">
        <f>IF($A$3=" "," ", IFERROR( VLOOKUP($A1101,'SUPPLIER DATA BASE'!$A$2:$O$936,12,0),""))</f>
        <v>-</v>
      </c>
      <c r="P1101" s="70" t="str">
        <f>IF($A$3=" "," ", IFERROR( VLOOKUP($A1101,'SUPPLIER DATA BASE'!$A$2:$O$936,13,0),""))</f>
        <v>-</v>
      </c>
      <c r="Q1101" s="77"/>
      <c r="R1101" s="73"/>
      <c r="S1101" s="77"/>
      <c r="T1101" s="70"/>
      <c r="U1101" s="78"/>
      <c r="V1101" s="70" t="str">
        <f t="shared" si="6"/>
        <v/>
      </c>
      <c r="W1101" s="23"/>
      <c r="X1101" s="23"/>
    </row>
    <row r="1102">
      <c r="A1102" s="70" t="s">
        <v>354</v>
      </c>
      <c r="B1102" s="70" t="str">
        <f>IF($A$3=" "," ", IFERROR( VLOOKUP($A1102,'SUPPLIER DATA BASE'!$A$2:$M$936,3,0),""))</f>
        <v>-</v>
      </c>
      <c r="C1102" s="70" t="str">
        <f>IF($A$3=" "," ", IFERROR( VLOOKUP($A1102,'SUPPLIER DATA BASE'!$A$2:$F$936,6,0),""))</f>
        <v>-</v>
      </c>
      <c r="D1102" s="70" t="str">
        <f>IF($A$3=" "," ", IFERROR( VLOOKUP($A1102,'SUPPLIER DATA BASE'!$A$2:$G$936,4,0),""))</f>
        <v>-</v>
      </c>
      <c r="E1102" s="71" t="str">
        <f>IF($A$3=" "," ", IFERROR( VLOOKUP($A1102,'SUPPLIER DATA BASE'!$A$2:$H$936,5,0),""))</f>
        <v>-</v>
      </c>
      <c r="F1102" s="72" t="s">
        <v>3215</v>
      </c>
      <c r="G1102" s="73"/>
      <c r="H1102" s="74"/>
      <c r="I1102" s="75"/>
      <c r="J1102" s="76" t="s">
        <v>3216</v>
      </c>
      <c r="K1102" s="76" t="s">
        <v>3217</v>
      </c>
      <c r="L1102" s="73"/>
      <c r="M1102" s="70" t="str">
        <f t="shared" si="3"/>
        <v/>
      </c>
      <c r="N1102" s="70" t="str">
        <f>IF($A$3=" "," ", IFERROR( VLOOKUP($A1102,'SUPPLIER DATA BASE'!$A$2:$O$936,11,0),""))</f>
        <v>-</v>
      </c>
      <c r="O1102" s="70" t="str">
        <f>IF($A$3=" "," ", IFERROR( VLOOKUP($A1102,'SUPPLIER DATA BASE'!$A$2:$O$936,12,0),""))</f>
        <v>-</v>
      </c>
      <c r="P1102" s="70" t="str">
        <f>IF($A$3=" "," ", IFERROR( VLOOKUP($A1102,'SUPPLIER DATA BASE'!$A$2:$O$936,13,0),""))</f>
        <v>-</v>
      </c>
      <c r="Q1102" s="77"/>
      <c r="R1102" s="73"/>
      <c r="S1102" s="77"/>
      <c r="T1102" s="70"/>
      <c r="U1102" s="78"/>
      <c r="V1102" s="70" t="str">
        <f t="shared" si="6"/>
        <v/>
      </c>
      <c r="W1102" s="23"/>
      <c r="X1102" s="23"/>
    </row>
    <row r="1103">
      <c r="A1103" s="70" t="s">
        <v>354</v>
      </c>
      <c r="B1103" s="70" t="str">
        <f>IF($A$3=" "," ", IFERROR( VLOOKUP($A1103,'SUPPLIER DATA BASE'!$A$2:$M$936,3,0),""))</f>
        <v>-</v>
      </c>
      <c r="C1103" s="70" t="str">
        <f>IF($A$3=" "," ", IFERROR( VLOOKUP($A1103,'SUPPLIER DATA BASE'!$A$2:$F$936,6,0),""))</f>
        <v>-</v>
      </c>
      <c r="D1103" s="70" t="str">
        <f>IF($A$3=" "," ", IFERROR( VLOOKUP($A1103,'SUPPLIER DATA BASE'!$A$2:$G$936,4,0),""))</f>
        <v>-</v>
      </c>
      <c r="E1103" s="71" t="str">
        <f>IF($A$3=" "," ", IFERROR( VLOOKUP($A1103,'SUPPLIER DATA BASE'!$A$2:$H$936,5,0),""))</f>
        <v>-</v>
      </c>
      <c r="F1103" s="72" t="s">
        <v>3218</v>
      </c>
      <c r="G1103" s="73"/>
      <c r="H1103" s="74"/>
      <c r="I1103" s="75"/>
      <c r="J1103" s="76" t="s">
        <v>3219</v>
      </c>
      <c r="K1103" s="76" t="s">
        <v>3220</v>
      </c>
      <c r="L1103" s="73"/>
      <c r="M1103" s="70" t="str">
        <f t="shared" si="3"/>
        <v/>
      </c>
      <c r="N1103" s="70" t="str">
        <f>IF($A$3=" "," ", IFERROR( VLOOKUP($A1103,'SUPPLIER DATA BASE'!$A$2:$O$936,11,0),""))</f>
        <v>-</v>
      </c>
      <c r="O1103" s="70" t="str">
        <f>IF($A$3=" "," ", IFERROR( VLOOKUP($A1103,'SUPPLIER DATA BASE'!$A$2:$O$936,12,0),""))</f>
        <v>-</v>
      </c>
      <c r="P1103" s="70" t="str">
        <f>IF($A$3=" "," ", IFERROR( VLOOKUP($A1103,'SUPPLIER DATA BASE'!$A$2:$O$936,13,0),""))</f>
        <v>-</v>
      </c>
      <c r="Q1103" s="77"/>
      <c r="R1103" s="73"/>
      <c r="S1103" s="77"/>
      <c r="T1103" s="70"/>
      <c r="U1103" s="78"/>
      <c r="V1103" s="70" t="str">
        <f t="shared" si="6"/>
        <v/>
      </c>
      <c r="W1103" s="23"/>
      <c r="X1103" s="23"/>
    </row>
    <row r="1104">
      <c r="A1104" s="70" t="s">
        <v>354</v>
      </c>
      <c r="B1104" s="70" t="str">
        <f>IF($A$3=" "," ", IFERROR( VLOOKUP($A1104,'SUPPLIER DATA BASE'!$A$2:$M$936,3,0),""))</f>
        <v>-</v>
      </c>
      <c r="C1104" s="70" t="str">
        <f>IF($A$3=" "," ", IFERROR( VLOOKUP($A1104,'SUPPLIER DATA BASE'!$A$2:$F$936,6,0),""))</f>
        <v>-</v>
      </c>
      <c r="D1104" s="70" t="str">
        <f>IF($A$3=" "," ", IFERROR( VLOOKUP($A1104,'SUPPLIER DATA BASE'!$A$2:$G$936,4,0),""))</f>
        <v>-</v>
      </c>
      <c r="E1104" s="71" t="str">
        <f>IF($A$3=" "," ", IFERROR( VLOOKUP($A1104,'SUPPLIER DATA BASE'!$A$2:$H$936,5,0),""))</f>
        <v>-</v>
      </c>
      <c r="F1104" s="72" t="s">
        <v>3221</v>
      </c>
      <c r="G1104" s="73"/>
      <c r="H1104" s="74"/>
      <c r="I1104" s="75"/>
      <c r="J1104" s="76" t="s">
        <v>3222</v>
      </c>
      <c r="K1104" s="76" t="s">
        <v>3223</v>
      </c>
      <c r="L1104" s="73"/>
      <c r="M1104" s="70" t="str">
        <f t="shared" si="3"/>
        <v/>
      </c>
      <c r="N1104" s="70" t="str">
        <f>IF($A$3=" "," ", IFERROR( VLOOKUP($A1104,'SUPPLIER DATA BASE'!$A$2:$O$936,11,0),""))</f>
        <v>-</v>
      </c>
      <c r="O1104" s="70" t="str">
        <f>IF($A$3=" "," ", IFERROR( VLOOKUP($A1104,'SUPPLIER DATA BASE'!$A$2:$O$936,12,0),""))</f>
        <v>-</v>
      </c>
      <c r="P1104" s="70" t="str">
        <f>IF($A$3=" "," ", IFERROR( VLOOKUP($A1104,'SUPPLIER DATA BASE'!$A$2:$O$936,13,0),""))</f>
        <v>-</v>
      </c>
      <c r="Q1104" s="77"/>
      <c r="R1104" s="73"/>
      <c r="S1104" s="77"/>
      <c r="T1104" s="70"/>
      <c r="U1104" s="78"/>
      <c r="V1104" s="70" t="str">
        <f t="shared" si="6"/>
        <v/>
      </c>
      <c r="W1104" s="23"/>
      <c r="X1104" s="23"/>
    </row>
    <row r="1105">
      <c r="A1105" s="70" t="s">
        <v>354</v>
      </c>
      <c r="B1105" s="70" t="str">
        <f>IF($A$3=" "," ", IFERROR( VLOOKUP($A1105,'SUPPLIER DATA BASE'!$A$2:$M$936,3,0),""))</f>
        <v>-</v>
      </c>
      <c r="C1105" s="70" t="str">
        <f>IF($A$3=" "," ", IFERROR( VLOOKUP($A1105,'SUPPLIER DATA BASE'!$A$2:$F$936,6,0),""))</f>
        <v>-</v>
      </c>
      <c r="D1105" s="70" t="str">
        <f>IF($A$3=" "," ", IFERROR( VLOOKUP($A1105,'SUPPLIER DATA BASE'!$A$2:$G$936,4,0),""))</f>
        <v>-</v>
      </c>
      <c r="E1105" s="71" t="str">
        <f>IF($A$3=" "," ", IFERROR( VLOOKUP($A1105,'SUPPLIER DATA BASE'!$A$2:$H$936,5,0),""))</f>
        <v>-</v>
      </c>
      <c r="F1105" s="72" t="s">
        <v>3224</v>
      </c>
      <c r="G1105" s="73"/>
      <c r="H1105" s="74"/>
      <c r="I1105" s="75"/>
      <c r="J1105" s="76" t="s">
        <v>3225</v>
      </c>
      <c r="K1105" s="76" t="s">
        <v>3226</v>
      </c>
      <c r="L1105" s="73"/>
      <c r="M1105" s="70" t="str">
        <f t="shared" si="3"/>
        <v/>
      </c>
      <c r="N1105" s="70" t="str">
        <f>IF($A$3=" "," ", IFERROR( VLOOKUP($A1105,'SUPPLIER DATA BASE'!$A$2:$O$936,11,0),""))</f>
        <v>-</v>
      </c>
      <c r="O1105" s="70" t="str">
        <f>IF($A$3=" "," ", IFERROR( VLOOKUP($A1105,'SUPPLIER DATA BASE'!$A$2:$O$936,12,0),""))</f>
        <v>-</v>
      </c>
      <c r="P1105" s="70" t="str">
        <f>IF($A$3=" "," ", IFERROR( VLOOKUP($A1105,'SUPPLIER DATA BASE'!$A$2:$O$936,13,0),""))</f>
        <v>-</v>
      </c>
      <c r="Q1105" s="77"/>
      <c r="R1105" s="73"/>
      <c r="S1105" s="77"/>
      <c r="T1105" s="70"/>
      <c r="U1105" s="78"/>
      <c r="V1105" s="70" t="str">
        <f t="shared" si="6"/>
        <v/>
      </c>
      <c r="W1105" s="23"/>
      <c r="X1105" s="23"/>
    </row>
    <row r="1106">
      <c r="A1106" s="70" t="s">
        <v>354</v>
      </c>
      <c r="B1106" s="70" t="str">
        <f>IF($A$3=" "," ", IFERROR( VLOOKUP($A1106,'SUPPLIER DATA BASE'!$A$2:$M$936,3,0),""))</f>
        <v>-</v>
      </c>
      <c r="C1106" s="70" t="str">
        <f>IF($A$3=" "," ", IFERROR( VLOOKUP($A1106,'SUPPLIER DATA BASE'!$A$2:$F$936,6,0),""))</f>
        <v>-</v>
      </c>
      <c r="D1106" s="70" t="str">
        <f>IF($A$3=" "," ", IFERROR( VLOOKUP($A1106,'SUPPLIER DATA BASE'!$A$2:$G$936,4,0),""))</f>
        <v>-</v>
      </c>
      <c r="E1106" s="71" t="str">
        <f>IF($A$3=" "," ", IFERROR( VLOOKUP($A1106,'SUPPLIER DATA BASE'!$A$2:$H$936,5,0),""))</f>
        <v>-</v>
      </c>
      <c r="F1106" s="72" t="s">
        <v>3227</v>
      </c>
      <c r="G1106" s="73"/>
      <c r="H1106" s="74"/>
      <c r="I1106" s="75"/>
      <c r="J1106" s="76" t="s">
        <v>3228</v>
      </c>
      <c r="K1106" s="76" t="s">
        <v>3229</v>
      </c>
      <c r="L1106" s="73"/>
      <c r="M1106" s="70" t="str">
        <f t="shared" si="3"/>
        <v/>
      </c>
      <c r="N1106" s="70" t="str">
        <f>IF($A$3=" "," ", IFERROR( VLOOKUP($A1106,'SUPPLIER DATA BASE'!$A$2:$O$936,11,0),""))</f>
        <v>-</v>
      </c>
      <c r="O1106" s="70" t="str">
        <f>IF($A$3=" "," ", IFERROR( VLOOKUP($A1106,'SUPPLIER DATA BASE'!$A$2:$O$936,12,0),""))</f>
        <v>-</v>
      </c>
      <c r="P1106" s="70" t="str">
        <f>IF($A$3=" "," ", IFERROR( VLOOKUP($A1106,'SUPPLIER DATA BASE'!$A$2:$O$936,13,0),""))</f>
        <v>-</v>
      </c>
      <c r="Q1106" s="77"/>
      <c r="R1106" s="73"/>
      <c r="S1106" s="77"/>
      <c r="T1106" s="70"/>
      <c r="U1106" s="78"/>
      <c r="V1106" s="70" t="str">
        <f t="shared" si="6"/>
        <v/>
      </c>
      <c r="W1106" s="23"/>
      <c r="X1106" s="23"/>
    </row>
    <row r="1107">
      <c r="A1107" s="70" t="s">
        <v>354</v>
      </c>
      <c r="B1107" s="70" t="str">
        <f>IF($A$3=" "," ", IFERROR( VLOOKUP($A1107,'SUPPLIER DATA BASE'!$A$2:$M$936,3,0),""))</f>
        <v>-</v>
      </c>
      <c r="C1107" s="70" t="str">
        <f>IF($A$3=" "," ", IFERROR( VLOOKUP($A1107,'SUPPLIER DATA BASE'!$A$2:$F$936,6,0),""))</f>
        <v>-</v>
      </c>
      <c r="D1107" s="70" t="str">
        <f>IF($A$3=" "," ", IFERROR( VLOOKUP($A1107,'SUPPLIER DATA BASE'!$A$2:$G$936,4,0),""))</f>
        <v>-</v>
      </c>
      <c r="E1107" s="71" t="str">
        <f>IF($A$3=" "," ", IFERROR( VLOOKUP($A1107,'SUPPLIER DATA BASE'!$A$2:$H$936,5,0),""))</f>
        <v>-</v>
      </c>
      <c r="F1107" s="72" t="s">
        <v>3230</v>
      </c>
      <c r="G1107" s="73"/>
      <c r="H1107" s="74"/>
      <c r="I1107" s="75"/>
      <c r="J1107" s="76" t="s">
        <v>3231</v>
      </c>
      <c r="K1107" s="76" t="s">
        <v>3232</v>
      </c>
      <c r="L1107" s="73"/>
      <c r="M1107" s="70" t="str">
        <f t="shared" si="3"/>
        <v/>
      </c>
      <c r="N1107" s="70" t="str">
        <f>IF($A$3=" "," ", IFERROR( VLOOKUP($A1107,'SUPPLIER DATA BASE'!$A$2:$O$936,11,0),""))</f>
        <v>-</v>
      </c>
      <c r="O1107" s="70" t="str">
        <f>IF($A$3=" "," ", IFERROR( VLOOKUP($A1107,'SUPPLIER DATA BASE'!$A$2:$O$936,12,0),""))</f>
        <v>-</v>
      </c>
      <c r="P1107" s="70" t="str">
        <f>IF($A$3=" "," ", IFERROR( VLOOKUP($A1107,'SUPPLIER DATA BASE'!$A$2:$O$936,13,0),""))</f>
        <v>-</v>
      </c>
      <c r="Q1107" s="77"/>
      <c r="R1107" s="73"/>
      <c r="S1107" s="77"/>
      <c r="T1107" s="70"/>
      <c r="U1107" s="78"/>
      <c r="V1107" s="70" t="str">
        <f t="shared" si="6"/>
        <v/>
      </c>
      <c r="W1107" s="23"/>
      <c r="X1107" s="23"/>
    </row>
    <row r="1108">
      <c r="A1108" s="70" t="s">
        <v>354</v>
      </c>
      <c r="B1108" s="70" t="str">
        <f>IF($A$3=" "," ", IFERROR( VLOOKUP($A1108,'SUPPLIER DATA BASE'!$A$2:$M$936,3,0),""))</f>
        <v>-</v>
      </c>
      <c r="C1108" s="70" t="str">
        <f>IF($A$3=" "," ", IFERROR( VLOOKUP($A1108,'SUPPLIER DATA BASE'!$A$2:$F$936,6,0),""))</f>
        <v>-</v>
      </c>
      <c r="D1108" s="70" t="str">
        <f>IF($A$3=" "," ", IFERROR( VLOOKUP($A1108,'SUPPLIER DATA BASE'!$A$2:$G$936,4,0),""))</f>
        <v>-</v>
      </c>
      <c r="E1108" s="71" t="str">
        <f>IF($A$3=" "," ", IFERROR( VLOOKUP($A1108,'SUPPLIER DATA BASE'!$A$2:$H$936,5,0),""))</f>
        <v>-</v>
      </c>
      <c r="F1108" s="72" t="s">
        <v>3233</v>
      </c>
      <c r="G1108" s="73"/>
      <c r="H1108" s="74"/>
      <c r="I1108" s="75"/>
      <c r="J1108" s="76" t="s">
        <v>3234</v>
      </c>
      <c r="K1108" s="76" t="s">
        <v>3235</v>
      </c>
      <c r="L1108" s="73"/>
      <c r="M1108" s="70" t="str">
        <f t="shared" si="3"/>
        <v/>
      </c>
      <c r="N1108" s="70" t="str">
        <f>IF($A$3=" "," ", IFERROR( VLOOKUP($A1108,'SUPPLIER DATA BASE'!$A$2:$O$936,11,0),""))</f>
        <v>-</v>
      </c>
      <c r="O1108" s="70" t="str">
        <f>IF($A$3=" "," ", IFERROR( VLOOKUP($A1108,'SUPPLIER DATA BASE'!$A$2:$O$936,12,0),""))</f>
        <v>-</v>
      </c>
      <c r="P1108" s="70" t="str">
        <f>IF($A$3=" "," ", IFERROR( VLOOKUP($A1108,'SUPPLIER DATA BASE'!$A$2:$O$936,13,0),""))</f>
        <v>-</v>
      </c>
      <c r="Q1108" s="77"/>
      <c r="R1108" s="73"/>
      <c r="S1108" s="77"/>
      <c r="T1108" s="70"/>
      <c r="U1108" s="78"/>
      <c r="V1108" s="70" t="str">
        <f t="shared" si="6"/>
        <v/>
      </c>
      <c r="W1108" s="23"/>
      <c r="X1108" s="23"/>
    </row>
    <row r="1109">
      <c r="A1109" s="70" t="s">
        <v>354</v>
      </c>
      <c r="B1109" s="70" t="str">
        <f>IF($A$3=" "," ", IFERROR( VLOOKUP($A1109,'SUPPLIER DATA BASE'!$A$2:$M$936,3,0),""))</f>
        <v>-</v>
      </c>
      <c r="C1109" s="70" t="str">
        <f>IF($A$3=" "," ", IFERROR( VLOOKUP($A1109,'SUPPLIER DATA BASE'!$A$2:$F$936,6,0),""))</f>
        <v>-</v>
      </c>
      <c r="D1109" s="70" t="str">
        <f>IF($A$3=" "," ", IFERROR( VLOOKUP($A1109,'SUPPLIER DATA BASE'!$A$2:$G$936,4,0),""))</f>
        <v>-</v>
      </c>
      <c r="E1109" s="71" t="str">
        <f>IF($A$3=" "," ", IFERROR( VLOOKUP($A1109,'SUPPLIER DATA BASE'!$A$2:$H$936,5,0),""))</f>
        <v>-</v>
      </c>
      <c r="F1109" s="72" t="s">
        <v>3236</v>
      </c>
      <c r="G1109" s="73"/>
      <c r="H1109" s="74"/>
      <c r="I1109" s="75"/>
      <c r="J1109" s="76" t="s">
        <v>3237</v>
      </c>
      <c r="K1109" s="76" t="s">
        <v>3238</v>
      </c>
      <c r="L1109" s="73"/>
      <c r="M1109" s="70" t="str">
        <f t="shared" si="3"/>
        <v/>
      </c>
      <c r="N1109" s="70" t="str">
        <f>IF($A$3=" "," ", IFERROR( VLOOKUP($A1109,'SUPPLIER DATA BASE'!$A$2:$O$936,11,0),""))</f>
        <v>-</v>
      </c>
      <c r="O1109" s="70" t="str">
        <f>IF($A$3=" "," ", IFERROR( VLOOKUP($A1109,'SUPPLIER DATA BASE'!$A$2:$O$936,12,0),""))</f>
        <v>-</v>
      </c>
      <c r="P1109" s="70" t="str">
        <f>IF($A$3=" "," ", IFERROR( VLOOKUP($A1109,'SUPPLIER DATA BASE'!$A$2:$O$936,13,0),""))</f>
        <v>-</v>
      </c>
      <c r="Q1109" s="77"/>
      <c r="R1109" s="73"/>
      <c r="S1109" s="77"/>
      <c r="T1109" s="70"/>
      <c r="U1109" s="78"/>
      <c r="V1109" s="70" t="str">
        <f t="shared" si="6"/>
        <v/>
      </c>
      <c r="W1109" s="23"/>
      <c r="X1109" s="23"/>
    </row>
    <row r="1110">
      <c r="A1110" s="70" t="s">
        <v>354</v>
      </c>
      <c r="B1110" s="70" t="str">
        <f>IF($A$3=" "," ", IFERROR( VLOOKUP($A1110,'SUPPLIER DATA BASE'!$A$2:$M$936,3,0),""))</f>
        <v>-</v>
      </c>
      <c r="C1110" s="70" t="str">
        <f>IF($A$3=" "," ", IFERROR( VLOOKUP($A1110,'SUPPLIER DATA BASE'!$A$2:$F$936,6,0),""))</f>
        <v>-</v>
      </c>
      <c r="D1110" s="70" t="str">
        <f>IF($A$3=" "," ", IFERROR( VLOOKUP($A1110,'SUPPLIER DATA BASE'!$A$2:$G$936,4,0),""))</f>
        <v>-</v>
      </c>
      <c r="E1110" s="71" t="str">
        <f>IF($A$3=" "," ", IFERROR( VLOOKUP($A1110,'SUPPLIER DATA BASE'!$A$2:$H$936,5,0),""))</f>
        <v>-</v>
      </c>
      <c r="F1110" s="72" t="s">
        <v>3239</v>
      </c>
      <c r="G1110" s="73"/>
      <c r="H1110" s="74"/>
      <c r="I1110" s="75"/>
      <c r="J1110" s="76" t="s">
        <v>3240</v>
      </c>
      <c r="K1110" s="76" t="s">
        <v>3241</v>
      </c>
      <c r="L1110" s="73"/>
      <c r="M1110" s="70" t="str">
        <f t="shared" si="3"/>
        <v/>
      </c>
      <c r="N1110" s="70" t="str">
        <f>IF($A$3=" "," ", IFERROR( VLOOKUP($A1110,'SUPPLIER DATA BASE'!$A$2:$O$936,11,0),""))</f>
        <v>-</v>
      </c>
      <c r="O1110" s="70" t="str">
        <f>IF($A$3=" "," ", IFERROR( VLOOKUP($A1110,'SUPPLIER DATA BASE'!$A$2:$O$936,12,0),""))</f>
        <v>-</v>
      </c>
      <c r="P1110" s="70" t="str">
        <f>IF($A$3=" "," ", IFERROR( VLOOKUP($A1110,'SUPPLIER DATA BASE'!$A$2:$O$936,13,0),""))</f>
        <v>-</v>
      </c>
      <c r="Q1110" s="77"/>
      <c r="R1110" s="73"/>
      <c r="S1110" s="77"/>
      <c r="T1110" s="70"/>
      <c r="U1110" s="78"/>
      <c r="V1110" s="70" t="str">
        <f t="shared" si="6"/>
        <v/>
      </c>
      <c r="W1110" s="23"/>
      <c r="X1110" s="23"/>
    </row>
    <row r="1111">
      <c r="A1111" s="70" t="s">
        <v>354</v>
      </c>
      <c r="B1111" s="70" t="str">
        <f>IF($A$3=" "," ", IFERROR( VLOOKUP($A1111,'SUPPLIER DATA BASE'!$A$2:$M$936,3,0),""))</f>
        <v>-</v>
      </c>
      <c r="C1111" s="70" t="str">
        <f>IF($A$3=" "," ", IFERROR( VLOOKUP($A1111,'SUPPLIER DATA BASE'!$A$2:$F$936,6,0),""))</f>
        <v>-</v>
      </c>
      <c r="D1111" s="70" t="str">
        <f>IF($A$3=" "," ", IFERROR( VLOOKUP($A1111,'SUPPLIER DATA BASE'!$A$2:$G$936,4,0),""))</f>
        <v>-</v>
      </c>
      <c r="E1111" s="71" t="str">
        <f>IF($A$3=" "," ", IFERROR( VLOOKUP($A1111,'SUPPLIER DATA BASE'!$A$2:$H$936,5,0),""))</f>
        <v>-</v>
      </c>
      <c r="F1111" s="72" t="s">
        <v>3242</v>
      </c>
      <c r="G1111" s="73"/>
      <c r="H1111" s="74"/>
      <c r="I1111" s="75"/>
      <c r="J1111" s="76" t="s">
        <v>3243</v>
      </c>
      <c r="K1111" s="76" t="s">
        <v>3244</v>
      </c>
      <c r="L1111" s="73"/>
      <c r="M1111" s="70" t="str">
        <f t="shared" si="3"/>
        <v/>
      </c>
      <c r="N1111" s="70" t="str">
        <f>IF($A$3=" "," ", IFERROR( VLOOKUP($A1111,'SUPPLIER DATA BASE'!$A$2:$O$936,11,0),""))</f>
        <v>-</v>
      </c>
      <c r="O1111" s="70" t="str">
        <f>IF($A$3=" "," ", IFERROR( VLOOKUP($A1111,'SUPPLIER DATA BASE'!$A$2:$O$936,12,0),""))</f>
        <v>-</v>
      </c>
      <c r="P1111" s="70" t="str">
        <f>IF($A$3=" "," ", IFERROR( VLOOKUP($A1111,'SUPPLIER DATA BASE'!$A$2:$O$936,13,0),""))</f>
        <v>-</v>
      </c>
      <c r="Q1111" s="77"/>
      <c r="R1111" s="73"/>
      <c r="S1111" s="77"/>
      <c r="T1111" s="70"/>
      <c r="U1111" s="78"/>
      <c r="V1111" s="70" t="str">
        <f t="shared" si="6"/>
        <v/>
      </c>
      <c r="W1111" s="23"/>
      <c r="X1111" s="23"/>
    </row>
    <row r="1112">
      <c r="A1112" s="70" t="s">
        <v>354</v>
      </c>
      <c r="B1112" s="70" t="str">
        <f>IF($A$3=" "," ", IFERROR( VLOOKUP($A1112,'SUPPLIER DATA BASE'!$A$2:$M$936,3,0),""))</f>
        <v>-</v>
      </c>
      <c r="C1112" s="70" t="str">
        <f>IF($A$3=" "," ", IFERROR( VLOOKUP($A1112,'SUPPLIER DATA BASE'!$A$2:$F$936,6,0),""))</f>
        <v>-</v>
      </c>
      <c r="D1112" s="70" t="str">
        <f>IF($A$3=" "," ", IFERROR( VLOOKUP($A1112,'SUPPLIER DATA BASE'!$A$2:$G$936,4,0),""))</f>
        <v>-</v>
      </c>
      <c r="E1112" s="71" t="str">
        <f>IF($A$3=" "," ", IFERROR( VLOOKUP($A1112,'SUPPLIER DATA BASE'!$A$2:$H$936,5,0),""))</f>
        <v>-</v>
      </c>
      <c r="F1112" s="72" t="s">
        <v>3245</v>
      </c>
      <c r="G1112" s="73"/>
      <c r="H1112" s="74"/>
      <c r="I1112" s="75"/>
      <c r="J1112" s="76" t="s">
        <v>3246</v>
      </c>
      <c r="K1112" s="76" t="s">
        <v>3247</v>
      </c>
      <c r="L1112" s="73"/>
      <c r="M1112" s="70" t="str">
        <f t="shared" si="3"/>
        <v/>
      </c>
      <c r="N1112" s="70" t="str">
        <f>IF($A$3=" "," ", IFERROR( VLOOKUP($A1112,'SUPPLIER DATA BASE'!$A$2:$O$936,11,0),""))</f>
        <v>-</v>
      </c>
      <c r="O1112" s="70" t="str">
        <f>IF($A$3=" "," ", IFERROR( VLOOKUP($A1112,'SUPPLIER DATA BASE'!$A$2:$O$936,12,0),""))</f>
        <v>-</v>
      </c>
      <c r="P1112" s="70" t="str">
        <f>IF($A$3=" "," ", IFERROR( VLOOKUP($A1112,'SUPPLIER DATA BASE'!$A$2:$O$936,13,0),""))</f>
        <v>-</v>
      </c>
      <c r="Q1112" s="77"/>
      <c r="R1112" s="73"/>
      <c r="S1112" s="77"/>
      <c r="T1112" s="70"/>
      <c r="U1112" s="78"/>
      <c r="V1112" s="70" t="str">
        <f t="shared" si="6"/>
        <v/>
      </c>
      <c r="W1112" s="23"/>
      <c r="X1112" s="23"/>
    </row>
    <row r="1113">
      <c r="A1113" s="70" t="s">
        <v>354</v>
      </c>
      <c r="B1113" s="70" t="str">
        <f>IF($A$3=" "," ", IFERROR( VLOOKUP($A1113,'SUPPLIER DATA BASE'!$A$2:$M$936,3,0),""))</f>
        <v>-</v>
      </c>
      <c r="C1113" s="70" t="str">
        <f>IF($A$3=" "," ", IFERROR( VLOOKUP($A1113,'SUPPLIER DATA BASE'!$A$2:$F$936,6,0),""))</f>
        <v>-</v>
      </c>
      <c r="D1113" s="70" t="str">
        <f>IF($A$3=" "," ", IFERROR( VLOOKUP($A1113,'SUPPLIER DATA BASE'!$A$2:$G$936,4,0),""))</f>
        <v>-</v>
      </c>
      <c r="E1113" s="71" t="str">
        <f>IF($A$3=" "," ", IFERROR( VLOOKUP($A1113,'SUPPLIER DATA BASE'!$A$2:$H$936,5,0),""))</f>
        <v>-</v>
      </c>
      <c r="F1113" s="72" t="s">
        <v>3248</v>
      </c>
      <c r="G1113" s="73"/>
      <c r="H1113" s="74"/>
      <c r="I1113" s="75"/>
      <c r="J1113" s="76" t="s">
        <v>3249</v>
      </c>
      <c r="K1113" s="76" t="s">
        <v>3250</v>
      </c>
      <c r="L1113" s="73"/>
      <c r="M1113" s="70" t="str">
        <f t="shared" si="3"/>
        <v/>
      </c>
      <c r="N1113" s="70" t="str">
        <f>IF($A$3=" "," ", IFERROR( VLOOKUP($A1113,'SUPPLIER DATA BASE'!$A$2:$O$936,11,0),""))</f>
        <v>-</v>
      </c>
      <c r="O1113" s="70" t="str">
        <f>IF($A$3=" "," ", IFERROR( VLOOKUP($A1113,'SUPPLIER DATA BASE'!$A$2:$O$936,12,0),""))</f>
        <v>-</v>
      </c>
      <c r="P1113" s="70" t="str">
        <f>IF($A$3=" "," ", IFERROR( VLOOKUP($A1113,'SUPPLIER DATA BASE'!$A$2:$O$936,13,0),""))</f>
        <v>-</v>
      </c>
      <c r="Q1113" s="77"/>
      <c r="R1113" s="73"/>
      <c r="S1113" s="77"/>
      <c r="T1113" s="70"/>
      <c r="U1113" s="78"/>
      <c r="V1113" s="70" t="str">
        <f t="shared" si="6"/>
        <v/>
      </c>
      <c r="W1113" s="23"/>
      <c r="X1113" s="23"/>
    </row>
    <row r="1114">
      <c r="A1114" s="70" t="s">
        <v>354</v>
      </c>
      <c r="B1114" s="70" t="str">
        <f>IF($A$3=" "," ", IFERROR( VLOOKUP($A1114,'SUPPLIER DATA BASE'!$A$2:$M$936,3,0),""))</f>
        <v>-</v>
      </c>
      <c r="C1114" s="70" t="str">
        <f>IF($A$3=" "," ", IFERROR( VLOOKUP($A1114,'SUPPLIER DATA BASE'!$A$2:$F$936,6,0),""))</f>
        <v>-</v>
      </c>
      <c r="D1114" s="70" t="str">
        <f>IF($A$3=" "," ", IFERROR( VLOOKUP($A1114,'SUPPLIER DATA BASE'!$A$2:$G$936,4,0),""))</f>
        <v>-</v>
      </c>
      <c r="E1114" s="71" t="str">
        <f>IF($A$3=" "," ", IFERROR( VLOOKUP($A1114,'SUPPLIER DATA BASE'!$A$2:$H$936,5,0),""))</f>
        <v>-</v>
      </c>
      <c r="F1114" s="72" t="s">
        <v>3251</v>
      </c>
      <c r="G1114" s="73"/>
      <c r="H1114" s="74"/>
      <c r="I1114" s="75"/>
      <c r="J1114" s="76" t="s">
        <v>3252</v>
      </c>
      <c r="K1114" s="76" t="s">
        <v>3253</v>
      </c>
      <c r="L1114" s="73"/>
      <c r="M1114" s="70" t="str">
        <f t="shared" si="3"/>
        <v/>
      </c>
      <c r="N1114" s="70" t="str">
        <f>IF($A$3=" "," ", IFERROR( VLOOKUP($A1114,'SUPPLIER DATA BASE'!$A$2:$O$936,11,0),""))</f>
        <v>-</v>
      </c>
      <c r="O1114" s="70" t="str">
        <f>IF($A$3=" "," ", IFERROR( VLOOKUP($A1114,'SUPPLIER DATA BASE'!$A$2:$O$936,12,0),""))</f>
        <v>-</v>
      </c>
      <c r="P1114" s="70" t="str">
        <f>IF($A$3=" "," ", IFERROR( VLOOKUP($A1114,'SUPPLIER DATA BASE'!$A$2:$O$936,13,0),""))</f>
        <v>-</v>
      </c>
      <c r="Q1114" s="77"/>
      <c r="R1114" s="73"/>
      <c r="S1114" s="77"/>
      <c r="T1114" s="70"/>
      <c r="U1114" s="78"/>
      <c r="V1114" s="70" t="str">
        <f t="shared" si="6"/>
        <v/>
      </c>
      <c r="W1114" s="23"/>
      <c r="X1114" s="23"/>
    </row>
    <row r="1115">
      <c r="A1115" s="70" t="s">
        <v>354</v>
      </c>
      <c r="B1115" s="70" t="str">
        <f>IF($A$3=" "," ", IFERROR( VLOOKUP($A1115,'SUPPLIER DATA BASE'!$A$2:$M$936,3,0),""))</f>
        <v>-</v>
      </c>
      <c r="C1115" s="70" t="str">
        <f>IF($A$3=" "," ", IFERROR( VLOOKUP($A1115,'SUPPLIER DATA BASE'!$A$2:$F$936,6,0),""))</f>
        <v>-</v>
      </c>
      <c r="D1115" s="70" t="str">
        <f>IF($A$3=" "," ", IFERROR( VLOOKUP($A1115,'SUPPLIER DATA BASE'!$A$2:$G$936,4,0),""))</f>
        <v>-</v>
      </c>
      <c r="E1115" s="71" t="str">
        <f>IF($A$3=" "," ", IFERROR( VLOOKUP($A1115,'SUPPLIER DATA BASE'!$A$2:$H$936,5,0),""))</f>
        <v>-</v>
      </c>
      <c r="F1115" s="72" t="s">
        <v>3254</v>
      </c>
      <c r="G1115" s="73"/>
      <c r="H1115" s="74"/>
      <c r="I1115" s="75"/>
      <c r="J1115" s="76" t="s">
        <v>3255</v>
      </c>
      <c r="K1115" s="76" t="s">
        <v>3256</v>
      </c>
      <c r="L1115" s="73"/>
      <c r="M1115" s="70" t="str">
        <f t="shared" si="3"/>
        <v/>
      </c>
      <c r="N1115" s="70" t="str">
        <f>IF($A$3=" "," ", IFERROR( VLOOKUP($A1115,'SUPPLIER DATA BASE'!$A$2:$O$936,11,0),""))</f>
        <v>-</v>
      </c>
      <c r="O1115" s="70" t="str">
        <f>IF($A$3=" "," ", IFERROR( VLOOKUP($A1115,'SUPPLIER DATA BASE'!$A$2:$O$936,12,0),""))</f>
        <v>-</v>
      </c>
      <c r="P1115" s="70" t="str">
        <f>IF($A$3=" "," ", IFERROR( VLOOKUP($A1115,'SUPPLIER DATA BASE'!$A$2:$O$936,13,0),""))</f>
        <v>-</v>
      </c>
      <c r="Q1115" s="77"/>
      <c r="R1115" s="73"/>
      <c r="S1115" s="77"/>
      <c r="T1115" s="70"/>
      <c r="U1115" s="78"/>
      <c r="V1115" s="70" t="str">
        <f t="shared" si="6"/>
        <v/>
      </c>
      <c r="W1115" s="23"/>
      <c r="X1115" s="23"/>
    </row>
    <row r="1116">
      <c r="A1116" s="70" t="s">
        <v>354</v>
      </c>
      <c r="B1116" s="70" t="str">
        <f>IF($A$3=" "," ", IFERROR( VLOOKUP($A1116,'SUPPLIER DATA BASE'!$A$2:$M$936,3,0),""))</f>
        <v>-</v>
      </c>
      <c r="C1116" s="70" t="str">
        <f>IF($A$3=" "," ", IFERROR( VLOOKUP($A1116,'SUPPLIER DATA BASE'!$A$2:$F$936,6,0),""))</f>
        <v>-</v>
      </c>
      <c r="D1116" s="70" t="str">
        <f>IF($A$3=" "," ", IFERROR( VLOOKUP($A1116,'SUPPLIER DATA BASE'!$A$2:$G$936,4,0),""))</f>
        <v>-</v>
      </c>
      <c r="E1116" s="71" t="str">
        <f>IF($A$3=" "," ", IFERROR( VLOOKUP($A1116,'SUPPLIER DATA BASE'!$A$2:$H$936,5,0),""))</f>
        <v>-</v>
      </c>
      <c r="F1116" s="72" t="s">
        <v>3257</v>
      </c>
      <c r="G1116" s="73"/>
      <c r="H1116" s="74"/>
      <c r="I1116" s="75"/>
      <c r="J1116" s="76" t="s">
        <v>3258</v>
      </c>
      <c r="K1116" s="76" t="s">
        <v>3259</v>
      </c>
      <c r="L1116" s="73"/>
      <c r="M1116" s="70" t="str">
        <f t="shared" si="3"/>
        <v/>
      </c>
      <c r="N1116" s="70" t="str">
        <f>IF($A$3=" "," ", IFERROR( VLOOKUP($A1116,'SUPPLIER DATA BASE'!$A$2:$O$936,11,0),""))</f>
        <v>-</v>
      </c>
      <c r="O1116" s="70" t="str">
        <f>IF($A$3=" "," ", IFERROR( VLOOKUP($A1116,'SUPPLIER DATA BASE'!$A$2:$O$936,12,0),""))</f>
        <v>-</v>
      </c>
      <c r="P1116" s="70" t="str">
        <f>IF($A$3=" "," ", IFERROR( VLOOKUP($A1116,'SUPPLIER DATA BASE'!$A$2:$O$936,13,0),""))</f>
        <v>-</v>
      </c>
      <c r="Q1116" s="77"/>
      <c r="R1116" s="73"/>
      <c r="S1116" s="77"/>
      <c r="T1116" s="70"/>
      <c r="U1116" s="78"/>
      <c r="V1116" s="70" t="str">
        <f t="shared" si="6"/>
        <v/>
      </c>
      <c r="W1116" s="23"/>
      <c r="X1116" s="23"/>
    </row>
    <row r="1117">
      <c r="A1117" s="70" t="s">
        <v>354</v>
      </c>
      <c r="B1117" s="70" t="str">
        <f>IF($A$3=" "," ", IFERROR( VLOOKUP($A1117,'SUPPLIER DATA BASE'!$A$2:$M$936,3,0),""))</f>
        <v>-</v>
      </c>
      <c r="C1117" s="70" t="str">
        <f>IF($A$3=" "," ", IFERROR( VLOOKUP($A1117,'SUPPLIER DATA BASE'!$A$2:$F$936,6,0),""))</f>
        <v>-</v>
      </c>
      <c r="D1117" s="70" t="str">
        <f>IF($A$3=" "," ", IFERROR( VLOOKUP($A1117,'SUPPLIER DATA BASE'!$A$2:$G$936,4,0),""))</f>
        <v>-</v>
      </c>
      <c r="E1117" s="71" t="str">
        <f>IF($A$3=" "," ", IFERROR( VLOOKUP($A1117,'SUPPLIER DATA BASE'!$A$2:$H$936,5,0),""))</f>
        <v>-</v>
      </c>
      <c r="F1117" s="72" t="s">
        <v>3260</v>
      </c>
      <c r="G1117" s="73"/>
      <c r="H1117" s="74"/>
      <c r="I1117" s="75"/>
      <c r="J1117" s="76" t="s">
        <v>3261</v>
      </c>
      <c r="K1117" s="76" t="s">
        <v>3262</v>
      </c>
      <c r="L1117" s="73"/>
      <c r="M1117" s="70" t="str">
        <f t="shared" si="3"/>
        <v/>
      </c>
      <c r="N1117" s="70" t="str">
        <f>IF($A$3=" "," ", IFERROR( VLOOKUP($A1117,'SUPPLIER DATA BASE'!$A$2:$O$936,11,0),""))</f>
        <v>-</v>
      </c>
      <c r="O1117" s="70" t="str">
        <f>IF($A$3=" "," ", IFERROR( VLOOKUP($A1117,'SUPPLIER DATA BASE'!$A$2:$O$936,12,0),""))</f>
        <v>-</v>
      </c>
      <c r="P1117" s="70" t="str">
        <f>IF($A$3=" "," ", IFERROR( VLOOKUP($A1117,'SUPPLIER DATA BASE'!$A$2:$O$936,13,0),""))</f>
        <v>-</v>
      </c>
      <c r="Q1117" s="77"/>
      <c r="R1117" s="73"/>
      <c r="S1117" s="77"/>
      <c r="T1117" s="70"/>
      <c r="U1117" s="78"/>
      <c r="V1117" s="70" t="str">
        <f t="shared" si="6"/>
        <v/>
      </c>
      <c r="W1117" s="23"/>
      <c r="X1117" s="23"/>
    </row>
    <row r="1118">
      <c r="A1118" s="70" t="s">
        <v>354</v>
      </c>
      <c r="B1118" s="70" t="str">
        <f>IF($A$3=" "," ", IFERROR( VLOOKUP($A1118,'SUPPLIER DATA BASE'!$A$2:$M$936,3,0),""))</f>
        <v>-</v>
      </c>
      <c r="C1118" s="70" t="str">
        <f>IF($A$3=" "," ", IFERROR( VLOOKUP($A1118,'SUPPLIER DATA BASE'!$A$2:$F$936,6,0),""))</f>
        <v>-</v>
      </c>
      <c r="D1118" s="70" t="str">
        <f>IF($A$3=" "," ", IFERROR( VLOOKUP($A1118,'SUPPLIER DATA BASE'!$A$2:$G$936,4,0),""))</f>
        <v>-</v>
      </c>
      <c r="E1118" s="71" t="str">
        <f>IF($A$3=" "," ", IFERROR( VLOOKUP($A1118,'SUPPLIER DATA BASE'!$A$2:$H$936,5,0),""))</f>
        <v>-</v>
      </c>
      <c r="F1118" s="72" t="s">
        <v>3263</v>
      </c>
      <c r="G1118" s="73"/>
      <c r="H1118" s="74"/>
      <c r="I1118" s="75"/>
      <c r="J1118" s="76" t="s">
        <v>3264</v>
      </c>
      <c r="K1118" s="76" t="s">
        <v>3265</v>
      </c>
      <c r="L1118" s="73"/>
      <c r="M1118" s="70" t="str">
        <f t="shared" si="3"/>
        <v/>
      </c>
      <c r="N1118" s="70" t="str">
        <f>IF($A$3=" "," ", IFERROR( VLOOKUP($A1118,'SUPPLIER DATA BASE'!$A$2:$O$936,11,0),""))</f>
        <v>-</v>
      </c>
      <c r="O1118" s="70" t="str">
        <f>IF($A$3=" "," ", IFERROR( VLOOKUP($A1118,'SUPPLIER DATA BASE'!$A$2:$O$936,12,0),""))</f>
        <v>-</v>
      </c>
      <c r="P1118" s="70" t="str">
        <f>IF($A$3=" "," ", IFERROR( VLOOKUP($A1118,'SUPPLIER DATA BASE'!$A$2:$O$936,13,0),""))</f>
        <v>-</v>
      </c>
      <c r="Q1118" s="77"/>
      <c r="R1118" s="73"/>
      <c r="S1118" s="77"/>
      <c r="T1118" s="70"/>
      <c r="U1118" s="78"/>
      <c r="V1118" s="70" t="str">
        <f t="shared" si="6"/>
        <v/>
      </c>
      <c r="W1118" s="23"/>
      <c r="X1118" s="23"/>
    </row>
    <row r="1119">
      <c r="A1119" s="70" t="s">
        <v>354</v>
      </c>
      <c r="B1119" s="70" t="str">
        <f>IF($A$3=" "," ", IFERROR( VLOOKUP($A1119,'SUPPLIER DATA BASE'!$A$2:$M$936,3,0),""))</f>
        <v>-</v>
      </c>
      <c r="C1119" s="70" t="str">
        <f>IF($A$3=" "," ", IFERROR( VLOOKUP($A1119,'SUPPLIER DATA BASE'!$A$2:$F$936,6,0),""))</f>
        <v>-</v>
      </c>
      <c r="D1119" s="70" t="str">
        <f>IF($A$3=" "," ", IFERROR( VLOOKUP($A1119,'SUPPLIER DATA BASE'!$A$2:$G$936,4,0),""))</f>
        <v>-</v>
      </c>
      <c r="E1119" s="71" t="str">
        <f>IF($A$3=" "," ", IFERROR( VLOOKUP($A1119,'SUPPLIER DATA BASE'!$A$2:$H$936,5,0),""))</f>
        <v>-</v>
      </c>
      <c r="F1119" s="72" t="s">
        <v>3266</v>
      </c>
      <c r="G1119" s="73"/>
      <c r="H1119" s="74"/>
      <c r="I1119" s="75"/>
      <c r="J1119" s="76" t="s">
        <v>3267</v>
      </c>
      <c r="K1119" s="76" t="s">
        <v>3268</v>
      </c>
      <c r="L1119" s="73"/>
      <c r="M1119" s="70" t="str">
        <f t="shared" si="3"/>
        <v/>
      </c>
      <c r="N1119" s="70" t="str">
        <f>IF($A$3=" "," ", IFERROR( VLOOKUP($A1119,'SUPPLIER DATA BASE'!$A$2:$O$936,11,0),""))</f>
        <v>-</v>
      </c>
      <c r="O1119" s="70" t="str">
        <f>IF($A$3=" "," ", IFERROR( VLOOKUP($A1119,'SUPPLIER DATA BASE'!$A$2:$O$936,12,0),""))</f>
        <v>-</v>
      </c>
      <c r="P1119" s="70" t="str">
        <f>IF($A$3=" "," ", IFERROR( VLOOKUP($A1119,'SUPPLIER DATA BASE'!$A$2:$O$936,13,0),""))</f>
        <v>-</v>
      </c>
      <c r="Q1119" s="77"/>
      <c r="R1119" s="73"/>
      <c r="S1119" s="77"/>
      <c r="T1119" s="70"/>
      <c r="U1119" s="78"/>
      <c r="V1119" s="70" t="str">
        <f t="shared" si="6"/>
        <v/>
      </c>
      <c r="W1119" s="23"/>
      <c r="X1119" s="23"/>
    </row>
    <row r="1120">
      <c r="A1120" s="70" t="s">
        <v>354</v>
      </c>
      <c r="B1120" s="70" t="str">
        <f>IF($A$3=" "," ", IFERROR( VLOOKUP($A1120,'SUPPLIER DATA BASE'!$A$2:$M$936,3,0),""))</f>
        <v>-</v>
      </c>
      <c r="C1120" s="70" t="str">
        <f>IF($A$3=" "," ", IFERROR( VLOOKUP($A1120,'SUPPLIER DATA BASE'!$A$2:$F$936,6,0),""))</f>
        <v>-</v>
      </c>
      <c r="D1120" s="70" t="str">
        <f>IF($A$3=" "," ", IFERROR( VLOOKUP($A1120,'SUPPLIER DATA BASE'!$A$2:$G$936,4,0),""))</f>
        <v>-</v>
      </c>
      <c r="E1120" s="71" t="str">
        <f>IF($A$3=" "," ", IFERROR( VLOOKUP($A1120,'SUPPLIER DATA BASE'!$A$2:$H$936,5,0),""))</f>
        <v>-</v>
      </c>
      <c r="F1120" s="72" t="s">
        <v>3269</v>
      </c>
      <c r="G1120" s="73"/>
      <c r="H1120" s="74"/>
      <c r="I1120" s="75"/>
      <c r="J1120" s="76" t="s">
        <v>3270</v>
      </c>
      <c r="K1120" s="76" t="s">
        <v>3271</v>
      </c>
      <c r="L1120" s="73"/>
      <c r="M1120" s="70" t="str">
        <f t="shared" si="3"/>
        <v/>
      </c>
      <c r="N1120" s="70" t="str">
        <f>IF($A$3=" "," ", IFERROR( VLOOKUP($A1120,'SUPPLIER DATA BASE'!$A$2:$O$936,11,0),""))</f>
        <v>-</v>
      </c>
      <c r="O1120" s="70" t="str">
        <f>IF($A$3=" "," ", IFERROR( VLOOKUP($A1120,'SUPPLIER DATA BASE'!$A$2:$O$936,12,0),""))</f>
        <v>-</v>
      </c>
      <c r="P1120" s="70" t="str">
        <f>IF($A$3=" "," ", IFERROR( VLOOKUP($A1120,'SUPPLIER DATA BASE'!$A$2:$O$936,13,0),""))</f>
        <v>-</v>
      </c>
      <c r="Q1120" s="77"/>
      <c r="R1120" s="73"/>
      <c r="S1120" s="77"/>
      <c r="T1120" s="70"/>
      <c r="U1120" s="78"/>
      <c r="V1120" s="70" t="str">
        <f t="shared" si="6"/>
        <v/>
      </c>
      <c r="W1120" s="23"/>
      <c r="X1120" s="23"/>
    </row>
    <row r="1121">
      <c r="A1121" s="70" t="s">
        <v>354</v>
      </c>
      <c r="B1121" s="70" t="str">
        <f>IF($A$3=" "," ", IFERROR( VLOOKUP($A1121,'SUPPLIER DATA BASE'!$A$2:$M$936,3,0),""))</f>
        <v>-</v>
      </c>
      <c r="C1121" s="70" t="str">
        <f>IF($A$3=" "," ", IFERROR( VLOOKUP($A1121,'SUPPLIER DATA BASE'!$A$2:$F$936,6,0),""))</f>
        <v>-</v>
      </c>
      <c r="D1121" s="70" t="str">
        <f>IF($A$3=" "," ", IFERROR( VLOOKUP($A1121,'SUPPLIER DATA BASE'!$A$2:$G$936,4,0),""))</f>
        <v>-</v>
      </c>
      <c r="E1121" s="71" t="str">
        <f>IF($A$3=" "," ", IFERROR( VLOOKUP($A1121,'SUPPLIER DATA BASE'!$A$2:$H$936,5,0),""))</f>
        <v>-</v>
      </c>
      <c r="F1121" s="72" t="s">
        <v>3272</v>
      </c>
      <c r="G1121" s="73"/>
      <c r="H1121" s="74"/>
      <c r="I1121" s="75"/>
      <c r="J1121" s="76" t="s">
        <v>3273</v>
      </c>
      <c r="K1121" s="76" t="s">
        <v>3274</v>
      </c>
      <c r="L1121" s="73"/>
      <c r="M1121" s="70" t="str">
        <f t="shared" si="3"/>
        <v/>
      </c>
      <c r="N1121" s="70" t="str">
        <f>IF($A$3=" "," ", IFERROR( VLOOKUP($A1121,'SUPPLIER DATA BASE'!$A$2:$O$936,11,0),""))</f>
        <v>-</v>
      </c>
      <c r="O1121" s="70" t="str">
        <f>IF($A$3=" "," ", IFERROR( VLOOKUP($A1121,'SUPPLIER DATA BASE'!$A$2:$O$936,12,0),""))</f>
        <v>-</v>
      </c>
      <c r="P1121" s="70" t="str">
        <f>IF($A$3=" "," ", IFERROR( VLOOKUP($A1121,'SUPPLIER DATA BASE'!$A$2:$O$936,13,0),""))</f>
        <v>-</v>
      </c>
      <c r="Q1121" s="77"/>
      <c r="R1121" s="73"/>
      <c r="S1121" s="77"/>
      <c r="T1121" s="70"/>
      <c r="U1121" s="78"/>
      <c r="V1121" s="70" t="str">
        <f t="shared" si="6"/>
        <v/>
      </c>
      <c r="W1121" s="23"/>
      <c r="X1121" s="23"/>
    </row>
    <row r="1122">
      <c r="A1122" s="70" t="s">
        <v>354</v>
      </c>
      <c r="B1122" s="70" t="str">
        <f>IF($A$3=" "," ", IFERROR( VLOOKUP($A1122,'SUPPLIER DATA BASE'!$A$2:$M$936,3,0),""))</f>
        <v>-</v>
      </c>
      <c r="C1122" s="70" t="str">
        <f>IF($A$3=" "," ", IFERROR( VLOOKUP($A1122,'SUPPLIER DATA BASE'!$A$2:$F$936,6,0),""))</f>
        <v>-</v>
      </c>
      <c r="D1122" s="70" t="str">
        <f>IF($A$3=" "," ", IFERROR( VLOOKUP($A1122,'SUPPLIER DATA BASE'!$A$2:$G$936,4,0),""))</f>
        <v>-</v>
      </c>
      <c r="E1122" s="71" t="str">
        <f>IF($A$3=" "," ", IFERROR( VLOOKUP($A1122,'SUPPLIER DATA BASE'!$A$2:$H$936,5,0),""))</f>
        <v>-</v>
      </c>
      <c r="F1122" s="72" t="s">
        <v>3275</v>
      </c>
      <c r="G1122" s="73"/>
      <c r="H1122" s="74"/>
      <c r="I1122" s="75"/>
      <c r="J1122" s="76" t="s">
        <v>3276</v>
      </c>
      <c r="K1122" s="76" t="s">
        <v>3277</v>
      </c>
      <c r="L1122" s="73"/>
      <c r="M1122" s="70" t="str">
        <f t="shared" si="3"/>
        <v/>
      </c>
      <c r="N1122" s="70" t="str">
        <f>IF($A$3=" "," ", IFERROR( VLOOKUP($A1122,'SUPPLIER DATA BASE'!$A$2:$O$936,11,0),""))</f>
        <v>-</v>
      </c>
      <c r="O1122" s="70" t="str">
        <f>IF($A$3=" "," ", IFERROR( VLOOKUP($A1122,'SUPPLIER DATA BASE'!$A$2:$O$936,12,0),""))</f>
        <v>-</v>
      </c>
      <c r="P1122" s="70" t="str">
        <f>IF($A$3=" "," ", IFERROR( VLOOKUP($A1122,'SUPPLIER DATA BASE'!$A$2:$O$936,13,0),""))</f>
        <v>-</v>
      </c>
      <c r="Q1122" s="77"/>
      <c r="R1122" s="73"/>
      <c r="S1122" s="77"/>
      <c r="T1122" s="70"/>
      <c r="U1122" s="78"/>
      <c r="V1122" s="70" t="str">
        <f t="shared" si="6"/>
        <v/>
      </c>
      <c r="W1122" s="23"/>
      <c r="X1122" s="23"/>
    </row>
    <row r="1123">
      <c r="A1123" s="70" t="s">
        <v>354</v>
      </c>
      <c r="B1123" s="70" t="str">
        <f>IF($A$3=" "," ", IFERROR( VLOOKUP($A1123,'SUPPLIER DATA BASE'!$A$2:$M$936,3,0),""))</f>
        <v>-</v>
      </c>
      <c r="C1123" s="70" t="str">
        <f>IF($A$3=" "," ", IFERROR( VLOOKUP($A1123,'SUPPLIER DATA BASE'!$A$2:$F$936,6,0),""))</f>
        <v>-</v>
      </c>
      <c r="D1123" s="70" t="str">
        <f>IF($A$3=" "," ", IFERROR( VLOOKUP($A1123,'SUPPLIER DATA BASE'!$A$2:$G$936,4,0),""))</f>
        <v>-</v>
      </c>
      <c r="E1123" s="71" t="str">
        <f>IF($A$3=" "," ", IFERROR( VLOOKUP($A1123,'SUPPLIER DATA BASE'!$A$2:$H$936,5,0),""))</f>
        <v>-</v>
      </c>
      <c r="F1123" s="72" t="s">
        <v>3278</v>
      </c>
      <c r="G1123" s="73"/>
      <c r="H1123" s="74"/>
      <c r="I1123" s="75"/>
      <c r="J1123" s="76" t="s">
        <v>3279</v>
      </c>
      <c r="K1123" s="76" t="s">
        <v>3280</v>
      </c>
      <c r="L1123" s="73"/>
      <c r="M1123" s="70" t="str">
        <f t="shared" si="3"/>
        <v/>
      </c>
      <c r="N1123" s="70" t="str">
        <f>IF($A$3=" "," ", IFERROR( VLOOKUP($A1123,'SUPPLIER DATA BASE'!$A$2:$O$936,11,0),""))</f>
        <v>-</v>
      </c>
      <c r="O1123" s="70" t="str">
        <f>IF($A$3=" "," ", IFERROR( VLOOKUP($A1123,'SUPPLIER DATA BASE'!$A$2:$O$936,12,0),""))</f>
        <v>-</v>
      </c>
      <c r="P1123" s="70" t="str">
        <f>IF($A$3=" "," ", IFERROR( VLOOKUP($A1123,'SUPPLIER DATA BASE'!$A$2:$O$936,13,0),""))</f>
        <v>-</v>
      </c>
      <c r="Q1123" s="77"/>
      <c r="R1123" s="73"/>
      <c r="S1123" s="77"/>
      <c r="T1123" s="70"/>
      <c r="U1123" s="78"/>
      <c r="V1123" s="70" t="str">
        <f t="shared" si="6"/>
        <v/>
      </c>
      <c r="W1123" s="23"/>
      <c r="X1123" s="23"/>
    </row>
    <row r="1124">
      <c r="A1124" s="70" t="s">
        <v>354</v>
      </c>
      <c r="B1124" s="70" t="str">
        <f>IF($A$3=" "," ", IFERROR( VLOOKUP($A1124,'SUPPLIER DATA BASE'!$A$2:$M$936,3,0),""))</f>
        <v>-</v>
      </c>
      <c r="C1124" s="70" t="str">
        <f>IF($A$3=" "," ", IFERROR( VLOOKUP($A1124,'SUPPLIER DATA BASE'!$A$2:$F$936,6,0),""))</f>
        <v>-</v>
      </c>
      <c r="D1124" s="70" t="str">
        <f>IF($A$3=" "," ", IFERROR( VLOOKUP($A1124,'SUPPLIER DATA BASE'!$A$2:$G$936,4,0),""))</f>
        <v>-</v>
      </c>
      <c r="E1124" s="71" t="str">
        <f>IF($A$3=" "," ", IFERROR( VLOOKUP($A1124,'SUPPLIER DATA BASE'!$A$2:$H$936,5,0),""))</f>
        <v>-</v>
      </c>
      <c r="F1124" s="72" t="s">
        <v>3281</v>
      </c>
      <c r="G1124" s="73"/>
      <c r="H1124" s="74"/>
      <c r="I1124" s="75"/>
      <c r="J1124" s="76" t="s">
        <v>3282</v>
      </c>
      <c r="K1124" s="76" t="s">
        <v>3283</v>
      </c>
      <c r="L1124" s="73"/>
      <c r="M1124" s="70" t="str">
        <f t="shared" si="3"/>
        <v/>
      </c>
      <c r="N1124" s="70" t="str">
        <f>IF($A$3=" "," ", IFERROR( VLOOKUP($A1124,'SUPPLIER DATA BASE'!$A$2:$O$936,11,0),""))</f>
        <v>-</v>
      </c>
      <c r="O1124" s="70" t="str">
        <f>IF($A$3=" "," ", IFERROR( VLOOKUP($A1124,'SUPPLIER DATA BASE'!$A$2:$O$936,12,0),""))</f>
        <v>-</v>
      </c>
      <c r="P1124" s="70" t="str">
        <f>IF($A$3=" "," ", IFERROR( VLOOKUP($A1124,'SUPPLIER DATA BASE'!$A$2:$O$936,13,0),""))</f>
        <v>-</v>
      </c>
      <c r="Q1124" s="77"/>
      <c r="R1124" s="73"/>
      <c r="S1124" s="77"/>
      <c r="T1124" s="70"/>
      <c r="U1124" s="78"/>
      <c r="V1124" s="70" t="str">
        <f t="shared" si="6"/>
        <v/>
      </c>
      <c r="W1124" s="23"/>
      <c r="X1124" s="23"/>
    </row>
    <row r="1125">
      <c r="A1125" s="70" t="s">
        <v>354</v>
      </c>
      <c r="B1125" s="70" t="str">
        <f>IF($A$3=" "," ", IFERROR( VLOOKUP($A1125,'SUPPLIER DATA BASE'!$A$2:$M$936,3,0),""))</f>
        <v>-</v>
      </c>
      <c r="C1125" s="70" t="str">
        <f>IF($A$3=" "," ", IFERROR( VLOOKUP($A1125,'SUPPLIER DATA BASE'!$A$2:$F$936,6,0),""))</f>
        <v>-</v>
      </c>
      <c r="D1125" s="70" t="str">
        <f>IF($A$3=" "," ", IFERROR( VLOOKUP($A1125,'SUPPLIER DATA BASE'!$A$2:$G$936,4,0),""))</f>
        <v>-</v>
      </c>
      <c r="E1125" s="71" t="str">
        <f>IF($A$3=" "," ", IFERROR( VLOOKUP($A1125,'SUPPLIER DATA BASE'!$A$2:$H$936,5,0),""))</f>
        <v>-</v>
      </c>
      <c r="F1125" s="72" t="s">
        <v>3284</v>
      </c>
      <c r="G1125" s="73"/>
      <c r="H1125" s="74"/>
      <c r="I1125" s="75"/>
      <c r="J1125" s="76" t="s">
        <v>3285</v>
      </c>
      <c r="K1125" s="76" t="s">
        <v>3286</v>
      </c>
      <c r="L1125" s="73"/>
      <c r="M1125" s="70" t="str">
        <f t="shared" si="3"/>
        <v/>
      </c>
      <c r="N1125" s="70" t="str">
        <f>IF($A$3=" "," ", IFERROR( VLOOKUP($A1125,'SUPPLIER DATA BASE'!$A$2:$O$936,11,0),""))</f>
        <v>-</v>
      </c>
      <c r="O1125" s="70" t="str">
        <f>IF($A$3=" "," ", IFERROR( VLOOKUP($A1125,'SUPPLIER DATA BASE'!$A$2:$O$936,12,0),""))</f>
        <v>-</v>
      </c>
      <c r="P1125" s="70" t="str">
        <f>IF($A$3=" "," ", IFERROR( VLOOKUP($A1125,'SUPPLIER DATA BASE'!$A$2:$O$936,13,0),""))</f>
        <v>-</v>
      </c>
      <c r="Q1125" s="77"/>
      <c r="R1125" s="73"/>
      <c r="S1125" s="77"/>
      <c r="T1125" s="70"/>
      <c r="U1125" s="78"/>
      <c r="V1125" s="70" t="str">
        <f t="shared" si="6"/>
        <v/>
      </c>
      <c r="W1125" s="23"/>
      <c r="X1125" s="23"/>
    </row>
    <row r="1126">
      <c r="A1126" s="70" t="s">
        <v>354</v>
      </c>
      <c r="B1126" s="70" t="str">
        <f>IF($A$3=" "," ", IFERROR( VLOOKUP($A1126,'SUPPLIER DATA BASE'!$A$2:$M$936,3,0),""))</f>
        <v>-</v>
      </c>
      <c r="C1126" s="70" t="str">
        <f>IF($A$3=" "," ", IFERROR( VLOOKUP($A1126,'SUPPLIER DATA BASE'!$A$2:$F$936,6,0),""))</f>
        <v>-</v>
      </c>
      <c r="D1126" s="70" t="str">
        <f>IF($A$3=" "," ", IFERROR( VLOOKUP($A1126,'SUPPLIER DATA BASE'!$A$2:$G$936,4,0),""))</f>
        <v>-</v>
      </c>
      <c r="E1126" s="71" t="str">
        <f>IF($A$3=" "," ", IFERROR( VLOOKUP($A1126,'SUPPLIER DATA BASE'!$A$2:$H$936,5,0),""))</f>
        <v>-</v>
      </c>
      <c r="F1126" s="72" t="s">
        <v>3287</v>
      </c>
      <c r="G1126" s="73"/>
      <c r="H1126" s="74"/>
      <c r="I1126" s="75"/>
      <c r="J1126" s="76" t="s">
        <v>3288</v>
      </c>
      <c r="K1126" s="76" t="s">
        <v>3289</v>
      </c>
      <c r="L1126" s="73"/>
      <c r="M1126" s="70" t="str">
        <f t="shared" si="3"/>
        <v/>
      </c>
      <c r="N1126" s="70" t="str">
        <f>IF($A$3=" "," ", IFERROR( VLOOKUP($A1126,'SUPPLIER DATA BASE'!$A$2:$O$936,11,0),""))</f>
        <v>-</v>
      </c>
      <c r="O1126" s="70" t="str">
        <f>IF($A$3=" "," ", IFERROR( VLOOKUP($A1126,'SUPPLIER DATA BASE'!$A$2:$O$936,12,0),""))</f>
        <v>-</v>
      </c>
      <c r="P1126" s="70" t="str">
        <f>IF($A$3=" "," ", IFERROR( VLOOKUP($A1126,'SUPPLIER DATA BASE'!$A$2:$O$936,13,0),""))</f>
        <v>-</v>
      </c>
      <c r="Q1126" s="77"/>
      <c r="R1126" s="73"/>
      <c r="S1126" s="77"/>
      <c r="T1126" s="70"/>
      <c r="U1126" s="78"/>
      <c r="V1126" s="70" t="str">
        <f t="shared" si="6"/>
        <v/>
      </c>
      <c r="W1126" s="23"/>
      <c r="X1126" s="23"/>
    </row>
    <row r="1127">
      <c r="A1127" s="70" t="s">
        <v>354</v>
      </c>
      <c r="B1127" s="70" t="str">
        <f>IF($A$3=" "," ", IFERROR( VLOOKUP($A1127,'SUPPLIER DATA BASE'!$A$2:$M$936,3,0),""))</f>
        <v>-</v>
      </c>
      <c r="C1127" s="70" t="str">
        <f>IF($A$3=" "," ", IFERROR( VLOOKUP($A1127,'SUPPLIER DATA BASE'!$A$2:$F$936,6,0),""))</f>
        <v>-</v>
      </c>
      <c r="D1127" s="70" t="str">
        <f>IF($A$3=" "," ", IFERROR( VLOOKUP($A1127,'SUPPLIER DATA BASE'!$A$2:$G$936,4,0),""))</f>
        <v>-</v>
      </c>
      <c r="E1127" s="71" t="str">
        <f>IF($A$3=" "," ", IFERROR( VLOOKUP($A1127,'SUPPLIER DATA BASE'!$A$2:$H$936,5,0),""))</f>
        <v>-</v>
      </c>
      <c r="F1127" s="72" t="s">
        <v>3290</v>
      </c>
      <c r="G1127" s="73"/>
      <c r="H1127" s="74"/>
      <c r="I1127" s="75"/>
      <c r="J1127" s="76" t="s">
        <v>3291</v>
      </c>
      <c r="K1127" s="76" t="s">
        <v>3292</v>
      </c>
      <c r="L1127" s="73"/>
      <c r="M1127" s="70" t="str">
        <f t="shared" si="3"/>
        <v/>
      </c>
      <c r="N1127" s="70" t="str">
        <f>IF($A$3=" "," ", IFERROR( VLOOKUP($A1127,'SUPPLIER DATA BASE'!$A$2:$O$936,11,0),""))</f>
        <v>-</v>
      </c>
      <c r="O1127" s="70" t="str">
        <f>IF($A$3=" "," ", IFERROR( VLOOKUP($A1127,'SUPPLIER DATA BASE'!$A$2:$O$936,12,0),""))</f>
        <v>-</v>
      </c>
      <c r="P1127" s="70" t="str">
        <f>IF($A$3=" "," ", IFERROR( VLOOKUP($A1127,'SUPPLIER DATA BASE'!$A$2:$O$936,13,0),""))</f>
        <v>-</v>
      </c>
      <c r="Q1127" s="77"/>
      <c r="R1127" s="73"/>
      <c r="S1127" s="77"/>
      <c r="T1127" s="70"/>
      <c r="U1127" s="78"/>
      <c r="V1127" s="70" t="str">
        <f t="shared" si="6"/>
        <v/>
      </c>
      <c r="W1127" s="23"/>
      <c r="X1127" s="23"/>
    </row>
    <row r="1128">
      <c r="A1128" s="70" t="s">
        <v>354</v>
      </c>
      <c r="B1128" s="70" t="str">
        <f>IF($A$3=" "," ", IFERROR( VLOOKUP($A1128,'SUPPLIER DATA BASE'!$A$2:$M$936,3,0),""))</f>
        <v>-</v>
      </c>
      <c r="C1128" s="70" t="str">
        <f>IF($A$3=" "," ", IFERROR( VLOOKUP($A1128,'SUPPLIER DATA BASE'!$A$2:$F$936,6,0),""))</f>
        <v>-</v>
      </c>
      <c r="D1128" s="70" t="str">
        <f>IF($A$3=" "," ", IFERROR( VLOOKUP($A1128,'SUPPLIER DATA BASE'!$A$2:$G$936,4,0),""))</f>
        <v>-</v>
      </c>
      <c r="E1128" s="71" t="str">
        <f>IF($A$3=" "," ", IFERROR( VLOOKUP($A1128,'SUPPLIER DATA BASE'!$A$2:$H$936,5,0),""))</f>
        <v>-</v>
      </c>
      <c r="F1128" s="72" t="s">
        <v>3293</v>
      </c>
      <c r="G1128" s="73"/>
      <c r="H1128" s="74"/>
      <c r="I1128" s="75"/>
      <c r="J1128" s="76" t="s">
        <v>3294</v>
      </c>
      <c r="K1128" s="76" t="s">
        <v>3295</v>
      </c>
      <c r="L1128" s="73"/>
      <c r="M1128" s="70" t="str">
        <f t="shared" si="3"/>
        <v/>
      </c>
      <c r="N1128" s="70" t="str">
        <f>IF($A$3=" "," ", IFERROR( VLOOKUP($A1128,'SUPPLIER DATA BASE'!$A$2:$O$936,11,0),""))</f>
        <v>-</v>
      </c>
      <c r="O1128" s="70" t="str">
        <f>IF($A$3=" "," ", IFERROR( VLOOKUP($A1128,'SUPPLIER DATA BASE'!$A$2:$O$936,12,0),""))</f>
        <v>-</v>
      </c>
      <c r="P1128" s="70" t="str">
        <f>IF($A$3=" "," ", IFERROR( VLOOKUP($A1128,'SUPPLIER DATA BASE'!$A$2:$O$936,13,0),""))</f>
        <v>-</v>
      </c>
      <c r="Q1128" s="77"/>
      <c r="R1128" s="73"/>
      <c r="S1128" s="77"/>
      <c r="T1128" s="70"/>
      <c r="U1128" s="78"/>
      <c r="V1128" s="70" t="str">
        <f t="shared" si="6"/>
        <v/>
      </c>
      <c r="W1128" s="23"/>
      <c r="X1128" s="23"/>
    </row>
    <row r="1129">
      <c r="A1129" s="70" t="s">
        <v>354</v>
      </c>
      <c r="B1129" s="70" t="str">
        <f>IF($A$3=" "," ", IFERROR( VLOOKUP($A1129,'SUPPLIER DATA BASE'!$A$2:$M$936,3,0),""))</f>
        <v>-</v>
      </c>
      <c r="C1129" s="70" t="str">
        <f>IF($A$3=" "," ", IFERROR( VLOOKUP($A1129,'SUPPLIER DATA BASE'!$A$2:$F$936,6,0),""))</f>
        <v>-</v>
      </c>
      <c r="D1129" s="70" t="str">
        <f>IF($A$3=" "," ", IFERROR( VLOOKUP($A1129,'SUPPLIER DATA BASE'!$A$2:$G$936,4,0),""))</f>
        <v>-</v>
      </c>
      <c r="E1129" s="71" t="str">
        <f>IF($A$3=" "," ", IFERROR( VLOOKUP($A1129,'SUPPLIER DATA BASE'!$A$2:$H$936,5,0),""))</f>
        <v>-</v>
      </c>
      <c r="F1129" s="72" t="s">
        <v>3296</v>
      </c>
      <c r="G1129" s="73"/>
      <c r="H1129" s="74"/>
      <c r="I1129" s="75"/>
      <c r="J1129" s="76" t="s">
        <v>3297</v>
      </c>
      <c r="K1129" s="76" t="s">
        <v>3298</v>
      </c>
      <c r="L1129" s="73"/>
      <c r="M1129" s="70" t="str">
        <f t="shared" si="3"/>
        <v/>
      </c>
      <c r="N1129" s="70" t="str">
        <f>IF($A$3=" "," ", IFERROR( VLOOKUP($A1129,'SUPPLIER DATA BASE'!$A$2:$O$936,11,0),""))</f>
        <v>-</v>
      </c>
      <c r="O1129" s="70" t="str">
        <f>IF($A$3=" "," ", IFERROR( VLOOKUP($A1129,'SUPPLIER DATA BASE'!$A$2:$O$936,12,0),""))</f>
        <v>-</v>
      </c>
      <c r="P1129" s="70" t="str">
        <f>IF($A$3=" "," ", IFERROR( VLOOKUP($A1129,'SUPPLIER DATA BASE'!$A$2:$O$936,13,0),""))</f>
        <v>-</v>
      </c>
      <c r="Q1129" s="77"/>
      <c r="R1129" s="73"/>
      <c r="S1129" s="77"/>
      <c r="T1129" s="70"/>
      <c r="U1129" s="78"/>
      <c r="V1129" s="70" t="str">
        <f t="shared" si="6"/>
        <v/>
      </c>
      <c r="W1129" s="23"/>
      <c r="X1129" s="23"/>
    </row>
    <row r="1130">
      <c r="A1130" s="70" t="s">
        <v>354</v>
      </c>
      <c r="B1130" s="70" t="str">
        <f>IF($A$3=" "," ", IFERROR( VLOOKUP($A1130,'SUPPLIER DATA BASE'!$A$2:$M$936,3,0),""))</f>
        <v>-</v>
      </c>
      <c r="C1130" s="70" t="str">
        <f>IF($A$3=" "," ", IFERROR( VLOOKUP($A1130,'SUPPLIER DATA BASE'!$A$2:$F$936,6,0),""))</f>
        <v>-</v>
      </c>
      <c r="D1130" s="70" t="str">
        <f>IF($A$3=" "," ", IFERROR( VLOOKUP($A1130,'SUPPLIER DATA BASE'!$A$2:$G$936,4,0),""))</f>
        <v>-</v>
      </c>
      <c r="E1130" s="71" t="str">
        <f>IF($A$3=" "," ", IFERROR( VLOOKUP($A1130,'SUPPLIER DATA BASE'!$A$2:$H$936,5,0),""))</f>
        <v>-</v>
      </c>
      <c r="F1130" s="72" t="s">
        <v>3299</v>
      </c>
      <c r="G1130" s="73"/>
      <c r="H1130" s="74"/>
      <c r="I1130" s="75"/>
      <c r="J1130" s="76" t="s">
        <v>3300</v>
      </c>
      <c r="K1130" s="76" t="s">
        <v>3301</v>
      </c>
      <c r="L1130" s="73"/>
      <c r="M1130" s="70" t="str">
        <f t="shared" si="3"/>
        <v/>
      </c>
      <c r="N1130" s="70" t="str">
        <f>IF($A$3=" "," ", IFERROR( VLOOKUP($A1130,'SUPPLIER DATA BASE'!$A$2:$O$936,11,0),""))</f>
        <v>-</v>
      </c>
      <c r="O1130" s="70" t="str">
        <f>IF($A$3=" "," ", IFERROR( VLOOKUP($A1130,'SUPPLIER DATA BASE'!$A$2:$O$936,12,0),""))</f>
        <v>-</v>
      </c>
      <c r="P1130" s="70" t="str">
        <f>IF($A$3=" "," ", IFERROR( VLOOKUP($A1130,'SUPPLIER DATA BASE'!$A$2:$O$936,13,0),""))</f>
        <v>-</v>
      </c>
      <c r="Q1130" s="77"/>
      <c r="R1130" s="73"/>
      <c r="S1130" s="77"/>
      <c r="T1130" s="70"/>
      <c r="U1130" s="78"/>
      <c r="V1130" s="70" t="str">
        <f t="shared" si="6"/>
        <v/>
      </c>
      <c r="W1130" s="23"/>
      <c r="X1130" s="23"/>
    </row>
    <row r="1131">
      <c r="A1131" s="70" t="s">
        <v>354</v>
      </c>
      <c r="B1131" s="70" t="str">
        <f>IF($A$3=" "," ", IFERROR( VLOOKUP($A1131,'SUPPLIER DATA BASE'!$A$2:$M$936,3,0),""))</f>
        <v>-</v>
      </c>
      <c r="C1131" s="70" t="str">
        <f>IF($A$3=" "," ", IFERROR( VLOOKUP($A1131,'SUPPLIER DATA BASE'!$A$2:$F$936,6,0),""))</f>
        <v>-</v>
      </c>
      <c r="D1131" s="70" t="str">
        <f>IF($A$3=" "," ", IFERROR( VLOOKUP($A1131,'SUPPLIER DATA BASE'!$A$2:$G$936,4,0),""))</f>
        <v>-</v>
      </c>
      <c r="E1131" s="71" t="str">
        <f>IF($A$3=" "," ", IFERROR( VLOOKUP($A1131,'SUPPLIER DATA BASE'!$A$2:$H$936,5,0),""))</f>
        <v>-</v>
      </c>
      <c r="F1131" s="72" t="s">
        <v>3302</v>
      </c>
      <c r="G1131" s="73"/>
      <c r="H1131" s="74"/>
      <c r="I1131" s="75"/>
      <c r="J1131" s="76" t="s">
        <v>3303</v>
      </c>
      <c r="K1131" s="76" t="s">
        <v>3304</v>
      </c>
      <c r="L1131" s="73"/>
      <c r="M1131" s="70" t="str">
        <f t="shared" si="3"/>
        <v/>
      </c>
      <c r="N1131" s="70" t="str">
        <f>IF($A$3=" "," ", IFERROR( VLOOKUP($A1131,'SUPPLIER DATA BASE'!$A$2:$O$936,11,0),""))</f>
        <v>-</v>
      </c>
      <c r="O1131" s="70" t="str">
        <f>IF($A$3=" "," ", IFERROR( VLOOKUP($A1131,'SUPPLIER DATA BASE'!$A$2:$O$936,12,0),""))</f>
        <v>-</v>
      </c>
      <c r="P1131" s="70" t="str">
        <f>IF($A$3=" "," ", IFERROR( VLOOKUP($A1131,'SUPPLIER DATA BASE'!$A$2:$O$936,13,0),""))</f>
        <v>-</v>
      </c>
      <c r="Q1131" s="77"/>
      <c r="R1131" s="73"/>
      <c r="S1131" s="77"/>
      <c r="T1131" s="70"/>
      <c r="U1131" s="78"/>
      <c r="V1131" s="70" t="str">
        <f t="shared" si="6"/>
        <v/>
      </c>
      <c r="W1131" s="23"/>
      <c r="X1131" s="23"/>
    </row>
    <row r="1132">
      <c r="A1132" s="70" t="s">
        <v>354</v>
      </c>
      <c r="B1132" s="70" t="str">
        <f>IF($A$3=" "," ", IFERROR( VLOOKUP($A1132,'SUPPLIER DATA BASE'!$A$2:$M$936,3,0),""))</f>
        <v>-</v>
      </c>
      <c r="C1132" s="70" t="str">
        <f>IF($A$3=" "," ", IFERROR( VLOOKUP($A1132,'SUPPLIER DATA BASE'!$A$2:$F$936,6,0),""))</f>
        <v>-</v>
      </c>
      <c r="D1132" s="70" t="str">
        <f>IF($A$3=" "," ", IFERROR( VLOOKUP($A1132,'SUPPLIER DATA BASE'!$A$2:$G$936,4,0),""))</f>
        <v>-</v>
      </c>
      <c r="E1132" s="71" t="str">
        <f>IF($A$3=" "," ", IFERROR( VLOOKUP($A1132,'SUPPLIER DATA BASE'!$A$2:$H$936,5,0),""))</f>
        <v>-</v>
      </c>
      <c r="F1132" s="72" t="s">
        <v>3305</v>
      </c>
      <c r="G1132" s="73"/>
      <c r="H1132" s="74"/>
      <c r="I1132" s="75"/>
      <c r="J1132" s="76" t="s">
        <v>3306</v>
      </c>
      <c r="K1132" s="76" t="s">
        <v>3307</v>
      </c>
      <c r="L1132" s="73"/>
      <c r="M1132" s="70" t="str">
        <f t="shared" si="3"/>
        <v/>
      </c>
      <c r="N1132" s="70" t="str">
        <f>IF($A$3=" "," ", IFERROR( VLOOKUP($A1132,'SUPPLIER DATA BASE'!$A$2:$O$936,11,0),""))</f>
        <v>-</v>
      </c>
      <c r="O1132" s="70" t="str">
        <f>IF($A$3=" "," ", IFERROR( VLOOKUP($A1132,'SUPPLIER DATA BASE'!$A$2:$O$936,12,0),""))</f>
        <v>-</v>
      </c>
      <c r="P1132" s="70" t="str">
        <f>IF($A$3=" "," ", IFERROR( VLOOKUP($A1132,'SUPPLIER DATA BASE'!$A$2:$O$936,13,0),""))</f>
        <v>-</v>
      </c>
      <c r="Q1132" s="77"/>
      <c r="R1132" s="73"/>
      <c r="S1132" s="77"/>
      <c r="T1132" s="70"/>
      <c r="U1132" s="78"/>
      <c r="V1132" s="70" t="str">
        <f t="shared" si="6"/>
        <v/>
      </c>
      <c r="W1132" s="23"/>
      <c r="X1132" s="23"/>
    </row>
    <row r="1133">
      <c r="A1133" s="70" t="s">
        <v>354</v>
      </c>
      <c r="B1133" s="70" t="str">
        <f>IF($A$3=" "," ", IFERROR( VLOOKUP($A1133,'SUPPLIER DATA BASE'!$A$2:$M$936,3,0),""))</f>
        <v>-</v>
      </c>
      <c r="C1133" s="70" t="str">
        <f>IF($A$3=" "," ", IFERROR( VLOOKUP($A1133,'SUPPLIER DATA BASE'!$A$2:$F$936,6,0),""))</f>
        <v>-</v>
      </c>
      <c r="D1133" s="70" t="str">
        <f>IF($A$3=" "," ", IFERROR( VLOOKUP($A1133,'SUPPLIER DATA BASE'!$A$2:$G$936,4,0),""))</f>
        <v>-</v>
      </c>
      <c r="E1133" s="71" t="str">
        <f>IF($A$3=" "," ", IFERROR( VLOOKUP($A1133,'SUPPLIER DATA BASE'!$A$2:$H$936,5,0),""))</f>
        <v>-</v>
      </c>
      <c r="F1133" s="72" t="s">
        <v>3308</v>
      </c>
      <c r="G1133" s="73"/>
      <c r="H1133" s="74"/>
      <c r="I1133" s="75"/>
      <c r="J1133" s="76" t="s">
        <v>3309</v>
      </c>
      <c r="K1133" s="76" t="s">
        <v>3310</v>
      </c>
      <c r="L1133" s="73"/>
      <c r="M1133" s="70" t="str">
        <f t="shared" si="3"/>
        <v/>
      </c>
      <c r="N1133" s="70" t="str">
        <f>IF($A$3=" "," ", IFERROR( VLOOKUP($A1133,'SUPPLIER DATA BASE'!$A$2:$O$936,11,0),""))</f>
        <v>-</v>
      </c>
      <c r="O1133" s="70" t="str">
        <f>IF($A$3=" "," ", IFERROR( VLOOKUP($A1133,'SUPPLIER DATA BASE'!$A$2:$O$936,12,0),""))</f>
        <v>-</v>
      </c>
      <c r="P1133" s="70" t="str">
        <f>IF($A$3=" "," ", IFERROR( VLOOKUP($A1133,'SUPPLIER DATA BASE'!$A$2:$O$936,13,0),""))</f>
        <v>-</v>
      </c>
      <c r="Q1133" s="77"/>
      <c r="R1133" s="73"/>
      <c r="S1133" s="77"/>
      <c r="T1133" s="70"/>
      <c r="U1133" s="78"/>
      <c r="V1133" s="70" t="str">
        <f t="shared" si="6"/>
        <v/>
      </c>
      <c r="W1133" s="23"/>
      <c r="X1133" s="23"/>
    </row>
    <row r="1134">
      <c r="A1134" s="70" t="s">
        <v>354</v>
      </c>
      <c r="B1134" s="70" t="str">
        <f>IF($A$3=" "," ", IFERROR( VLOOKUP($A1134,'SUPPLIER DATA BASE'!$A$2:$M$936,3,0),""))</f>
        <v>-</v>
      </c>
      <c r="C1134" s="70" t="str">
        <f>IF($A$3=" "," ", IFERROR( VLOOKUP($A1134,'SUPPLIER DATA BASE'!$A$2:$F$936,6,0),""))</f>
        <v>-</v>
      </c>
      <c r="D1134" s="70" t="str">
        <f>IF($A$3=" "," ", IFERROR( VLOOKUP($A1134,'SUPPLIER DATA BASE'!$A$2:$G$936,4,0),""))</f>
        <v>-</v>
      </c>
      <c r="E1134" s="71" t="str">
        <f>IF($A$3=" "," ", IFERROR( VLOOKUP($A1134,'SUPPLIER DATA BASE'!$A$2:$H$936,5,0),""))</f>
        <v>-</v>
      </c>
      <c r="F1134" s="72" t="s">
        <v>3311</v>
      </c>
      <c r="G1134" s="73"/>
      <c r="H1134" s="74"/>
      <c r="I1134" s="75"/>
      <c r="J1134" s="76" t="s">
        <v>3312</v>
      </c>
      <c r="K1134" s="76" t="s">
        <v>3313</v>
      </c>
      <c r="L1134" s="73"/>
      <c r="M1134" s="70" t="str">
        <f t="shared" si="3"/>
        <v/>
      </c>
      <c r="N1134" s="70" t="str">
        <f>IF($A$3=" "," ", IFERROR( VLOOKUP($A1134,'SUPPLIER DATA BASE'!$A$2:$O$936,11,0),""))</f>
        <v>-</v>
      </c>
      <c r="O1134" s="70" t="str">
        <f>IF($A$3=" "," ", IFERROR( VLOOKUP($A1134,'SUPPLIER DATA BASE'!$A$2:$O$936,12,0),""))</f>
        <v>-</v>
      </c>
      <c r="P1134" s="70" t="str">
        <f>IF($A$3=" "," ", IFERROR( VLOOKUP($A1134,'SUPPLIER DATA BASE'!$A$2:$O$936,13,0),""))</f>
        <v>-</v>
      </c>
      <c r="Q1134" s="77"/>
      <c r="R1134" s="73"/>
      <c r="S1134" s="77"/>
      <c r="T1134" s="70"/>
      <c r="U1134" s="78"/>
      <c r="V1134" s="70" t="str">
        <f t="shared" si="6"/>
        <v/>
      </c>
      <c r="W1134" s="23"/>
      <c r="X1134" s="23"/>
    </row>
    <row r="1135">
      <c r="A1135" s="70" t="s">
        <v>354</v>
      </c>
      <c r="B1135" s="70" t="str">
        <f>IF($A$3=" "," ", IFERROR( VLOOKUP($A1135,'SUPPLIER DATA BASE'!$A$2:$M$936,3,0),""))</f>
        <v>-</v>
      </c>
      <c r="C1135" s="70" t="str">
        <f>IF($A$3=" "," ", IFERROR( VLOOKUP($A1135,'SUPPLIER DATA BASE'!$A$2:$F$936,6,0),""))</f>
        <v>-</v>
      </c>
      <c r="D1135" s="70" t="str">
        <f>IF($A$3=" "," ", IFERROR( VLOOKUP($A1135,'SUPPLIER DATA BASE'!$A$2:$G$936,4,0),""))</f>
        <v>-</v>
      </c>
      <c r="E1135" s="71" t="str">
        <f>IF($A$3=" "," ", IFERROR( VLOOKUP($A1135,'SUPPLIER DATA BASE'!$A$2:$H$936,5,0),""))</f>
        <v>-</v>
      </c>
      <c r="F1135" s="72" t="s">
        <v>3314</v>
      </c>
      <c r="G1135" s="73"/>
      <c r="H1135" s="74"/>
      <c r="I1135" s="75"/>
      <c r="J1135" s="76" t="s">
        <v>3315</v>
      </c>
      <c r="K1135" s="76" t="s">
        <v>3316</v>
      </c>
      <c r="L1135" s="73"/>
      <c r="M1135" s="70" t="str">
        <f t="shared" si="3"/>
        <v/>
      </c>
      <c r="N1135" s="70" t="str">
        <f>IF($A$3=" "," ", IFERROR( VLOOKUP($A1135,'SUPPLIER DATA BASE'!$A$2:$O$936,11,0),""))</f>
        <v>-</v>
      </c>
      <c r="O1135" s="70" t="str">
        <f>IF($A$3=" "," ", IFERROR( VLOOKUP($A1135,'SUPPLIER DATA BASE'!$A$2:$O$936,12,0),""))</f>
        <v>-</v>
      </c>
      <c r="P1135" s="70" t="str">
        <f>IF($A$3=" "," ", IFERROR( VLOOKUP($A1135,'SUPPLIER DATA BASE'!$A$2:$O$936,13,0),""))</f>
        <v>-</v>
      </c>
      <c r="Q1135" s="77"/>
      <c r="R1135" s="73"/>
      <c r="S1135" s="77"/>
      <c r="T1135" s="70"/>
      <c r="U1135" s="78"/>
      <c r="V1135" s="70" t="str">
        <f t="shared" si="6"/>
        <v/>
      </c>
      <c r="W1135" s="23"/>
      <c r="X1135" s="23"/>
    </row>
    <row r="1136">
      <c r="A1136" s="70" t="s">
        <v>354</v>
      </c>
      <c r="B1136" s="70" t="str">
        <f>IF($A$3=" "," ", IFERROR( VLOOKUP($A1136,'SUPPLIER DATA BASE'!$A$2:$M$936,3,0),""))</f>
        <v>-</v>
      </c>
      <c r="C1136" s="70" t="str">
        <f>IF($A$3=" "," ", IFERROR( VLOOKUP($A1136,'SUPPLIER DATA BASE'!$A$2:$F$936,6,0),""))</f>
        <v>-</v>
      </c>
      <c r="D1136" s="70" t="str">
        <f>IF($A$3=" "," ", IFERROR( VLOOKUP($A1136,'SUPPLIER DATA BASE'!$A$2:$G$936,4,0),""))</f>
        <v>-</v>
      </c>
      <c r="E1136" s="71" t="str">
        <f>IF($A$3=" "," ", IFERROR( VLOOKUP($A1136,'SUPPLIER DATA BASE'!$A$2:$H$936,5,0),""))</f>
        <v>-</v>
      </c>
      <c r="F1136" s="72" t="s">
        <v>3317</v>
      </c>
      <c r="G1136" s="73"/>
      <c r="H1136" s="74"/>
      <c r="I1136" s="75"/>
      <c r="J1136" s="76" t="s">
        <v>3318</v>
      </c>
      <c r="K1136" s="76" t="s">
        <v>3319</v>
      </c>
      <c r="L1136" s="73"/>
      <c r="M1136" s="70" t="str">
        <f t="shared" si="3"/>
        <v/>
      </c>
      <c r="N1136" s="70" t="str">
        <f>IF($A$3=" "," ", IFERROR( VLOOKUP($A1136,'SUPPLIER DATA BASE'!$A$2:$O$936,11,0),""))</f>
        <v>-</v>
      </c>
      <c r="O1136" s="70" t="str">
        <f>IF($A$3=" "," ", IFERROR( VLOOKUP($A1136,'SUPPLIER DATA BASE'!$A$2:$O$936,12,0),""))</f>
        <v>-</v>
      </c>
      <c r="P1136" s="70" t="str">
        <f>IF($A$3=" "," ", IFERROR( VLOOKUP($A1136,'SUPPLIER DATA BASE'!$A$2:$O$936,13,0),""))</f>
        <v>-</v>
      </c>
      <c r="Q1136" s="77"/>
      <c r="R1136" s="73"/>
      <c r="S1136" s="77"/>
      <c r="T1136" s="70"/>
      <c r="U1136" s="78"/>
      <c r="V1136" s="70" t="str">
        <f t="shared" si="6"/>
        <v/>
      </c>
      <c r="W1136" s="23"/>
      <c r="X1136" s="23"/>
    </row>
    <row r="1137">
      <c r="A1137" s="70" t="s">
        <v>354</v>
      </c>
      <c r="B1137" s="70" t="str">
        <f>IF($A$3=" "," ", IFERROR( VLOOKUP($A1137,'SUPPLIER DATA BASE'!$A$2:$M$936,3,0),""))</f>
        <v>-</v>
      </c>
      <c r="C1137" s="70" t="str">
        <f>IF($A$3=" "," ", IFERROR( VLOOKUP($A1137,'SUPPLIER DATA BASE'!$A$2:$F$936,6,0),""))</f>
        <v>-</v>
      </c>
      <c r="D1137" s="70" t="str">
        <f>IF($A$3=" "," ", IFERROR( VLOOKUP($A1137,'SUPPLIER DATA BASE'!$A$2:$G$936,4,0),""))</f>
        <v>-</v>
      </c>
      <c r="E1137" s="71" t="str">
        <f>IF($A$3=" "," ", IFERROR( VLOOKUP($A1137,'SUPPLIER DATA BASE'!$A$2:$H$936,5,0),""))</f>
        <v>-</v>
      </c>
      <c r="F1137" s="72" t="s">
        <v>3320</v>
      </c>
      <c r="G1137" s="73"/>
      <c r="H1137" s="74"/>
      <c r="I1137" s="75"/>
      <c r="J1137" s="76" t="s">
        <v>3321</v>
      </c>
      <c r="K1137" s="76" t="s">
        <v>3322</v>
      </c>
      <c r="L1137" s="73"/>
      <c r="M1137" s="70" t="str">
        <f t="shared" si="3"/>
        <v/>
      </c>
      <c r="N1137" s="70" t="str">
        <f>IF($A$3=" "," ", IFERROR( VLOOKUP($A1137,'SUPPLIER DATA BASE'!$A$2:$O$936,11,0),""))</f>
        <v>-</v>
      </c>
      <c r="O1137" s="70" t="str">
        <f>IF($A$3=" "," ", IFERROR( VLOOKUP($A1137,'SUPPLIER DATA BASE'!$A$2:$O$936,12,0),""))</f>
        <v>-</v>
      </c>
      <c r="P1137" s="70" t="str">
        <f>IF($A$3=" "," ", IFERROR( VLOOKUP($A1137,'SUPPLIER DATA BASE'!$A$2:$O$936,13,0),""))</f>
        <v>-</v>
      </c>
      <c r="Q1137" s="77"/>
      <c r="R1137" s="73"/>
      <c r="S1137" s="77"/>
      <c r="T1137" s="70"/>
      <c r="U1137" s="78"/>
      <c r="V1137" s="70" t="str">
        <f t="shared" si="6"/>
        <v/>
      </c>
      <c r="W1137" s="23"/>
      <c r="X1137" s="23"/>
    </row>
    <row r="1138">
      <c r="A1138" s="70" t="s">
        <v>354</v>
      </c>
      <c r="B1138" s="70" t="str">
        <f>IF($A$3=" "," ", IFERROR( VLOOKUP($A1138,'SUPPLIER DATA BASE'!$A$2:$M$936,3,0),""))</f>
        <v>-</v>
      </c>
      <c r="C1138" s="70" t="str">
        <f>IF($A$3=" "," ", IFERROR( VLOOKUP($A1138,'SUPPLIER DATA BASE'!$A$2:$F$936,6,0),""))</f>
        <v>-</v>
      </c>
      <c r="D1138" s="70" t="str">
        <f>IF($A$3=" "," ", IFERROR( VLOOKUP($A1138,'SUPPLIER DATA BASE'!$A$2:$G$936,4,0),""))</f>
        <v>-</v>
      </c>
      <c r="E1138" s="71" t="str">
        <f>IF($A$3=" "," ", IFERROR( VLOOKUP($A1138,'SUPPLIER DATA BASE'!$A$2:$H$936,5,0),""))</f>
        <v>-</v>
      </c>
      <c r="F1138" s="72" t="s">
        <v>3323</v>
      </c>
      <c r="G1138" s="73"/>
      <c r="H1138" s="74"/>
      <c r="I1138" s="75"/>
      <c r="J1138" s="76" t="s">
        <v>3324</v>
      </c>
      <c r="K1138" s="76" t="s">
        <v>3325</v>
      </c>
      <c r="L1138" s="73"/>
      <c r="M1138" s="70" t="str">
        <f t="shared" si="3"/>
        <v/>
      </c>
      <c r="N1138" s="70" t="str">
        <f>IF($A$3=" "," ", IFERROR( VLOOKUP($A1138,'SUPPLIER DATA BASE'!$A$2:$O$936,11,0),""))</f>
        <v>-</v>
      </c>
      <c r="O1138" s="70" t="str">
        <f>IF($A$3=" "," ", IFERROR( VLOOKUP($A1138,'SUPPLIER DATA BASE'!$A$2:$O$936,12,0),""))</f>
        <v>-</v>
      </c>
      <c r="P1138" s="70" t="str">
        <f>IF($A$3=" "," ", IFERROR( VLOOKUP($A1138,'SUPPLIER DATA BASE'!$A$2:$O$936,13,0),""))</f>
        <v>-</v>
      </c>
      <c r="Q1138" s="77"/>
      <c r="R1138" s="73"/>
      <c r="S1138" s="77"/>
      <c r="T1138" s="70"/>
      <c r="U1138" s="78"/>
      <c r="V1138" s="70" t="str">
        <f t="shared" si="6"/>
        <v/>
      </c>
      <c r="W1138" s="23"/>
      <c r="X1138" s="23"/>
    </row>
    <row r="1139">
      <c r="A1139" s="70" t="s">
        <v>354</v>
      </c>
      <c r="B1139" s="70" t="str">
        <f>IF($A$3=" "," ", IFERROR( VLOOKUP($A1139,'SUPPLIER DATA BASE'!$A$2:$M$936,3,0),""))</f>
        <v>-</v>
      </c>
      <c r="C1139" s="70" t="str">
        <f>IF($A$3=" "," ", IFERROR( VLOOKUP($A1139,'SUPPLIER DATA BASE'!$A$2:$F$936,6,0),""))</f>
        <v>-</v>
      </c>
      <c r="D1139" s="70" t="str">
        <f>IF($A$3=" "," ", IFERROR( VLOOKUP($A1139,'SUPPLIER DATA BASE'!$A$2:$G$936,4,0),""))</f>
        <v>-</v>
      </c>
      <c r="E1139" s="71" t="str">
        <f>IF($A$3=" "," ", IFERROR( VLOOKUP($A1139,'SUPPLIER DATA BASE'!$A$2:$H$936,5,0),""))</f>
        <v>-</v>
      </c>
      <c r="F1139" s="72" t="s">
        <v>3326</v>
      </c>
      <c r="G1139" s="73"/>
      <c r="H1139" s="74"/>
      <c r="I1139" s="75"/>
      <c r="J1139" s="76" t="s">
        <v>3327</v>
      </c>
      <c r="K1139" s="76" t="s">
        <v>3328</v>
      </c>
      <c r="L1139" s="73"/>
      <c r="M1139" s="70" t="str">
        <f t="shared" si="3"/>
        <v/>
      </c>
      <c r="N1139" s="70" t="str">
        <f>IF($A$3=" "," ", IFERROR( VLOOKUP($A1139,'SUPPLIER DATA BASE'!$A$2:$O$936,11,0),""))</f>
        <v>-</v>
      </c>
      <c r="O1139" s="70" t="str">
        <f>IF($A$3=" "," ", IFERROR( VLOOKUP($A1139,'SUPPLIER DATA BASE'!$A$2:$O$936,12,0),""))</f>
        <v>-</v>
      </c>
      <c r="P1139" s="70" t="str">
        <f>IF($A$3=" "," ", IFERROR( VLOOKUP($A1139,'SUPPLIER DATA BASE'!$A$2:$O$936,13,0),""))</f>
        <v>-</v>
      </c>
      <c r="Q1139" s="77"/>
      <c r="R1139" s="73"/>
      <c r="S1139" s="77"/>
      <c r="T1139" s="70"/>
      <c r="U1139" s="78"/>
      <c r="V1139" s="70" t="str">
        <f t="shared" si="6"/>
        <v/>
      </c>
      <c r="W1139" s="23"/>
      <c r="X1139" s="23"/>
    </row>
    <row r="1140">
      <c r="A1140" s="70" t="s">
        <v>354</v>
      </c>
      <c r="B1140" s="70" t="str">
        <f>IF($A$3=" "," ", IFERROR( VLOOKUP($A1140,'SUPPLIER DATA BASE'!$A$2:$M$936,3,0),""))</f>
        <v>-</v>
      </c>
      <c r="C1140" s="70" t="str">
        <f>IF($A$3=" "," ", IFERROR( VLOOKUP($A1140,'SUPPLIER DATA BASE'!$A$2:$F$936,6,0),""))</f>
        <v>-</v>
      </c>
      <c r="D1140" s="70" t="str">
        <f>IF($A$3=" "," ", IFERROR( VLOOKUP($A1140,'SUPPLIER DATA BASE'!$A$2:$G$936,4,0),""))</f>
        <v>-</v>
      </c>
      <c r="E1140" s="71" t="str">
        <f>IF($A$3=" "," ", IFERROR( VLOOKUP($A1140,'SUPPLIER DATA BASE'!$A$2:$H$936,5,0),""))</f>
        <v>-</v>
      </c>
      <c r="F1140" s="72" t="s">
        <v>3329</v>
      </c>
      <c r="G1140" s="73"/>
      <c r="H1140" s="74"/>
      <c r="I1140" s="75"/>
      <c r="J1140" s="76" t="s">
        <v>3330</v>
      </c>
      <c r="K1140" s="76" t="s">
        <v>3331</v>
      </c>
      <c r="L1140" s="73"/>
      <c r="M1140" s="70" t="str">
        <f t="shared" si="3"/>
        <v/>
      </c>
      <c r="N1140" s="70" t="str">
        <f>IF($A$3=" "," ", IFERROR( VLOOKUP($A1140,'SUPPLIER DATA BASE'!$A$2:$O$936,11,0),""))</f>
        <v>-</v>
      </c>
      <c r="O1140" s="70" t="str">
        <f>IF($A$3=" "," ", IFERROR( VLOOKUP($A1140,'SUPPLIER DATA BASE'!$A$2:$O$936,12,0),""))</f>
        <v>-</v>
      </c>
      <c r="P1140" s="70" t="str">
        <f>IF($A$3=" "," ", IFERROR( VLOOKUP($A1140,'SUPPLIER DATA BASE'!$A$2:$O$936,13,0),""))</f>
        <v>-</v>
      </c>
      <c r="Q1140" s="77"/>
      <c r="R1140" s="73"/>
      <c r="S1140" s="77"/>
      <c r="T1140" s="70"/>
      <c r="U1140" s="78"/>
      <c r="V1140" s="70" t="str">
        <f t="shared" si="6"/>
        <v/>
      </c>
      <c r="W1140" s="23"/>
      <c r="X1140" s="23"/>
    </row>
    <row r="1141">
      <c r="A1141" s="70" t="s">
        <v>354</v>
      </c>
      <c r="B1141" s="70" t="str">
        <f>IF($A$3=" "," ", IFERROR( VLOOKUP($A1141,'SUPPLIER DATA BASE'!$A$2:$M$936,3,0),""))</f>
        <v>-</v>
      </c>
      <c r="C1141" s="70" t="str">
        <f>IF($A$3=" "," ", IFERROR( VLOOKUP($A1141,'SUPPLIER DATA BASE'!$A$2:$F$936,6,0),""))</f>
        <v>-</v>
      </c>
      <c r="D1141" s="70" t="str">
        <f>IF($A$3=" "," ", IFERROR( VLOOKUP($A1141,'SUPPLIER DATA BASE'!$A$2:$G$936,4,0),""))</f>
        <v>-</v>
      </c>
      <c r="E1141" s="71" t="str">
        <f>IF($A$3=" "," ", IFERROR( VLOOKUP($A1141,'SUPPLIER DATA BASE'!$A$2:$H$936,5,0),""))</f>
        <v>-</v>
      </c>
      <c r="F1141" s="72" t="s">
        <v>3332</v>
      </c>
      <c r="G1141" s="73"/>
      <c r="H1141" s="74"/>
      <c r="I1141" s="75"/>
      <c r="J1141" s="76" t="s">
        <v>3333</v>
      </c>
      <c r="K1141" s="76" t="s">
        <v>3334</v>
      </c>
      <c r="L1141" s="73"/>
      <c r="M1141" s="70" t="str">
        <f t="shared" si="3"/>
        <v/>
      </c>
      <c r="N1141" s="70" t="str">
        <f>IF($A$3=" "," ", IFERROR( VLOOKUP($A1141,'SUPPLIER DATA BASE'!$A$2:$O$936,11,0),""))</f>
        <v>-</v>
      </c>
      <c r="O1141" s="70" t="str">
        <f>IF($A$3=" "," ", IFERROR( VLOOKUP($A1141,'SUPPLIER DATA BASE'!$A$2:$O$936,12,0),""))</f>
        <v>-</v>
      </c>
      <c r="P1141" s="70" t="str">
        <f>IF($A$3=" "," ", IFERROR( VLOOKUP($A1141,'SUPPLIER DATA BASE'!$A$2:$O$936,13,0),""))</f>
        <v>-</v>
      </c>
      <c r="Q1141" s="77"/>
      <c r="R1141" s="73"/>
      <c r="S1141" s="77"/>
      <c r="T1141" s="70"/>
      <c r="U1141" s="78"/>
      <c r="V1141" s="70" t="str">
        <f t="shared" si="6"/>
        <v/>
      </c>
      <c r="W1141" s="23"/>
      <c r="X1141" s="23"/>
    </row>
    <row r="1142">
      <c r="A1142" s="70" t="s">
        <v>354</v>
      </c>
      <c r="B1142" s="70" t="str">
        <f>IF($A$3=" "," ", IFERROR( VLOOKUP($A1142,'SUPPLIER DATA BASE'!$A$2:$M$936,3,0),""))</f>
        <v>-</v>
      </c>
      <c r="C1142" s="70" t="str">
        <f>IF($A$3=" "," ", IFERROR( VLOOKUP($A1142,'SUPPLIER DATA BASE'!$A$2:$F$936,6,0),""))</f>
        <v>-</v>
      </c>
      <c r="D1142" s="70" t="str">
        <f>IF($A$3=" "," ", IFERROR( VLOOKUP($A1142,'SUPPLIER DATA BASE'!$A$2:$G$936,4,0),""))</f>
        <v>-</v>
      </c>
      <c r="E1142" s="71" t="str">
        <f>IF($A$3=" "," ", IFERROR( VLOOKUP($A1142,'SUPPLIER DATA BASE'!$A$2:$H$936,5,0),""))</f>
        <v>-</v>
      </c>
      <c r="F1142" s="72" t="s">
        <v>3335</v>
      </c>
      <c r="G1142" s="73"/>
      <c r="H1142" s="74"/>
      <c r="I1142" s="75"/>
      <c r="J1142" s="76" t="s">
        <v>3336</v>
      </c>
      <c r="K1142" s="76" t="s">
        <v>3337</v>
      </c>
      <c r="L1142" s="73"/>
      <c r="M1142" s="70" t="str">
        <f t="shared" si="3"/>
        <v/>
      </c>
      <c r="N1142" s="70" t="str">
        <f>IF($A$3=" "," ", IFERROR( VLOOKUP($A1142,'SUPPLIER DATA BASE'!$A$2:$O$936,11,0),""))</f>
        <v>-</v>
      </c>
      <c r="O1142" s="70" t="str">
        <f>IF($A$3=" "," ", IFERROR( VLOOKUP($A1142,'SUPPLIER DATA BASE'!$A$2:$O$936,12,0),""))</f>
        <v>-</v>
      </c>
      <c r="P1142" s="70" t="str">
        <f>IF($A$3=" "," ", IFERROR( VLOOKUP($A1142,'SUPPLIER DATA BASE'!$A$2:$O$936,13,0),""))</f>
        <v>-</v>
      </c>
      <c r="Q1142" s="77"/>
      <c r="R1142" s="73"/>
      <c r="S1142" s="77"/>
      <c r="T1142" s="70"/>
      <c r="U1142" s="78"/>
      <c r="V1142" s="70" t="str">
        <f t="shared" si="6"/>
        <v/>
      </c>
      <c r="W1142" s="23"/>
      <c r="X1142" s="23"/>
    </row>
    <row r="1143">
      <c r="A1143" s="70" t="s">
        <v>354</v>
      </c>
      <c r="B1143" s="70" t="str">
        <f>IF($A$3=" "," ", IFERROR( VLOOKUP($A1143,'SUPPLIER DATA BASE'!$A$2:$M$936,3,0),""))</f>
        <v>-</v>
      </c>
      <c r="C1143" s="70" t="str">
        <f>IF($A$3=" "," ", IFERROR( VLOOKUP($A1143,'SUPPLIER DATA BASE'!$A$2:$F$936,6,0),""))</f>
        <v>-</v>
      </c>
      <c r="D1143" s="70" t="str">
        <f>IF($A$3=" "," ", IFERROR( VLOOKUP($A1143,'SUPPLIER DATA BASE'!$A$2:$G$936,4,0),""))</f>
        <v>-</v>
      </c>
      <c r="E1143" s="71" t="str">
        <f>IF($A$3=" "," ", IFERROR( VLOOKUP($A1143,'SUPPLIER DATA BASE'!$A$2:$H$936,5,0),""))</f>
        <v>-</v>
      </c>
      <c r="F1143" s="72" t="s">
        <v>3338</v>
      </c>
      <c r="G1143" s="73"/>
      <c r="H1143" s="74"/>
      <c r="I1143" s="75"/>
      <c r="J1143" s="76" t="s">
        <v>3339</v>
      </c>
      <c r="K1143" s="76" t="s">
        <v>3340</v>
      </c>
      <c r="L1143" s="73"/>
      <c r="M1143" s="70" t="str">
        <f t="shared" si="3"/>
        <v/>
      </c>
      <c r="N1143" s="70" t="str">
        <f>IF($A$3=" "," ", IFERROR( VLOOKUP($A1143,'SUPPLIER DATA BASE'!$A$2:$O$936,11,0),""))</f>
        <v>-</v>
      </c>
      <c r="O1143" s="70" t="str">
        <f>IF($A$3=" "," ", IFERROR( VLOOKUP($A1143,'SUPPLIER DATA BASE'!$A$2:$O$936,12,0),""))</f>
        <v>-</v>
      </c>
      <c r="P1143" s="70" t="str">
        <f>IF($A$3=" "," ", IFERROR( VLOOKUP($A1143,'SUPPLIER DATA BASE'!$A$2:$O$936,13,0),""))</f>
        <v>-</v>
      </c>
      <c r="Q1143" s="77"/>
      <c r="R1143" s="73"/>
      <c r="S1143" s="77"/>
      <c r="T1143" s="70"/>
      <c r="U1143" s="78"/>
      <c r="V1143" s="70" t="str">
        <f t="shared" si="6"/>
        <v/>
      </c>
      <c r="W1143" s="23"/>
      <c r="X1143" s="23"/>
    </row>
    <row r="1144">
      <c r="A1144" s="70" t="s">
        <v>354</v>
      </c>
      <c r="B1144" s="70" t="str">
        <f>IF($A$3=" "," ", IFERROR( VLOOKUP($A1144,'SUPPLIER DATA BASE'!$A$2:$M$936,3,0),""))</f>
        <v>-</v>
      </c>
      <c r="C1144" s="70" t="str">
        <f>IF($A$3=" "," ", IFERROR( VLOOKUP($A1144,'SUPPLIER DATA BASE'!$A$2:$F$936,6,0),""))</f>
        <v>-</v>
      </c>
      <c r="D1144" s="70" t="str">
        <f>IF($A$3=" "," ", IFERROR( VLOOKUP($A1144,'SUPPLIER DATA BASE'!$A$2:$G$936,4,0),""))</f>
        <v>-</v>
      </c>
      <c r="E1144" s="71" t="str">
        <f>IF($A$3=" "," ", IFERROR( VLOOKUP($A1144,'SUPPLIER DATA BASE'!$A$2:$H$936,5,0),""))</f>
        <v>-</v>
      </c>
      <c r="F1144" s="72" t="s">
        <v>3341</v>
      </c>
      <c r="G1144" s="73"/>
      <c r="H1144" s="74"/>
      <c r="I1144" s="75"/>
      <c r="J1144" s="76" t="s">
        <v>3342</v>
      </c>
      <c r="K1144" s="76" t="s">
        <v>3343</v>
      </c>
      <c r="L1144" s="73"/>
      <c r="M1144" s="70" t="str">
        <f t="shared" si="3"/>
        <v/>
      </c>
      <c r="N1144" s="70" t="str">
        <f>IF($A$3=" "," ", IFERROR( VLOOKUP($A1144,'SUPPLIER DATA BASE'!$A$2:$O$936,11,0),""))</f>
        <v>-</v>
      </c>
      <c r="O1144" s="70" t="str">
        <f>IF($A$3=" "," ", IFERROR( VLOOKUP($A1144,'SUPPLIER DATA BASE'!$A$2:$O$936,12,0),""))</f>
        <v>-</v>
      </c>
      <c r="P1144" s="70" t="str">
        <f>IF($A$3=" "," ", IFERROR( VLOOKUP($A1144,'SUPPLIER DATA BASE'!$A$2:$O$936,13,0),""))</f>
        <v>-</v>
      </c>
      <c r="Q1144" s="77"/>
      <c r="R1144" s="73"/>
      <c r="S1144" s="77"/>
      <c r="T1144" s="70"/>
      <c r="U1144" s="78"/>
      <c r="V1144" s="70" t="str">
        <f t="shared" si="6"/>
        <v/>
      </c>
      <c r="W1144" s="23"/>
      <c r="X1144" s="23"/>
    </row>
    <row r="1145">
      <c r="A1145" s="70" t="s">
        <v>354</v>
      </c>
      <c r="B1145" s="70" t="str">
        <f>IF($A$3=" "," ", IFERROR( VLOOKUP($A1145,'SUPPLIER DATA BASE'!$A$2:$M$936,3,0),""))</f>
        <v>-</v>
      </c>
      <c r="C1145" s="70" t="str">
        <f>IF($A$3=" "," ", IFERROR( VLOOKUP($A1145,'SUPPLIER DATA BASE'!$A$2:$F$936,6,0),""))</f>
        <v>-</v>
      </c>
      <c r="D1145" s="70" t="str">
        <f>IF($A$3=" "," ", IFERROR( VLOOKUP($A1145,'SUPPLIER DATA BASE'!$A$2:$G$936,4,0),""))</f>
        <v>-</v>
      </c>
      <c r="E1145" s="71" t="str">
        <f>IF($A$3=" "," ", IFERROR( VLOOKUP($A1145,'SUPPLIER DATA BASE'!$A$2:$H$936,5,0),""))</f>
        <v>-</v>
      </c>
      <c r="F1145" s="72" t="s">
        <v>3344</v>
      </c>
      <c r="G1145" s="73"/>
      <c r="H1145" s="74"/>
      <c r="I1145" s="75"/>
      <c r="J1145" s="76" t="s">
        <v>3345</v>
      </c>
      <c r="K1145" s="76" t="s">
        <v>3346</v>
      </c>
      <c r="L1145" s="73"/>
      <c r="M1145" s="70" t="str">
        <f t="shared" si="3"/>
        <v/>
      </c>
      <c r="N1145" s="70" t="str">
        <f>IF($A$3=" "," ", IFERROR( VLOOKUP($A1145,'SUPPLIER DATA BASE'!$A$2:$O$936,11,0),""))</f>
        <v>-</v>
      </c>
      <c r="O1145" s="70" t="str">
        <f>IF($A$3=" "," ", IFERROR( VLOOKUP($A1145,'SUPPLIER DATA BASE'!$A$2:$O$936,12,0),""))</f>
        <v>-</v>
      </c>
      <c r="P1145" s="70" t="str">
        <f>IF($A$3=" "," ", IFERROR( VLOOKUP($A1145,'SUPPLIER DATA BASE'!$A$2:$O$936,13,0),""))</f>
        <v>-</v>
      </c>
      <c r="Q1145" s="77"/>
      <c r="R1145" s="73"/>
      <c r="S1145" s="77"/>
      <c r="T1145" s="70"/>
      <c r="U1145" s="78"/>
      <c r="V1145" s="70" t="str">
        <f t="shared" si="6"/>
        <v/>
      </c>
      <c r="W1145" s="23"/>
      <c r="X1145" s="23"/>
    </row>
    <row r="1146">
      <c r="A1146" s="70" t="s">
        <v>354</v>
      </c>
      <c r="B1146" s="70" t="str">
        <f>IF($A$3=" "," ", IFERROR( VLOOKUP($A1146,'SUPPLIER DATA BASE'!$A$2:$M$936,3,0),""))</f>
        <v>-</v>
      </c>
      <c r="C1146" s="70" t="str">
        <f>IF($A$3=" "," ", IFERROR( VLOOKUP($A1146,'SUPPLIER DATA BASE'!$A$2:$F$936,6,0),""))</f>
        <v>-</v>
      </c>
      <c r="D1146" s="70" t="str">
        <f>IF($A$3=" "," ", IFERROR( VLOOKUP($A1146,'SUPPLIER DATA BASE'!$A$2:$G$936,4,0),""))</f>
        <v>-</v>
      </c>
      <c r="E1146" s="71" t="str">
        <f>IF($A$3=" "," ", IFERROR( VLOOKUP($A1146,'SUPPLIER DATA BASE'!$A$2:$H$936,5,0),""))</f>
        <v>-</v>
      </c>
      <c r="F1146" s="72" t="s">
        <v>3347</v>
      </c>
      <c r="G1146" s="73"/>
      <c r="H1146" s="74"/>
      <c r="I1146" s="75"/>
      <c r="J1146" s="76" t="s">
        <v>3348</v>
      </c>
      <c r="K1146" s="76" t="s">
        <v>3349</v>
      </c>
      <c r="L1146" s="73"/>
      <c r="M1146" s="70" t="str">
        <f t="shared" si="3"/>
        <v/>
      </c>
      <c r="N1146" s="70" t="str">
        <f>IF($A$3=" "," ", IFERROR( VLOOKUP($A1146,'SUPPLIER DATA BASE'!$A$2:$O$936,11,0),""))</f>
        <v>-</v>
      </c>
      <c r="O1146" s="70" t="str">
        <f>IF($A$3=" "," ", IFERROR( VLOOKUP($A1146,'SUPPLIER DATA BASE'!$A$2:$O$936,12,0),""))</f>
        <v>-</v>
      </c>
      <c r="P1146" s="70" t="str">
        <f>IF($A$3=" "," ", IFERROR( VLOOKUP($A1146,'SUPPLIER DATA BASE'!$A$2:$O$936,13,0),""))</f>
        <v>-</v>
      </c>
      <c r="Q1146" s="77"/>
      <c r="R1146" s="73"/>
      <c r="S1146" s="77"/>
      <c r="T1146" s="70"/>
      <c r="U1146" s="78"/>
      <c r="V1146" s="70" t="str">
        <f t="shared" si="6"/>
        <v/>
      </c>
      <c r="W1146" s="23"/>
      <c r="X1146" s="23"/>
    </row>
    <row r="1147">
      <c r="A1147" s="70" t="s">
        <v>354</v>
      </c>
      <c r="B1147" s="70" t="str">
        <f>IF($A$3=" "," ", IFERROR( VLOOKUP($A1147,'SUPPLIER DATA BASE'!$A$2:$M$936,3,0),""))</f>
        <v>-</v>
      </c>
      <c r="C1147" s="70" t="str">
        <f>IF($A$3=" "," ", IFERROR( VLOOKUP($A1147,'SUPPLIER DATA BASE'!$A$2:$F$936,6,0),""))</f>
        <v>-</v>
      </c>
      <c r="D1147" s="70" t="str">
        <f>IF($A$3=" "," ", IFERROR( VLOOKUP($A1147,'SUPPLIER DATA BASE'!$A$2:$G$936,4,0),""))</f>
        <v>-</v>
      </c>
      <c r="E1147" s="71" t="str">
        <f>IF($A$3=" "," ", IFERROR( VLOOKUP($A1147,'SUPPLIER DATA BASE'!$A$2:$H$936,5,0),""))</f>
        <v>-</v>
      </c>
      <c r="F1147" s="72" t="s">
        <v>3350</v>
      </c>
      <c r="G1147" s="73"/>
      <c r="H1147" s="74"/>
      <c r="I1147" s="75"/>
      <c r="J1147" s="76" t="s">
        <v>3351</v>
      </c>
      <c r="K1147" s="76" t="s">
        <v>3352</v>
      </c>
      <c r="L1147" s="73"/>
      <c r="M1147" s="70" t="str">
        <f t="shared" si="3"/>
        <v/>
      </c>
      <c r="N1147" s="70" t="str">
        <f>IF($A$3=" "," ", IFERROR( VLOOKUP($A1147,'SUPPLIER DATA BASE'!$A$2:$O$936,11,0),""))</f>
        <v>-</v>
      </c>
      <c r="O1147" s="70" t="str">
        <f>IF($A$3=" "," ", IFERROR( VLOOKUP($A1147,'SUPPLIER DATA BASE'!$A$2:$O$936,12,0),""))</f>
        <v>-</v>
      </c>
      <c r="P1147" s="70" t="str">
        <f>IF($A$3=" "," ", IFERROR( VLOOKUP($A1147,'SUPPLIER DATA BASE'!$A$2:$O$936,13,0),""))</f>
        <v>-</v>
      </c>
      <c r="Q1147" s="77"/>
      <c r="R1147" s="73"/>
      <c r="S1147" s="77"/>
      <c r="T1147" s="70"/>
      <c r="U1147" s="78"/>
      <c r="V1147" s="70" t="str">
        <f t="shared" si="6"/>
        <v/>
      </c>
      <c r="W1147" s="23"/>
      <c r="X1147" s="23"/>
    </row>
    <row r="1148">
      <c r="A1148" s="70" t="s">
        <v>354</v>
      </c>
      <c r="B1148" s="70" t="str">
        <f>IF($A$3=" "," ", IFERROR( VLOOKUP($A1148,'SUPPLIER DATA BASE'!$A$2:$M$936,3,0),""))</f>
        <v>-</v>
      </c>
      <c r="C1148" s="70" t="str">
        <f>IF($A$3=" "," ", IFERROR( VLOOKUP($A1148,'SUPPLIER DATA BASE'!$A$2:$F$936,6,0),""))</f>
        <v>-</v>
      </c>
      <c r="D1148" s="70" t="str">
        <f>IF($A$3=" "," ", IFERROR( VLOOKUP($A1148,'SUPPLIER DATA BASE'!$A$2:$G$936,4,0),""))</f>
        <v>-</v>
      </c>
      <c r="E1148" s="71" t="str">
        <f>IF($A$3=" "," ", IFERROR( VLOOKUP($A1148,'SUPPLIER DATA BASE'!$A$2:$H$936,5,0),""))</f>
        <v>-</v>
      </c>
      <c r="F1148" s="72" t="s">
        <v>3353</v>
      </c>
      <c r="G1148" s="73"/>
      <c r="H1148" s="74"/>
      <c r="I1148" s="75"/>
      <c r="J1148" s="76" t="s">
        <v>3354</v>
      </c>
      <c r="K1148" s="76" t="s">
        <v>3355</v>
      </c>
      <c r="L1148" s="73"/>
      <c r="M1148" s="70" t="str">
        <f t="shared" si="3"/>
        <v/>
      </c>
      <c r="N1148" s="70" t="str">
        <f>IF($A$3=" "," ", IFERROR( VLOOKUP($A1148,'SUPPLIER DATA BASE'!$A$2:$O$936,11,0),""))</f>
        <v>-</v>
      </c>
      <c r="O1148" s="70" t="str">
        <f>IF($A$3=" "," ", IFERROR( VLOOKUP($A1148,'SUPPLIER DATA BASE'!$A$2:$O$936,12,0),""))</f>
        <v>-</v>
      </c>
      <c r="P1148" s="70" t="str">
        <f>IF($A$3=" "," ", IFERROR( VLOOKUP($A1148,'SUPPLIER DATA BASE'!$A$2:$O$936,13,0),""))</f>
        <v>-</v>
      </c>
      <c r="Q1148" s="77"/>
      <c r="R1148" s="73"/>
      <c r="S1148" s="77"/>
      <c r="T1148" s="70"/>
      <c r="U1148" s="78"/>
      <c r="V1148" s="70" t="str">
        <f t="shared" si="6"/>
        <v/>
      </c>
      <c r="W1148" s="23"/>
      <c r="X1148" s="23"/>
    </row>
    <row r="1149">
      <c r="A1149" s="70" t="s">
        <v>354</v>
      </c>
      <c r="B1149" s="70" t="str">
        <f>IF($A$3=" "," ", IFERROR( VLOOKUP($A1149,'SUPPLIER DATA BASE'!$A$2:$M$936,3,0),""))</f>
        <v>-</v>
      </c>
      <c r="C1149" s="70" t="str">
        <f>IF($A$3=" "," ", IFERROR( VLOOKUP($A1149,'SUPPLIER DATA BASE'!$A$2:$F$936,6,0),""))</f>
        <v>-</v>
      </c>
      <c r="D1149" s="70" t="str">
        <f>IF($A$3=" "," ", IFERROR( VLOOKUP($A1149,'SUPPLIER DATA BASE'!$A$2:$G$936,4,0),""))</f>
        <v>-</v>
      </c>
      <c r="E1149" s="71" t="str">
        <f>IF($A$3=" "," ", IFERROR( VLOOKUP($A1149,'SUPPLIER DATA BASE'!$A$2:$H$936,5,0),""))</f>
        <v>-</v>
      </c>
      <c r="F1149" s="72" t="s">
        <v>3356</v>
      </c>
      <c r="G1149" s="73"/>
      <c r="H1149" s="74"/>
      <c r="I1149" s="75"/>
      <c r="J1149" s="76" t="s">
        <v>3357</v>
      </c>
      <c r="K1149" s="76" t="s">
        <v>3358</v>
      </c>
      <c r="L1149" s="73"/>
      <c r="M1149" s="70" t="str">
        <f t="shared" si="3"/>
        <v/>
      </c>
      <c r="N1149" s="70" t="str">
        <f>IF($A$3=" "," ", IFERROR( VLOOKUP($A1149,'SUPPLIER DATA BASE'!$A$2:$O$936,11,0),""))</f>
        <v>-</v>
      </c>
      <c r="O1149" s="70" t="str">
        <f>IF($A$3=" "," ", IFERROR( VLOOKUP($A1149,'SUPPLIER DATA BASE'!$A$2:$O$936,12,0),""))</f>
        <v>-</v>
      </c>
      <c r="P1149" s="70" t="str">
        <f>IF($A$3=" "," ", IFERROR( VLOOKUP($A1149,'SUPPLIER DATA BASE'!$A$2:$O$936,13,0),""))</f>
        <v>-</v>
      </c>
      <c r="Q1149" s="77"/>
      <c r="R1149" s="73"/>
      <c r="S1149" s="77"/>
      <c r="T1149" s="70"/>
      <c r="U1149" s="78"/>
      <c r="V1149" s="70" t="str">
        <f t="shared" si="6"/>
        <v/>
      </c>
      <c r="W1149" s="23"/>
      <c r="X1149" s="23"/>
    </row>
    <row r="1150">
      <c r="A1150" s="70" t="s">
        <v>354</v>
      </c>
      <c r="B1150" s="70" t="str">
        <f>IF($A$3=" "," ", IFERROR( VLOOKUP($A1150,'SUPPLIER DATA BASE'!$A$2:$M$936,3,0),""))</f>
        <v>-</v>
      </c>
      <c r="C1150" s="70" t="str">
        <f>IF($A$3=" "," ", IFERROR( VLOOKUP($A1150,'SUPPLIER DATA BASE'!$A$2:$F$936,6,0),""))</f>
        <v>-</v>
      </c>
      <c r="D1150" s="70" t="str">
        <f>IF($A$3=" "," ", IFERROR( VLOOKUP($A1150,'SUPPLIER DATA BASE'!$A$2:$G$936,4,0),""))</f>
        <v>-</v>
      </c>
      <c r="E1150" s="71" t="str">
        <f>IF($A$3=" "," ", IFERROR( VLOOKUP($A1150,'SUPPLIER DATA BASE'!$A$2:$H$936,5,0),""))</f>
        <v>-</v>
      </c>
      <c r="F1150" s="72" t="s">
        <v>2379</v>
      </c>
      <c r="G1150" s="73"/>
      <c r="H1150" s="74"/>
      <c r="I1150" s="75"/>
      <c r="J1150" s="76" t="s">
        <v>3359</v>
      </c>
      <c r="K1150" s="76" t="s">
        <v>3360</v>
      </c>
      <c r="L1150" s="73"/>
      <c r="M1150" s="70" t="str">
        <f t="shared" si="3"/>
        <v/>
      </c>
      <c r="N1150" s="70" t="str">
        <f>IF($A$3=" "," ", IFERROR( VLOOKUP($A1150,'SUPPLIER DATA BASE'!$A$2:$O$936,11,0),""))</f>
        <v>-</v>
      </c>
      <c r="O1150" s="70" t="str">
        <f>IF($A$3=" "," ", IFERROR( VLOOKUP($A1150,'SUPPLIER DATA BASE'!$A$2:$O$936,12,0),""))</f>
        <v>-</v>
      </c>
      <c r="P1150" s="70" t="str">
        <f>IF($A$3=" "," ", IFERROR( VLOOKUP($A1150,'SUPPLIER DATA BASE'!$A$2:$O$936,13,0),""))</f>
        <v>-</v>
      </c>
      <c r="Q1150" s="77"/>
      <c r="R1150" s="73"/>
      <c r="S1150" s="77"/>
      <c r="T1150" s="70"/>
      <c r="U1150" s="78"/>
      <c r="V1150" s="70" t="str">
        <f t="shared" si="6"/>
        <v/>
      </c>
      <c r="W1150" s="23"/>
      <c r="X1150" s="23"/>
    </row>
    <row r="1151">
      <c r="A1151" s="70" t="s">
        <v>354</v>
      </c>
      <c r="B1151" s="70" t="str">
        <f>IF($A$3=" "," ", IFERROR( VLOOKUP($A1151,'SUPPLIER DATA BASE'!$A$2:$M$936,3,0),""))</f>
        <v>-</v>
      </c>
      <c r="C1151" s="70" t="str">
        <f>IF($A$3=" "," ", IFERROR( VLOOKUP($A1151,'SUPPLIER DATA BASE'!$A$2:$F$936,6,0),""))</f>
        <v>-</v>
      </c>
      <c r="D1151" s="70" t="str">
        <f>IF($A$3=" "," ", IFERROR( VLOOKUP($A1151,'SUPPLIER DATA BASE'!$A$2:$G$936,4,0),""))</f>
        <v>-</v>
      </c>
      <c r="E1151" s="71" t="str">
        <f>IF($A$3=" "," ", IFERROR( VLOOKUP($A1151,'SUPPLIER DATA BASE'!$A$2:$H$936,5,0),""))</f>
        <v>-</v>
      </c>
      <c r="F1151" s="72" t="s">
        <v>2446</v>
      </c>
      <c r="G1151" s="73"/>
      <c r="H1151" s="74"/>
      <c r="I1151" s="75"/>
      <c r="J1151" s="76" t="s">
        <v>3361</v>
      </c>
      <c r="K1151" s="76" t="s">
        <v>3362</v>
      </c>
      <c r="L1151" s="73"/>
      <c r="M1151" s="70" t="str">
        <f t="shared" si="3"/>
        <v/>
      </c>
      <c r="N1151" s="70" t="str">
        <f>IF($A$3=" "," ", IFERROR( VLOOKUP($A1151,'SUPPLIER DATA BASE'!$A$2:$O$936,11,0),""))</f>
        <v>-</v>
      </c>
      <c r="O1151" s="70" t="str">
        <f>IF($A$3=" "," ", IFERROR( VLOOKUP($A1151,'SUPPLIER DATA BASE'!$A$2:$O$936,12,0),""))</f>
        <v>-</v>
      </c>
      <c r="P1151" s="70" t="str">
        <f>IF($A$3=" "," ", IFERROR( VLOOKUP($A1151,'SUPPLIER DATA BASE'!$A$2:$O$936,13,0),""))</f>
        <v>-</v>
      </c>
      <c r="Q1151" s="77"/>
      <c r="R1151" s="73"/>
      <c r="S1151" s="77"/>
      <c r="T1151" s="70"/>
      <c r="U1151" s="78"/>
      <c r="V1151" s="70" t="str">
        <f t="shared" si="6"/>
        <v/>
      </c>
      <c r="W1151" s="23"/>
      <c r="X1151" s="23"/>
    </row>
    <row r="1152">
      <c r="A1152" s="70" t="s">
        <v>354</v>
      </c>
      <c r="B1152" s="70" t="str">
        <f>IF($A$3=" "," ", IFERROR( VLOOKUP($A1152,'SUPPLIER DATA BASE'!$A$2:$M$936,3,0),""))</f>
        <v>-</v>
      </c>
      <c r="C1152" s="70" t="str">
        <f>IF($A$3=" "," ", IFERROR( VLOOKUP($A1152,'SUPPLIER DATA BASE'!$A$2:$F$936,6,0),""))</f>
        <v>-</v>
      </c>
      <c r="D1152" s="70" t="str">
        <f>IF($A$3=" "," ", IFERROR( VLOOKUP($A1152,'SUPPLIER DATA BASE'!$A$2:$G$936,4,0),""))</f>
        <v>-</v>
      </c>
      <c r="E1152" s="71" t="str">
        <f>IF($A$3=" "," ", IFERROR( VLOOKUP($A1152,'SUPPLIER DATA BASE'!$A$2:$H$936,5,0),""))</f>
        <v>-</v>
      </c>
      <c r="F1152" s="72" t="s">
        <v>3363</v>
      </c>
      <c r="G1152" s="73"/>
      <c r="H1152" s="74"/>
      <c r="I1152" s="75"/>
      <c r="J1152" s="76" t="s">
        <v>3364</v>
      </c>
      <c r="K1152" s="76" t="s">
        <v>3365</v>
      </c>
      <c r="L1152" s="73"/>
      <c r="M1152" s="70" t="str">
        <f t="shared" si="3"/>
        <v/>
      </c>
      <c r="N1152" s="70" t="str">
        <f>IF($A$3=" "," ", IFERROR( VLOOKUP($A1152,'SUPPLIER DATA BASE'!$A$2:$O$936,11,0),""))</f>
        <v>-</v>
      </c>
      <c r="O1152" s="70" t="str">
        <f>IF($A$3=" "," ", IFERROR( VLOOKUP($A1152,'SUPPLIER DATA BASE'!$A$2:$O$936,12,0),""))</f>
        <v>-</v>
      </c>
      <c r="P1152" s="70" t="str">
        <f>IF($A$3=" "," ", IFERROR( VLOOKUP($A1152,'SUPPLIER DATA BASE'!$A$2:$O$936,13,0),""))</f>
        <v>-</v>
      </c>
      <c r="Q1152" s="77"/>
      <c r="R1152" s="73"/>
      <c r="S1152" s="77"/>
      <c r="T1152" s="70"/>
      <c r="U1152" s="78"/>
      <c r="V1152" s="70" t="str">
        <f t="shared" si="6"/>
        <v/>
      </c>
      <c r="W1152" s="23"/>
      <c r="X1152" s="23"/>
    </row>
    <row r="1153">
      <c r="A1153" s="70" t="s">
        <v>354</v>
      </c>
      <c r="B1153" s="70" t="str">
        <f>IF($A$3=" "," ", IFERROR( VLOOKUP($A1153,'SUPPLIER DATA BASE'!$A$2:$M$936,3,0),""))</f>
        <v>-</v>
      </c>
      <c r="C1153" s="70" t="str">
        <f>IF($A$3=" "," ", IFERROR( VLOOKUP($A1153,'SUPPLIER DATA BASE'!$A$2:$F$936,6,0),""))</f>
        <v>-</v>
      </c>
      <c r="D1153" s="70" t="str">
        <f>IF($A$3=" "," ", IFERROR( VLOOKUP($A1153,'SUPPLIER DATA BASE'!$A$2:$G$936,4,0),""))</f>
        <v>-</v>
      </c>
      <c r="E1153" s="71" t="str">
        <f>IF($A$3=" "," ", IFERROR( VLOOKUP($A1153,'SUPPLIER DATA BASE'!$A$2:$H$936,5,0),""))</f>
        <v>-</v>
      </c>
      <c r="F1153" s="72" t="s">
        <v>3366</v>
      </c>
      <c r="G1153" s="73"/>
      <c r="H1153" s="74"/>
      <c r="I1153" s="75"/>
      <c r="J1153" s="76" t="s">
        <v>3367</v>
      </c>
      <c r="K1153" s="76" t="s">
        <v>3368</v>
      </c>
      <c r="L1153" s="73"/>
      <c r="M1153" s="70" t="str">
        <f t="shared" si="3"/>
        <v/>
      </c>
      <c r="N1153" s="70" t="str">
        <f>IF($A$3=" "," ", IFERROR( VLOOKUP($A1153,'SUPPLIER DATA BASE'!$A$2:$O$936,11,0),""))</f>
        <v>-</v>
      </c>
      <c r="O1153" s="70" t="str">
        <f>IF($A$3=" "," ", IFERROR( VLOOKUP($A1153,'SUPPLIER DATA BASE'!$A$2:$O$936,12,0),""))</f>
        <v>-</v>
      </c>
      <c r="P1153" s="70" t="str">
        <f>IF($A$3=" "," ", IFERROR( VLOOKUP($A1153,'SUPPLIER DATA BASE'!$A$2:$O$936,13,0),""))</f>
        <v>-</v>
      </c>
      <c r="Q1153" s="77"/>
      <c r="R1153" s="73"/>
      <c r="S1153" s="77"/>
      <c r="T1153" s="70"/>
      <c r="U1153" s="78"/>
      <c r="V1153" s="70" t="str">
        <f t="shared" si="6"/>
        <v/>
      </c>
      <c r="W1153" s="23"/>
      <c r="X1153" s="23"/>
    </row>
    <row r="1154">
      <c r="A1154" s="70" t="s">
        <v>354</v>
      </c>
      <c r="B1154" s="70" t="str">
        <f>IF($A$3=" "," ", IFERROR( VLOOKUP($A1154,'SUPPLIER DATA BASE'!$A$2:$M$936,3,0),""))</f>
        <v>-</v>
      </c>
      <c r="C1154" s="70" t="str">
        <f>IF($A$3=" "," ", IFERROR( VLOOKUP($A1154,'SUPPLIER DATA BASE'!$A$2:$F$936,6,0),""))</f>
        <v>-</v>
      </c>
      <c r="D1154" s="70" t="str">
        <f>IF($A$3=" "," ", IFERROR( VLOOKUP($A1154,'SUPPLIER DATA BASE'!$A$2:$G$936,4,0),""))</f>
        <v>-</v>
      </c>
      <c r="E1154" s="71" t="str">
        <f>IF($A$3=" "," ", IFERROR( VLOOKUP($A1154,'SUPPLIER DATA BASE'!$A$2:$H$936,5,0),""))</f>
        <v>-</v>
      </c>
      <c r="F1154" s="72" t="s">
        <v>3369</v>
      </c>
      <c r="G1154" s="73"/>
      <c r="H1154" s="74"/>
      <c r="I1154" s="75"/>
      <c r="J1154" s="76" t="s">
        <v>3370</v>
      </c>
      <c r="K1154" s="76" t="s">
        <v>3371</v>
      </c>
      <c r="L1154" s="73"/>
      <c r="M1154" s="70" t="str">
        <f t="shared" si="3"/>
        <v/>
      </c>
      <c r="N1154" s="70" t="str">
        <f>IF($A$3=" "," ", IFERROR( VLOOKUP($A1154,'SUPPLIER DATA BASE'!$A$2:$O$936,11,0),""))</f>
        <v>-</v>
      </c>
      <c r="O1154" s="70" t="str">
        <f>IF($A$3=" "," ", IFERROR( VLOOKUP($A1154,'SUPPLIER DATA BASE'!$A$2:$O$936,12,0),""))</f>
        <v>-</v>
      </c>
      <c r="P1154" s="70" t="str">
        <f>IF($A$3=" "," ", IFERROR( VLOOKUP($A1154,'SUPPLIER DATA BASE'!$A$2:$O$936,13,0),""))</f>
        <v>-</v>
      </c>
      <c r="Q1154" s="77"/>
      <c r="R1154" s="73"/>
      <c r="S1154" s="77"/>
      <c r="T1154" s="70"/>
      <c r="U1154" s="78"/>
      <c r="V1154" s="70" t="str">
        <f t="shared" si="6"/>
        <v/>
      </c>
      <c r="W1154" s="23"/>
      <c r="X1154" s="23"/>
    </row>
    <row r="1155">
      <c r="A1155" s="70" t="s">
        <v>354</v>
      </c>
      <c r="B1155" s="70" t="str">
        <f>IF($A$3=" "," ", IFERROR( VLOOKUP($A1155,'SUPPLIER DATA BASE'!$A$2:$M$936,3,0),""))</f>
        <v>-</v>
      </c>
      <c r="C1155" s="70" t="str">
        <f>IF($A$3=" "," ", IFERROR( VLOOKUP($A1155,'SUPPLIER DATA BASE'!$A$2:$F$936,6,0),""))</f>
        <v>-</v>
      </c>
      <c r="D1155" s="70" t="str">
        <f>IF($A$3=" "," ", IFERROR( VLOOKUP($A1155,'SUPPLIER DATA BASE'!$A$2:$G$936,4,0),""))</f>
        <v>-</v>
      </c>
      <c r="E1155" s="71" t="str">
        <f>IF($A$3=" "," ", IFERROR( VLOOKUP($A1155,'SUPPLIER DATA BASE'!$A$2:$H$936,5,0),""))</f>
        <v>-</v>
      </c>
      <c r="F1155" s="72" t="s">
        <v>3372</v>
      </c>
      <c r="G1155" s="73"/>
      <c r="H1155" s="74"/>
      <c r="I1155" s="75"/>
      <c r="J1155" s="76" t="s">
        <v>3373</v>
      </c>
      <c r="K1155" s="76" t="s">
        <v>3374</v>
      </c>
      <c r="L1155" s="73"/>
      <c r="M1155" s="70" t="str">
        <f t="shared" si="3"/>
        <v/>
      </c>
      <c r="N1155" s="70" t="str">
        <f>IF($A$3=" "," ", IFERROR( VLOOKUP($A1155,'SUPPLIER DATA BASE'!$A$2:$O$936,11,0),""))</f>
        <v>-</v>
      </c>
      <c r="O1155" s="70" t="str">
        <f>IF($A$3=" "," ", IFERROR( VLOOKUP($A1155,'SUPPLIER DATA BASE'!$A$2:$O$936,12,0),""))</f>
        <v>-</v>
      </c>
      <c r="P1155" s="70" t="str">
        <f>IF($A$3=" "," ", IFERROR( VLOOKUP($A1155,'SUPPLIER DATA BASE'!$A$2:$O$936,13,0),""))</f>
        <v>-</v>
      </c>
      <c r="Q1155" s="77"/>
      <c r="R1155" s="73"/>
      <c r="S1155" s="77"/>
      <c r="T1155" s="70"/>
      <c r="U1155" s="78"/>
      <c r="V1155" s="70" t="str">
        <f t="shared" si="6"/>
        <v/>
      </c>
      <c r="W1155" s="23"/>
      <c r="X1155" s="23"/>
    </row>
    <row r="1156">
      <c r="A1156" s="70" t="s">
        <v>354</v>
      </c>
      <c r="B1156" s="70" t="str">
        <f>IF($A$3=" "," ", IFERROR( VLOOKUP($A1156,'SUPPLIER DATA BASE'!$A$2:$M$936,3,0),""))</f>
        <v>-</v>
      </c>
      <c r="C1156" s="70" t="str">
        <f>IF($A$3=" "," ", IFERROR( VLOOKUP($A1156,'SUPPLIER DATA BASE'!$A$2:$F$936,6,0),""))</f>
        <v>-</v>
      </c>
      <c r="D1156" s="70" t="str">
        <f>IF($A$3=" "," ", IFERROR( VLOOKUP($A1156,'SUPPLIER DATA BASE'!$A$2:$G$936,4,0),""))</f>
        <v>-</v>
      </c>
      <c r="E1156" s="71" t="str">
        <f>IF($A$3=" "," ", IFERROR( VLOOKUP($A1156,'SUPPLIER DATA BASE'!$A$2:$H$936,5,0),""))</f>
        <v>-</v>
      </c>
      <c r="F1156" s="72" t="s">
        <v>3375</v>
      </c>
      <c r="G1156" s="73"/>
      <c r="H1156" s="74"/>
      <c r="I1156" s="75"/>
      <c r="J1156" s="76" t="s">
        <v>3376</v>
      </c>
      <c r="K1156" s="76" t="s">
        <v>3377</v>
      </c>
      <c r="L1156" s="73"/>
      <c r="M1156" s="70" t="str">
        <f t="shared" si="3"/>
        <v/>
      </c>
      <c r="N1156" s="70" t="str">
        <f>IF($A$3=" "," ", IFERROR( VLOOKUP($A1156,'SUPPLIER DATA BASE'!$A$2:$O$936,11,0),""))</f>
        <v>-</v>
      </c>
      <c r="O1156" s="70" t="str">
        <f>IF($A$3=" "," ", IFERROR( VLOOKUP($A1156,'SUPPLIER DATA BASE'!$A$2:$O$936,12,0),""))</f>
        <v>-</v>
      </c>
      <c r="P1156" s="70" t="str">
        <f>IF($A$3=" "," ", IFERROR( VLOOKUP($A1156,'SUPPLIER DATA BASE'!$A$2:$O$936,13,0),""))</f>
        <v>-</v>
      </c>
      <c r="Q1156" s="77"/>
      <c r="R1156" s="73"/>
      <c r="S1156" s="77"/>
      <c r="T1156" s="70"/>
      <c r="U1156" s="78"/>
      <c r="V1156" s="70" t="str">
        <f t="shared" si="6"/>
        <v/>
      </c>
      <c r="W1156" s="23"/>
      <c r="X1156" s="23"/>
    </row>
    <row r="1157">
      <c r="A1157" s="70" t="s">
        <v>354</v>
      </c>
      <c r="B1157" s="70" t="str">
        <f>IF($A$3=" "," ", IFERROR( VLOOKUP($A1157,'SUPPLIER DATA BASE'!$A$2:$M$936,3,0),""))</f>
        <v>-</v>
      </c>
      <c r="C1157" s="70" t="str">
        <f>IF($A$3=" "," ", IFERROR( VLOOKUP($A1157,'SUPPLIER DATA BASE'!$A$2:$F$936,6,0),""))</f>
        <v>-</v>
      </c>
      <c r="D1157" s="70" t="str">
        <f>IF($A$3=" "," ", IFERROR( VLOOKUP($A1157,'SUPPLIER DATA BASE'!$A$2:$G$936,4,0),""))</f>
        <v>-</v>
      </c>
      <c r="E1157" s="71" t="str">
        <f>IF($A$3=" "," ", IFERROR( VLOOKUP($A1157,'SUPPLIER DATA BASE'!$A$2:$H$936,5,0),""))</f>
        <v>-</v>
      </c>
      <c r="F1157" s="72" t="s">
        <v>3378</v>
      </c>
      <c r="G1157" s="73"/>
      <c r="H1157" s="74"/>
      <c r="I1157" s="75"/>
      <c r="J1157" s="76" t="s">
        <v>3379</v>
      </c>
      <c r="K1157" s="76" t="s">
        <v>3380</v>
      </c>
      <c r="L1157" s="73"/>
      <c r="M1157" s="70" t="str">
        <f t="shared" si="3"/>
        <v/>
      </c>
      <c r="N1157" s="70" t="str">
        <f>IF($A$3=" "," ", IFERROR( VLOOKUP($A1157,'SUPPLIER DATA BASE'!$A$2:$O$936,11,0),""))</f>
        <v>-</v>
      </c>
      <c r="O1157" s="70" t="str">
        <f>IF($A$3=" "," ", IFERROR( VLOOKUP($A1157,'SUPPLIER DATA BASE'!$A$2:$O$936,12,0),""))</f>
        <v>-</v>
      </c>
      <c r="P1157" s="70" t="str">
        <f>IF($A$3=" "," ", IFERROR( VLOOKUP($A1157,'SUPPLIER DATA BASE'!$A$2:$O$936,13,0),""))</f>
        <v>-</v>
      </c>
      <c r="Q1157" s="77"/>
      <c r="R1157" s="73"/>
      <c r="S1157" s="77"/>
      <c r="T1157" s="70"/>
      <c r="U1157" s="78"/>
      <c r="V1157" s="70" t="str">
        <f t="shared" si="6"/>
        <v/>
      </c>
      <c r="W1157" s="23"/>
      <c r="X1157" s="23"/>
    </row>
    <row r="1158">
      <c r="A1158" s="70" t="s">
        <v>354</v>
      </c>
      <c r="B1158" s="70" t="str">
        <f>IF($A$3=" "," ", IFERROR( VLOOKUP($A1158,'SUPPLIER DATA BASE'!$A$2:$M$936,3,0),""))</f>
        <v>-</v>
      </c>
      <c r="C1158" s="70" t="str">
        <f>IF($A$3=" "," ", IFERROR( VLOOKUP($A1158,'SUPPLIER DATA BASE'!$A$2:$F$936,6,0),""))</f>
        <v>-</v>
      </c>
      <c r="D1158" s="70" t="str">
        <f>IF($A$3=" "," ", IFERROR( VLOOKUP($A1158,'SUPPLIER DATA BASE'!$A$2:$G$936,4,0),""))</f>
        <v>-</v>
      </c>
      <c r="E1158" s="71" t="str">
        <f>IF($A$3=" "," ", IFERROR( VLOOKUP($A1158,'SUPPLIER DATA BASE'!$A$2:$H$936,5,0),""))</f>
        <v>-</v>
      </c>
      <c r="F1158" s="72" t="s">
        <v>3381</v>
      </c>
      <c r="G1158" s="73"/>
      <c r="H1158" s="74"/>
      <c r="I1158" s="75"/>
      <c r="J1158" s="76" t="s">
        <v>3382</v>
      </c>
      <c r="K1158" s="76" t="s">
        <v>3383</v>
      </c>
      <c r="L1158" s="73"/>
      <c r="M1158" s="70" t="str">
        <f t="shared" si="3"/>
        <v/>
      </c>
      <c r="N1158" s="70" t="str">
        <f>IF($A$3=" "," ", IFERROR( VLOOKUP($A1158,'SUPPLIER DATA BASE'!$A$2:$O$936,11,0),""))</f>
        <v>-</v>
      </c>
      <c r="O1158" s="70" t="str">
        <f>IF($A$3=" "," ", IFERROR( VLOOKUP($A1158,'SUPPLIER DATA BASE'!$A$2:$O$936,12,0),""))</f>
        <v>-</v>
      </c>
      <c r="P1158" s="70" t="str">
        <f>IF($A$3=" "," ", IFERROR( VLOOKUP($A1158,'SUPPLIER DATA BASE'!$A$2:$O$936,13,0),""))</f>
        <v>-</v>
      </c>
      <c r="Q1158" s="77"/>
      <c r="R1158" s="73"/>
      <c r="S1158" s="77"/>
      <c r="T1158" s="70"/>
      <c r="U1158" s="78"/>
      <c r="V1158" s="70" t="str">
        <f t="shared" si="6"/>
        <v/>
      </c>
      <c r="W1158" s="23"/>
      <c r="X1158" s="23"/>
    </row>
    <row r="1159">
      <c r="A1159" s="70" t="s">
        <v>354</v>
      </c>
      <c r="B1159" s="70" t="str">
        <f>IF($A$3=" "," ", IFERROR( VLOOKUP($A1159,'SUPPLIER DATA BASE'!$A$2:$M$936,3,0),""))</f>
        <v>-</v>
      </c>
      <c r="C1159" s="70" t="str">
        <f>IF($A$3=" "," ", IFERROR( VLOOKUP($A1159,'SUPPLIER DATA BASE'!$A$2:$F$936,6,0),""))</f>
        <v>-</v>
      </c>
      <c r="D1159" s="70" t="str">
        <f>IF($A$3=" "," ", IFERROR( VLOOKUP($A1159,'SUPPLIER DATA BASE'!$A$2:$G$936,4,0),""))</f>
        <v>-</v>
      </c>
      <c r="E1159" s="71" t="str">
        <f>IF($A$3=" "," ", IFERROR( VLOOKUP($A1159,'SUPPLIER DATA BASE'!$A$2:$H$936,5,0),""))</f>
        <v>-</v>
      </c>
      <c r="F1159" s="72" t="s">
        <v>3384</v>
      </c>
      <c r="G1159" s="73"/>
      <c r="H1159" s="74"/>
      <c r="I1159" s="75"/>
      <c r="J1159" s="76" t="s">
        <v>3385</v>
      </c>
      <c r="K1159" s="76" t="s">
        <v>3386</v>
      </c>
      <c r="L1159" s="73"/>
      <c r="M1159" s="70" t="str">
        <f t="shared" si="3"/>
        <v/>
      </c>
      <c r="N1159" s="70" t="str">
        <f>IF($A$3=" "," ", IFERROR( VLOOKUP($A1159,'SUPPLIER DATA BASE'!$A$2:$O$936,11,0),""))</f>
        <v>-</v>
      </c>
      <c r="O1159" s="70" t="str">
        <f>IF($A$3=" "," ", IFERROR( VLOOKUP($A1159,'SUPPLIER DATA BASE'!$A$2:$O$936,12,0),""))</f>
        <v>-</v>
      </c>
      <c r="P1159" s="70" t="str">
        <f>IF($A$3=" "," ", IFERROR( VLOOKUP($A1159,'SUPPLIER DATA BASE'!$A$2:$O$936,13,0),""))</f>
        <v>-</v>
      </c>
      <c r="Q1159" s="77"/>
      <c r="R1159" s="73"/>
      <c r="S1159" s="77"/>
      <c r="T1159" s="70"/>
      <c r="U1159" s="78"/>
      <c r="V1159" s="70" t="str">
        <f t="shared" si="6"/>
        <v/>
      </c>
      <c r="W1159" s="23"/>
      <c r="X1159" s="23"/>
    </row>
    <row r="1160">
      <c r="A1160" s="70" t="s">
        <v>354</v>
      </c>
      <c r="B1160" s="70" t="str">
        <f>IF($A$3=" "," ", IFERROR( VLOOKUP($A1160,'SUPPLIER DATA BASE'!$A$2:$M$936,3,0),""))</f>
        <v>-</v>
      </c>
      <c r="C1160" s="70" t="str">
        <f>IF($A$3=" "," ", IFERROR( VLOOKUP($A1160,'SUPPLIER DATA BASE'!$A$2:$F$936,6,0),""))</f>
        <v>-</v>
      </c>
      <c r="D1160" s="70" t="str">
        <f>IF($A$3=" "," ", IFERROR( VLOOKUP($A1160,'SUPPLIER DATA BASE'!$A$2:$G$936,4,0),""))</f>
        <v>-</v>
      </c>
      <c r="E1160" s="71" t="str">
        <f>IF($A$3=" "," ", IFERROR( VLOOKUP($A1160,'SUPPLIER DATA BASE'!$A$2:$H$936,5,0),""))</f>
        <v>-</v>
      </c>
      <c r="F1160" s="72" t="s">
        <v>3387</v>
      </c>
      <c r="G1160" s="73"/>
      <c r="H1160" s="74"/>
      <c r="I1160" s="75"/>
      <c r="J1160" s="76" t="s">
        <v>3388</v>
      </c>
      <c r="K1160" s="76" t="s">
        <v>3389</v>
      </c>
      <c r="L1160" s="73"/>
      <c r="M1160" s="70" t="str">
        <f t="shared" si="3"/>
        <v/>
      </c>
      <c r="N1160" s="70" t="str">
        <f>IF($A$3=" "," ", IFERROR( VLOOKUP($A1160,'SUPPLIER DATA BASE'!$A$2:$O$936,11,0),""))</f>
        <v>-</v>
      </c>
      <c r="O1160" s="70" t="str">
        <f>IF($A$3=" "," ", IFERROR( VLOOKUP($A1160,'SUPPLIER DATA BASE'!$A$2:$O$936,12,0),""))</f>
        <v>-</v>
      </c>
      <c r="P1160" s="70" t="str">
        <f>IF($A$3=" "," ", IFERROR( VLOOKUP($A1160,'SUPPLIER DATA BASE'!$A$2:$O$936,13,0),""))</f>
        <v>-</v>
      </c>
      <c r="Q1160" s="77"/>
      <c r="R1160" s="73"/>
      <c r="S1160" s="77"/>
      <c r="T1160" s="70"/>
      <c r="U1160" s="78"/>
      <c r="V1160" s="70" t="str">
        <f t="shared" si="6"/>
        <v/>
      </c>
      <c r="W1160" s="23"/>
      <c r="X1160" s="23"/>
    </row>
    <row r="1161">
      <c r="A1161" s="70" t="s">
        <v>354</v>
      </c>
      <c r="B1161" s="70" t="str">
        <f>IF($A$3=" "," ", IFERROR( VLOOKUP($A1161,'SUPPLIER DATA BASE'!$A$2:$M$936,3,0),""))</f>
        <v>-</v>
      </c>
      <c r="C1161" s="70" t="str">
        <f>IF($A$3=" "," ", IFERROR( VLOOKUP($A1161,'SUPPLIER DATA BASE'!$A$2:$F$936,6,0),""))</f>
        <v>-</v>
      </c>
      <c r="D1161" s="70" t="str">
        <f>IF($A$3=" "," ", IFERROR( VLOOKUP($A1161,'SUPPLIER DATA BASE'!$A$2:$G$936,4,0),""))</f>
        <v>-</v>
      </c>
      <c r="E1161" s="71" t="str">
        <f>IF($A$3=" "," ", IFERROR( VLOOKUP($A1161,'SUPPLIER DATA BASE'!$A$2:$H$936,5,0),""))</f>
        <v>-</v>
      </c>
      <c r="F1161" s="72" t="s">
        <v>3390</v>
      </c>
      <c r="G1161" s="73"/>
      <c r="H1161" s="74"/>
      <c r="I1161" s="75"/>
      <c r="J1161" s="76" t="s">
        <v>3391</v>
      </c>
      <c r="K1161" s="76" t="s">
        <v>3392</v>
      </c>
      <c r="L1161" s="73"/>
      <c r="M1161" s="70" t="str">
        <f t="shared" si="3"/>
        <v/>
      </c>
      <c r="N1161" s="70" t="str">
        <f>IF($A$3=" "," ", IFERROR( VLOOKUP($A1161,'SUPPLIER DATA BASE'!$A$2:$O$936,11,0),""))</f>
        <v>-</v>
      </c>
      <c r="O1161" s="70" t="str">
        <f>IF($A$3=" "," ", IFERROR( VLOOKUP($A1161,'SUPPLIER DATA BASE'!$A$2:$O$936,12,0),""))</f>
        <v>-</v>
      </c>
      <c r="P1161" s="70" t="str">
        <f>IF($A$3=" "," ", IFERROR( VLOOKUP($A1161,'SUPPLIER DATA BASE'!$A$2:$O$936,13,0),""))</f>
        <v>-</v>
      </c>
      <c r="Q1161" s="77"/>
      <c r="R1161" s="73"/>
      <c r="S1161" s="77"/>
      <c r="T1161" s="70"/>
      <c r="U1161" s="78"/>
      <c r="V1161" s="70" t="str">
        <f t="shared" si="6"/>
        <v/>
      </c>
      <c r="W1161" s="23"/>
      <c r="X1161" s="23"/>
    </row>
    <row r="1162">
      <c r="A1162" s="70" t="s">
        <v>354</v>
      </c>
      <c r="B1162" s="70" t="str">
        <f>IF($A$3=" "," ", IFERROR( VLOOKUP($A1162,'SUPPLIER DATA BASE'!$A$2:$M$936,3,0),""))</f>
        <v>-</v>
      </c>
      <c r="C1162" s="70" t="str">
        <f>IF($A$3=" "," ", IFERROR( VLOOKUP($A1162,'SUPPLIER DATA BASE'!$A$2:$F$936,6,0),""))</f>
        <v>-</v>
      </c>
      <c r="D1162" s="70" t="str">
        <f>IF($A$3=" "," ", IFERROR( VLOOKUP($A1162,'SUPPLIER DATA BASE'!$A$2:$G$936,4,0),""))</f>
        <v>-</v>
      </c>
      <c r="E1162" s="71" t="str">
        <f>IF($A$3=" "," ", IFERROR( VLOOKUP($A1162,'SUPPLIER DATA BASE'!$A$2:$H$936,5,0),""))</f>
        <v>-</v>
      </c>
      <c r="F1162" s="72" t="s">
        <v>3393</v>
      </c>
      <c r="G1162" s="73"/>
      <c r="H1162" s="74"/>
      <c r="I1162" s="75"/>
      <c r="J1162" s="76" t="s">
        <v>3394</v>
      </c>
      <c r="K1162" s="76" t="s">
        <v>3395</v>
      </c>
      <c r="L1162" s="73"/>
      <c r="M1162" s="70" t="str">
        <f t="shared" si="3"/>
        <v/>
      </c>
      <c r="N1162" s="70" t="str">
        <f>IF($A$3=" "," ", IFERROR( VLOOKUP($A1162,'SUPPLIER DATA BASE'!$A$2:$O$936,11,0),""))</f>
        <v>-</v>
      </c>
      <c r="O1162" s="70" t="str">
        <f>IF($A$3=" "," ", IFERROR( VLOOKUP($A1162,'SUPPLIER DATA BASE'!$A$2:$O$936,12,0),""))</f>
        <v>-</v>
      </c>
      <c r="P1162" s="70" t="str">
        <f>IF($A$3=" "," ", IFERROR( VLOOKUP($A1162,'SUPPLIER DATA BASE'!$A$2:$O$936,13,0),""))</f>
        <v>-</v>
      </c>
      <c r="Q1162" s="77"/>
      <c r="R1162" s="73"/>
      <c r="S1162" s="77"/>
      <c r="T1162" s="70"/>
      <c r="U1162" s="78"/>
      <c r="V1162" s="70" t="str">
        <f t="shared" si="6"/>
        <v/>
      </c>
      <c r="W1162" s="23"/>
      <c r="X1162" s="23"/>
    </row>
    <row r="1163">
      <c r="A1163" s="70" t="s">
        <v>354</v>
      </c>
      <c r="B1163" s="70" t="str">
        <f>IF($A$3=" "," ", IFERROR( VLOOKUP($A1163,'SUPPLIER DATA BASE'!$A$2:$M$936,3,0),""))</f>
        <v>-</v>
      </c>
      <c r="C1163" s="70" t="str">
        <f>IF($A$3=" "," ", IFERROR( VLOOKUP($A1163,'SUPPLIER DATA BASE'!$A$2:$F$936,6,0),""))</f>
        <v>-</v>
      </c>
      <c r="D1163" s="70" t="str">
        <f>IF($A$3=" "," ", IFERROR( VLOOKUP($A1163,'SUPPLIER DATA BASE'!$A$2:$G$936,4,0),""))</f>
        <v>-</v>
      </c>
      <c r="E1163" s="71" t="str">
        <f>IF($A$3=" "," ", IFERROR( VLOOKUP($A1163,'SUPPLIER DATA BASE'!$A$2:$H$936,5,0),""))</f>
        <v>-</v>
      </c>
      <c r="F1163" s="72" t="s">
        <v>3396</v>
      </c>
      <c r="G1163" s="73"/>
      <c r="H1163" s="74"/>
      <c r="I1163" s="75"/>
      <c r="J1163" s="76" t="s">
        <v>3397</v>
      </c>
      <c r="K1163" s="76" t="s">
        <v>3398</v>
      </c>
      <c r="L1163" s="73"/>
      <c r="M1163" s="70" t="str">
        <f t="shared" si="3"/>
        <v/>
      </c>
      <c r="N1163" s="70" t="str">
        <f>IF($A$3=" "," ", IFERROR( VLOOKUP($A1163,'SUPPLIER DATA BASE'!$A$2:$O$936,11,0),""))</f>
        <v>-</v>
      </c>
      <c r="O1163" s="70" t="str">
        <f>IF($A$3=" "," ", IFERROR( VLOOKUP($A1163,'SUPPLIER DATA BASE'!$A$2:$O$936,12,0),""))</f>
        <v>-</v>
      </c>
      <c r="P1163" s="70" t="str">
        <f>IF($A$3=" "," ", IFERROR( VLOOKUP($A1163,'SUPPLIER DATA BASE'!$A$2:$O$936,13,0),""))</f>
        <v>-</v>
      </c>
      <c r="Q1163" s="77"/>
      <c r="R1163" s="73"/>
      <c r="S1163" s="77"/>
      <c r="T1163" s="70"/>
      <c r="U1163" s="78"/>
      <c r="V1163" s="70" t="str">
        <f t="shared" si="6"/>
        <v/>
      </c>
      <c r="W1163" s="23"/>
      <c r="X1163" s="23"/>
    </row>
    <row r="1164">
      <c r="A1164" s="70" t="s">
        <v>354</v>
      </c>
      <c r="B1164" s="70" t="str">
        <f>IF($A$3=" "," ", IFERROR( VLOOKUP($A1164,'SUPPLIER DATA BASE'!$A$2:$M$936,3,0),""))</f>
        <v>-</v>
      </c>
      <c r="C1164" s="70" t="str">
        <f>IF($A$3=" "," ", IFERROR( VLOOKUP($A1164,'SUPPLIER DATA BASE'!$A$2:$F$936,6,0),""))</f>
        <v>-</v>
      </c>
      <c r="D1164" s="70" t="str">
        <f>IF($A$3=" "," ", IFERROR( VLOOKUP($A1164,'SUPPLIER DATA BASE'!$A$2:$G$936,4,0),""))</f>
        <v>-</v>
      </c>
      <c r="E1164" s="71" t="str">
        <f>IF($A$3=" "," ", IFERROR( VLOOKUP($A1164,'SUPPLIER DATA BASE'!$A$2:$H$936,5,0),""))</f>
        <v>-</v>
      </c>
      <c r="F1164" s="72" t="s">
        <v>3399</v>
      </c>
      <c r="G1164" s="73"/>
      <c r="H1164" s="74"/>
      <c r="I1164" s="75"/>
      <c r="J1164" s="76" t="s">
        <v>3400</v>
      </c>
      <c r="K1164" s="76" t="s">
        <v>3401</v>
      </c>
      <c r="L1164" s="73"/>
      <c r="M1164" s="70" t="str">
        <f t="shared" si="3"/>
        <v/>
      </c>
      <c r="N1164" s="70" t="str">
        <f>IF($A$3=" "," ", IFERROR( VLOOKUP($A1164,'SUPPLIER DATA BASE'!$A$2:$O$936,11,0),""))</f>
        <v>-</v>
      </c>
      <c r="O1164" s="70" t="str">
        <f>IF($A$3=" "," ", IFERROR( VLOOKUP($A1164,'SUPPLIER DATA BASE'!$A$2:$O$936,12,0),""))</f>
        <v>-</v>
      </c>
      <c r="P1164" s="70" t="str">
        <f>IF($A$3=" "," ", IFERROR( VLOOKUP($A1164,'SUPPLIER DATA BASE'!$A$2:$O$936,13,0),""))</f>
        <v>-</v>
      </c>
      <c r="Q1164" s="77"/>
      <c r="R1164" s="73"/>
      <c r="S1164" s="77"/>
      <c r="T1164" s="70"/>
      <c r="U1164" s="78"/>
      <c r="V1164" s="70" t="str">
        <f t="shared" si="6"/>
        <v/>
      </c>
      <c r="W1164" s="23"/>
      <c r="X1164" s="23"/>
    </row>
    <row r="1165">
      <c r="A1165" s="70" t="s">
        <v>354</v>
      </c>
      <c r="B1165" s="70" t="str">
        <f>IF($A$3=" "," ", IFERROR( VLOOKUP($A1165,'SUPPLIER DATA BASE'!$A$2:$M$936,3,0),""))</f>
        <v>-</v>
      </c>
      <c r="C1165" s="70" t="str">
        <f>IF($A$3=" "," ", IFERROR( VLOOKUP($A1165,'SUPPLIER DATA BASE'!$A$2:$F$936,6,0),""))</f>
        <v>-</v>
      </c>
      <c r="D1165" s="70" t="str">
        <f>IF($A$3=" "," ", IFERROR( VLOOKUP($A1165,'SUPPLIER DATA BASE'!$A$2:$G$936,4,0),""))</f>
        <v>-</v>
      </c>
      <c r="E1165" s="71" t="str">
        <f>IF($A$3=" "," ", IFERROR( VLOOKUP($A1165,'SUPPLIER DATA BASE'!$A$2:$H$936,5,0),""))</f>
        <v>-</v>
      </c>
      <c r="F1165" s="72" t="s">
        <v>3402</v>
      </c>
      <c r="G1165" s="73"/>
      <c r="H1165" s="74"/>
      <c r="I1165" s="75"/>
      <c r="J1165" s="76" t="s">
        <v>3403</v>
      </c>
      <c r="K1165" s="76" t="s">
        <v>3404</v>
      </c>
      <c r="L1165" s="73"/>
      <c r="M1165" s="70" t="str">
        <f t="shared" si="3"/>
        <v/>
      </c>
      <c r="N1165" s="70" t="str">
        <f>IF($A$3=" "," ", IFERROR( VLOOKUP($A1165,'SUPPLIER DATA BASE'!$A$2:$O$936,11,0),""))</f>
        <v>-</v>
      </c>
      <c r="O1165" s="70" t="str">
        <f>IF($A$3=" "," ", IFERROR( VLOOKUP($A1165,'SUPPLIER DATA BASE'!$A$2:$O$936,12,0),""))</f>
        <v>-</v>
      </c>
      <c r="P1165" s="70" t="str">
        <f>IF($A$3=" "," ", IFERROR( VLOOKUP($A1165,'SUPPLIER DATA BASE'!$A$2:$O$936,13,0),""))</f>
        <v>-</v>
      </c>
      <c r="Q1165" s="77"/>
      <c r="R1165" s="73"/>
      <c r="S1165" s="77"/>
      <c r="T1165" s="70"/>
      <c r="U1165" s="78"/>
      <c r="V1165" s="70" t="str">
        <f t="shared" si="6"/>
        <v/>
      </c>
      <c r="W1165" s="23"/>
      <c r="X1165" s="23"/>
    </row>
    <row r="1166">
      <c r="A1166" s="70" t="s">
        <v>354</v>
      </c>
      <c r="B1166" s="70" t="str">
        <f>IF($A$3=" "," ", IFERROR( VLOOKUP($A1166,'SUPPLIER DATA BASE'!$A$2:$M$936,3,0),""))</f>
        <v>-</v>
      </c>
      <c r="C1166" s="70" t="str">
        <f>IF($A$3=" "," ", IFERROR( VLOOKUP($A1166,'SUPPLIER DATA BASE'!$A$2:$F$936,6,0),""))</f>
        <v>-</v>
      </c>
      <c r="D1166" s="70" t="str">
        <f>IF($A$3=" "," ", IFERROR( VLOOKUP($A1166,'SUPPLIER DATA BASE'!$A$2:$G$936,4,0),""))</f>
        <v>-</v>
      </c>
      <c r="E1166" s="71" t="str">
        <f>IF($A$3=" "," ", IFERROR( VLOOKUP($A1166,'SUPPLIER DATA BASE'!$A$2:$H$936,5,0),""))</f>
        <v>-</v>
      </c>
      <c r="F1166" s="72" t="s">
        <v>3405</v>
      </c>
      <c r="G1166" s="73"/>
      <c r="H1166" s="74"/>
      <c r="I1166" s="75"/>
      <c r="J1166" s="76" t="s">
        <v>3406</v>
      </c>
      <c r="K1166" s="76" t="s">
        <v>3407</v>
      </c>
      <c r="L1166" s="73"/>
      <c r="M1166" s="70" t="str">
        <f t="shared" si="3"/>
        <v/>
      </c>
      <c r="N1166" s="70" t="str">
        <f>IF($A$3=" "," ", IFERROR( VLOOKUP($A1166,'SUPPLIER DATA BASE'!$A$2:$O$936,11,0),""))</f>
        <v>-</v>
      </c>
      <c r="O1166" s="70" t="str">
        <f>IF($A$3=" "," ", IFERROR( VLOOKUP($A1166,'SUPPLIER DATA BASE'!$A$2:$O$936,12,0),""))</f>
        <v>-</v>
      </c>
      <c r="P1166" s="70" t="str">
        <f>IF($A$3=" "," ", IFERROR( VLOOKUP($A1166,'SUPPLIER DATA BASE'!$A$2:$O$936,13,0),""))</f>
        <v>-</v>
      </c>
      <c r="Q1166" s="77"/>
      <c r="R1166" s="73"/>
      <c r="S1166" s="77"/>
      <c r="T1166" s="70"/>
      <c r="U1166" s="78"/>
      <c r="V1166" s="70" t="str">
        <f t="shared" si="6"/>
        <v/>
      </c>
      <c r="W1166" s="23"/>
      <c r="X1166" s="23"/>
    </row>
    <row r="1167">
      <c r="A1167" s="70" t="s">
        <v>354</v>
      </c>
      <c r="B1167" s="70" t="str">
        <f>IF($A$3=" "," ", IFERROR( VLOOKUP($A1167,'SUPPLIER DATA BASE'!$A$2:$M$936,3,0),""))</f>
        <v>-</v>
      </c>
      <c r="C1167" s="70" t="str">
        <f>IF($A$3=" "," ", IFERROR( VLOOKUP($A1167,'SUPPLIER DATA BASE'!$A$2:$F$936,6,0),""))</f>
        <v>-</v>
      </c>
      <c r="D1167" s="70" t="str">
        <f>IF($A$3=" "," ", IFERROR( VLOOKUP($A1167,'SUPPLIER DATA BASE'!$A$2:$G$936,4,0),""))</f>
        <v>-</v>
      </c>
      <c r="E1167" s="71" t="str">
        <f>IF($A$3=" "," ", IFERROR( VLOOKUP($A1167,'SUPPLIER DATA BASE'!$A$2:$H$936,5,0),""))</f>
        <v>-</v>
      </c>
      <c r="F1167" s="72" t="s">
        <v>3408</v>
      </c>
      <c r="G1167" s="73"/>
      <c r="H1167" s="74"/>
      <c r="I1167" s="75"/>
      <c r="J1167" s="76" t="s">
        <v>3409</v>
      </c>
      <c r="K1167" s="76" t="s">
        <v>3410</v>
      </c>
      <c r="L1167" s="73"/>
      <c r="M1167" s="70" t="str">
        <f t="shared" si="3"/>
        <v/>
      </c>
      <c r="N1167" s="70" t="str">
        <f>IF($A$3=" "," ", IFERROR( VLOOKUP($A1167,'SUPPLIER DATA BASE'!$A$2:$O$936,11,0),""))</f>
        <v>-</v>
      </c>
      <c r="O1167" s="70" t="str">
        <f>IF($A$3=" "," ", IFERROR( VLOOKUP($A1167,'SUPPLIER DATA BASE'!$A$2:$O$936,12,0),""))</f>
        <v>-</v>
      </c>
      <c r="P1167" s="70" t="str">
        <f>IF($A$3=" "," ", IFERROR( VLOOKUP($A1167,'SUPPLIER DATA BASE'!$A$2:$O$936,13,0),""))</f>
        <v>-</v>
      </c>
      <c r="Q1167" s="77"/>
      <c r="R1167" s="73"/>
      <c r="S1167" s="77"/>
      <c r="T1167" s="70"/>
      <c r="U1167" s="78"/>
      <c r="V1167" s="70" t="str">
        <f t="shared" si="6"/>
        <v/>
      </c>
      <c r="W1167" s="23"/>
      <c r="X1167" s="23"/>
    </row>
    <row r="1168">
      <c r="A1168" s="70" t="s">
        <v>354</v>
      </c>
      <c r="B1168" s="70" t="str">
        <f>IF($A$3=" "," ", IFERROR( VLOOKUP($A1168,'SUPPLIER DATA BASE'!$A$2:$M$936,3,0),""))</f>
        <v>-</v>
      </c>
      <c r="C1168" s="70" t="str">
        <f>IF($A$3=" "," ", IFERROR( VLOOKUP($A1168,'SUPPLIER DATA BASE'!$A$2:$F$936,6,0),""))</f>
        <v>-</v>
      </c>
      <c r="D1168" s="70" t="str">
        <f>IF($A$3=" "," ", IFERROR( VLOOKUP($A1168,'SUPPLIER DATA BASE'!$A$2:$G$936,4,0),""))</f>
        <v>-</v>
      </c>
      <c r="E1168" s="71" t="str">
        <f>IF($A$3=" "," ", IFERROR( VLOOKUP($A1168,'SUPPLIER DATA BASE'!$A$2:$H$936,5,0),""))</f>
        <v>-</v>
      </c>
      <c r="F1168" s="72" t="s">
        <v>3411</v>
      </c>
      <c r="G1168" s="73"/>
      <c r="H1168" s="74"/>
      <c r="I1168" s="75"/>
      <c r="J1168" s="76" t="s">
        <v>3412</v>
      </c>
      <c r="K1168" s="76" t="s">
        <v>3413</v>
      </c>
      <c r="L1168" s="73"/>
      <c r="M1168" s="70" t="str">
        <f t="shared" si="3"/>
        <v/>
      </c>
      <c r="N1168" s="70" t="str">
        <f>IF($A$3=" "," ", IFERROR( VLOOKUP($A1168,'SUPPLIER DATA BASE'!$A$2:$O$936,11,0),""))</f>
        <v>-</v>
      </c>
      <c r="O1168" s="70" t="str">
        <f>IF($A$3=" "," ", IFERROR( VLOOKUP($A1168,'SUPPLIER DATA BASE'!$A$2:$O$936,12,0),""))</f>
        <v>-</v>
      </c>
      <c r="P1168" s="70" t="str">
        <f>IF($A$3=" "," ", IFERROR( VLOOKUP($A1168,'SUPPLIER DATA BASE'!$A$2:$O$936,13,0),""))</f>
        <v>-</v>
      </c>
      <c r="Q1168" s="77"/>
      <c r="R1168" s="73"/>
      <c r="S1168" s="77"/>
      <c r="T1168" s="70"/>
      <c r="U1168" s="78"/>
      <c r="V1168" s="70" t="str">
        <f t="shared" si="6"/>
        <v/>
      </c>
      <c r="W1168" s="23"/>
      <c r="X1168" s="23"/>
    </row>
    <row r="1169">
      <c r="A1169" s="70" t="s">
        <v>354</v>
      </c>
      <c r="B1169" s="70" t="str">
        <f>IF($A$3=" "," ", IFERROR( VLOOKUP($A1169,'SUPPLIER DATA BASE'!$A$2:$M$936,3,0),""))</f>
        <v>-</v>
      </c>
      <c r="C1169" s="70" t="str">
        <f>IF($A$3=" "," ", IFERROR( VLOOKUP($A1169,'SUPPLIER DATA BASE'!$A$2:$F$936,6,0),""))</f>
        <v>-</v>
      </c>
      <c r="D1169" s="70" t="str">
        <f>IF($A$3=" "," ", IFERROR( VLOOKUP($A1169,'SUPPLIER DATA BASE'!$A$2:$G$936,4,0),""))</f>
        <v>-</v>
      </c>
      <c r="E1169" s="71" t="str">
        <f>IF($A$3=" "," ", IFERROR( VLOOKUP($A1169,'SUPPLIER DATA BASE'!$A$2:$H$936,5,0),""))</f>
        <v>-</v>
      </c>
      <c r="F1169" s="72" t="s">
        <v>3414</v>
      </c>
      <c r="G1169" s="73"/>
      <c r="H1169" s="74"/>
      <c r="I1169" s="75"/>
      <c r="J1169" s="76" t="s">
        <v>3415</v>
      </c>
      <c r="K1169" s="76" t="s">
        <v>3416</v>
      </c>
      <c r="L1169" s="73"/>
      <c r="M1169" s="70" t="str">
        <f t="shared" si="3"/>
        <v/>
      </c>
      <c r="N1169" s="70" t="str">
        <f>IF($A$3=" "," ", IFERROR( VLOOKUP($A1169,'SUPPLIER DATA BASE'!$A$2:$O$936,11,0),""))</f>
        <v>-</v>
      </c>
      <c r="O1169" s="70" t="str">
        <f>IF($A$3=" "," ", IFERROR( VLOOKUP($A1169,'SUPPLIER DATA BASE'!$A$2:$O$936,12,0),""))</f>
        <v>-</v>
      </c>
      <c r="P1169" s="70" t="str">
        <f>IF($A$3=" "," ", IFERROR( VLOOKUP($A1169,'SUPPLIER DATA BASE'!$A$2:$O$936,13,0),""))</f>
        <v>-</v>
      </c>
      <c r="Q1169" s="77"/>
      <c r="R1169" s="73"/>
      <c r="S1169" s="77"/>
      <c r="T1169" s="70"/>
      <c r="U1169" s="78"/>
      <c r="V1169" s="70" t="str">
        <f t="shared" si="6"/>
        <v/>
      </c>
      <c r="W1169" s="23"/>
      <c r="X1169" s="23"/>
    </row>
    <row r="1170">
      <c r="A1170" s="70" t="s">
        <v>354</v>
      </c>
      <c r="B1170" s="70" t="str">
        <f>IF($A$3=" "," ", IFERROR( VLOOKUP($A1170,'SUPPLIER DATA BASE'!$A$2:$M$936,3,0),""))</f>
        <v>-</v>
      </c>
      <c r="C1170" s="70" t="str">
        <f>IF($A$3=" "," ", IFERROR( VLOOKUP($A1170,'SUPPLIER DATA BASE'!$A$2:$F$936,6,0),""))</f>
        <v>-</v>
      </c>
      <c r="D1170" s="70" t="str">
        <f>IF($A$3=" "," ", IFERROR( VLOOKUP($A1170,'SUPPLIER DATA BASE'!$A$2:$G$936,4,0),""))</f>
        <v>-</v>
      </c>
      <c r="E1170" s="71" t="str">
        <f>IF($A$3=" "," ", IFERROR( VLOOKUP($A1170,'SUPPLIER DATA BASE'!$A$2:$H$936,5,0),""))</f>
        <v>-</v>
      </c>
      <c r="F1170" s="72" t="s">
        <v>3417</v>
      </c>
      <c r="G1170" s="73"/>
      <c r="H1170" s="74"/>
      <c r="I1170" s="75"/>
      <c r="J1170" s="76" t="s">
        <v>3418</v>
      </c>
      <c r="K1170" s="76" t="s">
        <v>3419</v>
      </c>
      <c r="L1170" s="73"/>
      <c r="M1170" s="70" t="str">
        <f t="shared" si="3"/>
        <v/>
      </c>
      <c r="N1170" s="70" t="str">
        <f>IF($A$3=" "," ", IFERROR( VLOOKUP($A1170,'SUPPLIER DATA BASE'!$A$2:$O$936,11,0),""))</f>
        <v>-</v>
      </c>
      <c r="O1170" s="70" t="str">
        <f>IF($A$3=" "," ", IFERROR( VLOOKUP($A1170,'SUPPLIER DATA BASE'!$A$2:$O$936,12,0),""))</f>
        <v>-</v>
      </c>
      <c r="P1170" s="70" t="str">
        <f>IF($A$3=" "," ", IFERROR( VLOOKUP($A1170,'SUPPLIER DATA BASE'!$A$2:$O$936,13,0),""))</f>
        <v>-</v>
      </c>
      <c r="Q1170" s="77"/>
      <c r="R1170" s="73"/>
      <c r="S1170" s="77"/>
      <c r="T1170" s="70"/>
      <c r="U1170" s="78"/>
      <c r="V1170" s="70" t="str">
        <f t="shared" si="6"/>
        <v/>
      </c>
      <c r="W1170" s="23"/>
      <c r="X1170" s="23"/>
    </row>
    <row r="1171">
      <c r="A1171" s="70" t="s">
        <v>354</v>
      </c>
      <c r="B1171" s="70" t="str">
        <f>IF($A$3=" "," ", IFERROR( VLOOKUP($A1171,'SUPPLIER DATA BASE'!$A$2:$M$936,3,0),""))</f>
        <v>-</v>
      </c>
      <c r="C1171" s="70" t="str">
        <f>IF($A$3=" "," ", IFERROR( VLOOKUP($A1171,'SUPPLIER DATA BASE'!$A$2:$F$936,6,0),""))</f>
        <v>-</v>
      </c>
      <c r="D1171" s="70" t="str">
        <f>IF($A$3=" "," ", IFERROR( VLOOKUP($A1171,'SUPPLIER DATA BASE'!$A$2:$G$936,4,0),""))</f>
        <v>-</v>
      </c>
      <c r="E1171" s="71" t="str">
        <f>IF($A$3=" "," ", IFERROR( VLOOKUP($A1171,'SUPPLIER DATA BASE'!$A$2:$H$936,5,0),""))</f>
        <v>-</v>
      </c>
      <c r="F1171" s="72" t="s">
        <v>3420</v>
      </c>
      <c r="G1171" s="73"/>
      <c r="H1171" s="74"/>
      <c r="I1171" s="75"/>
      <c r="J1171" s="76" t="s">
        <v>3421</v>
      </c>
      <c r="K1171" s="76" t="s">
        <v>3422</v>
      </c>
      <c r="L1171" s="73"/>
      <c r="M1171" s="70" t="str">
        <f t="shared" si="3"/>
        <v/>
      </c>
      <c r="N1171" s="70" t="str">
        <f>IF($A$3=" "," ", IFERROR( VLOOKUP($A1171,'SUPPLIER DATA BASE'!$A$2:$O$936,11,0),""))</f>
        <v>-</v>
      </c>
      <c r="O1171" s="70" t="str">
        <f>IF($A$3=" "," ", IFERROR( VLOOKUP($A1171,'SUPPLIER DATA BASE'!$A$2:$O$936,12,0),""))</f>
        <v>-</v>
      </c>
      <c r="P1171" s="70" t="str">
        <f>IF($A$3=" "," ", IFERROR( VLOOKUP($A1171,'SUPPLIER DATA BASE'!$A$2:$O$936,13,0),""))</f>
        <v>-</v>
      </c>
      <c r="Q1171" s="77"/>
      <c r="R1171" s="73"/>
      <c r="S1171" s="77"/>
      <c r="T1171" s="70"/>
      <c r="U1171" s="78"/>
      <c r="V1171" s="70" t="str">
        <f t="shared" si="6"/>
        <v/>
      </c>
      <c r="W1171" s="23"/>
      <c r="X1171" s="23"/>
    </row>
    <row r="1172">
      <c r="A1172" s="70" t="s">
        <v>354</v>
      </c>
      <c r="B1172" s="70" t="str">
        <f>IF($A$3=" "," ", IFERROR( VLOOKUP($A1172,'SUPPLIER DATA BASE'!$A$2:$M$936,3,0),""))</f>
        <v>-</v>
      </c>
      <c r="C1172" s="70" t="str">
        <f>IF($A$3=" "," ", IFERROR( VLOOKUP($A1172,'SUPPLIER DATA BASE'!$A$2:$F$936,6,0),""))</f>
        <v>-</v>
      </c>
      <c r="D1172" s="70" t="str">
        <f>IF($A$3=" "," ", IFERROR( VLOOKUP($A1172,'SUPPLIER DATA BASE'!$A$2:$G$936,4,0),""))</f>
        <v>-</v>
      </c>
      <c r="E1172" s="71" t="str">
        <f>IF($A$3=" "," ", IFERROR( VLOOKUP($A1172,'SUPPLIER DATA BASE'!$A$2:$H$936,5,0),""))</f>
        <v>-</v>
      </c>
      <c r="F1172" s="72" t="s">
        <v>3423</v>
      </c>
      <c r="G1172" s="73"/>
      <c r="H1172" s="74"/>
      <c r="I1172" s="75"/>
      <c r="J1172" s="76" t="s">
        <v>3424</v>
      </c>
      <c r="K1172" s="76" t="s">
        <v>3425</v>
      </c>
      <c r="L1172" s="73"/>
      <c r="M1172" s="70" t="str">
        <f t="shared" si="3"/>
        <v/>
      </c>
      <c r="N1172" s="70" t="str">
        <f>IF($A$3=" "," ", IFERROR( VLOOKUP($A1172,'SUPPLIER DATA BASE'!$A$2:$O$936,11,0),""))</f>
        <v>-</v>
      </c>
      <c r="O1172" s="70" t="str">
        <f>IF($A$3=" "," ", IFERROR( VLOOKUP($A1172,'SUPPLIER DATA BASE'!$A$2:$O$936,12,0),""))</f>
        <v>-</v>
      </c>
      <c r="P1172" s="70" t="str">
        <f>IF($A$3=" "," ", IFERROR( VLOOKUP($A1172,'SUPPLIER DATA BASE'!$A$2:$O$936,13,0),""))</f>
        <v>-</v>
      </c>
      <c r="Q1172" s="77"/>
      <c r="R1172" s="73"/>
      <c r="S1172" s="77"/>
      <c r="T1172" s="70"/>
      <c r="U1172" s="78"/>
      <c r="V1172" s="70" t="str">
        <f t="shared" si="6"/>
        <v/>
      </c>
      <c r="W1172" s="23"/>
      <c r="X1172" s="23"/>
    </row>
    <row r="1173">
      <c r="A1173" s="70" t="s">
        <v>354</v>
      </c>
      <c r="B1173" s="70" t="str">
        <f>IF($A$3=" "," ", IFERROR( VLOOKUP($A1173,'SUPPLIER DATA BASE'!$A$2:$M$936,3,0),""))</f>
        <v>-</v>
      </c>
      <c r="C1173" s="70" t="str">
        <f>IF($A$3=" "," ", IFERROR( VLOOKUP($A1173,'SUPPLIER DATA BASE'!$A$2:$F$936,6,0),""))</f>
        <v>-</v>
      </c>
      <c r="D1173" s="70" t="str">
        <f>IF($A$3=" "," ", IFERROR( VLOOKUP($A1173,'SUPPLIER DATA BASE'!$A$2:$G$936,4,0),""))</f>
        <v>-</v>
      </c>
      <c r="E1173" s="71" t="str">
        <f>IF($A$3=" "," ", IFERROR( VLOOKUP($A1173,'SUPPLIER DATA BASE'!$A$2:$H$936,5,0),""))</f>
        <v>-</v>
      </c>
      <c r="F1173" s="72" t="s">
        <v>3426</v>
      </c>
      <c r="G1173" s="73"/>
      <c r="H1173" s="74"/>
      <c r="I1173" s="75"/>
      <c r="J1173" s="76" t="s">
        <v>3427</v>
      </c>
      <c r="K1173" s="76" t="s">
        <v>3428</v>
      </c>
      <c r="L1173" s="73"/>
      <c r="M1173" s="70" t="str">
        <f t="shared" si="3"/>
        <v/>
      </c>
      <c r="N1173" s="70" t="str">
        <f>IF($A$3=" "," ", IFERROR( VLOOKUP($A1173,'SUPPLIER DATA BASE'!$A$2:$O$936,11,0),""))</f>
        <v>-</v>
      </c>
      <c r="O1173" s="70" t="str">
        <f>IF($A$3=" "," ", IFERROR( VLOOKUP($A1173,'SUPPLIER DATA BASE'!$A$2:$O$936,12,0),""))</f>
        <v>-</v>
      </c>
      <c r="P1173" s="70" t="str">
        <f>IF($A$3=" "," ", IFERROR( VLOOKUP($A1173,'SUPPLIER DATA BASE'!$A$2:$O$936,13,0),""))</f>
        <v>-</v>
      </c>
      <c r="Q1173" s="77"/>
      <c r="R1173" s="73"/>
      <c r="S1173" s="77"/>
      <c r="T1173" s="70"/>
      <c r="U1173" s="78"/>
      <c r="V1173" s="70" t="str">
        <f t="shared" si="6"/>
        <v/>
      </c>
      <c r="W1173" s="23"/>
      <c r="X1173" s="23"/>
    </row>
    <row r="1174">
      <c r="A1174" s="70" t="s">
        <v>354</v>
      </c>
      <c r="B1174" s="70" t="str">
        <f>IF($A$3=" "," ", IFERROR( VLOOKUP($A1174,'SUPPLIER DATA BASE'!$A$2:$M$936,3,0),""))</f>
        <v>-</v>
      </c>
      <c r="C1174" s="70" t="str">
        <f>IF($A$3=" "," ", IFERROR( VLOOKUP($A1174,'SUPPLIER DATA BASE'!$A$2:$F$936,6,0),""))</f>
        <v>-</v>
      </c>
      <c r="D1174" s="70" t="str">
        <f>IF($A$3=" "," ", IFERROR( VLOOKUP($A1174,'SUPPLIER DATA BASE'!$A$2:$G$936,4,0),""))</f>
        <v>-</v>
      </c>
      <c r="E1174" s="71" t="str">
        <f>IF($A$3=" "," ", IFERROR( VLOOKUP($A1174,'SUPPLIER DATA BASE'!$A$2:$H$936,5,0),""))</f>
        <v>-</v>
      </c>
      <c r="F1174" s="72" t="s">
        <v>3429</v>
      </c>
      <c r="G1174" s="73"/>
      <c r="H1174" s="74"/>
      <c r="I1174" s="75"/>
      <c r="J1174" s="76" t="s">
        <v>3430</v>
      </c>
      <c r="K1174" s="76" t="s">
        <v>3431</v>
      </c>
      <c r="L1174" s="73"/>
      <c r="M1174" s="70" t="str">
        <f t="shared" si="3"/>
        <v/>
      </c>
      <c r="N1174" s="70" t="str">
        <f>IF($A$3=" "," ", IFERROR( VLOOKUP($A1174,'SUPPLIER DATA BASE'!$A$2:$O$936,11,0),""))</f>
        <v>-</v>
      </c>
      <c r="O1174" s="70" t="str">
        <f>IF($A$3=" "," ", IFERROR( VLOOKUP($A1174,'SUPPLIER DATA BASE'!$A$2:$O$936,12,0),""))</f>
        <v>-</v>
      </c>
      <c r="P1174" s="70" t="str">
        <f>IF($A$3=" "," ", IFERROR( VLOOKUP($A1174,'SUPPLIER DATA BASE'!$A$2:$O$936,13,0),""))</f>
        <v>-</v>
      </c>
      <c r="Q1174" s="77"/>
      <c r="R1174" s="73"/>
      <c r="S1174" s="77"/>
      <c r="T1174" s="70"/>
      <c r="U1174" s="78"/>
      <c r="V1174" s="70" t="str">
        <f t="shared" si="6"/>
        <v/>
      </c>
      <c r="W1174" s="23"/>
      <c r="X1174" s="23"/>
    </row>
    <row r="1175">
      <c r="A1175" s="70" t="s">
        <v>354</v>
      </c>
      <c r="B1175" s="70" t="str">
        <f>IF($A$3=" "," ", IFERROR( VLOOKUP($A1175,'SUPPLIER DATA BASE'!$A$2:$M$936,3,0),""))</f>
        <v>-</v>
      </c>
      <c r="C1175" s="70" t="str">
        <f>IF($A$3=" "," ", IFERROR( VLOOKUP($A1175,'SUPPLIER DATA BASE'!$A$2:$F$936,6,0),""))</f>
        <v>-</v>
      </c>
      <c r="D1175" s="70" t="str">
        <f>IF($A$3=" "," ", IFERROR( VLOOKUP($A1175,'SUPPLIER DATA BASE'!$A$2:$G$936,4,0),""))</f>
        <v>-</v>
      </c>
      <c r="E1175" s="71" t="str">
        <f>IF($A$3=" "," ", IFERROR( VLOOKUP($A1175,'SUPPLIER DATA BASE'!$A$2:$H$936,5,0),""))</f>
        <v>-</v>
      </c>
      <c r="F1175" s="72" t="s">
        <v>3432</v>
      </c>
      <c r="G1175" s="73"/>
      <c r="H1175" s="74"/>
      <c r="I1175" s="75"/>
      <c r="J1175" s="76" t="s">
        <v>3433</v>
      </c>
      <c r="K1175" s="76" t="s">
        <v>3434</v>
      </c>
      <c r="L1175" s="73"/>
      <c r="M1175" s="70" t="str">
        <f t="shared" si="3"/>
        <v/>
      </c>
      <c r="N1175" s="70" t="str">
        <f>IF($A$3=" "," ", IFERROR( VLOOKUP($A1175,'SUPPLIER DATA BASE'!$A$2:$O$936,11,0),""))</f>
        <v>-</v>
      </c>
      <c r="O1175" s="70" t="str">
        <f>IF($A$3=" "," ", IFERROR( VLOOKUP($A1175,'SUPPLIER DATA BASE'!$A$2:$O$936,12,0),""))</f>
        <v>-</v>
      </c>
      <c r="P1175" s="70" t="str">
        <f>IF($A$3=" "," ", IFERROR( VLOOKUP($A1175,'SUPPLIER DATA BASE'!$A$2:$O$936,13,0),""))</f>
        <v>-</v>
      </c>
      <c r="Q1175" s="77"/>
      <c r="R1175" s="73"/>
      <c r="S1175" s="77"/>
      <c r="T1175" s="70"/>
      <c r="U1175" s="78"/>
      <c r="V1175" s="70" t="str">
        <f t="shared" si="6"/>
        <v/>
      </c>
      <c r="W1175" s="23"/>
      <c r="X1175" s="23"/>
    </row>
    <row r="1176">
      <c r="A1176" s="70" t="s">
        <v>354</v>
      </c>
      <c r="B1176" s="70" t="str">
        <f>IF($A$3=" "," ", IFERROR( VLOOKUP($A1176,'SUPPLIER DATA BASE'!$A$2:$M$936,3,0),""))</f>
        <v>-</v>
      </c>
      <c r="C1176" s="70" t="str">
        <f>IF($A$3=" "," ", IFERROR( VLOOKUP($A1176,'SUPPLIER DATA BASE'!$A$2:$F$936,6,0),""))</f>
        <v>-</v>
      </c>
      <c r="D1176" s="70" t="str">
        <f>IF($A$3=" "," ", IFERROR( VLOOKUP($A1176,'SUPPLIER DATA BASE'!$A$2:$G$936,4,0),""))</f>
        <v>-</v>
      </c>
      <c r="E1176" s="71" t="str">
        <f>IF($A$3=" "," ", IFERROR( VLOOKUP($A1176,'SUPPLIER DATA BASE'!$A$2:$H$936,5,0),""))</f>
        <v>-</v>
      </c>
      <c r="F1176" s="72" t="s">
        <v>3435</v>
      </c>
      <c r="G1176" s="73"/>
      <c r="H1176" s="74"/>
      <c r="I1176" s="75"/>
      <c r="J1176" s="76" t="s">
        <v>3436</v>
      </c>
      <c r="K1176" s="76" t="s">
        <v>3437</v>
      </c>
      <c r="L1176" s="73"/>
      <c r="M1176" s="70" t="str">
        <f t="shared" si="3"/>
        <v/>
      </c>
      <c r="N1176" s="70" t="str">
        <f>IF($A$3=" "," ", IFERROR( VLOOKUP($A1176,'SUPPLIER DATA BASE'!$A$2:$O$936,11,0),""))</f>
        <v>-</v>
      </c>
      <c r="O1176" s="70" t="str">
        <f>IF($A$3=" "," ", IFERROR( VLOOKUP($A1176,'SUPPLIER DATA BASE'!$A$2:$O$936,12,0),""))</f>
        <v>-</v>
      </c>
      <c r="P1176" s="70" t="str">
        <f>IF($A$3=" "," ", IFERROR( VLOOKUP($A1176,'SUPPLIER DATA BASE'!$A$2:$O$936,13,0),""))</f>
        <v>-</v>
      </c>
      <c r="Q1176" s="77"/>
      <c r="R1176" s="73"/>
      <c r="S1176" s="77"/>
      <c r="T1176" s="70"/>
      <c r="U1176" s="78"/>
      <c r="V1176" s="70" t="str">
        <f t="shared" si="6"/>
        <v/>
      </c>
      <c r="W1176" s="23"/>
      <c r="X1176" s="23"/>
    </row>
    <row r="1177">
      <c r="A1177" s="70" t="s">
        <v>354</v>
      </c>
      <c r="B1177" s="70" t="str">
        <f>IF($A$3=" "," ", IFERROR( VLOOKUP($A1177,'SUPPLIER DATA BASE'!$A$2:$M$936,3,0),""))</f>
        <v>-</v>
      </c>
      <c r="C1177" s="70" t="str">
        <f>IF($A$3=" "," ", IFERROR( VLOOKUP($A1177,'SUPPLIER DATA BASE'!$A$2:$F$936,6,0),""))</f>
        <v>-</v>
      </c>
      <c r="D1177" s="70" t="str">
        <f>IF($A$3=" "," ", IFERROR( VLOOKUP($A1177,'SUPPLIER DATA BASE'!$A$2:$G$936,4,0),""))</f>
        <v>-</v>
      </c>
      <c r="E1177" s="71" t="str">
        <f>IF($A$3=" "," ", IFERROR( VLOOKUP($A1177,'SUPPLIER DATA BASE'!$A$2:$H$936,5,0),""))</f>
        <v>-</v>
      </c>
      <c r="F1177" s="72" t="s">
        <v>3438</v>
      </c>
      <c r="G1177" s="73"/>
      <c r="H1177" s="74"/>
      <c r="I1177" s="75"/>
      <c r="J1177" s="76" t="s">
        <v>3439</v>
      </c>
      <c r="K1177" s="76" t="s">
        <v>3440</v>
      </c>
      <c r="L1177" s="73"/>
      <c r="M1177" s="70" t="str">
        <f t="shared" si="3"/>
        <v/>
      </c>
      <c r="N1177" s="70" t="str">
        <f>IF($A$3=" "," ", IFERROR( VLOOKUP($A1177,'SUPPLIER DATA BASE'!$A$2:$O$936,11,0),""))</f>
        <v>-</v>
      </c>
      <c r="O1177" s="70" t="str">
        <f>IF($A$3=" "," ", IFERROR( VLOOKUP($A1177,'SUPPLIER DATA BASE'!$A$2:$O$936,12,0),""))</f>
        <v>-</v>
      </c>
      <c r="P1177" s="70" t="str">
        <f>IF($A$3=" "," ", IFERROR( VLOOKUP($A1177,'SUPPLIER DATA BASE'!$A$2:$O$936,13,0),""))</f>
        <v>-</v>
      </c>
      <c r="Q1177" s="77"/>
      <c r="R1177" s="73"/>
      <c r="S1177" s="77"/>
      <c r="T1177" s="70"/>
      <c r="U1177" s="78"/>
      <c r="V1177" s="70" t="str">
        <f t="shared" si="6"/>
        <v/>
      </c>
      <c r="W1177" s="23"/>
      <c r="X1177" s="23"/>
    </row>
    <row r="1178">
      <c r="A1178" s="70" t="s">
        <v>354</v>
      </c>
      <c r="B1178" s="70" t="str">
        <f>IF($A$3=" "," ", IFERROR( VLOOKUP($A1178,'SUPPLIER DATA BASE'!$A$2:$M$936,3,0),""))</f>
        <v>-</v>
      </c>
      <c r="C1178" s="70" t="str">
        <f>IF($A$3=" "," ", IFERROR( VLOOKUP($A1178,'SUPPLIER DATA BASE'!$A$2:$F$936,6,0),""))</f>
        <v>-</v>
      </c>
      <c r="D1178" s="70" t="str">
        <f>IF($A$3=" "," ", IFERROR( VLOOKUP($A1178,'SUPPLIER DATA BASE'!$A$2:$G$936,4,0),""))</f>
        <v>-</v>
      </c>
      <c r="E1178" s="71" t="str">
        <f>IF($A$3=" "," ", IFERROR( VLOOKUP($A1178,'SUPPLIER DATA BASE'!$A$2:$H$936,5,0),""))</f>
        <v>-</v>
      </c>
      <c r="F1178" s="72" t="s">
        <v>3441</v>
      </c>
      <c r="G1178" s="73"/>
      <c r="H1178" s="74"/>
      <c r="I1178" s="75"/>
      <c r="J1178" s="76" t="s">
        <v>3442</v>
      </c>
      <c r="K1178" s="76" t="s">
        <v>3443</v>
      </c>
      <c r="L1178" s="73"/>
      <c r="M1178" s="70" t="str">
        <f t="shared" si="3"/>
        <v/>
      </c>
      <c r="N1178" s="70" t="str">
        <f>IF($A$3=" "," ", IFERROR( VLOOKUP($A1178,'SUPPLIER DATA BASE'!$A$2:$O$936,11,0),""))</f>
        <v>-</v>
      </c>
      <c r="O1178" s="70" t="str">
        <f>IF($A$3=" "," ", IFERROR( VLOOKUP($A1178,'SUPPLIER DATA BASE'!$A$2:$O$936,12,0),""))</f>
        <v>-</v>
      </c>
      <c r="P1178" s="70" t="str">
        <f>IF($A$3=" "," ", IFERROR( VLOOKUP($A1178,'SUPPLIER DATA BASE'!$A$2:$O$936,13,0),""))</f>
        <v>-</v>
      </c>
      <c r="Q1178" s="77"/>
      <c r="R1178" s="73"/>
      <c r="S1178" s="77"/>
      <c r="T1178" s="70"/>
      <c r="U1178" s="78"/>
      <c r="V1178" s="70" t="str">
        <f t="shared" si="6"/>
        <v/>
      </c>
      <c r="W1178" s="23"/>
      <c r="X1178" s="23"/>
    </row>
    <row r="1179">
      <c r="A1179" s="70" t="s">
        <v>354</v>
      </c>
      <c r="B1179" s="70" t="str">
        <f>IF($A$3=" "," ", IFERROR( VLOOKUP($A1179,'SUPPLIER DATA BASE'!$A$2:$M$936,3,0),""))</f>
        <v>-</v>
      </c>
      <c r="C1179" s="70" t="str">
        <f>IF($A$3=" "," ", IFERROR( VLOOKUP($A1179,'SUPPLIER DATA BASE'!$A$2:$F$936,6,0),""))</f>
        <v>-</v>
      </c>
      <c r="D1179" s="70" t="str">
        <f>IF($A$3=" "," ", IFERROR( VLOOKUP($A1179,'SUPPLIER DATA BASE'!$A$2:$G$936,4,0),""))</f>
        <v>-</v>
      </c>
      <c r="E1179" s="71" t="str">
        <f>IF($A$3=" "," ", IFERROR( VLOOKUP($A1179,'SUPPLIER DATA BASE'!$A$2:$H$936,5,0),""))</f>
        <v>-</v>
      </c>
      <c r="F1179" s="72" t="s">
        <v>3444</v>
      </c>
      <c r="G1179" s="73"/>
      <c r="H1179" s="74"/>
      <c r="I1179" s="75"/>
      <c r="J1179" s="76" t="s">
        <v>3445</v>
      </c>
      <c r="K1179" s="76" t="s">
        <v>3446</v>
      </c>
      <c r="L1179" s="73"/>
      <c r="M1179" s="70" t="str">
        <f t="shared" si="3"/>
        <v/>
      </c>
      <c r="N1179" s="70" t="str">
        <f>IF($A$3=" "," ", IFERROR( VLOOKUP($A1179,'SUPPLIER DATA BASE'!$A$2:$O$936,11,0),""))</f>
        <v>-</v>
      </c>
      <c r="O1179" s="70" t="str">
        <f>IF($A$3=" "," ", IFERROR( VLOOKUP($A1179,'SUPPLIER DATA BASE'!$A$2:$O$936,12,0),""))</f>
        <v>-</v>
      </c>
      <c r="P1179" s="70" t="str">
        <f>IF($A$3=" "," ", IFERROR( VLOOKUP($A1179,'SUPPLIER DATA BASE'!$A$2:$O$936,13,0),""))</f>
        <v>-</v>
      </c>
      <c r="Q1179" s="77"/>
      <c r="R1179" s="73"/>
      <c r="S1179" s="77"/>
      <c r="T1179" s="70"/>
      <c r="U1179" s="78"/>
      <c r="V1179" s="70" t="str">
        <f t="shared" si="6"/>
        <v/>
      </c>
      <c r="W1179" s="23"/>
      <c r="X1179" s="23"/>
    </row>
    <row r="1180">
      <c r="A1180" s="70" t="s">
        <v>354</v>
      </c>
      <c r="B1180" s="70" t="str">
        <f>IF($A$3=" "," ", IFERROR( VLOOKUP($A1180,'SUPPLIER DATA BASE'!$A$2:$M$936,3,0),""))</f>
        <v>-</v>
      </c>
      <c r="C1180" s="70" t="str">
        <f>IF($A$3=" "," ", IFERROR( VLOOKUP($A1180,'SUPPLIER DATA BASE'!$A$2:$F$936,6,0),""))</f>
        <v>-</v>
      </c>
      <c r="D1180" s="70" t="str">
        <f>IF($A$3=" "," ", IFERROR( VLOOKUP($A1180,'SUPPLIER DATA BASE'!$A$2:$G$936,4,0),""))</f>
        <v>-</v>
      </c>
      <c r="E1180" s="71" t="str">
        <f>IF($A$3=" "," ", IFERROR( VLOOKUP($A1180,'SUPPLIER DATA BASE'!$A$2:$H$936,5,0),""))</f>
        <v>-</v>
      </c>
      <c r="F1180" s="72" t="s">
        <v>3447</v>
      </c>
      <c r="G1180" s="73"/>
      <c r="H1180" s="74"/>
      <c r="I1180" s="75"/>
      <c r="J1180" s="76" t="s">
        <v>3448</v>
      </c>
      <c r="K1180" s="76" t="s">
        <v>3449</v>
      </c>
      <c r="L1180" s="73"/>
      <c r="M1180" s="70" t="str">
        <f t="shared" si="3"/>
        <v/>
      </c>
      <c r="N1180" s="70" t="str">
        <f>IF($A$3=" "," ", IFERROR( VLOOKUP($A1180,'SUPPLIER DATA BASE'!$A$2:$O$936,11,0),""))</f>
        <v>-</v>
      </c>
      <c r="O1180" s="70" t="str">
        <f>IF($A$3=" "," ", IFERROR( VLOOKUP($A1180,'SUPPLIER DATA BASE'!$A$2:$O$936,12,0),""))</f>
        <v>-</v>
      </c>
      <c r="P1180" s="70" t="str">
        <f>IF($A$3=" "," ", IFERROR( VLOOKUP($A1180,'SUPPLIER DATA BASE'!$A$2:$O$936,13,0),""))</f>
        <v>-</v>
      </c>
      <c r="Q1180" s="77"/>
      <c r="R1180" s="73"/>
      <c r="S1180" s="77"/>
      <c r="T1180" s="70"/>
      <c r="U1180" s="78"/>
      <c r="V1180" s="70" t="str">
        <f t="shared" si="6"/>
        <v/>
      </c>
      <c r="W1180" s="23"/>
      <c r="X1180" s="23"/>
    </row>
    <row r="1181">
      <c r="A1181" s="70" t="s">
        <v>354</v>
      </c>
      <c r="B1181" s="70" t="str">
        <f>IF($A$3=" "," ", IFERROR( VLOOKUP($A1181,'SUPPLIER DATA BASE'!$A$2:$M$936,3,0),""))</f>
        <v>-</v>
      </c>
      <c r="C1181" s="70" t="str">
        <f>IF($A$3=" "," ", IFERROR( VLOOKUP($A1181,'SUPPLIER DATA BASE'!$A$2:$F$936,6,0),""))</f>
        <v>-</v>
      </c>
      <c r="D1181" s="70" t="str">
        <f>IF($A$3=" "," ", IFERROR( VLOOKUP($A1181,'SUPPLIER DATA BASE'!$A$2:$G$936,4,0),""))</f>
        <v>-</v>
      </c>
      <c r="E1181" s="71" t="str">
        <f>IF($A$3=" "," ", IFERROR( VLOOKUP($A1181,'SUPPLIER DATA BASE'!$A$2:$H$936,5,0),""))</f>
        <v>-</v>
      </c>
      <c r="F1181" s="72" t="s">
        <v>3450</v>
      </c>
      <c r="G1181" s="73"/>
      <c r="H1181" s="74"/>
      <c r="I1181" s="75"/>
      <c r="J1181" s="76" t="s">
        <v>3451</v>
      </c>
      <c r="K1181" s="76" t="s">
        <v>3452</v>
      </c>
      <c r="L1181" s="73"/>
      <c r="M1181" s="70" t="str">
        <f t="shared" si="3"/>
        <v/>
      </c>
      <c r="N1181" s="70" t="str">
        <f>IF($A$3=" "," ", IFERROR( VLOOKUP($A1181,'SUPPLIER DATA BASE'!$A$2:$O$936,11,0),""))</f>
        <v>-</v>
      </c>
      <c r="O1181" s="70" t="str">
        <f>IF($A$3=" "," ", IFERROR( VLOOKUP($A1181,'SUPPLIER DATA BASE'!$A$2:$O$936,12,0),""))</f>
        <v>-</v>
      </c>
      <c r="P1181" s="70" t="str">
        <f>IF($A$3=" "," ", IFERROR( VLOOKUP($A1181,'SUPPLIER DATA BASE'!$A$2:$O$936,13,0),""))</f>
        <v>-</v>
      </c>
      <c r="Q1181" s="77"/>
      <c r="R1181" s="73"/>
      <c r="S1181" s="77"/>
      <c r="T1181" s="70"/>
      <c r="U1181" s="78"/>
      <c r="V1181" s="70" t="str">
        <f t="shared" si="6"/>
        <v/>
      </c>
      <c r="W1181" s="23"/>
      <c r="X1181" s="23"/>
    </row>
    <row r="1182">
      <c r="A1182" s="70" t="s">
        <v>354</v>
      </c>
      <c r="B1182" s="70" t="str">
        <f>IF($A$3=" "," ", IFERROR( VLOOKUP($A1182,'SUPPLIER DATA BASE'!$A$2:$M$936,3,0),""))</f>
        <v>-</v>
      </c>
      <c r="C1182" s="70" t="str">
        <f>IF($A$3=" "," ", IFERROR( VLOOKUP($A1182,'SUPPLIER DATA BASE'!$A$2:$F$936,6,0),""))</f>
        <v>-</v>
      </c>
      <c r="D1182" s="70" t="str">
        <f>IF($A$3=" "," ", IFERROR( VLOOKUP($A1182,'SUPPLIER DATA BASE'!$A$2:$G$936,4,0),""))</f>
        <v>-</v>
      </c>
      <c r="E1182" s="71" t="str">
        <f>IF($A$3=" "," ", IFERROR( VLOOKUP($A1182,'SUPPLIER DATA BASE'!$A$2:$H$936,5,0),""))</f>
        <v>-</v>
      </c>
      <c r="F1182" s="72" t="s">
        <v>3453</v>
      </c>
      <c r="G1182" s="73"/>
      <c r="H1182" s="74"/>
      <c r="I1182" s="75"/>
      <c r="J1182" s="76" t="s">
        <v>3454</v>
      </c>
      <c r="K1182" s="76" t="s">
        <v>3455</v>
      </c>
      <c r="L1182" s="73"/>
      <c r="M1182" s="70" t="str">
        <f t="shared" si="3"/>
        <v/>
      </c>
      <c r="N1182" s="70" t="str">
        <f>IF($A$3=" "," ", IFERROR( VLOOKUP($A1182,'SUPPLIER DATA BASE'!$A$2:$O$936,11,0),""))</f>
        <v>-</v>
      </c>
      <c r="O1182" s="70" t="str">
        <f>IF($A$3=" "," ", IFERROR( VLOOKUP($A1182,'SUPPLIER DATA BASE'!$A$2:$O$936,12,0),""))</f>
        <v>-</v>
      </c>
      <c r="P1182" s="70" t="str">
        <f>IF($A$3=" "," ", IFERROR( VLOOKUP($A1182,'SUPPLIER DATA BASE'!$A$2:$O$936,13,0),""))</f>
        <v>-</v>
      </c>
      <c r="Q1182" s="77"/>
      <c r="R1182" s="73"/>
      <c r="S1182" s="77"/>
      <c r="T1182" s="70"/>
      <c r="U1182" s="78"/>
      <c r="V1182" s="70" t="str">
        <f t="shared" si="6"/>
        <v/>
      </c>
      <c r="W1182" s="23"/>
      <c r="X1182" s="23"/>
    </row>
    <row r="1183">
      <c r="A1183" s="70" t="s">
        <v>354</v>
      </c>
      <c r="B1183" s="70" t="str">
        <f>IF($A$3=" "," ", IFERROR( VLOOKUP($A1183,'SUPPLIER DATA BASE'!$A$2:$M$936,3,0),""))</f>
        <v>-</v>
      </c>
      <c r="C1183" s="70" t="str">
        <f>IF($A$3=" "," ", IFERROR( VLOOKUP($A1183,'SUPPLIER DATA BASE'!$A$2:$F$936,6,0),""))</f>
        <v>-</v>
      </c>
      <c r="D1183" s="70" t="str">
        <f>IF($A$3=" "," ", IFERROR( VLOOKUP($A1183,'SUPPLIER DATA BASE'!$A$2:$G$936,4,0),""))</f>
        <v>-</v>
      </c>
      <c r="E1183" s="71" t="str">
        <f>IF($A$3=" "," ", IFERROR( VLOOKUP($A1183,'SUPPLIER DATA BASE'!$A$2:$H$936,5,0),""))</f>
        <v>-</v>
      </c>
      <c r="F1183" s="72" t="s">
        <v>3456</v>
      </c>
      <c r="G1183" s="73"/>
      <c r="H1183" s="74"/>
      <c r="I1183" s="75"/>
      <c r="J1183" s="76" t="s">
        <v>3457</v>
      </c>
      <c r="K1183" s="76" t="s">
        <v>3458</v>
      </c>
      <c r="L1183" s="73"/>
      <c r="M1183" s="70" t="str">
        <f t="shared" si="3"/>
        <v/>
      </c>
      <c r="N1183" s="70" t="str">
        <f>IF($A$3=" "," ", IFERROR( VLOOKUP($A1183,'SUPPLIER DATA BASE'!$A$2:$O$936,11,0),""))</f>
        <v>-</v>
      </c>
      <c r="O1183" s="70" t="str">
        <f>IF($A$3=" "," ", IFERROR( VLOOKUP($A1183,'SUPPLIER DATA BASE'!$A$2:$O$936,12,0),""))</f>
        <v>-</v>
      </c>
      <c r="P1183" s="70" t="str">
        <f>IF($A$3=" "," ", IFERROR( VLOOKUP($A1183,'SUPPLIER DATA BASE'!$A$2:$O$936,13,0),""))</f>
        <v>-</v>
      </c>
      <c r="Q1183" s="77"/>
      <c r="R1183" s="73"/>
      <c r="S1183" s="77"/>
      <c r="T1183" s="70"/>
      <c r="U1183" s="78"/>
      <c r="V1183" s="70" t="str">
        <f t="shared" si="6"/>
        <v/>
      </c>
      <c r="W1183" s="23"/>
      <c r="X1183" s="23"/>
    </row>
    <row r="1184">
      <c r="A1184" s="70" t="s">
        <v>354</v>
      </c>
      <c r="B1184" s="70" t="str">
        <f>IF($A$3=" "," ", IFERROR( VLOOKUP($A1184,'SUPPLIER DATA BASE'!$A$2:$M$936,3,0),""))</f>
        <v>-</v>
      </c>
      <c r="C1184" s="70" t="str">
        <f>IF($A$3=" "," ", IFERROR( VLOOKUP($A1184,'SUPPLIER DATA BASE'!$A$2:$F$936,6,0),""))</f>
        <v>-</v>
      </c>
      <c r="D1184" s="70" t="str">
        <f>IF($A$3=" "," ", IFERROR( VLOOKUP($A1184,'SUPPLIER DATA BASE'!$A$2:$G$936,4,0),""))</f>
        <v>-</v>
      </c>
      <c r="E1184" s="71" t="str">
        <f>IF($A$3=" "," ", IFERROR( VLOOKUP($A1184,'SUPPLIER DATA BASE'!$A$2:$H$936,5,0),""))</f>
        <v>-</v>
      </c>
      <c r="F1184" s="72" t="s">
        <v>3459</v>
      </c>
      <c r="G1184" s="73"/>
      <c r="H1184" s="74"/>
      <c r="I1184" s="75"/>
      <c r="J1184" s="76" t="s">
        <v>3460</v>
      </c>
      <c r="K1184" s="76" t="s">
        <v>3461</v>
      </c>
      <c r="L1184" s="73"/>
      <c r="M1184" s="70" t="str">
        <f t="shared" si="3"/>
        <v/>
      </c>
      <c r="N1184" s="70" t="str">
        <f>IF($A$3=" "," ", IFERROR( VLOOKUP($A1184,'SUPPLIER DATA BASE'!$A$2:$O$936,11,0),""))</f>
        <v>-</v>
      </c>
      <c r="O1184" s="70" t="str">
        <f>IF($A$3=" "," ", IFERROR( VLOOKUP($A1184,'SUPPLIER DATA BASE'!$A$2:$O$936,12,0),""))</f>
        <v>-</v>
      </c>
      <c r="P1184" s="70" t="str">
        <f>IF($A$3=" "," ", IFERROR( VLOOKUP($A1184,'SUPPLIER DATA BASE'!$A$2:$O$936,13,0),""))</f>
        <v>-</v>
      </c>
      <c r="Q1184" s="77"/>
      <c r="R1184" s="73"/>
      <c r="S1184" s="77"/>
      <c r="T1184" s="70"/>
      <c r="U1184" s="78"/>
      <c r="V1184" s="70" t="str">
        <f t="shared" si="6"/>
        <v/>
      </c>
      <c r="W1184" s="23"/>
      <c r="X1184" s="23"/>
    </row>
    <row r="1185">
      <c r="A1185" s="70" t="s">
        <v>354</v>
      </c>
      <c r="B1185" s="70" t="str">
        <f>IF($A$3=" "," ", IFERROR( VLOOKUP($A1185,'SUPPLIER DATA BASE'!$A$2:$M$936,3,0),""))</f>
        <v>-</v>
      </c>
      <c r="C1185" s="70" t="str">
        <f>IF($A$3=" "," ", IFERROR( VLOOKUP($A1185,'SUPPLIER DATA BASE'!$A$2:$F$936,6,0),""))</f>
        <v>-</v>
      </c>
      <c r="D1185" s="70" t="str">
        <f>IF($A$3=" "," ", IFERROR( VLOOKUP($A1185,'SUPPLIER DATA BASE'!$A$2:$G$936,4,0),""))</f>
        <v>-</v>
      </c>
      <c r="E1185" s="71" t="str">
        <f>IF($A$3=" "," ", IFERROR( VLOOKUP($A1185,'SUPPLIER DATA BASE'!$A$2:$H$936,5,0),""))</f>
        <v>-</v>
      </c>
      <c r="F1185" s="72" t="s">
        <v>3462</v>
      </c>
      <c r="G1185" s="73"/>
      <c r="H1185" s="74"/>
      <c r="I1185" s="75"/>
      <c r="J1185" s="76" t="s">
        <v>3463</v>
      </c>
      <c r="K1185" s="76" t="s">
        <v>3464</v>
      </c>
      <c r="L1185" s="73"/>
      <c r="M1185" s="70" t="str">
        <f t="shared" si="3"/>
        <v/>
      </c>
      <c r="N1185" s="70" t="str">
        <f>IF($A$3=" "," ", IFERROR( VLOOKUP($A1185,'SUPPLIER DATA BASE'!$A$2:$O$936,11,0),""))</f>
        <v>-</v>
      </c>
      <c r="O1185" s="70" t="str">
        <f>IF($A$3=" "," ", IFERROR( VLOOKUP($A1185,'SUPPLIER DATA BASE'!$A$2:$O$936,12,0),""))</f>
        <v>-</v>
      </c>
      <c r="P1185" s="70" t="str">
        <f>IF($A$3=" "," ", IFERROR( VLOOKUP($A1185,'SUPPLIER DATA BASE'!$A$2:$O$936,13,0),""))</f>
        <v>-</v>
      </c>
      <c r="Q1185" s="77"/>
      <c r="R1185" s="73"/>
      <c r="S1185" s="77"/>
      <c r="T1185" s="70"/>
      <c r="U1185" s="78"/>
      <c r="V1185" s="70" t="str">
        <f t="shared" si="6"/>
        <v/>
      </c>
      <c r="W1185" s="23"/>
      <c r="X1185" s="23"/>
    </row>
    <row r="1186">
      <c r="A1186" s="70" t="s">
        <v>354</v>
      </c>
      <c r="B1186" s="70" t="str">
        <f>IF($A$3=" "," ", IFERROR( VLOOKUP($A1186,'SUPPLIER DATA BASE'!$A$2:$M$936,3,0),""))</f>
        <v>-</v>
      </c>
      <c r="C1186" s="70" t="str">
        <f>IF($A$3=" "," ", IFERROR( VLOOKUP($A1186,'SUPPLIER DATA BASE'!$A$2:$F$936,6,0),""))</f>
        <v>-</v>
      </c>
      <c r="D1186" s="70" t="str">
        <f>IF($A$3=" "," ", IFERROR( VLOOKUP($A1186,'SUPPLIER DATA BASE'!$A$2:$G$936,4,0),""))</f>
        <v>-</v>
      </c>
      <c r="E1186" s="71" t="str">
        <f>IF($A$3=" "," ", IFERROR( VLOOKUP($A1186,'SUPPLIER DATA BASE'!$A$2:$H$936,5,0),""))</f>
        <v>-</v>
      </c>
      <c r="F1186" s="72" t="s">
        <v>3465</v>
      </c>
      <c r="G1186" s="73"/>
      <c r="H1186" s="74"/>
      <c r="I1186" s="75"/>
      <c r="J1186" s="76" t="s">
        <v>3466</v>
      </c>
      <c r="K1186" s="76" t="s">
        <v>3467</v>
      </c>
      <c r="L1186" s="73"/>
      <c r="M1186" s="70" t="str">
        <f t="shared" si="3"/>
        <v/>
      </c>
      <c r="N1186" s="70" t="str">
        <f>IF($A$3=" "," ", IFERROR( VLOOKUP($A1186,'SUPPLIER DATA BASE'!$A$2:$O$936,11,0),""))</f>
        <v>-</v>
      </c>
      <c r="O1186" s="70" t="str">
        <f>IF($A$3=" "," ", IFERROR( VLOOKUP($A1186,'SUPPLIER DATA BASE'!$A$2:$O$936,12,0),""))</f>
        <v>-</v>
      </c>
      <c r="P1186" s="70" t="str">
        <f>IF($A$3=" "," ", IFERROR( VLOOKUP($A1186,'SUPPLIER DATA BASE'!$A$2:$O$936,13,0),""))</f>
        <v>-</v>
      </c>
      <c r="Q1186" s="77"/>
      <c r="R1186" s="73"/>
      <c r="S1186" s="77"/>
      <c r="T1186" s="70"/>
      <c r="U1186" s="78"/>
      <c r="V1186" s="70" t="str">
        <f t="shared" si="6"/>
        <v/>
      </c>
      <c r="W1186" s="23"/>
      <c r="X1186" s="23"/>
    </row>
    <row r="1187">
      <c r="A1187" s="70" t="s">
        <v>354</v>
      </c>
      <c r="B1187" s="70" t="str">
        <f>IF($A$3=" "," ", IFERROR( VLOOKUP($A1187,'SUPPLIER DATA BASE'!$A$2:$M$936,3,0),""))</f>
        <v>-</v>
      </c>
      <c r="C1187" s="70" t="str">
        <f>IF($A$3=" "," ", IFERROR( VLOOKUP($A1187,'SUPPLIER DATA BASE'!$A$2:$F$936,6,0),""))</f>
        <v>-</v>
      </c>
      <c r="D1187" s="70" t="str">
        <f>IF($A$3=" "," ", IFERROR( VLOOKUP($A1187,'SUPPLIER DATA BASE'!$A$2:$G$936,4,0),""))</f>
        <v>-</v>
      </c>
      <c r="E1187" s="71" t="str">
        <f>IF($A$3=" "," ", IFERROR( VLOOKUP($A1187,'SUPPLIER DATA BASE'!$A$2:$H$936,5,0),""))</f>
        <v>-</v>
      </c>
      <c r="F1187" s="72" t="s">
        <v>3468</v>
      </c>
      <c r="G1187" s="73"/>
      <c r="H1187" s="74"/>
      <c r="I1187" s="75"/>
      <c r="J1187" s="76" t="s">
        <v>3469</v>
      </c>
      <c r="K1187" s="76" t="s">
        <v>3470</v>
      </c>
      <c r="L1187" s="73"/>
      <c r="M1187" s="70" t="str">
        <f t="shared" si="3"/>
        <v/>
      </c>
      <c r="N1187" s="70" t="str">
        <f>IF($A$3=" "," ", IFERROR( VLOOKUP($A1187,'SUPPLIER DATA BASE'!$A$2:$O$936,11,0),""))</f>
        <v>-</v>
      </c>
      <c r="O1187" s="70" t="str">
        <f>IF($A$3=" "," ", IFERROR( VLOOKUP($A1187,'SUPPLIER DATA BASE'!$A$2:$O$936,12,0),""))</f>
        <v>-</v>
      </c>
      <c r="P1187" s="70" t="str">
        <f>IF($A$3=" "," ", IFERROR( VLOOKUP($A1187,'SUPPLIER DATA BASE'!$A$2:$O$936,13,0),""))</f>
        <v>-</v>
      </c>
      <c r="Q1187" s="77"/>
      <c r="R1187" s="73"/>
      <c r="S1187" s="77"/>
      <c r="T1187" s="70"/>
      <c r="U1187" s="78"/>
      <c r="V1187" s="70" t="str">
        <f t="shared" si="6"/>
        <v/>
      </c>
      <c r="W1187" s="23"/>
      <c r="X1187" s="23"/>
    </row>
    <row r="1188">
      <c r="A1188" s="70" t="s">
        <v>354</v>
      </c>
      <c r="B1188" s="70" t="str">
        <f>IF($A$3=" "," ", IFERROR( VLOOKUP($A1188,'SUPPLIER DATA BASE'!$A$2:$M$936,3,0),""))</f>
        <v>-</v>
      </c>
      <c r="C1188" s="70" t="str">
        <f>IF($A$3=" "," ", IFERROR( VLOOKUP($A1188,'SUPPLIER DATA BASE'!$A$2:$F$936,6,0),""))</f>
        <v>-</v>
      </c>
      <c r="D1188" s="70" t="str">
        <f>IF($A$3=" "," ", IFERROR( VLOOKUP($A1188,'SUPPLIER DATA BASE'!$A$2:$G$936,4,0),""))</f>
        <v>-</v>
      </c>
      <c r="E1188" s="71" t="str">
        <f>IF($A$3=" "," ", IFERROR( VLOOKUP($A1188,'SUPPLIER DATA BASE'!$A$2:$H$936,5,0),""))</f>
        <v>-</v>
      </c>
      <c r="F1188" s="72" t="s">
        <v>3471</v>
      </c>
      <c r="G1188" s="73"/>
      <c r="H1188" s="74"/>
      <c r="I1188" s="75"/>
      <c r="J1188" s="76" t="s">
        <v>3472</v>
      </c>
      <c r="K1188" s="76" t="s">
        <v>3473</v>
      </c>
      <c r="L1188" s="73"/>
      <c r="M1188" s="70" t="str">
        <f t="shared" si="3"/>
        <v/>
      </c>
      <c r="N1188" s="70" t="str">
        <f>IF($A$3=" "," ", IFERROR( VLOOKUP($A1188,'SUPPLIER DATA BASE'!$A$2:$O$936,11,0),""))</f>
        <v>-</v>
      </c>
      <c r="O1188" s="70" t="str">
        <f>IF($A$3=" "," ", IFERROR( VLOOKUP($A1188,'SUPPLIER DATA BASE'!$A$2:$O$936,12,0),""))</f>
        <v>-</v>
      </c>
      <c r="P1188" s="70" t="str">
        <f>IF($A$3=" "," ", IFERROR( VLOOKUP($A1188,'SUPPLIER DATA BASE'!$A$2:$O$936,13,0),""))</f>
        <v>-</v>
      </c>
      <c r="Q1188" s="77"/>
      <c r="R1188" s="73"/>
      <c r="S1188" s="77"/>
      <c r="T1188" s="70"/>
      <c r="U1188" s="78"/>
      <c r="V1188" s="70" t="str">
        <f t="shared" si="6"/>
        <v/>
      </c>
      <c r="W1188" s="23"/>
      <c r="X1188" s="23"/>
    </row>
    <row r="1189">
      <c r="A1189" s="70" t="s">
        <v>354</v>
      </c>
      <c r="B1189" s="70" t="str">
        <f>IF($A$3=" "," ", IFERROR( VLOOKUP($A1189,'SUPPLIER DATA BASE'!$A$2:$M$936,3,0),""))</f>
        <v>-</v>
      </c>
      <c r="C1189" s="70" t="str">
        <f>IF($A$3=" "," ", IFERROR( VLOOKUP($A1189,'SUPPLIER DATA BASE'!$A$2:$F$936,6,0),""))</f>
        <v>-</v>
      </c>
      <c r="D1189" s="70" t="str">
        <f>IF($A$3=" "," ", IFERROR( VLOOKUP($A1189,'SUPPLIER DATA BASE'!$A$2:$G$936,4,0),""))</f>
        <v>-</v>
      </c>
      <c r="E1189" s="71" t="str">
        <f>IF($A$3=" "," ", IFERROR( VLOOKUP($A1189,'SUPPLIER DATA BASE'!$A$2:$H$936,5,0),""))</f>
        <v>-</v>
      </c>
      <c r="F1189" s="72" t="s">
        <v>3474</v>
      </c>
      <c r="G1189" s="73"/>
      <c r="H1189" s="74"/>
      <c r="I1189" s="75"/>
      <c r="J1189" s="76" t="s">
        <v>3475</v>
      </c>
      <c r="K1189" s="76" t="s">
        <v>3476</v>
      </c>
      <c r="L1189" s="73"/>
      <c r="M1189" s="70" t="str">
        <f t="shared" si="3"/>
        <v/>
      </c>
      <c r="N1189" s="70" t="str">
        <f>IF($A$3=" "," ", IFERROR( VLOOKUP($A1189,'SUPPLIER DATA BASE'!$A$2:$O$936,11,0),""))</f>
        <v>-</v>
      </c>
      <c r="O1189" s="70" t="str">
        <f>IF($A$3=" "," ", IFERROR( VLOOKUP($A1189,'SUPPLIER DATA BASE'!$A$2:$O$936,12,0),""))</f>
        <v>-</v>
      </c>
      <c r="P1189" s="70" t="str">
        <f>IF($A$3=" "," ", IFERROR( VLOOKUP($A1189,'SUPPLIER DATA BASE'!$A$2:$O$936,13,0),""))</f>
        <v>-</v>
      </c>
      <c r="Q1189" s="77"/>
      <c r="R1189" s="73"/>
      <c r="S1189" s="77"/>
      <c r="T1189" s="70"/>
      <c r="U1189" s="78"/>
      <c r="V1189" s="70" t="str">
        <f t="shared" si="6"/>
        <v/>
      </c>
      <c r="W1189" s="23"/>
      <c r="X1189" s="23"/>
    </row>
    <row r="1190">
      <c r="A1190" s="70" t="s">
        <v>354</v>
      </c>
      <c r="B1190" s="70" t="str">
        <f>IF($A$3=" "," ", IFERROR( VLOOKUP($A1190,'SUPPLIER DATA BASE'!$A$2:$M$936,3,0),""))</f>
        <v>-</v>
      </c>
      <c r="C1190" s="70" t="str">
        <f>IF($A$3=" "," ", IFERROR( VLOOKUP($A1190,'SUPPLIER DATA BASE'!$A$2:$F$936,6,0),""))</f>
        <v>-</v>
      </c>
      <c r="D1190" s="70" t="str">
        <f>IF($A$3=" "," ", IFERROR( VLOOKUP($A1190,'SUPPLIER DATA BASE'!$A$2:$G$936,4,0),""))</f>
        <v>-</v>
      </c>
      <c r="E1190" s="71" t="str">
        <f>IF($A$3=" "," ", IFERROR( VLOOKUP($A1190,'SUPPLIER DATA BASE'!$A$2:$H$936,5,0),""))</f>
        <v>-</v>
      </c>
      <c r="F1190" s="72" t="s">
        <v>3477</v>
      </c>
      <c r="G1190" s="73"/>
      <c r="H1190" s="74"/>
      <c r="I1190" s="75"/>
      <c r="J1190" s="76" t="s">
        <v>3478</v>
      </c>
      <c r="K1190" s="76" t="s">
        <v>3479</v>
      </c>
      <c r="L1190" s="73"/>
      <c r="M1190" s="70" t="str">
        <f t="shared" si="3"/>
        <v/>
      </c>
      <c r="N1190" s="70" t="str">
        <f>IF($A$3=" "," ", IFERROR( VLOOKUP($A1190,'SUPPLIER DATA BASE'!$A$2:$O$936,11,0),""))</f>
        <v>-</v>
      </c>
      <c r="O1190" s="70" t="str">
        <f>IF($A$3=" "," ", IFERROR( VLOOKUP($A1190,'SUPPLIER DATA BASE'!$A$2:$O$936,12,0),""))</f>
        <v>-</v>
      </c>
      <c r="P1190" s="70" t="str">
        <f>IF($A$3=" "," ", IFERROR( VLOOKUP($A1190,'SUPPLIER DATA BASE'!$A$2:$O$936,13,0),""))</f>
        <v>-</v>
      </c>
      <c r="Q1190" s="77"/>
      <c r="R1190" s="73"/>
      <c r="S1190" s="77"/>
      <c r="T1190" s="70"/>
      <c r="U1190" s="78"/>
      <c r="V1190" s="70" t="str">
        <f t="shared" si="6"/>
        <v/>
      </c>
      <c r="W1190" s="23"/>
      <c r="X1190" s="23"/>
    </row>
    <row r="1191">
      <c r="A1191" s="70" t="s">
        <v>354</v>
      </c>
      <c r="B1191" s="70" t="str">
        <f>IF($A$3=" "," ", IFERROR( VLOOKUP($A1191,'SUPPLIER DATA BASE'!$A$2:$M$936,3,0),""))</f>
        <v>-</v>
      </c>
      <c r="C1191" s="70" t="str">
        <f>IF($A$3=" "," ", IFERROR( VLOOKUP($A1191,'SUPPLIER DATA BASE'!$A$2:$F$936,6,0),""))</f>
        <v>-</v>
      </c>
      <c r="D1191" s="70" t="str">
        <f>IF($A$3=" "," ", IFERROR( VLOOKUP($A1191,'SUPPLIER DATA BASE'!$A$2:$G$936,4,0),""))</f>
        <v>-</v>
      </c>
      <c r="E1191" s="71" t="str">
        <f>IF($A$3=" "," ", IFERROR( VLOOKUP($A1191,'SUPPLIER DATA BASE'!$A$2:$H$936,5,0),""))</f>
        <v>-</v>
      </c>
      <c r="F1191" s="72" t="s">
        <v>3480</v>
      </c>
      <c r="G1191" s="73"/>
      <c r="H1191" s="74"/>
      <c r="I1191" s="75"/>
      <c r="J1191" s="76" t="s">
        <v>3481</v>
      </c>
      <c r="K1191" s="76" t="s">
        <v>3482</v>
      </c>
      <c r="L1191" s="73"/>
      <c r="M1191" s="70" t="str">
        <f t="shared" si="3"/>
        <v/>
      </c>
      <c r="N1191" s="70" t="str">
        <f>IF($A$3=" "," ", IFERROR( VLOOKUP($A1191,'SUPPLIER DATA BASE'!$A$2:$O$936,11,0),""))</f>
        <v>-</v>
      </c>
      <c r="O1191" s="70" t="str">
        <f>IF($A$3=" "," ", IFERROR( VLOOKUP($A1191,'SUPPLIER DATA BASE'!$A$2:$O$936,12,0),""))</f>
        <v>-</v>
      </c>
      <c r="P1191" s="70" t="str">
        <f>IF($A$3=" "," ", IFERROR( VLOOKUP($A1191,'SUPPLIER DATA BASE'!$A$2:$O$936,13,0),""))</f>
        <v>-</v>
      </c>
      <c r="Q1191" s="77"/>
      <c r="R1191" s="73"/>
      <c r="S1191" s="77"/>
      <c r="T1191" s="70"/>
      <c r="U1191" s="78"/>
      <c r="V1191" s="70" t="str">
        <f t="shared" si="6"/>
        <v/>
      </c>
      <c r="W1191" s="23"/>
      <c r="X1191" s="23"/>
    </row>
    <row r="1192">
      <c r="A1192" s="70" t="s">
        <v>354</v>
      </c>
      <c r="B1192" s="70" t="str">
        <f>IF($A$3=" "," ", IFERROR( VLOOKUP($A1192,'SUPPLIER DATA BASE'!$A$2:$M$936,3,0),""))</f>
        <v>-</v>
      </c>
      <c r="C1192" s="70" t="str">
        <f>IF($A$3=" "," ", IFERROR( VLOOKUP($A1192,'SUPPLIER DATA BASE'!$A$2:$F$936,6,0),""))</f>
        <v>-</v>
      </c>
      <c r="D1192" s="70" t="str">
        <f>IF($A$3=" "," ", IFERROR( VLOOKUP($A1192,'SUPPLIER DATA BASE'!$A$2:$G$936,4,0),""))</f>
        <v>-</v>
      </c>
      <c r="E1192" s="71" t="str">
        <f>IF($A$3=" "," ", IFERROR( VLOOKUP($A1192,'SUPPLIER DATA BASE'!$A$2:$H$936,5,0),""))</f>
        <v>-</v>
      </c>
      <c r="F1192" s="72" t="s">
        <v>3483</v>
      </c>
      <c r="G1192" s="73"/>
      <c r="H1192" s="74"/>
      <c r="I1192" s="75"/>
      <c r="J1192" s="76" t="s">
        <v>3484</v>
      </c>
      <c r="K1192" s="76" t="s">
        <v>3485</v>
      </c>
      <c r="L1192" s="73"/>
      <c r="M1192" s="70" t="str">
        <f t="shared" si="3"/>
        <v/>
      </c>
      <c r="N1192" s="70" t="str">
        <f>IF($A$3=" "," ", IFERROR( VLOOKUP($A1192,'SUPPLIER DATA BASE'!$A$2:$O$936,11,0),""))</f>
        <v>-</v>
      </c>
      <c r="O1192" s="70" t="str">
        <f>IF($A$3=" "," ", IFERROR( VLOOKUP($A1192,'SUPPLIER DATA BASE'!$A$2:$O$936,12,0),""))</f>
        <v>-</v>
      </c>
      <c r="P1192" s="70" t="str">
        <f>IF($A$3=" "," ", IFERROR( VLOOKUP($A1192,'SUPPLIER DATA BASE'!$A$2:$O$936,13,0),""))</f>
        <v>-</v>
      </c>
      <c r="Q1192" s="77"/>
      <c r="R1192" s="73"/>
      <c r="S1192" s="77"/>
      <c r="T1192" s="70"/>
      <c r="U1192" s="78"/>
      <c r="V1192" s="70" t="str">
        <f t="shared" si="6"/>
        <v/>
      </c>
      <c r="W1192" s="23"/>
      <c r="X1192" s="23"/>
    </row>
    <row r="1193">
      <c r="A1193" s="70" t="s">
        <v>354</v>
      </c>
      <c r="B1193" s="70" t="str">
        <f>IF($A$3=" "," ", IFERROR( VLOOKUP($A1193,'SUPPLIER DATA BASE'!$A$2:$M$936,3,0),""))</f>
        <v>-</v>
      </c>
      <c r="C1193" s="70" t="str">
        <f>IF($A$3=" "," ", IFERROR( VLOOKUP($A1193,'SUPPLIER DATA BASE'!$A$2:$F$936,6,0),""))</f>
        <v>-</v>
      </c>
      <c r="D1193" s="70" t="str">
        <f>IF($A$3=" "," ", IFERROR( VLOOKUP($A1193,'SUPPLIER DATA BASE'!$A$2:$G$936,4,0),""))</f>
        <v>-</v>
      </c>
      <c r="E1193" s="71" t="str">
        <f>IF($A$3=" "," ", IFERROR( VLOOKUP($A1193,'SUPPLIER DATA BASE'!$A$2:$H$936,5,0),""))</f>
        <v>-</v>
      </c>
      <c r="F1193" s="72" t="s">
        <v>3486</v>
      </c>
      <c r="G1193" s="73"/>
      <c r="H1193" s="74"/>
      <c r="I1193" s="75"/>
      <c r="J1193" s="76" t="s">
        <v>3487</v>
      </c>
      <c r="K1193" s="76" t="s">
        <v>3488</v>
      </c>
      <c r="L1193" s="73"/>
      <c r="M1193" s="70" t="str">
        <f t="shared" si="3"/>
        <v/>
      </c>
      <c r="N1193" s="70" t="str">
        <f>IF($A$3=" "," ", IFERROR( VLOOKUP($A1193,'SUPPLIER DATA BASE'!$A$2:$O$936,11,0),""))</f>
        <v>-</v>
      </c>
      <c r="O1193" s="70" t="str">
        <f>IF($A$3=" "," ", IFERROR( VLOOKUP($A1193,'SUPPLIER DATA BASE'!$A$2:$O$936,12,0),""))</f>
        <v>-</v>
      </c>
      <c r="P1193" s="70" t="str">
        <f>IF($A$3=" "," ", IFERROR( VLOOKUP($A1193,'SUPPLIER DATA BASE'!$A$2:$O$936,13,0),""))</f>
        <v>-</v>
      </c>
      <c r="Q1193" s="77"/>
      <c r="R1193" s="73"/>
      <c r="S1193" s="77"/>
      <c r="T1193" s="70"/>
      <c r="U1193" s="78"/>
      <c r="V1193" s="70" t="str">
        <f t="shared" si="6"/>
        <v/>
      </c>
      <c r="W1193" s="23"/>
      <c r="X1193" s="23"/>
    </row>
    <row r="1194">
      <c r="A1194" s="70" t="s">
        <v>354</v>
      </c>
      <c r="B1194" s="70" t="str">
        <f>IF($A$3=" "," ", IFERROR( VLOOKUP($A1194,'SUPPLIER DATA BASE'!$A$2:$M$936,3,0),""))</f>
        <v>-</v>
      </c>
      <c r="C1194" s="70" t="str">
        <f>IF($A$3=" "," ", IFERROR( VLOOKUP($A1194,'SUPPLIER DATA BASE'!$A$2:$F$936,6,0),""))</f>
        <v>-</v>
      </c>
      <c r="D1194" s="70" t="str">
        <f>IF($A$3=" "," ", IFERROR( VLOOKUP($A1194,'SUPPLIER DATA BASE'!$A$2:$G$936,4,0),""))</f>
        <v>-</v>
      </c>
      <c r="E1194" s="71" t="str">
        <f>IF($A$3=" "," ", IFERROR( VLOOKUP($A1194,'SUPPLIER DATA BASE'!$A$2:$H$936,5,0),""))</f>
        <v>-</v>
      </c>
      <c r="F1194" s="72" t="s">
        <v>3489</v>
      </c>
      <c r="G1194" s="73"/>
      <c r="H1194" s="74"/>
      <c r="I1194" s="75"/>
      <c r="J1194" s="76" t="s">
        <v>3490</v>
      </c>
      <c r="K1194" s="76" t="s">
        <v>3491</v>
      </c>
      <c r="L1194" s="73"/>
      <c r="M1194" s="70" t="str">
        <f t="shared" si="3"/>
        <v/>
      </c>
      <c r="N1194" s="70" t="str">
        <f>IF($A$3=" "," ", IFERROR( VLOOKUP($A1194,'SUPPLIER DATA BASE'!$A$2:$O$936,11,0),""))</f>
        <v>-</v>
      </c>
      <c r="O1194" s="70" t="str">
        <f>IF($A$3=" "," ", IFERROR( VLOOKUP($A1194,'SUPPLIER DATA BASE'!$A$2:$O$936,12,0),""))</f>
        <v>-</v>
      </c>
      <c r="P1194" s="70" t="str">
        <f>IF($A$3=" "," ", IFERROR( VLOOKUP($A1194,'SUPPLIER DATA BASE'!$A$2:$O$936,13,0),""))</f>
        <v>-</v>
      </c>
      <c r="Q1194" s="77"/>
      <c r="R1194" s="73"/>
      <c r="S1194" s="77"/>
      <c r="T1194" s="70"/>
      <c r="U1194" s="78"/>
      <c r="V1194" s="70" t="str">
        <f t="shared" si="6"/>
        <v/>
      </c>
      <c r="W1194" s="23"/>
      <c r="X1194" s="23"/>
    </row>
    <row r="1195">
      <c r="A1195" s="70" t="s">
        <v>354</v>
      </c>
      <c r="B1195" s="70" t="str">
        <f>IF($A$3=" "," ", IFERROR( VLOOKUP($A1195,'SUPPLIER DATA BASE'!$A$2:$M$936,3,0),""))</f>
        <v>-</v>
      </c>
      <c r="C1195" s="70" t="str">
        <f>IF($A$3=" "," ", IFERROR( VLOOKUP($A1195,'SUPPLIER DATA BASE'!$A$2:$F$936,6,0),""))</f>
        <v>-</v>
      </c>
      <c r="D1195" s="70" t="str">
        <f>IF($A$3=" "," ", IFERROR( VLOOKUP($A1195,'SUPPLIER DATA BASE'!$A$2:$G$936,4,0),""))</f>
        <v>-</v>
      </c>
      <c r="E1195" s="71" t="str">
        <f>IF($A$3=" "," ", IFERROR( VLOOKUP($A1195,'SUPPLIER DATA BASE'!$A$2:$H$936,5,0),""))</f>
        <v>-</v>
      </c>
      <c r="F1195" s="72" t="s">
        <v>3492</v>
      </c>
      <c r="G1195" s="73"/>
      <c r="H1195" s="74"/>
      <c r="I1195" s="75"/>
      <c r="J1195" s="76" t="s">
        <v>3493</v>
      </c>
      <c r="K1195" s="76" t="s">
        <v>3494</v>
      </c>
      <c r="L1195" s="73"/>
      <c r="M1195" s="70" t="str">
        <f t="shared" si="3"/>
        <v/>
      </c>
      <c r="N1195" s="70" t="str">
        <f>IF($A$3=" "," ", IFERROR( VLOOKUP($A1195,'SUPPLIER DATA BASE'!$A$2:$O$936,11,0),""))</f>
        <v>-</v>
      </c>
      <c r="O1195" s="70" t="str">
        <f>IF($A$3=" "," ", IFERROR( VLOOKUP($A1195,'SUPPLIER DATA BASE'!$A$2:$O$936,12,0),""))</f>
        <v>-</v>
      </c>
      <c r="P1195" s="70" t="str">
        <f>IF($A$3=" "," ", IFERROR( VLOOKUP($A1195,'SUPPLIER DATA BASE'!$A$2:$O$936,13,0),""))</f>
        <v>-</v>
      </c>
      <c r="Q1195" s="77"/>
      <c r="R1195" s="73"/>
      <c r="S1195" s="77"/>
      <c r="T1195" s="70"/>
      <c r="U1195" s="78"/>
      <c r="V1195" s="70" t="str">
        <f t="shared" si="6"/>
        <v/>
      </c>
      <c r="W1195" s="23"/>
      <c r="X1195" s="23"/>
    </row>
    <row r="1196">
      <c r="A1196" s="70" t="s">
        <v>354</v>
      </c>
      <c r="B1196" s="70" t="str">
        <f>IF($A$3=" "," ", IFERROR( VLOOKUP($A1196,'SUPPLIER DATA BASE'!$A$2:$M$936,3,0),""))</f>
        <v>-</v>
      </c>
      <c r="C1196" s="70" t="str">
        <f>IF($A$3=" "," ", IFERROR( VLOOKUP($A1196,'SUPPLIER DATA BASE'!$A$2:$F$936,6,0),""))</f>
        <v>-</v>
      </c>
      <c r="D1196" s="70" t="str">
        <f>IF($A$3=" "," ", IFERROR( VLOOKUP($A1196,'SUPPLIER DATA BASE'!$A$2:$G$936,4,0),""))</f>
        <v>-</v>
      </c>
      <c r="E1196" s="71" t="str">
        <f>IF($A$3=" "," ", IFERROR( VLOOKUP($A1196,'SUPPLIER DATA BASE'!$A$2:$H$936,5,0),""))</f>
        <v>-</v>
      </c>
      <c r="F1196" s="72" t="s">
        <v>3495</v>
      </c>
      <c r="G1196" s="73"/>
      <c r="H1196" s="74"/>
      <c r="I1196" s="75"/>
      <c r="J1196" s="76" t="s">
        <v>3496</v>
      </c>
      <c r="K1196" s="76" t="s">
        <v>3497</v>
      </c>
      <c r="L1196" s="73"/>
      <c r="M1196" s="70" t="str">
        <f t="shared" si="3"/>
        <v/>
      </c>
      <c r="N1196" s="70" t="str">
        <f>IF($A$3=" "," ", IFERROR( VLOOKUP($A1196,'SUPPLIER DATA BASE'!$A$2:$O$936,11,0),""))</f>
        <v>-</v>
      </c>
      <c r="O1196" s="70" t="str">
        <f>IF($A$3=" "," ", IFERROR( VLOOKUP($A1196,'SUPPLIER DATA BASE'!$A$2:$O$936,12,0),""))</f>
        <v>-</v>
      </c>
      <c r="P1196" s="70" t="str">
        <f>IF($A$3=" "," ", IFERROR( VLOOKUP($A1196,'SUPPLIER DATA BASE'!$A$2:$O$936,13,0),""))</f>
        <v>-</v>
      </c>
      <c r="Q1196" s="77"/>
      <c r="R1196" s="73"/>
      <c r="S1196" s="77"/>
      <c r="T1196" s="70"/>
      <c r="U1196" s="78"/>
      <c r="V1196" s="70" t="str">
        <f t="shared" si="6"/>
        <v/>
      </c>
      <c r="W1196" s="23"/>
      <c r="X1196" s="23"/>
    </row>
    <row r="1197">
      <c r="A1197" s="70" t="s">
        <v>354</v>
      </c>
      <c r="B1197" s="70" t="str">
        <f>IF($A$3=" "," ", IFERROR( VLOOKUP($A1197,'SUPPLIER DATA BASE'!$A$2:$M$936,3,0),""))</f>
        <v>-</v>
      </c>
      <c r="C1197" s="70" t="str">
        <f>IF($A$3=" "," ", IFERROR( VLOOKUP($A1197,'SUPPLIER DATA BASE'!$A$2:$F$936,6,0),""))</f>
        <v>-</v>
      </c>
      <c r="D1197" s="70" t="str">
        <f>IF($A$3=" "," ", IFERROR( VLOOKUP($A1197,'SUPPLIER DATA BASE'!$A$2:$G$936,4,0),""))</f>
        <v>-</v>
      </c>
      <c r="E1197" s="71" t="str">
        <f>IF($A$3=" "," ", IFERROR( VLOOKUP($A1197,'SUPPLIER DATA BASE'!$A$2:$H$936,5,0),""))</f>
        <v>-</v>
      </c>
      <c r="F1197" s="72" t="s">
        <v>3498</v>
      </c>
      <c r="G1197" s="73"/>
      <c r="H1197" s="74"/>
      <c r="I1197" s="75"/>
      <c r="J1197" s="76" t="s">
        <v>3499</v>
      </c>
      <c r="K1197" s="76" t="s">
        <v>3500</v>
      </c>
      <c r="L1197" s="73"/>
      <c r="M1197" s="70" t="str">
        <f t="shared" si="3"/>
        <v/>
      </c>
      <c r="N1197" s="70" t="str">
        <f>IF($A$3=" "," ", IFERROR( VLOOKUP($A1197,'SUPPLIER DATA BASE'!$A$2:$O$936,11,0),""))</f>
        <v>-</v>
      </c>
      <c r="O1197" s="70" t="str">
        <f>IF($A$3=" "," ", IFERROR( VLOOKUP($A1197,'SUPPLIER DATA BASE'!$A$2:$O$936,12,0),""))</f>
        <v>-</v>
      </c>
      <c r="P1197" s="70" t="str">
        <f>IF($A$3=" "," ", IFERROR( VLOOKUP($A1197,'SUPPLIER DATA BASE'!$A$2:$O$936,13,0),""))</f>
        <v>-</v>
      </c>
      <c r="Q1197" s="77"/>
      <c r="R1197" s="73"/>
      <c r="S1197" s="77"/>
      <c r="T1197" s="70"/>
      <c r="U1197" s="78"/>
      <c r="V1197" s="70" t="str">
        <f t="shared" si="6"/>
        <v/>
      </c>
      <c r="W1197" s="23"/>
      <c r="X1197" s="23"/>
    </row>
    <row r="1198">
      <c r="A1198" s="70" t="s">
        <v>354</v>
      </c>
      <c r="B1198" s="70" t="str">
        <f>IF($A$3=" "," ", IFERROR( VLOOKUP($A1198,'SUPPLIER DATA BASE'!$A$2:$M$936,3,0),""))</f>
        <v>-</v>
      </c>
      <c r="C1198" s="70" t="str">
        <f>IF($A$3=" "," ", IFERROR( VLOOKUP($A1198,'SUPPLIER DATA BASE'!$A$2:$F$936,6,0),""))</f>
        <v>-</v>
      </c>
      <c r="D1198" s="70" t="str">
        <f>IF($A$3=" "," ", IFERROR( VLOOKUP($A1198,'SUPPLIER DATA BASE'!$A$2:$G$936,4,0),""))</f>
        <v>-</v>
      </c>
      <c r="E1198" s="71" t="str">
        <f>IF($A$3=" "," ", IFERROR( VLOOKUP($A1198,'SUPPLIER DATA BASE'!$A$2:$H$936,5,0),""))</f>
        <v>-</v>
      </c>
      <c r="F1198" s="72" t="s">
        <v>3501</v>
      </c>
      <c r="G1198" s="73"/>
      <c r="H1198" s="74"/>
      <c r="I1198" s="75"/>
      <c r="J1198" s="76" t="s">
        <v>3502</v>
      </c>
      <c r="K1198" s="76" t="s">
        <v>3503</v>
      </c>
      <c r="L1198" s="73"/>
      <c r="M1198" s="70" t="str">
        <f t="shared" si="3"/>
        <v/>
      </c>
      <c r="N1198" s="70" t="str">
        <f>IF($A$3=" "," ", IFERROR( VLOOKUP($A1198,'SUPPLIER DATA BASE'!$A$2:$O$936,11,0),""))</f>
        <v>-</v>
      </c>
      <c r="O1198" s="70" t="str">
        <f>IF($A$3=" "," ", IFERROR( VLOOKUP($A1198,'SUPPLIER DATA BASE'!$A$2:$O$936,12,0),""))</f>
        <v>-</v>
      </c>
      <c r="P1198" s="70" t="str">
        <f>IF($A$3=" "," ", IFERROR( VLOOKUP($A1198,'SUPPLIER DATA BASE'!$A$2:$O$936,13,0),""))</f>
        <v>-</v>
      </c>
      <c r="Q1198" s="77"/>
      <c r="R1198" s="73"/>
      <c r="S1198" s="77"/>
      <c r="T1198" s="70"/>
      <c r="U1198" s="78"/>
      <c r="V1198" s="70" t="str">
        <f t="shared" si="6"/>
        <v/>
      </c>
      <c r="W1198" s="23"/>
      <c r="X1198" s="23"/>
    </row>
    <row r="1199">
      <c r="A1199" s="70" t="s">
        <v>354</v>
      </c>
      <c r="B1199" s="70" t="str">
        <f>IF($A$3=" "," ", IFERROR( VLOOKUP($A1199,'SUPPLIER DATA BASE'!$A$2:$M$936,3,0),""))</f>
        <v>-</v>
      </c>
      <c r="C1199" s="70" t="str">
        <f>IF($A$3=" "," ", IFERROR( VLOOKUP($A1199,'SUPPLIER DATA BASE'!$A$2:$F$936,6,0),""))</f>
        <v>-</v>
      </c>
      <c r="D1199" s="70" t="str">
        <f>IF($A$3=" "," ", IFERROR( VLOOKUP($A1199,'SUPPLIER DATA BASE'!$A$2:$G$936,4,0),""))</f>
        <v>-</v>
      </c>
      <c r="E1199" s="71" t="str">
        <f>IF($A$3=" "," ", IFERROR( VLOOKUP($A1199,'SUPPLIER DATA BASE'!$A$2:$H$936,5,0),""))</f>
        <v>-</v>
      </c>
      <c r="F1199" s="72" t="s">
        <v>3504</v>
      </c>
      <c r="G1199" s="73"/>
      <c r="H1199" s="74"/>
      <c r="I1199" s="75"/>
      <c r="J1199" s="76" t="s">
        <v>3505</v>
      </c>
      <c r="K1199" s="76" t="s">
        <v>3506</v>
      </c>
      <c r="L1199" s="73"/>
      <c r="M1199" s="70" t="str">
        <f t="shared" si="3"/>
        <v/>
      </c>
      <c r="N1199" s="70" t="str">
        <f>IF($A$3=" "," ", IFERROR( VLOOKUP($A1199,'SUPPLIER DATA BASE'!$A$2:$O$936,11,0),""))</f>
        <v>-</v>
      </c>
      <c r="O1199" s="70" t="str">
        <f>IF($A$3=" "," ", IFERROR( VLOOKUP($A1199,'SUPPLIER DATA BASE'!$A$2:$O$936,12,0),""))</f>
        <v>-</v>
      </c>
      <c r="P1199" s="70" t="str">
        <f>IF($A$3=" "," ", IFERROR( VLOOKUP($A1199,'SUPPLIER DATA BASE'!$A$2:$O$936,13,0),""))</f>
        <v>-</v>
      </c>
      <c r="Q1199" s="77"/>
      <c r="R1199" s="73"/>
      <c r="S1199" s="77"/>
      <c r="T1199" s="70"/>
      <c r="U1199" s="78"/>
      <c r="V1199" s="70" t="str">
        <f t="shared" si="6"/>
        <v/>
      </c>
      <c r="W1199" s="23"/>
      <c r="X1199" s="23"/>
    </row>
    <row r="1200">
      <c r="A1200" s="70" t="s">
        <v>354</v>
      </c>
      <c r="B1200" s="70" t="str">
        <f>IF($A$3=" "," ", IFERROR( VLOOKUP($A1200,'SUPPLIER DATA BASE'!$A$2:$M$936,3,0),""))</f>
        <v>-</v>
      </c>
      <c r="C1200" s="70" t="str">
        <f>IF($A$3=" "," ", IFERROR( VLOOKUP($A1200,'SUPPLIER DATA BASE'!$A$2:$F$936,6,0),""))</f>
        <v>-</v>
      </c>
      <c r="D1200" s="70" t="str">
        <f>IF($A$3=" "," ", IFERROR( VLOOKUP($A1200,'SUPPLIER DATA BASE'!$A$2:$G$936,4,0),""))</f>
        <v>-</v>
      </c>
      <c r="E1200" s="71" t="str">
        <f>IF($A$3=" "," ", IFERROR( VLOOKUP($A1200,'SUPPLIER DATA BASE'!$A$2:$H$936,5,0),""))</f>
        <v>-</v>
      </c>
      <c r="F1200" s="72" t="s">
        <v>3507</v>
      </c>
      <c r="G1200" s="73"/>
      <c r="H1200" s="74"/>
      <c r="I1200" s="75"/>
      <c r="J1200" s="76" t="s">
        <v>3508</v>
      </c>
      <c r="K1200" s="76" t="s">
        <v>3509</v>
      </c>
      <c r="L1200" s="73"/>
      <c r="M1200" s="70" t="str">
        <f t="shared" si="3"/>
        <v/>
      </c>
      <c r="N1200" s="70" t="str">
        <f>IF($A$3=" "," ", IFERROR( VLOOKUP($A1200,'SUPPLIER DATA BASE'!$A$2:$O$936,11,0),""))</f>
        <v>-</v>
      </c>
      <c r="O1200" s="70" t="str">
        <f>IF($A$3=" "," ", IFERROR( VLOOKUP($A1200,'SUPPLIER DATA BASE'!$A$2:$O$936,12,0),""))</f>
        <v>-</v>
      </c>
      <c r="P1200" s="70" t="str">
        <f>IF($A$3=" "," ", IFERROR( VLOOKUP($A1200,'SUPPLIER DATA BASE'!$A$2:$O$936,13,0),""))</f>
        <v>-</v>
      </c>
      <c r="Q1200" s="77"/>
      <c r="R1200" s="73"/>
      <c r="S1200" s="77"/>
      <c r="T1200" s="70"/>
      <c r="U1200" s="78"/>
      <c r="V1200" s="70" t="str">
        <f t="shared" si="6"/>
        <v/>
      </c>
      <c r="W1200" s="23"/>
      <c r="X1200" s="23"/>
    </row>
    <row r="1201">
      <c r="A1201" s="70" t="s">
        <v>354</v>
      </c>
      <c r="B1201" s="70" t="str">
        <f>IF($A$3=" "," ", IFERROR( VLOOKUP($A1201,'SUPPLIER DATA BASE'!$A$2:$M$936,3,0),""))</f>
        <v>-</v>
      </c>
      <c r="C1201" s="70" t="str">
        <f>IF($A$3=" "," ", IFERROR( VLOOKUP($A1201,'SUPPLIER DATA BASE'!$A$2:$F$936,6,0),""))</f>
        <v>-</v>
      </c>
      <c r="D1201" s="70" t="str">
        <f>IF($A$3=" "," ", IFERROR( VLOOKUP($A1201,'SUPPLIER DATA BASE'!$A$2:$G$936,4,0),""))</f>
        <v>-</v>
      </c>
      <c r="E1201" s="71" t="str">
        <f>IF($A$3=" "," ", IFERROR( VLOOKUP($A1201,'SUPPLIER DATA BASE'!$A$2:$H$936,5,0),""))</f>
        <v>-</v>
      </c>
      <c r="F1201" s="72" t="s">
        <v>3510</v>
      </c>
      <c r="G1201" s="73"/>
      <c r="H1201" s="74"/>
      <c r="I1201" s="75"/>
      <c r="J1201" s="76" t="s">
        <v>3511</v>
      </c>
      <c r="K1201" s="76" t="s">
        <v>3512</v>
      </c>
      <c r="L1201" s="73"/>
      <c r="M1201" s="70" t="str">
        <f t="shared" si="3"/>
        <v/>
      </c>
      <c r="N1201" s="70" t="str">
        <f>IF($A$3=" "," ", IFERROR( VLOOKUP($A1201,'SUPPLIER DATA BASE'!$A$2:$O$936,11,0),""))</f>
        <v>-</v>
      </c>
      <c r="O1201" s="70" t="str">
        <f>IF($A$3=" "," ", IFERROR( VLOOKUP($A1201,'SUPPLIER DATA BASE'!$A$2:$O$936,12,0),""))</f>
        <v>-</v>
      </c>
      <c r="P1201" s="70" t="str">
        <f>IF($A$3=" "," ", IFERROR( VLOOKUP($A1201,'SUPPLIER DATA BASE'!$A$2:$O$936,13,0),""))</f>
        <v>-</v>
      </c>
      <c r="Q1201" s="77"/>
      <c r="R1201" s="73"/>
      <c r="S1201" s="77"/>
      <c r="T1201" s="70"/>
      <c r="U1201" s="78"/>
      <c r="V1201" s="70" t="str">
        <f t="shared" si="6"/>
        <v/>
      </c>
      <c r="W1201" s="23"/>
      <c r="X1201" s="23"/>
    </row>
    <row r="1202">
      <c r="A1202" s="70" t="s">
        <v>354</v>
      </c>
      <c r="B1202" s="70" t="str">
        <f>IF($A$3=" "," ", IFERROR( VLOOKUP($A1202,'SUPPLIER DATA BASE'!$A$2:$M$936,3,0),""))</f>
        <v>-</v>
      </c>
      <c r="C1202" s="70" t="str">
        <f>IF($A$3=" "," ", IFERROR( VLOOKUP($A1202,'SUPPLIER DATA BASE'!$A$2:$F$936,6,0),""))</f>
        <v>-</v>
      </c>
      <c r="D1202" s="70" t="str">
        <f>IF($A$3=" "," ", IFERROR( VLOOKUP($A1202,'SUPPLIER DATA BASE'!$A$2:$G$936,4,0),""))</f>
        <v>-</v>
      </c>
      <c r="E1202" s="71" t="str">
        <f>IF($A$3=" "," ", IFERROR( VLOOKUP($A1202,'SUPPLIER DATA BASE'!$A$2:$H$936,5,0),""))</f>
        <v>-</v>
      </c>
      <c r="F1202" s="72" t="s">
        <v>3513</v>
      </c>
      <c r="G1202" s="73"/>
      <c r="H1202" s="74"/>
      <c r="I1202" s="75"/>
      <c r="J1202" s="76" t="s">
        <v>3514</v>
      </c>
      <c r="K1202" s="76" t="s">
        <v>3515</v>
      </c>
      <c r="L1202" s="73"/>
      <c r="M1202" s="70" t="str">
        <f t="shared" si="3"/>
        <v/>
      </c>
      <c r="N1202" s="70" t="str">
        <f>IF($A$3=" "," ", IFERROR( VLOOKUP($A1202,'SUPPLIER DATA BASE'!$A$2:$O$936,11,0),""))</f>
        <v>-</v>
      </c>
      <c r="O1202" s="70" t="str">
        <f>IF($A$3=" "," ", IFERROR( VLOOKUP($A1202,'SUPPLIER DATA BASE'!$A$2:$O$936,12,0),""))</f>
        <v>-</v>
      </c>
      <c r="P1202" s="70" t="str">
        <f>IF($A$3=" "," ", IFERROR( VLOOKUP($A1202,'SUPPLIER DATA BASE'!$A$2:$O$936,13,0),""))</f>
        <v>-</v>
      </c>
      <c r="Q1202" s="77"/>
      <c r="R1202" s="73"/>
      <c r="S1202" s="77"/>
      <c r="T1202" s="70"/>
      <c r="U1202" s="78"/>
      <c r="V1202" s="70" t="str">
        <f t="shared" si="6"/>
        <v/>
      </c>
      <c r="W1202" s="23"/>
      <c r="X1202" s="23"/>
    </row>
    <row r="1203">
      <c r="A1203" s="70" t="s">
        <v>354</v>
      </c>
      <c r="B1203" s="70" t="str">
        <f>IF($A$3=" "," ", IFERROR( VLOOKUP($A1203,'SUPPLIER DATA BASE'!$A$2:$M$936,3,0),""))</f>
        <v>-</v>
      </c>
      <c r="C1203" s="70" t="str">
        <f>IF($A$3=" "," ", IFERROR( VLOOKUP($A1203,'SUPPLIER DATA BASE'!$A$2:$F$936,6,0),""))</f>
        <v>-</v>
      </c>
      <c r="D1203" s="70" t="str">
        <f>IF($A$3=" "," ", IFERROR( VLOOKUP($A1203,'SUPPLIER DATA BASE'!$A$2:$G$936,4,0),""))</f>
        <v>-</v>
      </c>
      <c r="E1203" s="71" t="str">
        <f>IF($A$3=" "," ", IFERROR( VLOOKUP($A1203,'SUPPLIER DATA BASE'!$A$2:$H$936,5,0),""))</f>
        <v>-</v>
      </c>
      <c r="F1203" s="72" t="s">
        <v>3516</v>
      </c>
      <c r="G1203" s="73"/>
      <c r="H1203" s="74"/>
      <c r="I1203" s="75"/>
      <c r="J1203" s="76" t="s">
        <v>3517</v>
      </c>
      <c r="K1203" s="76" t="s">
        <v>3518</v>
      </c>
      <c r="L1203" s="73"/>
      <c r="M1203" s="70" t="str">
        <f t="shared" si="3"/>
        <v/>
      </c>
      <c r="N1203" s="70" t="str">
        <f>IF($A$3=" "," ", IFERROR( VLOOKUP($A1203,'SUPPLIER DATA BASE'!$A$2:$O$936,11,0),""))</f>
        <v>-</v>
      </c>
      <c r="O1203" s="70" t="str">
        <f>IF($A$3=" "," ", IFERROR( VLOOKUP($A1203,'SUPPLIER DATA BASE'!$A$2:$O$936,12,0),""))</f>
        <v>-</v>
      </c>
      <c r="P1203" s="70" t="str">
        <f>IF($A$3=" "," ", IFERROR( VLOOKUP($A1203,'SUPPLIER DATA BASE'!$A$2:$O$936,13,0),""))</f>
        <v>-</v>
      </c>
      <c r="Q1203" s="77"/>
      <c r="R1203" s="73"/>
      <c r="S1203" s="77"/>
      <c r="T1203" s="70"/>
      <c r="U1203" s="78"/>
      <c r="V1203" s="70" t="str">
        <f t="shared" si="6"/>
        <v/>
      </c>
      <c r="W1203" s="23"/>
      <c r="X1203" s="23"/>
    </row>
    <row r="1204">
      <c r="A1204" s="70" t="s">
        <v>354</v>
      </c>
      <c r="B1204" s="70" t="str">
        <f>IF($A$3=" "," ", IFERROR( VLOOKUP($A1204,'SUPPLIER DATA BASE'!$A$2:$M$936,3,0),""))</f>
        <v>-</v>
      </c>
      <c r="C1204" s="70" t="str">
        <f>IF($A$3=" "," ", IFERROR( VLOOKUP($A1204,'SUPPLIER DATA BASE'!$A$2:$F$936,6,0),""))</f>
        <v>-</v>
      </c>
      <c r="D1204" s="70" t="str">
        <f>IF($A$3=" "," ", IFERROR( VLOOKUP($A1204,'SUPPLIER DATA BASE'!$A$2:$G$936,4,0),""))</f>
        <v>-</v>
      </c>
      <c r="E1204" s="71" t="str">
        <f>IF($A$3=" "," ", IFERROR( VLOOKUP($A1204,'SUPPLIER DATA BASE'!$A$2:$H$936,5,0),""))</f>
        <v>-</v>
      </c>
      <c r="F1204" s="72" t="s">
        <v>3519</v>
      </c>
      <c r="G1204" s="73"/>
      <c r="H1204" s="74"/>
      <c r="I1204" s="75"/>
      <c r="J1204" s="76" t="s">
        <v>3520</v>
      </c>
      <c r="K1204" s="76" t="s">
        <v>3521</v>
      </c>
      <c r="L1204" s="73"/>
      <c r="M1204" s="70" t="str">
        <f t="shared" si="3"/>
        <v/>
      </c>
      <c r="N1204" s="70" t="str">
        <f>IF($A$3=" "," ", IFERROR( VLOOKUP($A1204,'SUPPLIER DATA BASE'!$A$2:$O$936,11,0),""))</f>
        <v>-</v>
      </c>
      <c r="O1204" s="70" t="str">
        <f>IF($A$3=" "," ", IFERROR( VLOOKUP($A1204,'SUPPLIER DATA BASE'!$A$2:$O$936,12,0),""))</f>
        <v>-</v>
      </c>
      <c r="P1204" s="70" t="str">
        <f>IF($A$3=" "," ", IFERROR( VLOOKUP($A1204,'SUPPLIER DATA BASE'!$A$2:$O$936,13,0),""))</f>
        <v>-</v>
      </c>
      <c r="Q1204" s="77"/>
      <c r="R1204" s="73"/>
      <c r="S1204" s="77"/>
      <c r="T1204" s="70"/>
      <c r="U1204" s="78"/>
      <c r="V1204" s="70" t="str">
        <f t="shared" si="6"/>
        <v/>
      </c>
      <c r="W1204" s="23"/>
      <c r="X1204" s="23"/>
    </row>
    <row r="1205">
      <c r="A1205" s="70" t="s">
        <v>354</v>
      </c>
      <c r="B1205" s="70" t="str">
        <f>IF($A$3=" "," ", IFERROR( VLOOKUP($A1205,'SUPPLIER DATA BASE'!$A$2:$M$936,3,0),""))</f>
        <v>-</v>
      </c>
      <c r="C1205" s="70" t="str">
        <f>IF($A$3=" "," ", IFERROR( VLOOKUP($A1205,'SUPPLIER DATA BASE'!$A$2:$F$936,6,0),""))</f>
        <v>-</v>
      </c>
      <c r="D1205" s="70" t="str">
        <f>IF($A$3=" "," ", IFERROR( VLOOKUP($A1205,'SUPPLIER DATA BASE'!$A$2:$G$936,4,0),""))</f>
        <v>-</v>
      </c>
      <c r="E1205" s="71" t="str">
        <f>IF($A$3=" "," ", IFERROR( VLOOKUP($A1205,'SUPPLIER DATA BASE'!$A$2:$H$936,5,0),""))</f>
        <v>-</v>
      </c>
      <c r="F1205" s="72" t="s">
        <v>3522</v>
      </c>
      <c r="G1205" s="73"/>
      <c r="H1205" s="74"/>
      <c r="I1205" s="75"/>
      <c r="J1205" s="76" t="s">
        <v>3523</v>
      </c>
      <c r="K1205" s="76" t="s">
        <v>3524</v>
      </c>
      <c r="L1205" s="73"/>
      <c r="M1205" s="70" t="str">
        <f t="shared" si="3"/>
        <v/>
      </c>
      <c r="N1205" s="70" t="str">
        <f>IF($A$3=" "," ", IFERROR( VLOOKUP($A1205,'SUPPLIER DATA BASE'!$A$2:$O$936,11,0),""))</f>
        <v>-</v>
      </c>
      <c r="O1205" s="70" t="str">
        <f>IF($A$3=" "," ", IFERROR( VLOOKUP($A1205,'SUPPLIER DATA BASE'!$A$2:$O$936,12,0),""))</f>
        <v>-</v>
      </c>
      <c r="P1205" s="70" t="str">
        <f>IF($A$3=" "," ", IFERROR( VLOOKUP($A1205,'SUPPLIER DATA BASE'!$A$2:$O$936,13,0),""))</f>
        <v>-</v>
      </c>
      <c r="Q1205" s="77"/>
      <c r="R1205" s="73"/>
      <c r="S1205" s="77"/>
      <c r="T1205" s="70"/>
      <c r="U1205" s="78"/>
      <c r="V1205" s="70" t="str">
        <f t="shared" si="6"/>
        <v/>
      </c>
      <c r="W1205" s="23"/>
      <c r="X1205" s="23"/>
    </row>
    <row r="1206">
      <c r="A1206" s="70" t="s">
        <v>354</v>
      </c>
      <c r="B1206" s="70" t="str">
        <f>IF($A$3=" "," ", IFERROR( VLOOKUP($A1206,'SUPPLIER DATA BASE'!$A$2:$M$936,3,0),""))</f>
        <v>-</v>
      </c>
      <c r="C1206" s="70" t="str">
        <f>IF($A$3=" "," ", IFERROR( VLOOKUP($A1206,'SUPPLIER DATA BASE'!$A$2:$F$936,6,0),""))</f>
        <v>-</v>
      </c>
      <c r="D1206" s="70" t="str">
        <f>IF($A$3=" "," ", IFERROR( VLOOKUP($A1206,'SUPPLIER DATA BASE'!$A$2:$G$936,4,0),""))</f>
        <v>-</v>
      </c>
      <c r="E1206" s="71" t="str">
        <f>IF($A$3=" "," ", IFERROR( VLOOKUP($A1206,'SUPPLIER DATA BASE'!$A$2:$H$936,5,0),""))</f>
        <v>-</v>
      </c>
      <c r="F1206" s="72" t="s">
        <v>3525</v>
      </c>
      <c r="G1206" s="73"/>
      <c r="H1206" s="74"/>
      <c r="I1206" s="75"/>
      <c r="J1206" s="76" t="s">
        <v>3526</v>
      </c>
      <c r="K1206" s="76" t="s">
        <v>3527</v>
      </c>
      <c r="L1206" s="73"/>
      <c r="M1206" s="70" t="str">
        <f t="shared" si="3"/>
        <v/>
      </c>
      <c r="N1206" s="70" t="str">
        <f>IF($A$3=" "," ", IFERROR( VLOOKUP($A1206,'SUPPLIER DATA BASE'!$A$2:$O$936,11,0),""))</f>
        <v>-</v>
      </c>
      <c r="O1206" s="70" t="str">
        <f>IF($A$3=" "," ", IFERROR( VLOOKUP($A1206,'SUPPLIER DATA BASE'!$A$2:$O$936,12,0),""))</f>
        <v>-</v>
      </c>
      <c r="P1206" s="70" t="str">
        <f>IF($A$3=" "," ", IFERROR( VLOOKUP($A1206,'SUPPLIER DATA BASE'!$A$2:$O$936,13,0),""))</f>
        <v>-</v>
      </c>
      <c r="Q1206" s="77"/>
      <c r="R1206" s="73"/>
      <c r="S1206" s="77"/>
      <c r="T1206" s="70"/>
      <c r="U1206" s="78"/>
      <c r="V1206" s="70" t="str">
        <f t="shared" si="6"/>
        <v/>
      </c>
      <c r="W1206" s="23"/>
      <c r="X1206" s="23"/>
    </row>
    <row r="1207">
      <c r="A1207" s="70" t="s">
        <v>354</v>
      </c>
      <c r="B1207" s="70" t="str">
        <f>IF($A$3=" "," ", IFERROR( VLOOKUP($A1207,'SUPPLIER DATA BASE'!$A$2:$M$936,3,0),""))</f>
        <v>-</v>
      </c>
      <c r="C1207" s="70" t="str">
        <f>IF($A$3=" "," ", IFERROR( VLOOKUP($A1207,'SUPPLIER DATA BASE'!$A$2:$F$936,6,0),""))</f>
        <v>-</v>
      </c>
      <c r="D1207" s="70" t="str">
        <f>IF($A$3=" "," ", IFERROR( VLOOKUP($A1207,'SUPPLIER DATA BASE'!$A$2:$G$936,4,0),""))</f>
        <v>-</v>
      </c>
      <c r="E1207" s="71" t="str">
        <f>IF($A$3=" "," ", IFERROR( VLOOKUP($A1207,'SUPPLIER DATA BASE'!$A$2:$H$936,5,0),""))</f>
        <v>-</v>
      </c>
      <c r="F1207" s="72" t="s">
        <v>3528</v>
      </c>
      <c r="G1207" s="73"/>
      <c r="H1207" s="74"/>
      <c r="I1207" s="75"/>
      <c r="J1207" s="76" t="s">
        <v>3529</v>
      </c>
      <c r="K1207" s="76" t="s">
        <v>3530</v>
      </c>
      <c r="L1207" s="73"/>
      <c r="M1207" s="70" t="str">
        <f t="shared" si="3"/>
        <v/>
      </c>
      <c r="N1207" s="70" t="str">
        <f>IF($A$3=" "," ", IFERROR( VLOOKUP($A1207,'SUPPLIER DATA BASE'!$A$2:$O$936,11,0),""))</f>
        <v>-</v>
      </c>
      <c r="O1207" s="70" t="str">
        <f>IF($A$3=" "," ", IFERROR( VLOOKUP($A1207,'SUPPLIER DATA BASE'!$A$2:$O$936,12,0),""))</f>
        <v>-</v>
      </c>
      <c r="P1207" s="70" t="str">
        <f>IF($A$3=" "," ", IFERROR( VLOOKUP($A1207,'SUPPLIER DATA BASE'!$A$2:$O$936,13,0),""))</f>
        <v>-</v>
      </c>
      <c r="Q1207" s="77"/>
      <c r="R1207" s="73"/>
      <c r="S1207" s="77"/>
      <c r="T1207" s="70"/>
      <c r="U1207" s="78"/>
      <c r="V1207" s="70" t="str">
        <f t="shared" si="6"/>
        <v/>
      </c>
      <c r="W1207" s="23"/>
      <c r="X1207" s="23"/>
    </row>
    <row r="1208">
      <c r="A1208" s="70" t="s">
        <v>354</v>
      </c>
      <c r="B1208" s="70" t="str">
        <f>IF($A$3=" "," ", IFERROR( VLOOKUP($A1208,'SUPPLIER DATA BASE'!$A$2:$M$936,3,0),""))</f>
        <v>-</v>
      </c>
      <c r="C1208" s="70" t="str">
        <f>IF($A$3=" "," ", IFERROR( VLOOKUP($A1208,'SUPPLIER DATA BASE'!$A$2:$F$936,6,0),""))</f>
        <v>-</v>
      </c>
      <c r="D1208" s="70" t="str">
        <f>IF($A$3=" "," ", IFERROR( VLOOKUP($A1208,'SUPPLIER DATA BASE'!$A$2:$G$936,4,0),""))</f>
        <v>-</v>
      </c>
      <c r="E1208" s="71" t="str">
        <f>IF($A$3=" "," ", IFERROR( VLOOKUP($A1208,'SUPPLIER DATA BASE'!$A$2:$H$936,5,0),""))</f>
        <v>-</v>
      </c>
      <c r="F1208" s="72" t="s">
        <v>3531</v>
      </c>
      <c r="G1208" s="73"/>
      <c r="H1208" s="74"/>
      <c r="I1208" s="75"/>
      <c r="J1208" s="76" t="s">
        <v>3532</v>
      </c>
      <c r="K1208" s="76" t="s">
        <v>3533</v>
      </c>
      <c r="L1208" s="73"/>
      <c r="M1208" s="70" t="str">
        <f t="shared" si="3"/>
        <v/>
      </c>
      <c r="N1208" s="70" t="str">
        <f>IF($A$3=" "," ", IFERROR( VLOOKUP($A1208,'SUPPLIER DATA BASE'!$A$2:$O$936,11,0),""))</f>
        <v>-</v>
      </c>
      <c r="O1208" s="70" t="str">
        <f>IF($A$3=" "," ", IFERROR( VLOOKUP($A1208,'SUPPLIER DATA BASE'!$A$2:$O$936,12,0),""))</f>
        <v>-</v>
      </c>
      <c r="P1208" s="70" t="str">
        <f>IF($A$3=" "," ", IFERROR( VLOOKUP($A1208,'SUPPLIER DATA BASE'!$A$2:$O$936,13,0),""))</f>
        <v>-</v>
      </c>
      <c r="Q1208" s="77"/>
      <c r="R1208" s="73"/>
      <c r="S1208" s="77"/>
      <c r="T1208" s="70"/>
      <c r="U1208" s="78"/>
      <c r="V1208" s="70" t="str">
        <f t="shared" si="6"/>
        <v/>
      </c>
      <c r="W1208" s="23"/>
      <c r="X1208" s="23"/>
    </row>
    <row r="1209">
      <c r="A1209" s="70" t="s">
        <v>354</v>
      </c>
      <c r="B1209" s="70" t="str">
        <f>IF($A$3=" "," ", IFERROR( VLOOKUP($A1209,'SUPPLIER DATA BASE'!$A$2:$M$936,3,0),""))</f>
        <v>-</v>
      </c>
      <c r="C1209" s="70" t="str">
        <f>IF($A$3=" "," ", IFERROR( VLOOKUP($A1209,'SUPPLIER DATA BASE'!$A$2:$F$936,6,0),""))</f>
        <v>-</v>
      </c>
      <c r="D1209" s="70" t="str">
        <f>IF($A$3=" "," ", IFERROR( VLOOKUP($A1209,'SUPPLIER DATA BASE'!$A$2:$G$936,4,0),""))</f>
        <v>-</v>
      </c>
      <c r="E1209" s="71" t="str">
        <f>IF($A$3=" "," ", IFERROR( VLOOKUP($A1209,'SUPPLIER DATA BASE'!$A$2:$H$936,5,0),""))</f>
        <v>-</v>
      </c>
      <c r="F1209" s="72" t="s">
        <v>3534</v>
      </c>
      <c r="G1209" s="73"/>
      <c r="H1209" s="74"/>
      <c r="I1209" s="75"/>
      <c r="J1209" s="76" t="s">
        <v>3535</v>
      </c>
      <c r="K1209" s="76" t="s">
        <v>3536</v>
      </c>
      <c r="L1209" s="73"/>
      <c r="M1209" s="70" t="str">
        <f t="shared" si="3"/>
        <v/>
      </c>
      <c r="N1209" s="70" t="str">
        <f>IF($A$3=" "," ", IFERROR( VLOOKUP($A1209,'SUPPLIER DATA BASE'!$A$2:$O$936,11,0),""))</f>
        <v>-</v>
      </c>
      <c r="O1209" s="70" t="str">
        <f>IF($A$3=" "," ", IFERROR( VLOOKUP($A1209,'SUPPLIER DATA BASE'!$A$2:$O$936,12,0),""))</f>
        <v>-</v>
      </c>
      <c r="P1209" s="70" t="str">
        <f>IF($A$3=" "," ", IFERROR( VLOOKUP($A1209,'SUPPLIER DATA BASE'!$A$2:$O$936,13,0),""))</f>
        <v>-</v>
      </c>
      <c r="Q1209" s="77"/>
      <c r="R1209" s="73"/>
      <c r="S1209" s="77"/>
      <c r="T1209" s="70"/>
      <c r="U1209" s="78"/>
      <c r="V1209" s="70" t="str">
        <f t="shared" si="6"/>
        <v/>
      </c>
      <c r="W1209" s="23"/>
      <c r="X1209" s="23"/>
    </row>
    <row r="1210">
      <c r="A1210" s="70" t="s">
        <v>354</v>
      </c>
      <c r="B1210" s="70" t="str">
        <f>IF($A$3=" "," ", IFERROR( VLOOKUP($A1210,'SUPPLIER DATA BASE'!$A$2:$M$936,3,0),""))</f>
        <v>-</v>
      </c>
      <c r="C1210" s="70" t="str">
        <f>IF($A$3=" "," ", IFERROR( VLOOKUP($A1210,'SUPPLIER DATA BASE'!$A$2:$F$936,6,0),""))</f>
        <v>-</v>
      </c>
      <c r="D1210" s="70" t="str">
        <f>IF($A$3=" "," ", IFERROR( VLOOKUP($A1210,'SUPPLIER DATA BASE'!$A$2:$G$936,4,0),""))</f>
        <v>-</v>
      </c>
      <c r="E1210" s="71" t="str">
        <f>IF($A$3=" "," ", IFERROR( VLOOKUP($A1210,'SUPPLIER DATA BASE'!$A$2:$H$936,5,0),""))</f>
        <v>-</v>
      </c>
      <c r="F1210" s="72" t="s">
        <v>3537</v>
      </c>
      <c r="G1210" s="73"/>
      <c r="H1210" s="74"/>
      <c r="I1210" s="75"/>
      <c r="J1210" s="76" t="s">
        <v>3538</v>
      </c>
      <c r="K1210" s="76" t="s">
        <v>3539</v>
      </c>
      <c r="L1210" s="73"/>
      <c r="M1210" s="70" t="str">
        <f t="shared" si="3"/>
        <v/>
      </c>
      <c r="N1210" s="70" t="str">
        <f>IF($A$3=" "," ", IFERROR( VLOOKUP($A1210,'SUPPLIER DATA BASE'!$A$2:$O$936,11,0),""))</f>
        <v>-</v>
      </c>
      <c r="O1210" s="70" t="str">
        <f>IF($A$3=" "," ", IFERROR( VLOOKUP($A1210,'SUPPLIER DATA BASE'!$A$2:$O$936,12,0),""))</f>
        <v>-</v>
      </c>
      <c r="P1210" s="70" t="str">
        <f>IF($A$3=" "," ", IFERROR( VLOOKUP($A1210,'SUPPLIER DATA BASE'!$A$2:$O$936,13,0),""))</f>
        <v>-</v>
      </c>
      <c r="Q1210" s="77"/>
      <c r="R1210" s="73"/>
      <c r="S1210" s="77"/>
      <c r="T1210" s="70"/>
      <c r="U1210" s="78"/>
      <c r="V1210" s="70" t="str">
        <f t="shared" si="6"/>
        <v/>
      </c>
      <c r="W1210" s="23"/>
      <c r="X1210" s="23"/>
    </row>
    <row r="1211">
      <c r="A1211" s="70" t="s">
        <v>354</v>
      </c>
      <c r="B1211" s="70" t="str">
        <f>IF($A$3=" "," ", IFERROR( VLOOKUP($A1211,'SUPPLIER DATA BASE'!$A$2:$M$936,3,0),""))</f>
        <v>-</v>
      </c>
      <c r="C1211" s="70" t="str">
        <f>IF($A$3=" "," ", IFERROR( VLOOKUP($A1211,'SUPPLIER DATA BASE'!$A$2:$F$936,6,0),""))</f>
        <v>-</v>
      </c>
      <c r="D1211" s="70" t="str">
        <f>IF($A$3=" "," ", IFERROR( VLOOKUP($A1211,'SUPPLIER DATA BASE'!$A$2:$G$936,4,0),""))</f>
        <v>-</v>
      </c>
      <c r="E1211" s="71" t="str">
        <f>IF($A$3=" "," ", IFERROR( VLOOKUP($A1211,'SUPPLIER DATA BASE'!$A$2:$H$936,5,0),""))</f>
        <v>-</v>
      </c>
      <c r="F1211" s="72" t="s">
        <v>3540</v>
      </c>
      <c r="G1211" s="73"/>
      <c r="H1211" s="74"/>
      <c r="I1211" s="75"/>
      <c r="J1211" s="76" t="s">
        <v>3541</v>
      </c>
      <c r="K1211" s="76" t="s">
        <v>3542</v>
      </c>
      <c r="L1211" s="73"/>
      <c r="M1211" s="70" t="str">
        <f t="shared" si="3"/>
        <v/>
      </c>
      <c r="N1211" s="70" t="str">
        <f>IF($A$3=" "," ", IFERROR( VLOOKUP($A1211,'SUPPLIER DATA BASE'!$A$2:$O$936,11,0),""))</f>
        <v>-</v>
      </c>
      <c r="O1211" s="70" t="str">
        <f>IF($A$3=" "," ", IFERROR( VLOOKUP($A1211,'SUPPLIER DATA BASE'!$A$2:$O$936,12,0),""))</f>
        <v>-</v>
      </c>
      <c r="P1211" s="70" t="str">
        <f>IF($A$3=" "," ", IFERROR( VLOOKUP($A1211,'SUPPLIER DATA BASE'!$A$2:$O$936,13,0),""))</f>
        <v>-</v>
      </c>
      <c r="Q1211" s="77"/>
      <c r="R1211" s="73"/>
      <c r="S1211" s="77"/>
      <c r="T1211" s="70"/>
      <c r="U1211" s="78"/>
      <c r="V1211" s="70" t="str">
        <f t="shared" si="6"/>
        <v/>
      </c>
      <c r="W1211" s="23"/>
      <c r="X1211" s="23"/>
    </row>
    <row r="1212">
      <c r="A1212" s="70" t="s">
        <v>354</v>
      </c>
      <c r="B1212" s="70" t="str">
        <f>IF($A$3=" "," ", IFERROR( VLOOKUP($A1212,'SUPPLIER DATA BASE'!$A$2:$M$936,3,0),""))</f>
        <v>-</v>
      </c>
      <c r="C1212" s="70" t="str">
        <f>IF($A$3=" "," ", IFERROR( VLOOKUP($A1212,'SUPPLIER DATA BASE'!$A$2:$F$936,6,0),""))</f>
        <v>-</v>
      </c>
      <c r="D1212" s="70" t="str">
        <f>IF($A$3=" "," ", IFERROR( VLOOKUP($A1212,'SUPPLIER DATA BASE'!$A$2:$G$936,4,0),""))</f>
        <v>-</v>
      </c>
      <c r="E1212" s="71" t="str">
        <f>IF($A$3=" "," ", IFERROR( VLOOKUP($A1212,'SUPPLIER DATA BASE'!$A$2:$H$936,5,0),""))</f>
        <v>-</v>
      </c>
      <c r="F1212" s="72" t="s">
        <v>3543</v>
      </c>
      <c r="G1212" s="73"/>
      <c r="H1212" s="74"/>
      <c r="I1212" s="75"/>
      <c r="J1212" s="76" t="s">
        <v>3544</v>
      </c>
      <c r="K1212" s="76" t="s">
        <v>3545</v>
      </c>
      <c r="L1212" s="73"/>
      <c r="M1212" s="70" t="str">
        <f t="shared" si="3"/>
        <v/>
      </c>
      <c r="N1212" s="70" t="str">
        <f>IF($A$3=" "," ", IFERROR( VLOOKUP($A1212,'SUPPLIER DATA BASE'!$A$2:$O$936,11,0),""))</f>
        <v>-</v>
      </c>
      <c r="O1212" s="70" t="str">
        <f>IF($A$3=" "," ", IFERROR( VLOOKUP($A1212,'SUPPLIER DATA BASE'!$A$2:$O$936,12,0),""))</f>
        <v>-</v>
      </c>
      <c r="P1212" s="70" t="str">
        <f>IF($A$3=" "," ", IFERROR( VLOOKUP($A1212,'SUPPLIER DATA BASE'!$A$2:$O$936,13,0),""))</f>
        <v>-</v>
      </c>
      <c r="Q1212" s="77"/>
      <c r="R1212" s="73"/>
      <c r="S1212" s="77"/>
      <c r="T1212" s="70"/>
      <c r="U1212" s="78"/>
      <c r="V1212" s="70" t="str">
        <f t="shared" si="6"/>
        <v/>
      </c>
      <c r="W1212" s="23"/>
      <c r="X1212" s="23"/>
    </row>
    <row r="1213">
      <c r="A1213" s="70" t="s">
        <v>354</v>
      </c>
      <c r="B1213" s="70" t="str">
        <f>IF($A$3=" "," ", IFERROR( VLOOKUP($A1213,'SUPPLIER DATA BASE'!$A$2:$M$936,3,0),""))</f>
        <v>-</v>
      </c>
      <c r="C1213" s="70" t="str">
        <f>IF($A$3=" "," ", IFERROR( VLOOKUP($A1213,'SUPPLIER DATA BASE'!$A$2:$F$936,6,0),""))</f>
        <v>-</v>
      </c>
      <c r="D1213" s="70" t="str">
        <f>IF($A$3=" "," ", IFERROR( VLOOKUP($A1213,'SUPPLIER DATA BASE'!$A$2:$G$936,4,0),""))</f>
        <v>-</v>
      </c>
      <c r="E1213" s="71" t="str">
        <f>IF($A$3=" "," ", IFERROR( VLOOKUP($A1213,'SUPPLIER DATA BASE'!$A$2:$H$936,5,0),""))</f>
        <v>-</v>
      </c>
      <c r="F1213" s="72" t="s">
        <v>3546</v>
      </c>
      <c r="G1213" s="73"/>
      <c r="H1213" s="74"/>
      <c r="I1213" s="75"/>
      <c r="J1213" s="76" t="s">
        <v>3547</v>
      </c>
      <c r="K1213" s="76" t="s">
        <v>3548</v>
      </c>
      <c r="L1213" s="73"/>
      <c r="M1213" s="70" t="str">
        <f t="shared" si="3"/>
        <v/>
      </c>
      <c r="N1213" s="70" t="str">
        <f>IF($A$3=" "," ", IFERROR( VLOOKUP($A1213,'SUPPLIER DATA BASE'!$A$2:$O$936,11,0),""))</f>
        <v>-</v>
      </c>
      <c r="O1213" s="70" t="str">
        <f>IF($A$3=" "," ", IFERROR( VLOOKUP($A1213,'SUPPLIER DATA BASE'!$A$2:$O$936,12,0),""))</f>
        <v>-</v>
      </c>
      <c r="P1213" s="70" t="str">
        <f>IF($A$3=" "," ", IFERROR( VLOOKUP($A1213,'SUPPLIER DATA BASE'!$A$2:$O$936,13,0),""))</f>
        <v>-</v>
      </c>
      <c r="Q1213" s="77"/>
      <c r="R1213" s="73"/>
      <c r="S1213" s="77"/>
      <c r="T1213" s="70"/>
      <c r="U1213" s="78"/>
      <c r="V1213" s="70" t="str">
        <f t="shared" si="6"/>
        <v/>
      </c>
      <c r="W1213" s="23"/>
      <c r="X1213" s="23"/>
    </row>
    <row r="1214">
      <c r="A1214" s="70" t="s">
        <v>354</v>
      </c>
      <c r="B1214" s="70" t="str">
        <f>IF($A$3=" "," ", IFERROR( VLOOKUP($A1214,'SUPPLIER DATA BASE'!$A$2:$M$936,3,0),""))</f>
        <v>-</v>
      </c>
      <c r="C1214" s="70" t="str">
        <f>IF($A$3=" "," ", IFERROR( VLOOKUP($A1214,'SUPPLIER DATA BASE'!$A$2:$F$936,6,0),""))</f>
        <v>-</v>
      </c>
      <c r="D1214" s="70" t="str">
        <f>IF($A$3=" "," ", IFERROR( VLOOKUP($A1214,'SUPPLIER DATA BASE'!$A$2:$G$936,4,0),""))</f>
        <v>-</v>
      </c>
      <c r="E1214" s="71" t="str">
        <f>IF($A$3=" "," ", IFERROR( VLOOKUP($A1214,'SUPPLIER DATA BASE'!$A$2:$H$936,5,0),""))</f>
        <v>-</v>
      </c>
      <c r="F1214" s="72" t="s">
        <v>3549</v>
      </c>
      <c r="G1214" s="73"/>
      <c r="H1214" s="74"/>
      <c r="I1214" s="75"/>
      <c r="J1214" s="76" t="s">
        <v>3550</v>
      </c>
      <c r="K1214" s="76" t="s">
        <v>3551</v>
      </c>
      <c r="L1214" s="73"/>
      <c r="M1214" s="70" t="str">
        <f t="shared" si="3"/>
        <v/>
      </c>
      <c r="N1214" s="70" t="str">
        <f>IF($A$3=" "," ", IFERROR( VLOOKUP($A1214,'SUPPLIER DATA BASE'!$A$2:$O$936,11,0),""))</f>
        <v>-</v>
      </c>
      <c r="O1214" s="70" t="str">
        <f>IF($A$3=" "," ", IFERROR( VLOOKUP($A1214,'SUPPLIER DATA BASE'!$A$2:$O$936,12,0),""))</f>
        <v>-</v>
      </c>
      <c r="P1214" s="70" t="str">
        <f>IF($A$3=" "," ", IFERROR( VLOOKUP($A1214,'SUPPLIER DATA BASE'!$A$2:$O$936,13,0),""))</f>
        <v>-</v>
      </c>
      <c r="Q1214" s="77"/>
      <c r="R1214" s="73"/>
      <c r="S1214" s="77"/>
      <c r="T1214" s="70"/>
      <c r="U1214" s="78"/>
      <c r="V1214" s="70" t="str">
        <f t="shared" si="6"/>
        <v/>
      </c>
      <c r="W1214" s="23"/>
      <c r="X1214" s="23"/>
    </row>
    <row r="1215">
      <c r="A1215" s="70" t="s">
        <v>354</v>
      </c>
      <c r="B1215" s="70" t="str">
        <f>IF($A$3=" "," ", IFERROR( VLOOKUP($A1215,'SUPPLIER DATA BASE'!$A$2:$M$936,3,0),""))</f>
        <v>-</v>
      </c>
      <c r="C1215" s="70" t="str">
        <f>IF($A$3=" "," ", IFERROR( VLOOKUP($A1215,'SUPPLIER DATA BASE'!$A$2:$F$936,6,0),""))</f>
        <v>-</v>
      </c>
      <c r="D1215" s="70" t="str">
        <f>IF($A$3=" "," ", IFERROR( VLOOKUP($A1215,'SUPPLIER DATA BASE'!$A$2:$G$936,4,0),""))</f>
        <v>-</v>
      </c>
      <c r="E1215" s="71" t="str">
        <f>IF($A$3=" "," ", IFERROR( VLOOKUP($A1215,'SUPPLIER DATA BASE'!$A$2:$H$936,5,0),""))</f>
        <v>-</v>
      </c>
      <c r="F1215" s="72" t="s">
        <v>3552</v>
      </c>
      <c r="G1215" s="73"/>
      <c r="H1215" s="74"/>
      <c r="I1215" s="75"/>
      <c r="J1215" s="76" t="s">
        <v>3553</v>
      </c>
      <c r="K1215" s="76" t="s">
        <v>3554</v>
      </c>
      <c r="L1215" s="73"/>
      <c r="M1215" s="70" t="str">
        <f t="shared" si="3"/>
        <v/>
      </c>
      <c r="N1215" s="70" t="str">
        <f>IF($A$3=" "," ", IFERROR( VLOOKUP($A1215,'SUPPLIER DATA BASE'!$A$2:$O$936,11,0),""))</f>
        <v>-</v>
      </c>
      <c r="O1215" s="70" t="str">
        <f>IF($A$3=" "," ", IFERROR( VLOOKUP($A1215,'SUPPLIER DATA BASE'!$A$2:$O$936,12,0),""))</f>
        <v>-</v>
      </c>
      <c r="P1215" s="70" t="str">
        <f>IF($A$3=" "," ", IFERROR( VLOOKUP($A1215,'SUPPLIER DATA BASE'!$A$2:$O$936,13,0),""))</f>
        <v>-</v>
      </c>
      <c r="Q1215" s="77"/>
      <c r="R1215" s="73"/>
      <c r="S1215" s="77"/>
      <c r="T1215" s="70"/>
      <c r="U1215" s="78"/>
      <c r="V1215" s="70" t="str">
        <f t="shared" si="6"/>
        <v/>
      </c>
      <c r="W1215" s="23"/>
      <c r="X1215" s="23"/>
    </row>
    <row r="1216">
      <c r="A1216" s="70" t="s">
        <v>354</v>
      </c>
      <c r="B1216" s="70" t="str">
        <f>IF($A$3=" "," ", IFERROR( VLOOKUP($A1216,'SUPPLIER DATA BASE'!$A$2:$M$936,3,0),""))</f>
        <v>-</v>
      </c>
      <c r="C1216" s="70" t="str">
        <f>IF($A$3=" "," ", IFERROR( VLOOKUP($A1216,'SUPPLIER DATA BASE'!$A$2:$F$936,6,0),""))</f>
        <v>-</v>
      </c>
      <c r="D1216" s="70" t="str">
        <f>IF($A$3=" "," ", IFERROR( VLOOKUP($A1216,'SUPPLIER DATA BASE'!$A$2:$G$936,4,0),""))</f>
        <v>-</v>
      </c>
      <c r="E1216" s="71" t="str">
        <f>IF($A$3=" "," ", IFERROR( VLOOKUP($A1216,'SUPPLIER DATA BASE'!$A$2:$H$936,5,0),""))</f>
        <v>-</v>
      </c>
      <c r="F1216" s="72" t="s">
        <v>3555</v>
      </c>
      <c r="G1216" s="73"/>
      <c r="H1216" s="74"/>
      <c r="I1216" s="75"/>
      <c r="J1216" s="76" t="s">
        <v>3556</v>
      </c>
      <c r="K1216" s="76" t="s">
        <v>3557</v>
      </c>
      <c r="L1216" s="73"/>
      <c r="M1216" s="70" t="str">
        <f t="shared" si="3"/>
        <v/>
      </c>
      <c r="N1216" s="70" t="str">
        <f>IF($A$3=" "," ", IFERROR( VLOOKUP($A1216,'SUPPLIER DATA BASE'!$A$2:$O$936,11,0),""))</f>
        <v>-</v>
      </c>
      <c r="O1216" s="70" t="str">
        <f>IF($A$3=" "," ", IFERROR( VLOOKUP($A1216,'SUPPLIER DATA BASE'!$A$2:$O$936,12,0),""))</f>
        <v>-</v>
      </c>
      <c r="P1216" s="70" t="str">
        <f>IF($A$3=" "," ", IFERROR( VLOOKUP($A1216,'SUPPLIER DATA BASE'!$A$2:$O$936,13,0),""))</f>
        <v>-</v>
      </c>
      <c r="Q1216" s="77"/>
      <c r="R1216" s="73"/>
      <c r="S1216" s="77"/>
      <c r="T1216" s="70"/>
      <c r="U1216" s="78"/>
      <c r="V1216" s="70" t="str">
        <f t="shared" si="6"/>
        <v/>
      </c>
      <c r="W1216" s="23"/>
      <c r="X1216" s="23"/>
    </row>
    <row r="1217">
      <c r="A1217" s="70" t="s">
        <v>354</v>
      </c>
      <c r="B1217" s="70" t="str">
        <f>IF($A$3=" "," ", IFERROR( VLOOKUP($A1217,'SUPPLIER DATA BASE'!$A$2:$M$936,3,0),""))</f>
        <v>-</v>
      </c>
      <c r="C1217" s="70" t="str">
        <f>IF($A$3=" "," ", IFERROR( VLOOKUP($A1217,'SUPPLIER DATA BASE'!$A$2:$F$936,6,0),""))</f>
        <v>-</v>
      </c>
      <c r="D1217" s="70" t="str">
        <f>IF($A$3=" "," ", IFERROR( VLOOKUP($A1217,'SUPPLIER DATA BASE'!$A$2:$G$936,4,0),""))</f>
        <v>-</v>
      </c>
      <c r="E1217" s="71" t="str">
        <f>IF($A$3=" "," ", IFERROR( VLOOKUP($A1217,'SUPPLIER DATA BASE'!$A$2:$H$936,5,0),""))</f>
        <v>-</v>
      </c>
      <c r="F1217" s="72" t="s">
        <v>3558</v>
      </c>
      <c r="G1217" s="73"/>
      <c r="H1217" s="74"/>
      <c r="I1217" s="75"/>
      <c r="J1217" s="76" t="s">
        <v>3559</v>
      </c>
      <c r="K1217" s="76" t="s">
        <v>3560</v>
      </c>
      <c r="L1217" s="73"/>
      <c r="M1217" s="70" t="str">
        <f t="shared" si="3"/>
        <v/>
      </c>
      <c r="N1217" s="70" t="str">
        <f>IF($A$3=" "," ", IFERROR( VLOOKUP($A1217,'SUPPLIER DATA BASE'!$A$2:$O$936,11,0),""))</f>
        <v>-</v>
      </c>
      <c r="O1217" s="70" t="str">
        <f>IF($A$3=" "," ", IFERROR( VLOOKUP($A1217,'SUPPLIER DATA BASE'!$A$2:$O$936,12,0),""))</f>
        <v>-</v>
      </c>
      <c r="P1217" s="70" t="str">
        <f>IF($A$3=" "," ", IFERROR( VLOOKUP($A1217,'SUPPLIER DATA BASE'!$A$2:$O$936,13,0),""))</f>
        <v>-</v>
      </c>
      <c r="Q1217" s="77"/>
      <c r="R1217" s="73"/>
      <c r="S1217" s="77"/>
      <c r="T1217" s="70"/>
      <c r="U1217" s="78"/>
      <c r="V1217" s="70" t="str">
        <f t="shared" si="6"/>
        <v/>
      </c>
      <c r="W1217" s="23"/>
      <c r="X1217" s="23"/>
    </row>
    <row r="1218">
      <c r="A1218" s="70" t="s">
        <v>354</v>
      </c>
      <c r="B1218" s="70" t="str">
        <f>IF($A$3=" "," ", IFERROR( VLOOKUP($A1218,'SUPPLIER DATA BASE'!$A$2:$M$936,3,0),""))</f>
        <v>-</v>
      </c>
      <c r="C1218" s="70" t="str">
        <f>IF($A$3=" "," ", IFERROR( VLOOKUP($A1218,'SUPPLIER DATA BASE'!$A$2:$F$936,6,0),""))</f>
        <v>-</v>
      </c>
      <c r="D1218" s="70" t="str">
        <f>IF($A$3=" "," ", IFERROR( VLOOKUP($A1218,'SUPPLIER DATA BASE'!$A$2:$G$936,4,0),""))</f>
        <v>-</v>
      </c>
      <c r="E1218" s="71" t="str">
        <f>IF($A$3=" "," ", IFERROR( VLOOKUP($A1218,'SUPPLIER DATA BASE'!$A$2:$H$936,5,0),""))</f>
        <v>-</v>
      </c>
      <c r="F1218" s="72" t="s">
        <v>3561</v>
      </c>
      <c r="G1218" s="73"/>
      <c r="H1218" s="74"/>
      <c r="I1218" s="75"/>
      <c r="J1218" s="76" t="s">
        <v>3562</v>
      </c>
      <c r="K1218" s="76" t="s">
        <v>3563</v>
      </c>
      <c r="L1218" s="73"/>
      <c r="M1218" s="70" t="str">
        <f t="shared" si="3"/>
        <v/>
      </c>
      <c r="N1218" s="70" t="str">
        <f>IF($A$3=" "," ", IFERROR( VLOOKUP($A1218,'SUPPLIER DATA BASE'!$A$2:$O$936,11,0),""))</f>
        <v>-</v>
      </c>
      <c r="O1218" s="70" t="str">
        <f>IF($A$3=" "," ", IFERROR( VLOOKUP($A1218,'SUPPLIER DATA BASE'!$A$2:$O$936,12,0),""))</f>
        <v>-</v>
      </c>
      <c r="P1218" s="70" t="str">
        <f>IF($A$3=" "," ", IFERROR( VLOOKUP($A1218,'SUPPLIER DATA BASE'!$A$2:$O$936,13,0),""))</f>
        <v>-</v>
      </c>
      <c r="Q1218" s="77"/>
      <c r="R1218" s="73"/>
      <c r="S1218" s="77"/>
      <c r="T1218" s="70"/>
      <c r="U1218" s="78"/>
      <c r="V1218" s="70" t="str">
        <f t="shared" si="6"/>
        <v/>
      </c>
      <c r="W1218" s="23"/>
      <c r="X1218" s="23"/>
    </row>
    <row r="1219">
      <c r="A1219" s="70" t="s">
        <v>354</v>
      </c>
      <c r="B1219" s="70" t="str">
        <f>IF($A$3=" "," ", IFERROR( VLOOKUP($A1219,'SUPPLIER DATA BASE'!$A$2:$M$936,3,0),""))</f>
        <v>-</v>
      </c>
      <c r="C1219" s="70" t="str">
        <f>IF($A$3=" "," ", IFERROR( VLOOKUP($A1219,'SUPPLIER DATA BASE'!$A$2:$F$936,6,0),""))</f>
        <v>-</v>
      </c>
      <c r="D1219" s="70" t="str">
        <f>IF($A$3=" "," ", IFERROR( VLOOKUP($A1219,'SUPPLIER DATA BASE'!$A$2:$G$936,4,0),""))</f>
        <v>-</v>
      </c>
      <c r="E1219" s="71" t="str">
        <f>IF($A$3=" "," ", IFERROR( VLOOKUP($A1219,'SUPPLIER DATA BASE'!$A$2:$H$936,5,0),""))</f>
        <v>-</v>
      </c>
      <c r="F1219" s="72" t="s">
        <v>3564</v>
      </c>
      <c r="G1219" s="73"/>
      <c r="H1219" s="74"/>
      <c r="I1219" s="75"/>
      <c r="J1219" s="76" t="s">
        <v>3565</v>
      </c>
      <c r="K1219" s="76" t="s">
        <v>3566</v>
      </c>
      <c r="L1219" s="73"/>
      <c r="M1219" s="70" t="str">
        <f t="shared" si="3"/>
        <v/>
      </c>
      <c r="N1219" s="70" t="str">
        <f>IF($A$3=" "," ", IFERROR( VLOOKUP($A1219,'SUPPLIER DATA BASE'!$A$2:$O$936,11,0),""))</f>
        <v>-</v>
      </c>
      <c r="O1219" s="70" t="str">
        <f>IF($A$3=" "," ", IFERROR( VLOOKUP($A1219,'SUPPLIER DATA BASE'!$A$2:$O$936,12,0),""))</f>
        <v>-</v>
      </c>
      <c r="P1219" s="70" t="str">
        <f>IF($A$3=" "," ", IFERROR( VLOOKUP($A1219,'SUPPLIER DATA BASE'!$A$2:$O$936,13,0),""))</f>
        <v>-</v>
      </c>
      <c r="Q1219" s="77"/>
      <c r="R1219" s="73"/>
      <c r="S1219" s="77"/>
      <c r="T1219" s="70"/>
      <c r="U1219" s="78"/>
      <c r="V1219" s="70" t="str">
        <f t="shared" si="6"/>
        <v/>
      </c>
      <c r="W1219" s="23"/>
      <c r="X1219" s="23"/>
    </row>
    <row r="1220">
      <c r="A1220" s="70" t="s">
        <v>354</v>
      </c>
      <c r="B1220" s="70" t="str">
        <f>IF($A$3=" "," ", IFERROR( VLOOKUP($A1220,'SUPPLIER DATA BASE'!$A$2:$M$936,3,0),""))</f>
        <v>-</v>
      </c>
      <c r="C1220" s="70" t="str">
        <f>IF($A$3=" "," ", IFERROR( VLOOKUP($A1220,'SUPPLIER DATA BASE'!$A$2:$F$936,6,0),""))</f>
        <v>-</v>
      </c>
      <c r="D1220" s="70" t="str">
        <f>IF($A$3=" "," ", IFERROR( VLOOKUP($A1220,'SUPPLIER DATA BASE'!$A$2:$G$936,4,0),""))</f>
        <v>-</v>
      </c>
      <c r="E1220" s="71" t="str">
        <f>IF($A$3=" "," ", IFERROR( VLOOKUP($A1220,'SUPPLIER DATA BASE'!$A$2:$H$936,5,0),""))</f>
        <v>-</v>
      </c>
      <c r="F1220" s="72" t="s">
        <v>3567</v>
      </c>
      <c r="G1220" s="73"/>
      <c r="H1220" s="74"/>
      <c r="I1220" s="75"/>
      <c r="J1220" s="76" t="s">
        <v>3568</v>
      </c>
      <c r="K1220" s="76" t="s">
        <v>3569</v>
      </c>
      <c r="L1220" s="73"/>
      <c r="M1220" s="70" t="str">
        <f t="shared" si="3"/>
        <v/>
      </c>
      <c r="N1220" s="70" t="str">
        <f>IF($A$3=" "," ", IFERROR( VLOOKUP($A1220,'SUPPLIER DATA BASE'!$A$2:$O$936,11,0),""))</f>
        <v>-</v>
      </c>
      <c r="O1220" s="70" t="str">
        <f>IF($A$3=" "," ", IFERROR( VLOOKUP($A1220,'SUPPLIER DATA BASE'!$A$2:$O$936,12,0),""))</f>
        <v>-</v>
      </c>
      <c r="P1220" s="70" t="str">
        <f>IF($A$3=" "," ", IFERROR( VLOOKUP($A1220,'SUPPLIER DATA BASE'!$A$2:$O$936,13,0),""))</f>
        <v>-</v>
      </c>
      <c r="Q1220" s="77"/>
      <c r="R1220" s="73"/>
      <c r="S1220" s="77"/>
      <c r="T1220" s="70"/>
      <c r="U1220" s="78"/>
      <c r="V1220" s="70" t="str">
        <f t="shared" si="6"/>
        <v/>
      </c>
      <c r="W1220" s="23"/>
      <c r="X1220" s="23"/>
    </row>
    <row r="1221">
      <c r="A1221" s="70" t="s">
        <v>354</v>
      </c>
      <c r="B1221" s="70" t="str">
        <f>IF($A$3=" "," ", IFERROR( VLOOKUP($A1221,'SUPPLIER DATA BASE'!$A$2:$M$936,3,0),""))</f>
        <v>-</v>
      </c>
      <c r="C1221" s="70" t="str">
        <f>IF($A$3=" "," ", IFERROR( VLOOKUP($A1221,'SUPPLIER DATA BASE'!$A$2:$F$936,6,0),""))</f>
        <v>-</v>
      </c>
      <c r="D1221" s="70" t="str">
        <f>IF($A$3=" "," ", IFERROR( VLOOKUP($A1221,'SUPPLIER DATA BASE'!$A$2:$G$936,4,0),""))</f>
        <v>-</v>
      </c>
      <c r="E1221" s="71" t="str">
        <f>IF($A$3=" "," ", IFERROR( VLOOKUP($A1221,'SUPPLIER DATA BASE'!$A$2:$H$936,5,0),""))</f>
        <v>-</v>
      </c>
      <c r="F1221" s="72" t="s">
        <v>3570</v>
      </c>
      <c r="G1221" s="73"/>
      <c r="H1221" s="74"/>
      <c r="I1221" s="75"/>
      <c r="J1221" s="76" t="s">
        <v>3571</v>
      </c>
      <c r="K1221" s="76" t="s">
        <v>3572</v>
      </c>
      <c r="L1221" s="73"/>
      <c r="M1221" s="70" t="str">
        <f t="shared" si="3"/>
        <v/>
      </c>
      <c r="N1221" s="70" t="str">
        <f>IF($A$3=" "," ", IFERROR( VLOOKUP($A1221,'SUPPLIER DATA BASE'!$A$2:$O$936,11,0),""))</f>
        <v>-</v>
      </c>
      <c r="O1221" s="70" t="str">
        <f>IF($A$3=" "," ", IFERROR( VLOOKUP($A1221,'SUPPLIER DATA BASE'!$A$2:$O$936,12,0),""))</f>
        <v>-</v>
      </c>
      <c r="P1221" s="70" t="str">
        <f>IF($A$3=" "," ", IFERROR( VLOOKUP($A1221,'SUPPLIER DATA BASE'!$A$2:$O$936,13,0),""))</f>
        <v>-</v>
      </c>
      <c r="Q1221" s="77"/>
      <c r="R1221" s="73"/>
      <c r="S1221" s="77"/>
      <c r="T1221" s="70"/>
      <c r="U1221" s="78"/>
      <c r="V1221" s="70" t="str">
        <f t="shared" si="6"/>
        <v/>
      </c>
      <c r="W1221" s="23"/>
      <c r="X1221" s="23"/>
    </row>
    <row r="1222">
      <c r="A1222" s="70" t="s">
        <v>354</v>
      </c>
      <c r="B1222" s="70" t="str">
        <f>IF($A$3=" "," ", IFERROR( VLOOKUP($A1222,'SUPPLIER DATA BASE'!$A$2:$M$936,3,0),""))</f>
        <v>-</v>
      </c>
      <c r="C1222" s="70" t="str">
        <f>IF($A$3=" "," ", IFERROR( VLOOKUP($A1222,'SUPPLIER DATA BASE'!$A$2:$F$936,6,0),""))</f>
        <v>-</v>
      </c>
      <c r="D1222" s="70" t="str">
        <f>IF($A$3=" "," ", IFERROR( VLOOKUP($A1222,'SUPPLIER DATA BASE'!$A$2:$G$936,4,0),""))</f>
        <v>-</v>
      </c>
      <c r="E1222" s="71" t="str">
        <f>IF($A$3=" "," ", IFERROR( VLOOKUP($A1222,'SUPPLIER DATA BASE'!$A$2:$H$936,5,0),""))</f>
        <v>-</v>
      </c>
      <c r="F1222" s="72" t="s">
        <v>3573</v>
      </c>
      <c r="G1222" s="73"/>
      <c r="H1222" s="74"/>
      <c r="I1222" s="75"/>
      <c r="J1222" s="76" t="s">
        <v>3574</v>
      </c>
      <c r="K1222" s="76" t="s">
        <v>3575</v>
      </c>
      <c r="L1222" s="73"/>
      <c r="M1222" s="70" t="str">
        <f t="shared" si="3"/>
        <v/>
      </c>
      <c r="N1222" s="70" t="str">
        <f>IF($A$3=" "," ", IFERROR( VLOOKUP($A1222,'SUPPLIER DATA BASE'!$A$2:$O$936,11,0),""))</f>
        <v>-</v>
      </c>
      <c r="O1222" s="70" t="str">
        <f>IF($A$3=" "," ", IFERROR( VLOOKUP($A1222,'SUPPLIER DATA BASE'!$A$2:$O$936,12,0),""))</f>
        <v>-</v>
      </c>
      <c r="P1222" s="70" t="str">
        <f>IF($A$3=" "," ", IFERROR( VLOOKUP($A1222,'SUPPLIER DATA BASE'!$A$2:$O$936,13,0),""))</f>
        <v>-</v>
      </c>
      <c r="Q1222" s="77"/>
      <c r="R1222" s="73"/>
      <c r="S1222" s="77"/>
      <c r="T1222" s="70"/>
      <c r="U1222" s="78"/>
      <c r="V1222" s="70" t="str">
        <f t="shared" si="6"/>
        <v/>
      </c>
      <c r="W1222" s="23"/>
      <c r="X1222" s="23"/>
    </row>
    <row r="1223">
      <c r="A1223" s="70" t="s">
        <v>354</v>
      </c>
      <c r="B1223" s="70" t="str">
        <f>IF($A$3=" "," ", IFERROR( VLOOKUP($A1223,'SUPPLIER DATA BASE'!$A$2:$M$936,3,0),""))</f>
        <v>-</v>
      </c>
      <c r="C1223" s="70" t="str">
        <f>IF($A$3=" "," ", IFERROR( VLOOKUP($A1223,'SUPPLIER DATA BASE'!$A$2:$F$936,6,0),""))</f>
        <v>-</v>
      </c>
      <c r="D1223" s="70" t="str">
        <f>IF($A$3=" "," ", IFERROR( VLOOKUP($A1223,'SUPPLIER DATA BASE'!$A$2:$G$936,4,0),""))</f>
        <v>-</v>
      </c>
      <c r="E1223" s="71" t="str">
        <f>IF($A$3=" "," ", IFERROR( VLOOKUP($A1223,'SUPPLIER DATA BASE'!$A$2:$H$936,5,0),""))</f>
        <v>-</v>
      </c>
      <c r="F1223" s="72" t="s">
        <v>3576</v>
      </c>
      <c r="G1223" s="73"/>
      <c r="H1223" s="74"/>
      <c r="I1223" s="75"/>
      <c r="J1223" s="76" t="s">
        <v>3577</v>
      </c>
      <c r="K1223" s="76" t="s">
        <v>3578</v>
      </c>
      <c r="L1223" s="73"/>
      <c r="M1223" s="70" t="str">
        <f t="shared" si="3"/>
        <v/>
      </c>
      <c r="N1223" s="70" t="str">
        <f>IF($A$3=" "," ", IFERROR( VLOOKUP($A1223,'SUPPLIER DATA BASE'!$A$2:$O$936,11,0),""))</f>
        <v>-</v>
      </c>
      <c r="O1223" s="70" t="str">
        <f>IF($A$3=" "," ", IFERROR( VLOOKUP($A1223,'SUPPLIER DATA BASE'!$A$2:$O$936,12,0),""))</f>
        <v>-</v>
      </c>
      <c r="P1223" s="70" t="str">
        <f>IF($A$3=" "," ", IFERROR( VLOOKUP($A1223,'SUPPLIER DATA BASE'!$A$2:$O$936,13,0),""))</f>
        <v>-</v>
      </c>
      <c r="Q1223" s="77"/>
      <c r="R1223" s="73"/>
      <c r="S1223" s="77"/>
      <c r="T1223" s="70"/>
      <c r="U1223" s="78"/>
      <c r="V1223" s="70" t="str">
        <f t="shared" si="6"/>
        <v/>
      </c>
      <c r="W1223" s="23"/>
      <c r="X1223" s="23"/>
    </row>
    <row r="1224">
      <c r="A1224" s="70" t="s">
        <v>354</v>
      </c>
      <c r="B1224" s="70" t="str">
        <f>IF($A$3=" "," ", IFERROR( VLOOKUP($A1224,'SUPPLIER DATA BASE'!$A$2:$M$936,3,0),""))</f>
        <v>-</v>
      </c>
      <c r="C1224" s="70" t="str">
        <f>IF($A$3=" "," ", IFERROR( VLOOKUP($A1224,'SUPPLIER DATA BASE'!$A$2:$F$936,6,0),""))</f>
        <v>-</v>
      </c>
      <c r="D1224" s="70" t="str">
        <f>IF($A$3=" "," ", IFERROR( VLOOKUP($A1224,'SUPPLIER DATA BASE'!$A$2:$G$936,4,0),""))</f>
        <v>-</v>
      </c>
      <c r="E1224" s="71" t="str">
        <f>IF($A$3=" "," ", IFERROR( VLOOKUP($A1224,'SUPPLIER DATA BASE'!$A$2:$H$936,5,0),""))</f>
        <v>-</v>
      </c>
      <c r="F1224" s="72" t="s">
        <v>3579</v>
      </c>
      <c r="G1224" s="73"/>
      <c r="H1224" s="74"/>
      <c r="I1224" s="75"/>
      <c r="J1224" s="76" t="s">
        <v>3580</v>
      </c>
      <c r="K1224" s="76" t="s">
        <v>3581</v>
      </c>
      <c r="L1224" s="73"/>
      <c r="M1224" s="70" t="str">
        <f t="shared" si="3"/>
        <v/>
      </c>
      <c r="N1224" s="70" t="str">
        <f>IF($A$3=" "," ", IFERROR( VLOOKUP($A1224,'SUPPLIER DATA BASE'!$A$2:$O$936,11,0),""))</f>
        <v>-</v>
      </c>
      <c r="O1224" s="70" t="str">
        <f>IF($A$3=" "," ", IFERROR( VLOOKUP($A1224,'SUPPLIER DATA BASE'!$A$2:$O$936,12,0),""))</f>
        <v>-</v>
      </c>
      <c r="P1224" s="70" t="str">
        <f>IF($A$3=" "," ", IFERROR( VLOOKUP($A1224,'SUPPLIER DATA BASE'!$A$2:$O$936,13,0),""))</f>
        <v>-</v>
      </c>
      <c r="Q1224" s="77"/>
      <c r="R1224" s="73"/>
      <c r="S1224" s="77"/>
      <c r="T1224" s="70"/>
      <c r="U1224" s="78"/>
      <c r="V1224" s="70" t="str">
        <f t="shared" si="6"/>
        <v/>
      </c>
      <c r="W1224" s="23"/>
      <c r="X1224" s="23"/>
    </row>
    <row r="1225">
      <c r="A1225" s="70" t="s">
        <v>354</v>
      </c>
      <c r="B1225" s="70" t="str">
        <f>IF($A$3=" "," ", IFERROR( VLOOKUP($A1225,'SUPPLIER DATA BASE'!$A$2:$M$936,3,0),""))</f>
        <v>-</v>
      </c>
      <c r="C1225" s="70" t="str">
        <f>IF($A$3=" "," ", IFERROR( VLOOKUP($A1225,'SUPPLIER DATA BASE'!$A$2:$F$936,6,0),""))</f>
        <v>-</v>
      </c>
      <c r="D1225" s="70" t="str">
        <f>IF($A$3=" "," ", IFERROR( VLOOKUP($A1225,'SUPPLIER DATA BASE'!$A$2:$G$936,4,0),""))</f>
        <v>-</v>
      </c>
      <c r="E1225" s="71" t="str">
        <f>IF($A$3=" "," ", IFERROR( VLOOKUP($A1225,'SUPPLIER DATA BASE'!$A$2:$H$936,5,0),""))</f>
        <v>-</v>
      </c>
      <c r="F1225" s="72" t="s">
        <v>3582</v>
      </c>
      <c r="G1225" s="73"/>
      <c r="H1225" s="74"/>
      <c r="I1225" s="75"/>
      <c r="J1225" s="76" t="s">
        <v>3583</v>
      </c>
      <c r="K1225" s="76" t="s">
        <v>3584</v>
      </c>
      <c r="L1225" s="73"/>
      <c r="M1225" s="70" t="str">
        <f t="shared" si="3"/>
        <v/>
      </c>
      <c r="N1225" s="70" t="str">
        <f>IF($A$3=" "," ", IFERROR( VLOOKUP($A1225,'SUPPLIER DATA BASE'!$A$2:$O$936,11,0),""))</f>
        <v>-</v>
      </c>
      <c r="O1225" s="70" t="str">
        <f>IF($A$3=" "," ", IFERROR( VLOOKUP($A1225,'SUPPLIER DATA BASE'!$A$2:$O$936,12,0),""))</f>
        <v>-</v>
      </c>
      <c r="P1225" s="70" t="str">
        <f>IF($A$3=" "," ", IFERROR( VLOOKUP($A1225,'SUPPLIER DATA BASE'!$A$2:$O$936,13,0),""))</f>
        <v>-</v>
      </c>
      <c r="Q1225" s="77"/>
      <c r="R1225" s="73"/>
      <c r="S1225" s="77"/>
      <c r="T1225" s="70"/>
      <c r="U1225" s="78"/>
      <c r="V1225" s="70" t="str">
        <f t="shared" si="6"/>
        <v/>
      </c>
      <c r="W1225" s="23"/>
      <c r="X1225" s="23"/>
    </row>
    <row r="1226">
      <c r="A1226" s="70" t="s">
        <v>354</v>
      </c>
      <c r="B1226" s="70" t="str">
        <f>IF($A$3=" "," ", IFERROR( VLOOKUP($A1226,'SUPPLIER DATA BASE'!$A$2:$M$936,3,0),""))</f>
        <v>-</v>
      </c>
      <c r="C1226" s="70" t="str">
        <f>IF($A$3=" "," ", IFERROR( VLOOKUP($A1226,'SUPPLIER DATA BASE'!$A$2:$F$936,6,0),""))</f>
        <v>-</v>
      </c>
      <c r="D1226" s="70" t="str">
        <f>IF($A$3=" "," ", IFERROR( VLOOKUP($A1226,'SUPPLIER DATA BASE'!$A$2:$G$936,4,0),""))</f>
        <v>-</v>
      </c>
      <c r="E1226" s="71" t="str">
        <f>IF($A$3=" "," ", IFERROR( VLOOKUP($A1226,'SUPPLIER DATA BASE'!$A$2:$H$936,5,0),""))</f>
        <v>-</v>
      </c>
      <c r="F1226" s="72" t="s">
        <v>3585</v>
      </c>
      <c r="G1226" s="73"/>
      <c r="H1226" s="74"/>
      <c r="I1226" s="75"/>
      <c r="J1226" s="76" t="s">
        <v>3586</v>
      </c>
      <c r="K1226" s="76" t="s">
        <v>3587</v>
      </c>
      <c r="L1226" s="73"/>
      <c r="M1226" s="70" t="str">
        <f t="shared" si="3"/>
        <v/>
      </c>
      <c r="N1226" s="70" t="str">
        <f>IF($A$3=" "," ", IFERROR( VLOOKUP($A1226,'SUPPLIER DATA BASE'!$A$2:$O$936,11,0),""))</f>
        <v>-</v>
      </c>
      <c r="O1226" s="70" t="str">
        <f>IF($A$3=" "," ", IFERROR( VLOOKUP($A1226,'SUPPLIER DATA BASE'!$A$2:$O$936,12,0),""))</f>
        <v>-</v>
      </c>
      <c r="P1226" s="70" t="str">
        <f>IF($A$3=" "," ", IFERROR( VLOOKUP($A1226,'SUPPLIER DATA BASE'!$A$2:$O$936,13,0),""))</f>
        <v>-</v>
      </c>
      <c r="Q1226" s="77"/>
      <c r="R1226" s="73"/>
      <c r="S1226" s="77"/>
      <c r="T1226" s="70"/>
      <c r="U1226" s="78"/>
      <c r="V1226" s="70" t="str">
        <f t="shared" si="6"/>
        <v/>
      </c>
      <c r="W1226" s="23"/>
      <c r="X1226" s="23"/>
    </row>
    <row r="1227">
      <c r="A1227" s="70" t="s">
        <v>354</v>
      </c>
      <c r="B1227" s="70" t="str">
        <f>IF($A$3=" "," ", IFERROR( VLOOKUP($A1227,'SUPPLIER DATA BASE'!$A$2:$M$936,3,0),""))</f>
        <v>-</v>
      </c>
      <c r="C1227" s="70" t="str">
        <f>IF($A$3=" "," ", IFERROR( VLOOKUP($A1227,'SUPPLIER DATA BASE'!$A$2:$F$936,6,0),""))</f>
        <v>-</v>
      </c>
      <c r="D1227" s="70" t="str">
        <f>IF($A$3=" "," ", IFERROR( VLOOKUP($A1227,'SUPPLIER DATA BASE'!$A$2:$G$936,4,0),""))</f>
        <v>-</v>
      </c>
      <c r="E1227" s="71" t="str">
        <f>IF($A$3=" "," ", IFERROR( VLOOKUP($A1227,'SUPPLIER DATA BASE'!$A$2:$H$936,5,0),""))</f>
        <v>-</v>
      </c>
      <c r="F1227" s="72" t="s">
        <v>3588</v>
      </c>
      <c r="G1227" s="73"/>
      <c r="H1227" s="74"/>
      <c r="I1227" s="75"/>
      <c r="J1227" s="76" t="s">
        <v>3589</v>
      </c>
      <c r="K1227" s="76" t="s">
        <v>3590</v>
      </c>
      <c r="L1227" s="73"/>
      <c r="M1227" s="70" t="str">
        <f t="shared" si="3"/>
        <v/>
      </c>
      <c r="N1227" s="70" t="str">
        <f>IF($A$3=" "," ", IFERROR( VLOOKUP($A1227,'SUPPLIER DATA BASE'!$A$2:$O$936,11,0),""))</f>
        <v>-</v>
      </c>
      <c r="O1227" s="70" t="str">
        <f>IF($A$3=" "," ", IFERROR( VLOOKUP($A1227,'SUPPLIER DATA BASE'!$A$2:$O$936,12,0),""))</f>
        <v>-</v>
      </c>
      <c r="P1227" s="70" t="str">
        <f>IF($A$3=" "," ", IFERROR( VLOOKUP($A1227,'SUPPLIER DATA BASE'!$A$2:$O$936,13,0),""))</f>
        <v>-</v>
      </c>
      <c r="Q1227" s="77"/>
      <c r="R1227" s="73"/>
      <c r="S1227" s="77"/>
      <c r="T1227" s="70"/>
      <c r="U1227" s="78"/>
      <c r="V1227" s="70" t="str">
        <f t="shared" si="6"/>
        <v/>
      </c>
      <c r="W1227" s="23"/>
      <c r="X1227" s="23"/>
    </row>
    <row r="1228">
      <c r="A1228" s="70" t="s">
        <v>354</v>
      </c>
      <c r="B1228" s="70" t="str">
        <f>IF($A$3=" "," ", IFERROR( VLOOKUP($A1228,'SUPPLIER DATA BASE'!$A$2:$M$936,3,0),""))</f>
        <v>-</v>
      </c>
      <c r="C1228" s="70" t="str">
        <f>IF($A$3=" "," ", IFERROR( VLOOKUP($A1228,'SUPPLIER DATA BASE'!$A$2:$F$936,6,0),""))</f>
        <v>-</v>
      </c>
      <c r="D1228" s="70" t="str">
        <f>IF($A$3=" "," ", IFERROR( VLOOKUP($A1228,'SUPPLIER DATA BASE'!$A$2:$G$936,4,0),""))</f>
        <v>-</v>
      </c>
      <c r="E1228" s="71" t="str">
        <f>IF($A$3=" "," ", IFERROR( VLOOKUP($A1228,'SUPPLIER DATA BASE'!$A$2:$H$936,5,0),""))</f>
        <v>-</v>
      </c>
      <c r="F1228" s="72" t="s">
        <v>3591</v>
      </c>
      <c r="G1228" s="73"/>
      <c r="H1228" s="74"/>
      <c r="I1228" s="75"/>
      <c r="J1228" s="76" t="s">
        <v>3592</v>
      </c>
      <c r="K1228" s="76" t="s">
        <v>3593</v>
      </c>
      <c r="L1228" s="73"/>
      <c r="M1228" s="70" t="str">
        <f t="shared" si="3"/>
        <v/>
      </c>
      <c r="N1228" s="70" t="str">
        <f>IF($A$3=" "," ", IFERROR( VLOOKUP($A1228,'SUPPLIER DATA BASE'!$A$2:$O$936,11,0),""))</f>
        <v>-</v>
      </c>
      <c r="O1228" s="70" t="str">
        <f>IF($A$3=" "," ", IFERROR( VLOOKUP($A1228,'SUPPLIER DATA BASE'!$A$2:$O$936,12,0),""))</f>
        <v>-</v>
      </c>
      <c r="P1228" s="70" t="str">
        <f>IF($A$3=" "," ", IFERROR( VLOOKUP($A1228,'SUPPLIER DATA BASE'!$A$2:$O$936,13,0),""))</f>
        <v>-</v>
      </c>
      <c r="Q1228" s="77"/>
      <c r="R1228" s="73"/>
      <c r="S1228" s="77"/>
      <c r="T1228" s="70"/>
      <c r="U1228" s="78"/>
      <c r="V1228" s="70" t="str">
        <f t="shared" si="6"/>
        <v/>
      </c>
      <c r="W1228" s="23"/>
      <c r="X1228" s="23"/>
    </row>
    <row r="1229">
      <c r="A1229" s="70" t="s">
        <v>354</v>
      </c>
      <c r="B1229" s="70" t="str">
        <f>IF($A$3=" "," ", IFERROR( VLOOKUP($A1229,'SUPPLIER DATA BASE'!$A$2:$M$936,3,0),""))</f>
        <v>-</v>
      </c>
      <c r="C1229" s="70" t="str">
        <f>IF($A$3=" "," ", IFERROR( VLOOKUP($A1229,'SUPPLIER DATA BASE'!$A$2:$F$936,6,0),""))</f>
        <v>-</v>
      </c>
      <c r="D1229" s="70" t="str">
        <f>IF($A$3=" "," ", IFERROR( VLOOKUP($A1229,'SUPPLIER DATA BASE'!$A$2:$G$936,4,0),""))</f>
        <v>-</v>
      </c>
      <c r="E1229" s="71" t="str">
        <f>IF($A$3=" "," ", IFERROR( VLOOKUP($A1229,'SUPPLIER DATA BASE'!$A$2:$H$936,5,0),""))</f>
        <v>-</v>
      </c>
      <c r="F1229" s="72" t="s">
        <v>3594</v>
      </c>
      <c r="G1229" s="73"/>
      <c r="H1229" s="74"/>
      <c r="I1229" s="75"/>
      <c r="J1229" s="76" t="s">
        <v>3595</v>
      </c>
      <c r="K1229" s="76" t="s">
        <v>3596</v>
      </c>
      <c r="L1229" s="73"/>
      <c r="M1229" s="70" t="str">
        <f t="shared" si="3"/>
        <v/>
      </c>
      <c r="N1229" s="70" t="str">
        <f>IF($A$3=" "," ", IFERROR( VLOOKUP($A1229,'SUPPLIER DATA BASE'!$A$2:$O$936,11,0),""))</f>
        <v>-</v>
      </c>
      <c r="O1229" s="70" t="str">
        <f>IF($A$3=" "," ", IFERROR( VLOOKUP($A1229,'SUPPLIER DATA BASE'!$A$2:$O$936,12,0),""))</f>
        <v>-</v>
      </c>
      <c r="P1229" s="70" t="str">
        <f>IF($A$3=" "," ", IFERROR( VLOOKUP($A1229,'SUPPLIER DATA BASE'!$A$2:$O$936,13,0),""))</f>
        <v>-</v>
      </c>
      <c r="Q1229" s="77"/>
      <c r="R1229" s="73"/>
      <c r="S1229" s="77"/>
      <c r="T1229" s="70"/>
      <c r="U1229" s="78"/>
      <c r="V1229" s="70" t="str">
        <f t="shared" si="6"/>
        <v/>
      </c>
      <c r="W1229" s="23"/>
      <c r="X1229" s="23"/>
    </row>
    <row r="1230">
      <c r="A1230" s="70" t="s">
        <v>354</v>
      </c>
      <c r="B1230" s="70" t="str">
        <f>IF($A$3=" "," ", IFERROR( VLOOKUP($A1230,'SUPPLIER DATA BASE'!$A$2:$M$936,3,0),""))</f>
        <v>-</v>
      </c>
      <c r="C1230" s="70" t="str">
        <f>IF($A$3=" "," ", IFERROR( VLOOKUP($A1230,'SUPPLIER DATA BASE'!$A$2:$F$936,6,0),""))</f>
        <v>-</v>
      </c>
      <c r="D1230" s="70" t="str">
        <f>IF($A$3=" "," ", IFERROR( VLOOKUP($A1230,'SUPPLIER DATA BASE'!$A$2:$G$936,4,0),""))</f>
        <v>-</v>
      </c>
      <c r="E1230" s="71" t="str">
        <f>IF($A$3=" "," ", IFERROR( VLOOKUP($A1230,'SUPPLIER DATA BASE'!$A$2:$H$936,5,0),""))</f>
        <v>-</v>
      </c>
      <c r="F1230" s="72" t="s">
        <v>3597</v>
      </c>
      <c r="G1230" s="73"/>
      <c r="H1230" s="74"/>
      <c r="I1230" s="75"/>
      <c r="J1230" s="76" t="s">
        <v>3598</v>
      </c>
      <c r="K1230" s="76" t="s">
        <v>3599</v>
      </c>
      <c r="L1230" s="73"/>
      <c r="M1230" s="70" t="str">
        <f t="shared" si="3"/>
        <v/>
      </c>
      <c r="N1230" s="70" t="str">
        <f>IF($A$3=" "," ", IFERROR( VLOOKUP($A1230,'SUPPLIER DATA BASE'!$A$2:$O$936,11,0),""))</f>
        <v>-</v>
      </c>
      <c r="O1230" s="70" t="str">
        <f>IF($A$3=" "," ", IFERROR( VLOOKUP($A1230,'SUPPLIER DATA BASE'!$A$2:$O$936,12,0),""))</f>
        <v>-</v>
      </c>
      <c r="P1230" s="70" t="str">
        <f>IF($A$3=" "," ", IFERROR( VLOOKUP($A1230,'SUPPLIER DATA BASE'!$A$2:$O$936,13,0),""))</f>
        <v>-</v>
      </c>
      <c r="Q1230" s="77"/>
      <c r="R1230" s="73"/>
      <c r="S1230" s="77"/>
      <c r="T1230" s="70"/>
      <c r="U1230" s="78"/>
      <c r="V1230" s="70" t="str">
        <f t="shared" si="6"/>
        <v/>
      </c>
      <c r="W1230" s="23"/>
      <c r="X1230" s="23"/>
    </row>
    <row r="1231">
      <c r="A1231" s="70" t="s">
        <v>354</v>
      </c>
      <c r="B1231" s="70" t="str">
        <f>IF($A$3=" "," ", IFERROR( VLOOKUP($A1231,'SUPPLIER DATA BASE'!$A$2:$M$936,3,0),""))</f>
        <v>-</v>
      </c>
      <c r="C1231" s="70" t="str">
        <f>IF($A$3=" "," ", IFERROR( VLOOKUP($A1231,'SUPPLIER DATA BASE'!$A$2:$F$936,6,0),""))</f>
        <v>-</v>
      </c>
      <c r="D1231" s="70" t="str">
        <f>IF($A$3=" "," ", IFERROR( VLOOKUP($A1231,'SUPPLIER DATA BASE'!$A$2:$G$936,4,0),""))</f>
        <v>-</v>
      </c>
      <c r="E1231" s="71" t="str">
        <f>IF($A$3=" "," ", IFERROR( VLOOKUP($A1231,'SUPPLIER DATA BASE'!$A$2:$H$936,5,0),""))</f>
        <v>-</v>
      </c>
      <c r="F1231" s="72" t="s">
        <v>3600</v>
      </c>
      <c r="G1231" s="73"/>
      <c r="H1231" s="74"/>
      <c r="I1231" s="75"/>
      <c r="J1231" s="76" t="s">
        <v>3601</v>
      </c>
      <c r="K1231" s="76" t="s">
        <v>3602</v>
      </c>
      <c r="L1231" s="73"/>
      <c r="M1231" s="70" t="str">
        <f t="shared" si="3"/>
        <v/>
      </c>
      <c r="N1231" s="70" t="str">
        <f>IF($A$3=" "," ", IFERROR( VLOOKUP($A1231,'SUPPLIER DATA BASE'!$A$2:$O$936,11,0),""))</f>
        <v>-</v>
      </c>
      <c r="O1231" s="70" t="str">
        <f>IF($A$3=" "," ", IFERROR( VLOOKUP($A1231,'SUPPLIER DATA BASE'!$A$2:$O$936,12,0),""))</f>
        <v>-</v>
      </c>
      <c r="P1231" s="70" t="str">
        <f>IF($A$3=" "," ", IFERROR( VLOOKUP($A1231,'SUPPLIER DATA BASE'!$A$2:$O$936,13,0),""))</f>
        <v>-</v>
      </c>
      <c r="Q1231" s="77"/>
      <c r="R1231" s="73"/>
      <c r="S1231" s="77"/>
      <c r="T1231" s="70"/>
      <c r="U1231" s="78"/>
      <c r="V1231" s="70" t="str">
        <f t="shared" si="6"/>
        <v/>
      </c>
      <c r="W1231" s="23"/>
      <c r="X1231" s="23"/>
    </row>
    <row r="1232">
      <c r="A1232" s="70" t="s">
        <v>354</v>
      </c>
      <c r="B1232" s="70" t="str">
        <f>IF($A$3=" "," ", IFERROR( VLOOKUP($A1232,'SUPPLIER DATA BASE'!$A$2:$M$936,3,0),""))</f>
        <v>-</v>
      </c>
      <c r="C1232" s="70" t="str">
        <f>IF($A$3=" "," ", IFERROR( VLOOKUP($A1232,'SUPPLIER DATA BASE'!$A$2:$F$936,6,0),""))</f>
        <v>-</v>
      </c>
      <c r="D1232" s="70" t="str">
        <f>IF($A$3=" "," ", IFERROR( VLOOKUP($A1232,'SUPPLIER DATA BASE'!$A$2:$G$936,4,0),""))</f>
        <v>-</v>
      </c>
      <c r="E1232" s="71" t="str">
        <f>IF($A$3=" "," ", IFERROR( VLOOKUP($A1232,'SUPPLIER DATA BASE'!$A$2:$H$936,5,0),""))</f>
        <v>-</v>
      </c>
      <c r="F1232" s="72" t="s">
        <v>3603</v>
      </c>
      <c r="G1232" s="73"/>
      <c r="H1232" s="74"/>
      <c r="I1232" s="75"/>
      <c r="J1232" s="76" t="s">
        <v>3604</v>
      </c>
      <c r="K1232" s="76" t="s">
        <v>3605</v>
      </c>
      <c r="L1232" s="73"/>
      <c r="M1232" s="70" t="str">
        <f t="shared" si="3"/>
        <v/>
      </c>
      <c r="N1232" s="70" t="str">
        <f>IF($A$3=" "," ", IFERROR( VLOOKUP($A1232,'SUPPLIER DATA BASE'!$A$2:$O$936,11,0),""))</f>
        <v>-</v>
      </c>
      <c r="O1232" s="70" t="str">
        <f>IF($A$3=" "," ", IFERROR( VLOOKUP($A1232,'SUPPLIER DATA BASE'!$A$2:$O$936,12,0),""))</f>
        <v>-</v>
      </c>
      <c r="P1232" s="70" t="str">
        <f>IF($A$3=" "," ", IFERROR( VLOOKUP($A1232,'SUPPLIER DATA BASE'!$A$2:$O$936,13,0),""))</f>
        <v>-</v>
      </c>
      <c r="Q1232" s="77"/>
      <c r="R1232" s="73"/>
      <c r="S1232" s="77"/>
      <c r="T1232" s="70"/>
      <c r="U1232" s="78"/>
      <c r="V1232" s="70" t="str">
        <f t="shared" si="6"/>
        <v/>
      </c>
      <c r="W1232" s="23"/>
      <c r="X1232" s="23"/>
    </row>
    <row r="1233">
      <c r="A1233" s="70" t="s">
        <v>354</v>
      </c>
      <c r="B1233" s="70" t="str">
        <f>IF($A$3=" "," ", IFERROR( VLOOKUP($A1233,'SUPPLIER DATA BASE'!$A$2:$M$936,3,0),""))</f>
        <v>-</v>
      </c>
      <c r="C1233" s="70" t="str">
        <f>IF($A$3=" "," ", IFERROR( VLOOKUP($A1233,'SUPPLIER DATA BASE'!$A$2:$F$936,6,0),""))</f>
        <v>-</v>
      </c>
      <c r="D1233" s="70" t="str">
        <f>IF($A$3=" "," ", IFERROR( VLOOKUP($A1233,'SUPPLIER DATA BASE'!$A$2:$G$936,4,0),""))</f>
        <v>-</v>
      </c>
      <c r="E1233" s="71" t="str">
        <f>IF($A$3=" "," ", IFERROR( VLOOKUP($A1233,'SUPPLIER DATA BASE'!$A$2:$H$936,5,0),""))</f>
        <v>-</v>
      </c>
      <c r="F1233" s="72" t="s">
        <v>3606</v>
      </c>
      <c r="G1233" s="73"/>
      <c r="H1233" s="74"/>
      <c r="I1233" s="75"/>
      <c r="J1233" s="76" t="s">
        <v>3607</v>
      </c>
      <c r="K1233" s="76" t="s">
        <v>3608</v>
      </c>
      <c r="L1233" s="73"/>
      <c r="M1233" s="70" t="str">
        <f t="shared" si="3"/>
        <v/>
      </c>
      <c r="N1233" s="70" t="str">
        <f>IF($A$3=" "," ", IFERROR( VLOOKUP($A1233,'SUPPLIER DATA BASE'!$A$2:$O$936,11,0),""))</f>
        <v>-</v>
      </c>
      <c r="O1233" s="70" t="str">
        <f>IF($A$3=" "," ", IFERROR( VLOOKUP($A1233,'SUPPLIER DATA BASE'!$A$2:$O$936,12,0),""))</f>
        <v>-</v>
      </c>
      <c r="P1233" s="70" t="str">
        <f>IF($A$3=" "," ", IFERROR( VLOOKUP($A1233,'SUPPLIER DATA BASE'!$A$2:$O$936,13,0),""))</f>
        <v>-</v>
      </c>
      <c r="Q1233" s="77"/>
      <c r="R1233" s="73"/>
      <c r="S1233" s="77"/>
      <c r="T1233" s="70"/>
      <c r="U1233" s="78"/>
      <c r="V1233" s="70" t="str">
        <f t="shared" si="6"/>
        <v/>
      </c>
      <c r="W1233" s="23"/>
      <c r="X1233" s="23"/>
    </row>
    <row r="1234">
      <c r="A1234" s="70" t="s">
        <v>354</v>
      </c>
      <c r="B1234" s="70" t="str">
        <f>IF($A$3=" "," ", IFERROR( VLOOKUP($A1234,'SUPPLIER DATA BASE'!$A$2:$M$936,3,0),""))</f>
        <v>-</v>
      </c>
      <c r="C1234" s="70" t="str">
        <f>IF($A$3=" "," ", IFERROR( VLOOKUP($A1234,'SUPPLIER DATA BASE'!$A$2:$F$936,6,0),""))</f>
        <v>-</v>
      </c>
      <c r="D1234" s="70" t="str">
        <f>IF($A$3=" "," ", IFERROR( VLOOKUP($A1234,'SUPPLIER DATA BASE'!$A$2:$G$936,4,0),""))</f>
        <v>-</v>
      </c>
      <c r="E1234" s="71" t="str">
        <f>IF($A$3=" "," ", IFERROR( VLOOKUP($A1234,'SUPPLIER DATA BASE'!$A$2:$H$936,5,0),""))</f>
        <v>-</v>
      </c>
      <c r="F1234" s="72" t="s">
        <v>3609</v>
      </c>
      <c r="G1234" s="73"/>
      <c r="H1234" s="74"/>
      <c r="I1234" s="75"/>
      <c r="J1234" s="76" t="s">
        <v>3610</v>
      </c>
      <c r="K1234" s="76" t="s">
        <v>3611</v>
      </c>
      <c r="L1234" s="73"/>
      <c r="M1234" s="70" t="str">
        <f t="shared" si="3"/>
        <v/>
      </c>
      <c r="N1234" s="70" t="str">
        <f>IF($A$3=" "," ", IFERROR( VLOOKUP($A1234,'SUPPLIER DATA BASE'!$A$2:$O$936,11,0),""))</f>
        <v>-</v>
      </c>
      <c r="O1234" s="70" t="str">
        <f>IF($A$3=" "," ", IFERROR( VLOOKUP($A1234,'SUPPLIER DATA BASE'!$A$2:$O$936,12,0),""))</f>
        <v>-</v>
      </c>
      <c r="P1234" s="70" t="str">
        <f>IF($A$3=" "," ", IFERROR( VLOOKUP($A1234,'SUPPLIER DATA BASE'!$A$2:$O$936,13,0),""))</f>
        <v>-</v>
      </c>
      <c r="Q1234" s="77"/>
      <c r="R1234" s="73"/>
      <c r="S1234" s="77"/>
      <c r="T1234" s="70"/>
      <c r="U1234" s="78"/>
      <c r="V1234" s="70" t="str">
        <f t="shared" si="6"/>
        <v/>
      </c>
      <c r="W1234" s="23"/>
      <c r="X1234" s="23"/>
    </row>
    <row r="1235">
      <c r="A1235" s="70" t="s">
        <v>354</v>
      </c>
      <c r="B1235" s="70" t="str">
        <f>IF($A$3=" "," ", IFERROR( VLOOKUP($A1235,'SUPPLIER DATA BASE'!$A$2:$M$936,3,0),""))</f>
        <v>-</v>
      </c>
      <c r="C1235" s="70" t="str">
        <f>IF($A$3=" "," ", IFERROR( VLOOKUP($A1235,'SUPPLIER DATA BASE'!$A$2:$F$936,6,0),""))</f>
        <v>-</v>
      </c>
      <c r="D1235" s="70" t="str">
        <f>IF($A$3=" "," ", IFERROR( VLOOKUP($A1235,'SUPPLIER DATA BASE'!$A$2:$G$936,4,0),""))</f>
        <v>-</v>
      </c>
      <c r="E1235" s="71" t="str">
        <f>IF($A$3=" "," ", IFERROR( VLOOKUP($A1235,'SUPPLIER DATA BASE'!$A$2:$H$936,5,0),""))</f>
        <v>-</v>
      </c>
      <c r="F1235" s="72" t="s">
        <v>3612</v>
      </c>
      <c r="G1235" s="73"/>
      <c r="H1235" s="74"/>
      <c r="I1235" s="75"/>
      <c r="J1235" s="76" t="s">
        <v>3613</v>
      </c>
      <c r="K1235" s="76" t="s">
        <v>3614</v>
      </c>
      <c r="L1235" s="73"/>
      <c r="M1235" s="70" t="str">
        <f t="shared" si="3"/>
        <v/>
      </c>
      <c r="N1235" s="70" t="str">
        <f>IF($A$3=" "," ", IFERROR( VLOOKUP($A1235,'SUPPLIER DATA BASE'!$A$2:$O$936,11,0),""))</f>
        <v>-</v>
      </c>
      <c r="O1235" s="70" t="str">
        <f>IF($A$3=" "," ", IFERROR( VLOOKUP($A1235,'SUPPLIER DATA BASE'!$A$2:$O$936,12,0),""))</f>
        <v>-</v>
      </c>
      <c r="P1235" s="70" t="str">
        <f>IF($A$3=" "," ", IFERROR( VLOOKUP($A1235,'SUPPLIER DATA BASE'!$A$2:$O$936,13,0),""))</f>
        <v>-</v>
      </c>
      <c r="Q1235" s="77"/>
      <c r="R1235" s="73"/>
      <c r="S1235" s="77"/>
      <c r="T1235" s="70"/>
      <c r="U1235" s="78"/>
      <c r="V1235" s="70" t="str">
        <f t="shared" si="6"/>
        <v/>
      </c>
      <c r="W1235" s="23"/>
      <c r="X1235" s="23"/>
    </row>
    <row r="1236">
      <c r="A1236" s="70" t="s">
        <v>354</v>
      </c>
      <c r="B1236" s="70" t="str">
        <f>IF($A$3=" "," ", IFERROR( VLOOKUP($A1236,'SUPPLIER DATA BASE'!$A$2:$M$936,3,0),""))</f>
        <v>-</v>
      </c>
      <c r="C1236" s="70" t="str">
        <f>IF($A$3=" "," ", IFERROR( VLOOKUP($A1236,'SUPPLIER DATA BASE'!$A$2:$F$936,6,0),""))</f>
        <v>-</v>
      </c>
      <c r="D1236" s="70" t="str">
        <f>IF($A$3=" "," ", IFERROR( VLOOKUP($A1236,'SUPPLIER DATA BASE'!$A$2:$G$936,4,0),""))</f>
        <v>-</v>
      </c>
      <c r="E1236" s="71" t="str">
        <f>IF($A$3=" "," ", IFERROR( VLOOKUP($A1236,'SUPPLIER DATA BASE'!$A$2:$H$936,5,0),""))</f>
        <v>-</v>
      </c>
      <c r="F1236" s="72" t="s">
        <v>3615</v>
      </c>
      <c r="G1236" s="73"/>
      <c r="H1236" s="74"/>
      <c r="I1236" s="75"/>
      <c r="J1236" s="76" t="s">
        <v>3616</v>
      </c>
      <c r="K1236" s="76" t="s">
        <v>3617</v>
      </c>
      <c r="L1236" s="73"/>
      <c r="M1236" s="70" t="str">
        <f t="shared" si="3"/>
        <v/>
      </c>
      <c r="N1236" s="70" t="str">
        <f>IF($A$3=" "," ", IFERROR( VLOOKUP($A1236,'SUPPLIER DATA BASE'!$A$2:$O$936,11,0),""))</f>
        <v>-</v>
      </c>
      <c r="O1236" s="70" t="str">
        <f>IF($A$3=" "," ", IFERROR( VLOOKUP($A1236,'SUPPLIER DATA BASE'!$A$2:$O$936,12,0),""))</f>
        <v>-</v>
      </c>
      <c r="P1236" s="70" t="str">
        <f>IF($A$3=" "," ", IFERROR( VLOOKUP($A1236,'SUPPLIER DATA BASE'!$A$2:$O$936,13,0),""))</f>
        <v>-</v>
      </c>
      <c r="Q1236" s="77"/>
      <c r="R1236" s="73"/>
      <c r="S1236" s="77"/>
      <c r="T1236" s="70"/>
      <c r="U1236" s="78"/>
      <c r="V1236" s="70" t="str">
        <f t="shared" si="6"/>
        <v/>
      </c>
      <c r="W1236" s="23"/>
      <c r="X1236" s="23"/>
    </row>
    <row r="1237">
      <c r="A1237" s="70" t="s">
        <v>354</v>
      </c>
      <c r="B1237" s="70" t="str">
        <f>IF($A$3=" "," ", IFERROR( VLOOKUP($A1237,'SUPPLIER DATA BASE'!$A$2:$M$936,3,0),""))</f>
        <v>-</v>
      </c>
      <c r="C1237" s="70" t="str">
        <f>IF($A$3=" "," ", IFERROR( VLOOKUP($A1237,'SUPPLIER DATA BASE'!$A$2:$F$936,6,0),""))</f>
        <v>-</v>
      </c>
      <c r="D1237" s="70" t="str">
        <f>IF($A$3=" "," ", IFERROR( VLOOKUP($A1237,'SUPPLIER DATA BASE'!$A$2:$G$936,4,0),""))</f>
        <v>-</v>
      </c>
      <c r="E1237" s="71" t="str">
        <f>IF($A$3=" "," ", IFERROR( VLOOKUP($A1237,'SUPPLIER DATA BASE'!$A$2:$H$936,5,0),""))</f>
        <v>-</v>
      </c>
      <c r="F1237" s="72" t="s">
        <v>3618</v>
      </c>
      <c r="G1237" s="73"/>
      <c r="H1237" s="74"/>
      <c r="I1237" s="75"/>
      <c r="J1237" s="76" t="s">
        <v>3619</v>
      </c>
      <c r="K1237" s="76" t="s">
        <v>3620</v>
      </c>
      <c r="L1237" s="73"/>
      <c r="M1237" s="70" t="str">
        <f t="shared" si="3"/>
        <v/>
      </c>
      <c r="N1237" s="70" t="str">
        <f>IF($A$3=" "," ", IFERROR( VLOOKUP($A1237,'SUPPLIER DATA BASE'!$A$2:$O$936,11,0),""))</f>
        <v>-</v>
      </c>
      <c r="O1237" s="70" t="str">
        <f>IF($A$3=" "," ", IFERROR( VLOOKUP($A1237,'SUPPLIER DATA BASE'!$A$2:$O$936,12,0),""))</f>
        <v>-</v>
      </c>
      <c r="P1237" s="70" t="str">
        <f>IF($A$3=" "," ", IFERROR( VLOOKUP($A1237,'SUPPLIER DATA BASE'!$A$2:$O$936,13,0),""))</f>
        <v>-</v>
      </c>
      <c r="Q1237" s="77"/>
      <c r="R1237" s="73"/>
      <c r="S1237" s="77"/>
      <c r="T1237" s="70"/>
      <c r="U1237" s="78"/>
      <c r="V1237" s="70" t="str">
        <f t="shared" si="6"/>
        <v/>
      </c>
      <c r="W1237" s="23"/>
      <c r="X1237" s="23"/>
    </row>
    <row r="1238">
      <c r="A1238" s="70" t="s">
        <v>354</v>
      </c>
      <c r="B1238" s="70" t="str">
        <f>IF($A$3=" "," ", IFERROR( VLOOKUP($A1238,'SUPPLIER DATA BASE'!$A$2:$M$936,3,0),""))</f>
        <v>-</v>
      </c>
      <c r="C1238" s="70" t="str">
        <f>IF($A$3=" "," ", IFERROR( VLOOKUP($A1238,'SUPPLIER DATA BASE'!$A$2:$F$936,6,0),""))</f>
        <v>-</v>
      </c>
      <c r="D1238" s="70" t="str">
        <f>IF($A$3=" "," ", IFERROR( VLOOKUP($A1238,'SUPPLIER DATA BASE'!$A$2:$G$936,4,0),""))</f>
        <v>-</v>
      </c>
      <c r="E1238" s="71" t="str">
        <f>IF($A$3=" "," ", IFERROR( VLOOKUP($A1238,'SUPPLIER DATA BASE'!$A$2:$H$936,5,0),""))</f>
        <v>-</v>
      </c>
      <c r="F1238" s="72" t="s">
        <v>3621</v>
      </c>
      <c r="G1238" s="73"/>
      <c r="H1238" s="74"/>
      <c r="I1238" s="75"/>
      <c r="J1238" s="76" t="s">
        <v>3622</v>
      </c>
      <c r="K1238" s="76" t="s">
        <v>3623</v>
      </c>
      <c r="L1238" s="73"/>
      <c r="M1238" s="70" t="str">
        <f t="shared" si="3"/>
        <v/>
      </c>
      <c r="N1238" s="70" t="str">
        <f>IF($A$3=" "," ", IFERROR( VLOOKUP($A1238,'SUPPLIER DATA BASE'!$A$2:$O$936,11,0),""))</f>
        <v>-</v>
      </c>
      <c r="O1238" s="70" t="str">
        <f>IF($A$3=" "," ", IFERROR( VLOOKUP($A1238,'SUPPLIER DATA BASE'!$A$2:$O$936,12,0),""))</f>
        <v>-</v>
      </c>
      <c r="P1238" s="70" t="str">
        <f>IF($A$3=" "," ", IFERROR( VLOOKUP($A1238,'SUPPLIER DATA BASE'!$A$2:$O$936,13,0),""))</f>
        <v>-</v>
      </c>
      <c r="Q1238" s="77"/>
      <c r="R1238" s="73"/>
      <c r="S1238" s="77"/>
      <c r="T1238" s="70"/>
      <c r="U1238" s="78"/>
      <c r="V1238" s="70" t="str">
        <f t="shared" si="6"/>
        <v/>
      </c>
      <c r="W1238" s="23"/>
      <c r="X1238" s="23"/>
    </row>
    <row r="1239">
      <c r="A1239" s="70" t="s">
        <v>354</v>
      </c>
      <c r="B1239" s="70" t="str">
        <f>IF($A$3=" "," ", IFERROR( VLOOKUP($A1239,'SUPPLIER DATA BASE'!$A$2:$M$936,3,0),""))</f>
        <v>-</v>
      </c>
      <c r="C1239" s="70" t="str">
        <f>IF($A$3=" "," ", IFERROR( VLOOKUP($A1239,'SUPPLIER DATA BASE'!$A$2:$F$936,6,0),""))</f>
        <v>-</v>
      </c>
      <c r="D1239" s="70" t="str">
        <f>IF($A$3=" "," ", IFERROR( VLOOKUP($A1239,'SUPPLIER DATA BASE'!$A$2:$G$936,4,0),""))</f>
        <v>-</v>
      </c>
      <c r="E1239" s="71" t="str">
        <f>IF($A$3=" "," ", IFERROR( VLOOKUP($A1239,'SUPPLIER DATA BASE'!$A$2:$H$936,5,0),""))</f>
        <v>-</v>
      </c>
      <c r="F1239" s="72" t="s">
        <v>3624</v>
      </c>
      <c r="G1239" s="73"/>
      <c r="H1239" s="74"/>
      <c r="I1239" s="75"/>
      <c r="J1239" s="76" t="s">
        <v>3625</v>
      </c>
      <c r="K1239" s="76" t="s">
        <v>3626</v>
      </c>
      <c r="L1239" s="73"/>
      <c r="M1239" s="70" t="str">
        <f t="shared" si="3"/>
        <v/>
      </c>
      <c r="N1239" s="70" t="str">
        <f>IF($A$3=" "," ", IFERROR( VLOOKUP($A1239,'SUPPLIER DATA BASE'!$A$2:$O$936,11,0),""))</f>
        <v>-</v>
      </c>
      <c r="O1239" s="70" t="str">
        <f>IF($A$3=" "," ", IFERROR( VLOOKUP($A1239,'SUPPLIER DATA BASE'!$A$2:$O$936,12,0),""))</f>
        <v>-</v>
      </c>
      <c r="P1239" s="70" t="str">
        <f>IF($A$3=" "," ", IFERROR( VLOOKUP($A1239,'SUPPLIER DATA BASE'!$A$2:$O$936,13,0),""))</f>
        <v>-</v>
      </c>
      <c r="Q1239" s="77"/>
      <c r="R1239" s="73"/>
      <c r="S1239" s="77"/>
      <c r="T1239" s="70"/>
      <c r="U1239" s="78"/>
      <c r="V1239" s="70" t="str">
        <f t="shared" si="6"/>
        <v/>
      </c>
      <c r="W1239" s="23"/>
      <c r="X1239" s="23"/>
    </row>
    <row r="1240">
      <c r="A1240" s="70" t="s">
        <v>354</v>
      </c>
      <c r="B1240" s="70" t="str">
        <f>IF($A$3=" "," ", IFERROR( VLOOKUP($A1240,'SUPPLIER DATA BASE'!$A$2:$M$936,3,0),""))</f>
        <v>-</v>
      </c>
      <c r="C1240" s="70" t="str">
        <f>IF($A$3=" "," ", IFERROR( VLOOKUP($A1240,'SUPPLIER DATA BASE'!$A$2:$F$936,6,0),""))</f>
        <v>-</v>
      </c>
      <c r="D1240" s="70" t="str">
        <f>IF($A$3=" "," ", IFERROR( VLOOKUP($A1240,'SUPPLIER DATA BASE'!$A$2:$G$936,4,0),""))</f>
        <v>-</v>
      </c>
      <c r="E1240" s="71" t="str">
        <f>IF($A$3=" "," ", IFERROR( VLOOKUP($A1240,'SUPPLIER DATA BASE'!$A$2:$H$936,5,0),""))</f>
        <v>-</v>
      </c>
      <c r="F1240" s="72" t="s">
        <v>3627</v>
      </c>
      <c r="G1240" s="73"/>
      <c r="H1240" s="74"/>
      <c r="I1240" s="75"/>
      <c r="J1240" s="76" t="s">
        <v>3628</v>
      </c>
      <c r="K1240" s="76" t="s">
        <v>3629</v>
      </c>
      <c r="L1240" s="73"/>
      <c r="M1240" s="70" t="str">
        <f t="shared" si="3"/>
        <v/>
      </c>
      <c r="N1240" s="70" t="str">
        <f>IF($A$3=" "," ", IFERROR( VLOOKUP($A1240,'SUPPLIER DATA BASE'!$A$2:$O$936,11,0),""))</f>
        <v>-</v>
      </c>
      <c r="O1240" s="70" t="str">
        <f>IF($A$3=" "," ", IFERROR( VLOOKUP($A1240,'SUPPLIER DATA BASE'!$A$2:$O$936,12,0),""))</f>
        <v>-</v>
      </c>
      <c r="P1240" s="70" t="str">
        <f>IF($A$3=" "," ", IFERROR( VLOOKUP($A1240,'SUPPLIER DATA BASE'!$A$2:$O$936,13,0),""))</f>
        <v>-</v>
      </c>
      <c r="Q1240" s="77"/>
      <c r="R1240" s="73"/>
      <c r="S1240" s="77"/>
      <c r="T1240" s="70"/>
      <c r="U1240" s="78"/>
      <c r="V1240" s="70" t="str">
        <f t="shared" si="6"/>
        <v/>
      </c>
      <c r="W1240" s="23"/>
      <c r="X1240" s="23"/>
    </row>
    <row r="1241">
      <c r="A1241" s="70" t="s">
        <v>354</v>
      </c>
      <c r="B1241" s="70" t="str">
        <f>IF($A$3=" "," ", IFERROR( VLOOKUP($A1241,'SUPPLIER DATA BASE'!$A$2:$M$936,3,0),""))</f>
        <v>-</v>
      </c>
      <c r="C1241" s="70" t="str">
        <f>IF($A$3=" "," ", IFERROR( VLOOKUP($A1241,'SUPPLIER DATA BASE'!$A$2:$F$936,6,0),""))</f>
        <v>-</v>
      </c>
      <c r="D1241" s="70" t="str">
        <f>IF($A$3=" "," ", IFERROR( VLOOKUP($A1241,'SUPPLIER DATA BASE'!$A$2:$G$936,4,0),""))</f>
        <v>-</v>
      </c>
      <c r="E1241" s="71" t="str">
        <f>IF($A$3=" "," ", IFERROR( VLOOKUP($A1241,'SUPPLIER DATA BASE'!$A$2:$H$936,5,0),""))</f>
        <v>-</v>
      </c>
      <c r="F1241" s="72" t="s">
        <v>3630</v>
      </c>
      <c r="G1241" s="73"/>
      <c r="H1241" s="74"/>
      <c r="I1241" s="75"/>
      <c r="J1241" s="76" t="s">
        <v>3631</v>
      </c>
      <c r="K1241" s="76" t="s">
        <v>3632</v>
      </c>
      <c r="L1241" s="73"/>
      <c r="M1241" s="70" t="str">
        <f t="shared" si="3"/>
        <v/>
      </c>
      <c r="N1241" s="70" t="str">
        <f>IF($A$3=" "," ", IFERROR( VLOOKUP($A1241,'SUPPLIER DATA BASE'!$A$2:$O$936,11,0),""))</f>
        <v>-</v>
      </c>
      <c r="O1241" s="70" t="str">
        <f>IF($A$3=" "," ", IFERROR( VLOOKUP($A1241,'SUPPLIER DATA BASE'!$A$2:$O$936,12,0),""))</f>
        <v>-</v>
      </c>
      <c r="P1241" s="70" t="str">
        <f>IF($A$3=" "," ", IFERROR( VLOOKUP($A1241,'SUPPLIER DATA BASE'!$A$2:$O$936,13,0),""))</f>
        <v>-</v>
      </c>
      <c r="Q1241" s="77"/>
      <c r="R1241" s="73"/>
      <c r="S1241" s="77"/>
      <c r="T1241" s="70"/>
      <c r="U1241" s="78"/>
      <c r="V1241" s="70" t="str">
        <f t="shared" si="6"/>
        <v/>
      </c>
      <c r="W1241" s="23"/>
      <c r="X1241" s="23"/>
    </row>
    <row r="1242">
      <c r="A1242" s="70" t="s">
        <v>354</v>
      </c>
      <c r="B1242" s="70" t="str">
        <f>IF($A$3=" "," ", IFERROR( VLOOKUP($A1242,'SUPPLIER DATA BASE'!$A$2:$M$936,3,0),""))</f>
        <v>-</v>
      </c>
      <c r="C1242" s="70" t="str">
        <f>IF($A$3=" "," ", IFERROR( VLOOKUP($A1242,'SUPPLIER DATA BASE'!$A$2:$F$936,6,0),""))</f>
        <v>-</v>
      </c>
      <c r="D1242" s="70" t="str">
        <f>IF($A$3=" "," ", IFERROR( VLOOKUP($A1242,'SUPPLIER DATA BASE'!$A$2:$G$936,4,0),""))</f>
        <v>-</v>
      </c>
      <c r="E1242" s="71" t="str">
        <f>IF($A$3=" "," ", IFERROR( VLOOKUP($A1242,'SUPPLIER DATA BASE'!$A$2:$H$936,5,0),""))</f>
        <v>-</v>
      </c>
      <c r="F1242" s="72" t="s">
        <v>3633</v>
      </c>
      <c r="G1242" s="73"/>
      <c r="H1242" s="74"/>
      <c r="I1242" s="75"/>
      <c r="J1242" s="76" t="s">
        <v>3634</v>
      </c>
      <c r="K1242" s="76" t="s">
        <v>3635</v>
      </c>
      <c r="L1242" s="73"/>
      <c r="M1242" s="70" t="str">
        <f t="shared" si="3"/>
        <v/>
      </c>
      <c r="N1242" s="70" t="str">
        <f>IF($A$3=" "," ", IFERROR( VLOOKUP($A1242,'SUPPLIER DATA BASE'!$A$2:$O$936,11,0),""))</f>
        <v>-</v>
      </c>
      <c r="O1242" s="70" t="str">
        <f>IF($A$3=" "," ", IFERROR( VLOOKUP($A1242,'SUPPLIER DATA BASE'!$A$2:$O$936,12,0),""))</f>
        <v>-</v>
      </c>
      <c r="P1242" s="70" t="str">
        <f>IF($A$3=" "," ", IFERROR( VLOOKUP($A1242,'SUPPLIER DATA BASE'!$A$2:$O$936,13,0),""))</f>
        <v>-</v>
      </c>
      <c r="Q1242" s="77"/>
      <c r="R1242" s="73"/>
      <c r="S1242" s="77"/>
      <c r="T1242" s="70"/>
      <c r="U1242" s="78"/>
      <c r="V1242" s="70" t="str">
        <f t="shared" si="6"/>
        <v/>
      </c>
      <c r="W1242" s="23"/>
      <c r="X1242" s="23"/>
    </row>
    <row r="1243">
      <c r="A1243" s="70" t="s">
        <v>354</v>
      </c>
      <c r="B1243" s="70" t="str">
        <f>IF($A$3=" "," ", IFERROR( VLOOKUP($A1243,'SUPPLIER DATA BASE'!$A$2:$M$936,3,0),""))</f>
        <v>-</v>
      </c>
      <c r="C1243" s="70" t="str">
        <f>IF($A$3=" "," ", IFERROR( VLOOKUP($A1243,'SUPPLIER DATA BASE'!$A$2:$F$936,6,0),""))</f>
        <v>-</v>
      </c>
      <c r="D1243" s="70" t="str">
        <f>IF($A$3=" "," ", IFERROR( VLOOKUP($A1243,'SUPPLIER DATA BASE'!$A$2:$G$936,4,0),""))</f>
        <v>-</v>
      </c>
      <c r="E1243" s="71" t="str">
        <f>IF($A$3=" "," ", IFERROR( VLOOKUP($A1243,'SUPPLIER DATA BASE'!$A$2:$H$936,5,0),""))</f>
        <v>-</v>
      </c>
      <c r="F1243" s="72" t="s">
        <v>3636</v>
      </c>
      <c r="G1243" s="73"/>
      <c r="H1243" s="74"/>
      <c r="I1243" s="75"/>
      <c r="J1243" s="76" t="s">
        <v>3637</v>
      </c>
      <c r="K1243" s="76" t="s">
        <v>3638</v>
      </c>
      <c r="L1243" s="73"/>
      <c r="M1243" s="70" t="str">
        <f t="shared" si="3"/>
        <v/>
      </c>
      <c r="N1243" s="70" t="str">
        <f>IF($A$3=" "," ", IFERROR( VLOOKUP($A1243,'SUPPLIER DATA BASE'!$A$2:$O$936,11,0),""))</f>
        <v>-</v>
      </c>
      <c r="O1243" s="70" t="str">
        <f>IF($A$3=" "," ", IFERROR( VLOOKUP($A1243,'SUPPLIER DATA BASE'!$A$2:$O$936,12,0),""))</f>
        <v>-</v>
      </c>
      <c r="P1243" s="70" t="str">
        <f>IF($A$3=" "," ", IFERROR( VLOOKUP($A1243,'SUPPLIER DATA BASE'!$A$2:$O$936,13,0),""))</f>
        <v>-</v>
      </c>
      <c r="Q1243" s="77"/>
      <c r="R1243" s="73"/>
      <c r="S1243" s="77"/>
      <c r="T1243" s="70"/>
      <c r="U1243" s="78"/>
      <c r="V1243" s="70" t="str">
        <f t="shared" si="6"/>
        <v/>
      </c>
      <c r="W1243" s="23"/>
      <c r="X1243" s="23"/>
    </row>
    <row r="1244">
      <c r="A1244" s="70" t="s">
        <v>354</v>
      </c>
      <c r="B1244" s="70" t="str">
        <f>IF($A$3=" "," ", IFERROR( VLOOKUP($A1244,'SUPPLIER DATA BASE'!$A$2:$M$936,3,0),""))</f>
        <v>-</v>
      </c>
      <c r="C1244" s="70" t="str">
        <f>IF($A$3=" "," ", IFERROR( VLOOKUP($A1244,'SUPPLIER DATA BASE'!$A$2:$F$936,6,0),""))</f>
        <v>-</v>
      </c>
      <c r="D1244" s="70" t="str">
        <f>IF($A$3=" "," ", IFERROR( VLOOKUP($A1244,'SUPPLIER DATA BASE'!$A$2:$G$936,4,0),""))</f>
        <v>-</v>
      </c>
      <c r="E1244" s="71" t="str">
        <f>IF($A$3=" "," ", IFERROR( VLOOKUP($A1244,'SUPPLIER DATA BASE'!$A$2:$H$936,5,0),""))</f>
        <v>-</v>
      </c>
      <c r="F1244" s="72" t="s">
        <v>3639</v>
      </c>
      <c r="G1244" s="73"/>
      <c r="H1244" s="74"/>
      <c r="I1244" s="75"/>
      <c r="J1244" s="76" t="s">
        <v>3640</v>
      </c>
      <c r="K1244" s="76" t="s">
        <v>3641</v>
      </c>
      <c r="L1244" s="73"/>
      <c r="M1244" s="70" t="str">
        <f t="shared" si="3"/>
        <v/>
      </c>
      <c r="N1244" s="70" t="str">
        <f>IF($A$3=" "," ", IFERROR( VLOOKUP($A1244,'SUPPLIER DATA BASE'!$A$2:$O$936,11,0),""))</f>
        <v>-</v>
      </c>
      <c r="O1244" s="70" t="str">
        <f>IF($A$3=" "," ", IFERROR( VLOOKUP($A1244,'SUPPLIER DATA BASE'!$A$2:$O$936,12,0),""))</f>
        <v>-</v>
      </c>
      <c r="P1244" s="70" t="str">
        <f>IF($A$3=" "," ", IFERROR( VLOOKUP($A1244,'SUPPLIER DATA BASE'!$A$2:$O$936,13,0),""))</f>
        <v>-</v>
      </c>
      <c r="Q1244" s="77"/>
      <c r="R1244" s="73"/>
      <c r="S1244" s="77"/>
      <c r="T1244" s="70"/>
      <c r="U1244" s="78"/>
      <c r="V1244" s="70" t="str">
        <f t="shared" si="6"/>
        <v/>
      </c>
      <c r="W1244" s="23"/>
      <c r="X1244" s="23"/>
    </row>
    <row r="1245">
      <c r="A1245" s="70" t="s">
        <v>354</v>
      </c>
      <c r="B1245" s="70" t="str">
        <f>IF($A$3=" "," ", IFERROR( VLOOKUP($A1245,'SUPPLIER DATA BASE'!$A$2:$M$936,3,0),""))</f>
        <v>-</v>
      </c>
      <c r="C1245" s="70" t="str">
        <f>IF($A$3=" "," ", IFERROR( VLOOKUP($A1245,'SUPPLIER DATA BASE'!$A$2:$F$936,6,0),""))</f>
        <v>-</v>
      </c>
      <c r="D1245" s="70" t="str">
        <f>IF($A$3=" "," ", IFERROR( VLOOKUP($A1245,'SUPPLIER DATA BASE'!$A$2:$G$936,4,0),""))</f>
        <v>-</v>
      </c>
      <c r="E1245" s="71" t="str">
        <f>IF($A$3=" "," ", IFERROR( VLOOKUP($A1245,'SUPPLIER DATA BASE'!$A$2:$H$936,5,0),""))</f>
        <v>-</v>
      </c>
      <c r="F1245" s="72" t="s">
        <v>3642</v>
      </c>
      <c r="G1245" s="73"/>
      <c r="H1245" s="74"/>
      <c r="I1245" s="75"/>
      <c r="J1245" s="76" t="s">
        <v>3643</v>
      </c>
      <c r="K1245" s="76" t="s">
        <v>3644</v>
      </c>
      <c r="L1245" s="73"/>
      <c r="M1245" s="70" t="str">
        <f t="shared" si="3"/>
        <v/>
      </c>
      <c r="N1245" s="70" t="str">
        <f>IF($A$3=" "," ", IFERROR( VLOOKUP($A1245,'SUPPLIER DATA BASE'!$A$2:$O$936,11,0),""))</f>
        <v>-</v>
      </c>
      <c r="O1245" s="70" t="str">
        <f>IF($A$3=" "," ", IFERROR( VLOOKUP($A1245,'SUPPLIER DATA BASE'!$A$2:$O$936,12,0),""))</f>
        <v>-</v>
      </c>
      <c r="P1245" s="70" t="str">
        <f>IF($A$3=" "," ", IFERROR( VLOOKUP($A1245,'SUPPLIER DATA BASE'!$A$2:$O$936,13,0),""))</f>
        <v>-</v>
      </c>
      <c r="Q1245" s="77"/>
      <c r="R1245" s="73"/>
      <c r="S1245" s="77"/>
      <c r="T1245" s="70"/>
      <c r="U1245" s="78"/>
      <c r="V1245" s="70" t="str">
        <f t="shared" si="6"/>
        <v/>
      </c>
      <c r="W1245" s="23"/>
      <c r="X1245" s="23"/>
    </row>
    <row r="1246">
      <c r="A1246" s="70" t="s">
        <v>354</v>
      </c>
      <c r="B1246" s="70" t="str">
        <f>IF($A$3=" "," ", IFERROR( VLOOKUP($A1246,'SUPPLIER DATA BASE'!$A$2:$M$936,3,0),""))</f>
        <v>-</v>
      </c>
      <c r="C1246" s="70" t="str">
        <f>IF($A$3=" "," ", IFERROR( VLOOKUP($A1246,'SUPPLIER DATA BASE'!$A$2:$F$936,6,0),""))</f>
        <v>-</v>
      </c>
      <c r="D1246" s="70" t="str">
        <f>IF($A$3=" "," ", IFERROR( VLOOKUP($A1246,'SUPPLIER DATA BASE'!$A$2:$G$936,4,0),""))</f>
        <v>-</v>
      </c>
      <c r="E1246" s="71" t="str">
        <f>IF($A$3=" "," ", IFERROR( VLOOKUP($A1246,'SUPPLIER DATA BASE'!$A$2:$H$936,5,0),""))</f>
        <v>-</v>
      </c>
      <c r="F1246" s="72" t="s">
        <v>3645</v>
      </c>
      <c r="G1246" s="73"/>
      <c r="H1246" s="74"/>
      <c r="I1246" s="75"/>
      <c r="J1246" s="76" t="s">
        <v>3646</v>
      </c>
      <c r="K1246" s="76" t="s">
        <v>3647</v>
      </c>
      <c r="L1246" s="73"/>
      <c r="M1246" s="70" t="str">
        <f t="shared" si="3"/>
        <v/>
      </c>
      <c r="N1246" s="70" t="str">
        <f>IF($A$3=" "," ", IFERROR( VLOOKUP($A1246,'SUPPLIER DATA BASE'!$A$2:$O$936,11,0),""))</f>
        <v>-</v>
      </c>
      <c r="O1246" s="70" t="str">
        <f>IF($A$3=" "," ", IFERROR( VLOOKUP($A1246,'SUPPLIER DATA BASE'!$A$2:$O$936,12,0),""))</f>
        <v>-</v>
      </c>
      <c r="P1246" s="70" t="str">
        <f>IF($A$3=" "," ", IFERROR( VLOOKUP($A1246,'SUPPLIER DATA BASE'!$A$2:$O$936,13,0),""))</f>
        <v>-</v>
      </c>
      <c r="Q1246" s="77"/>
      <c r="R1246" s="73"/>
      <c r="S1246" s="77"/>
      <c r="T1246" s="70"/>
      <c r="U1246" s="78"/>
      <c r="V1246" s="70" t="str">
        <f t="shared" si="6"/>
        <v/>
      </c>
      <c r="W1246" s="23"/>
      <c r="X1246" s="23"/>
    </row>
    <row r="1247">
      <c r="A1247" s="70" t="s">
        <v>354</v>
      </c>
      <c r="B1247" s="70" t="str">
        <f>IF($A$3=" "," ", IFERROR( VLOOKUP($A1247,'SUPPLIER DATA BASE'!$A$2:$M$936,3,0),""))</f>
        <v>-</v>
      </c>
      <c r="C1247" s="70" t="str">
        <f>IF($A$3=" "," ", IFERROR( VLOOKUP($A1247,'SUPPLIER DATA BASE'!$A$2:$F$936,6,0),""))</f>
        <v>-</v>
      </c>
      <c r="D1247" s="70" t="str">
        <f>IF($A$3=" "," ", IFERROR( VLOOKUP($A1247,'SUPPLIER DATA BASE'!$A$2:$G$936,4,0),""))</f>
        <v>-</v>
      </c>
      <c r="E1247" s="71" t="str">
        <f>IF($A$3=" "," ", IFERROR( VLOOKUP($A1247,'SUPPLIER DATA BASE'!$A$2:$H$936,5,0),""))</f>
        <v>-</v>
      </c>
      <c r="F1247" s="72" t="s">
        <v>3648</v>
      </c>
      <c r="G1247" s="73"/>
      <c r="H1247" s="74"/>
      <c r="I1247" s="75"/>
      <c r="J1247" s="76" t="s">
        <v>3649</v>
      </c>
      <c r="K1247" s="76" t="s">
        <v>3650</v>
      </c>
      <c r="L1247" s="73"/>
      <c r="M1247" s="70" t="str">
        <f t="shared" si="3"/>
        <v/>
      </c>
      <c r="N1247" s="70" t="str">
        <f>IF($A$3=" "," ", IFERROR( VLOOKUP($A1247,'SUPPLIER DATA BASE'!$A$2:$O$936,11,0),""))</f>
        <v>-</v>
      </c>
      <c r="O1247" s="70" t="str">
        <f>IF($A$3=" "," ", IFERROR( VLOOKUP($A1247,'SUPPLIER DATA BASE'!$A$2:$O$936,12,0),""))</f>
        <v>-</v>
      </c>
      <c r="P1247" s="70" t="str">
        <f>IF($A$3=" "," ", IFERROR( VLOOKUP($A1247,'SUPPLIER DATA BASE'!$A$2:$O$936,13,0),""))</f>
        <v>-</v>
      </c>
      <c r="Q1247" s="77"/>
      <c r="R1247" s="73"/>
      <c r="S1247" s="77"/>
      <c r="T1247" s="70"/>
      <c r="U1247" s="78"/>
      <c r="V1247" s="70" t="str">
        <f t="shared" si="6"/>
        <v/>
      </c>
      <c r="W1247" s="23"/>
      <c r="X1247" s="23"/>
    </row>
    <row r="1248">
      <c r="A1248" s="70" t="s">
        <v>354</v>
      </c>
      <c r="B1248" s="70" t="str">
        <f>IF($A$3=" "," ", IFERROR( VLOOKUP($A1248,'SUPPLIER DATA BASE'!$A$2:$M$936,3,0),""))</f>
        <v>-</v>
      </c>
      <c r="C1248" s="70" t="str">
        <f>IF($A$3=" "," ", IFERROR( VLOOKUP($A1248,'SUPPLIER DATA BASE'!$A$2:$F$936,6,0),""))</f>
        <v>-</v>
      </c>
      <c r="D1248" s="70" t="str">
        <f>IF($A$3=" "," ", IFERROR( VLOOKUP($A1248,'SUPPLIER DATA BASE'!$A$2:$G$936,4,0),""))</f>
        <v>-</v>
      </c>
      <c r="E1248" s="71" t="str">
        <f>IF($A$3=" "," ", IFERROR( VLOOKUP($A1248,'SUPPLIER DATA BASE'!$A$2:$H$936,5,0),""))</f>
        <v>-</v>
      </c>
      <c r="F1248" s="72" t="s">
        <v>3651</v>
      </c>
      <c r="G1248" s="73"/>
      <c r="H1248" s="74"/>
      <c r="I1248" s="75"/>
      <c r="J1248" s="76" t="s">
        <v>3652</v>
      </c>
      <c r="K1248" s="76" t="s">
        <v>3653</v>
      </c>
      <c r="L1248" s="73"/>
      <c r="M1248" s="70" t="str">
        <f t="shared" si="3"/>
        <v/>
      </c>
      <c r="N1248" s="70" t="str">
        <f>IF($A$3=" "," ", IFERROR( VLOOKUP($A1248,'SUPPLIER DATA BASE'!$A$2:$O$936,11,0),""))</f>
        <v>-</v>
      </c>
      <c r="O1248" s="70" t="str">
        <f>IF($A$3=" "," ", IFERROR( VLOOKUP($A1248,'SUPPLIER DATA BASE'!$A$2:$O$936,12,0),""))</f>
        <v>-</v>
      </c>
      <c r="P1248" s="70" t="str">
        <f>IF($A$3=" "," ", IFERROR( VLOOKUP($A1248,'SUPPLIER DATA BASE'!$A$2:$O$936,13,0),""))</f>
        <v>-</v>
      </c>
      <c r="Q1248" s="77"/>
      <c r="R1248" s="73"/>
      <c r="S1248" s="77"/>
      <c r="T1248" s="70"/>
      <c r="U1248" s="78"/>
      <c r="V1248" s="70" t="str">
        <f t="shared" si="6"/>
        <v/>
      </c>
      <c r="W1248" s="23"/>
      <c r="X1248" s="23"/>
    </row>
    <row r="1249">
      <c r="A1249" s="70" t="s">
        <v>354</v>
      </c>
      <c r="B1249" s="70" t="str">
        <f>IF($A$3=" "," ", IFERROR( VLOOKUP($A1249,'SUPPLIER DATA BASE'!$A$2:$M$936,3,0),""))</f>
        <v>-</v>
      </c>
      <c r="C1249" s="70" t="str">
        <f>IF($A$3=" "," ", IFERROR( VLOOKUP($A1249,'SUPPLIER DATA BASE'!$A$2:$F$936,6,0),""))</f>
        <v>-</v>
      </c>
      <c r="D1249" s="70" t="str">
        <f>IF($A$3=" "," ", IFERROR( VLOOKUP($A1249,'SUPPLIER DATA BASE'!$A$2:$G$936,4,0),""))</f>
        <v>-</v>
      </c>
      <c r="E1249" s="71" t="str">
        <f>IF($A$3=" "," ", IFERROR( VLOOKUP($A1249,'SUPPLIER DATA BASE'!$A$2:$H$936,5,0),""))</f>
        <v>-</v>
      </c>
      <c r="F1249" s="72" t="s">
        <v>3654</v>
      </c>
      <c r="G1249" s="73"/>
      <c r="H1249" s="74"/>
      <c r="I1249" s="75"/>
      <c r="J1249" s="76" t="s">
        <v>3655</v>
      </c>
      <c r="K1249" s="76" t="s">
        <v>3656</v>
      </c>
      <c r="L1249" s="73"/>
      <c r="M1249" s="70" t="str">
        <f t="shared" si="3"/>
        <v/>
      </c>
      <c r="N1249" s="70" t="str">
        <f>IF($A$3=" "," ", IFERROR( VLOOKUP($A1249,'SUPPLIER DATA BASE'!$A$2:$O$936,11,0),""))</f>
        <v>-</v>
      </c>
      <c r="O1249" s="70" t="str">
        <f>IF($A$3=" "," ", IFERROR( VLOOKUP($A1249,'SUPPLIER DATA BASE'!$A$2:$O$936,12,0),""))</f>
        <v>-</v>
      </c>
      <c r="P1249" s="70" t="str">
        <f>IF($A$3=" "," ", IFERROR( VLOOKUP($A1249,'SUPPLIER DATA BASE'!$A$2:$O$936,13,0),""))</f>
        <v>-</v>
      </c>
      <c r="Q1249" s="77"/>
      <c r="R1249" s="73"/>
      <c r="S1249" s="77"/>
      <c r="T1249" s="70"/>
      <c r="U1249" s="78"/>
      <c r="V1249" s="70" t="str">
        <f t="shared" si="6"/>
        <v/>
      </c>
      <c r="W1249" s="23"/>
      <c r="X1249" s="23"/>
    </row>
    <row r="1250">
      <c r="A1250" s="70" t="s">
        <v>354</v>
      </c>
      <c r="B1250" s="70" t="str">
        <f>IF($A$3=" "," ", IFERROR( VLOOKUP($A1250,'SUPPLIER DATA BASE'!$A$2:$M$936,3,0),""))</f>
        <v>-</v>
      </c>
      <c r="C1250" s="70" t="str">
        <f>IF($A$3=" "," ", IFERROR( VLOOKUP($A1250,'SUPPLIER DATA BASE'!$A$2:$F$936,6,0),""))</f>
        <v>-</v>
      </c>
      <c r="D1250" s="70" t="str">
        <f>IF($A$3=" "," ", IFERROR( VLOOKUP($A1250,'SUPPLIER DATA BASE'!$A$2:$G$936,4,0),""))</f>
        <v>-</v>
      </c>
      <c r="E1250" s="71" t="str">
        <f>IF($A$3=" "," ", IFERROR( VLOOKUP($A1250,'SUPPLIER DATA BASE'!$A$2:$H$936,5,0),""))</f>
        <v>-</v>
      </c>
      <c r="F1250" s="72" t="s">
        <v>3657</v>
      </c>
      <c r="G1250" s="73"/>
      <c r="H1250" s="74"/>
      <c r="I1250" s="75"/>
      <c r="J1250" s="76" t="s">
        <v>3658</v>
      </c>
      <c r="K1250" s="76" t="s">
        <v>3659</v>
      </c>
      <c r="L1250" s="73"/>
      <c r="M1250" s="70" t="str">
        <f t="shared" si="3"/>
        <v/>
      </c>
      <c r="N1250" s="70" t="str">
        <f>IF($A$3=" "," ", IFERROR( VLOOKUP($A1250,'SUPPLIER DATA BASE'!$A$2:$O$936,11,0),""))</f>
        <v>-</v>
      </c>
      <c r="O1250" s="70" t="str">
        <f>IF($A$3=" "," ", IFERROR( VLOOKUP($A1250,'SUPPLIER DATA BASE'!$A$2:$O$936,12,0),""))</f>
        <v>-</v>
      </c>
      <c r="P1250" s="70" t="str">
        <f>IF($A$3=" "," ", IFERROR( VLOOKUP($A1250,'SUPPLIER DATA BASE'!$A$2:$O$936,13,0),""))</f>
        <v>-</v>
      </c>
      <c r="Q1250" s="77"/>
      <c r="R1250" s="73"/>
      <c r="S1250" s="77"/>
      <c r="T1250" s="70"/>
      <c r="U1250" s="78"/>
      <c r="V1250" s="70" t="str">
        <f t="shared" si="6"/>
        <v/>
      </c>
      <c r="W1250" s="23"/>
      <c r="X1250" s="23"/>
    </row>
    <row r="1251">
      <c r="A1251" s="70" t="s">
        <v>354</v>
      </c>
      <c r="B1251" s="70" t="str">
        <f>IF($A$3=" "," ", IFERROR( VLOOKUP($A1251,'SUPPLIER DATA BASE'!$A$2:$M$936,3,0),""))</f>
        <v>-</v>
      </c>
      <c r="C1251" s="70" t="str">
        <f>IF($A$3=" "," ", IFERROR( VLOOKUP($A1251,'SUPPLIER DATA BASE'!$A$2:$F$936,6,0),""))</f>
        <v>-</v>
      </c>
      <c r="D1251" s="70" t="str">
        <f>IF($A$3=" "," ", IFERROR( VLOOKUP($A1251,'SUPPLIER DATA BASE'!$A$2:$G$936,4,0),""))</f>
        <v>-</v>
      </c>
      <c r="E1251" s="71" t="str">
        <f>IF($A$3=" "," ", IFERROR( VLOOKUP($A1251,'SUPPLIER DATA BASE'!$A$2:$H$936,5,0),""))</f>
        <v>-</v>
      </c>
      <c r="F1251" s="72" t="s">
        <v>3660</v>
      </c>
      <c r="G1251" s="73"/>
      <c r="H1251" s="74"/>
      <c r="I1251" s="75"/>
      <c r="J1251" s="76" t="s">
        <v>3661</v>
      </c>
      <c r="K1251" s="76" t="s">
        <v>3662</v>
      </c>
      <c r="L1251" s="73"/>
      <c r="M1251" s="70" t="str">
        <f t="shared" si="3"/>
        <v/>
      </c>
      <c r="N1251" s="70" t="str">
        <f>IF($A$3=" "," ", IFERROR( VLOOKUP($A1251,'SUPPLIER DATA BASE'!$A$2:$O$936,11,0),""))</f>
        <v>-</v>
      </c>
      <c r="O1251" s="70" t="str">
        <f>IF($A$3=" "," ", IFERROR( VLOOKUP($A1251,'SUPPLIER DATA BASE'!$A$2:$O$936,12,0),""))</f>
        <v>-</v>
      </c>
      <c r="P1251" s="70" t="str">
        <f>IF($A$3=" "," ", IFERROR( VLOOKUP($A1251,'SUPPLIER DATA BASE'!$A$2:$O$936,13,0),""))</f>
        <v>-</v>
      </c>
      <c r="Q1251" s="77"/>
      <c r="R1251" s="73"/>
      <c r="S1251" s="77"/>
      <c r="T1251" s="70"/>
      <c r="U1251" s="78"/>
      <c r="V1251" s="70" t="str">
        <f t="shared" si="6"/>
        <v/>
      </c>
      <c r="W1251" s="23"/>
      <c r="X1251" s="23"/>
    </row>
    <row r="1252">
      <c r="A1252" s="70" t="s">
        <v>354</v>
      </c>
      <c r="B1252" s="70" t="str">
        <f>IF($A$3=" "," ", IFERROR( VLOOKUP($A1252,'SUPPLIER DATA BASE'!$A$2:$M$936,3,0),""))</f>
        <v>-</v>
      </c>
      <c r="C1252" s="70" t="str">
        <f>IF($A$3=" "," ", IFERROR( VLOOKUP($A1252,'SUPPLIER DATA BASE'!$A$2:$F$936,6,0),""))</f>
        <v>-</v>
      </c>
      <c r="D1252" s="70" t="str">
        <f>IF($A$3=" "," ", IFERROR( VLOOKUP($A1252,'SUPPLIER DATA BASE'!$A$2:$G$936,4,0),""))</f>
        <v>-</v>
      </c>
      <c r="E1252" s="71" t="str">
        <f>IF($A$3=" "," ", IFERROR( VLOOKUP($A1252,'SUPPLIER DATA BASE'!$A$2:$H$936,5,0),""))</f>
        <v>-</v>
      </c>
      <c r="F1252" s="72" t="s">
        <v>3663</v>
      </c>
      <c r="G1252" s="73"/>
      <c r="H1252" s="74"/>
      <c r="I1252" s="75"/>
      <c r="J1252" s="76" t="s">
        <v>3664</v>
      </c>
      <c r="K1252" s="76" t="s">
        <v>3665</v>
      </c>
      <c r="L1252" s="73"/>
      <c r="M1252" s="70" t="str">
        <f t="shared" si="3"/>
        <v/>
      </c>
      <c r="N1252" s="70" t="str">
        <f>IF($A$3=" "," ", IFERROR( VLOOKUP($A1252,'SUPPLIER DATA BASE'!$A$2:$O$936,11,0),""))</f>
        <v>-</v>
      </c>
      <c r="O1252" s="70" t="str">
        <f>IF($A$3=" "," ", IFERROR( VLOOKUP($A1252,'SUPPLIER DATA BASE'!$A$2:$O$936,12,0),""))</f>
        <v>-</v>
      </c>
      <c r="P1252" s="70" t="str">
        <f>IF($A$3=" "," ", IFERROR( VLOOKUP($A1252,'SUPPLIER DATA BASE'!$A$2:$O$936,13,0),""))</f>
        <v>-</v>
      </c>
      <c r="Q1252" s="77"/>
      <c r="R1252" s="73"/>
      <c r="S1252" s="77"/>
      <c r="T1252" s="70"/>
      <c r="U1252" s="78"/>
      <c r="V1252" s="70" t="str">
        <f t="shared" si="6"/>
        <v/>
      </c>
      <c r="W1252" s="23"/>
      <c r="X1252" s="23"/>
    </row>
    <row r="1253">
      <c r="A1253" s="70" t="s">
        <v>354</v>
      </c>
      <c r="B1253" s="70" t="str">
        <f>IF($A$3=" "," ", IFERROR( VLOOKUP($A1253,'SUPPLIER DATA BASE'!$A$2:$M$936,3,0),""))</f>
        <v>-</v>
      </c>
      <c r="C1253" s="70" t="str">
        <f>IF($A$3=" "," ", IFERROR( VLOOKUP($A1253,'SUPPLIER DATA BASE'!$A$2:$F$936,6,0),""))</f>
        <v>-</v>
      </c>
      <c r="D1253" s="70" t="str">
        <f>IF($A$3=" "," ", IFERROR( VLOOKUP($A1253,'SUPPLIER DATA BASE'!$A$2:$G$936,4,0),""))</f>
        <v>-</v>
      </c>
      <c r="E1253" s="71" t="str">
        <f>IF($A$3=" "," ", IFERROR( VLOOKUP($A1253,'SUPPLIER DATA BASE'!$A$2:$H$936,5,0),""))</f>
        <v>-</v>
      </c>
      <c r="F1253" s="72" t="s">
        <v>3666</v>
      </c>
      <c r="G1253" s="73"/>
      <c r="H1253" s="74"/>
      <c r="I1253" s="75"/>
      <c r="J1253" s="76" t="s">
        <v>3667</v>
      </c>
      <c r="K1253" s="76" t="s">
        <v>3668</v>
      </c>
      <c r="L1253" s="73"/>
      <c r="M1253" s="70" t="str">
        <f t="shared" si="3"/>
        <v/>
      </c>
      <c r="N1253" s="70" t="str">
        <f>IF($A$3=" "," ", IFERROR( VLOOKUP($A1253,'SUPPLIER DATA BASE'!$A$2:$O$936,11,0),""))</f>
        <v>-</v>
      </c>
      <c r="O1253" s="70" t="str">
        <f>IF($A$3=" "," ", IFERROR( VLOOKUP($A1253,'SUPPLIER DATA BASE'!$A$2:$O$936,12,0),""))</f>
        <v>-</v>
      </c>
      <c r="P1253" s="70" t="str">
        <f>IF($A$3=" "," ", IFERROR( VLOOKUP($A1253,'SUPPLIER DATA BASE'!$A$2:$O$936,13,0),""))</f>
        <v>-</v>
      </c>
      <c r="Q1253" s="77"/>
      <c r="R1253" s="73"/>
      <c r="S1253" s="77"/>
      <c r="T1253" s="70"/>
      <c r="U1253" s="78"/>
      <c r="V1253" s="70" t="str">
        <f t="shared" si="6"/>
        <v/>
      </c>
      <c r="W1253" s="23"/>
      <c r="X1253" s="23"/>
    </row>
    <row r="1254">
      <c r="A1254" s="70" t="s">
        <v>354</v>
      </c>
      <c r="B1254" s="70" t="str">
        <f>IF($A$3=" "," ", IFERROR( VLOOKUP($A1254,'SUPPLIER DATA BASE'!$A$2:$M$936,3,0),""))</f>
        <v>-</v>
      </c>
      <c r="C1254" s="70" t="str">
        <f>IF($A$3=" "," ", IFERROR( VLOOKUP($A1254,'SUPPLIER DATA BASE'!$A$2:$F$936,6,0),""))</f>
        <v>-</v>
      </c>
      <c r="D1254" s="70" t="str">
        <f>IF($A$3=" "," ", IFERROR( VLOOKUP($A1254,'SUPPLIER DATA BASE'!$A$2:$G$936,4,0),""))</f>
        <v>-</v>
      </c>
      <c r="E1254" s="71" t="str">
        <f>IF($A$3=" "," ", IFERROR( VLOOKUP($A1254,'SUPPLIER DATA BASE'!$A$2:$H$936,5,0),""))</f>
        <v>-</v>
      </c>
      <c r="F1254" s="72" t="s">
        <v>3669</v>
      </c>
      <c r="G1254" s="73"/>
      <c r="H1254" s="74"/>
      <c r="I1254" s="75"/>
      <c r="J1254" s="76" t="s">
        <v>3670</v>
      </c>
      <c r="K1254" s="76" t="s">
        <v>3671</v>
      </c>
      <c r="L1254" s="73"/>
      <c r="M1254" s="70" t="str">
        <f t="shared" si="3"/>
        <v/>
      </c>
      <c r="N1254" s="70" t="str">
        <f>IF($A$3=" "," ", IFERROR( VLOOKUP($A1254,'SUPPLIER DATA BASE'!$A$2:$O$936,11,0),""))</f>
        <v>-</v>
      </c>
      <c r="O1254" s="70" t="str">
        <f>IF($A$3=" "," ", IFERROR( VLOOKUP($A1254,'SUPPLIER DATA BASE'!$A$2:$O$936,12,0),""))</f>
        <v>-</v>
      </c>
      <c r="P1254" s="70" t="str">
        <f>IF($A$3=" "," ", IFERROR( VLOOKUP($A1254,'SUPPLIER DATA BASE'!$A$2:$O$936,13,0),""))</f>
        <v>-</v>
      </c>
      <c r="Q1254" s="77"/>
      <c r="R1254" s="73"/>
      <c r="S1254" s="77"/>
      <c r="T1254" s="70"/>
      <c r="U1254" s="78"/>
      <c r="V1254" s="70" t="str">
        <f t="shared" si="6"/>
        <v/>
      </c>
      <c r="W1254" s="23"/>
      <c r="X1254" s="23"/>
    </row>
    <row r="1255">
      <c r="A1255" s="70" t="s">
        <v>354</v>
      </c>
      <c r="B1255" s="70" t="str">
        <f>IF($A$3=" "," ", IFERROR( VLOOKUP($A1255,'SUPPLIER DATA BASE'!$A$2:$M$936,3,0),""))</f>
        <v>-</v>
      </c>
      <c r="C1255" s="70" t="str">
        <f>IF($A$3=" "," ", IFERROR( VLOOKUP($A1255,'SUPPLIER DATA BASE'!$A$2:$F$936,6,0),""))</f>
        <v>-</v>
      </c>
      <c r="D1255" s="70" t="str">
        <f>IF($A$3=" "," ", IFERROR( VLOOKUP($A1255,'SUPPLIER DATA BASE'!$A$2:$G$936,4,0),""))</f>
        <v>-</v>
      </c>
      <c r="E1255" s="71" t="str">
        <f>IF($A$3=" "," ", IFERROR( VLOOKUP($A1255,'SUPPLIER DATA BASE'!$A$2:$H$936,5,0),""))</f>
        <v>-</v>
      </c>
      <c r="F1255" s="72" t="s">
        <v>3672</v>
      </c>
      <c r="G1255" s="73"/>
      <c r="H1255" s="74"/>
      <c r="I1255" s="75"/>
      <c r="J1255" s="76" t="s">
        <v>3673</v>
      </c>
      <c r="K1255" s="76" t="s">
        <v>3674</v>
      </c>
      <c r="L1255" s="73"/>
      <c r="M1255" s="70" t="str">
        <f t="shared" si="3"/>
        <v/>
      </c>
      <c r="N1255" s="70" t="str">
        <f>IF($A$3=" "," ", IFERROR( VLOOKUP($A1255,'SUPPLIER DATA BASE'!$A$2:$O$936,11,0),""))</f>
        <v>-</v>
      </c>
      <c r="O1255" s="70" t="str">
        <f>IF($A$3=" "," ", IFERROR( VLOOKUP($A1255,'SUPPLIER DATA BASE'!$A$2:$O$936,12,0),""))</f>
        <v>-</v>
      </c>
      <c r="P1255" s="70" t="str">
        <f>IF($A$3=" "," ", IFERROR( VLOOKUP($A1255,'SUPPLIER DATA BASE'!$A$2:$O$936,13,0),""))</f>
        <v>-</v>
      </c>
      <c r="Q1255" s="77"/>
      <c r="R1255" s="73"/>
      <c r="S1255" s="77"/>
      <c r="T1255" s="70"/>
      <c r="U1255" s="78"/>
      <c r="V1255" s="70" t="str">
        <f t="shared" si="6"/>
        <v/>
      </c>
      <c r="W1255" s="23"/>
      <c r="X1255" s="23"/>
    </row>
    <row r="1256">
      <c r="A1256" s="70" t="s">
        <v>354</v>
      </c>
      <c r="B1256" s="70" t="str">
        <f>IF($A$3=" "," ", IFERROR( VLOOKUP($A1256,'SUPPLIER DATA BASE'!$A$2:$M$936,3,0),""))</f>
        <v>-</v>
      </c>
      <c r="C1256" s="70" t="str">
        <f>IF($A$3=" "," ", IFERROR( VLOOKUP($A1256,'SUPPLIER DATA BASE'!$A$2:$F$936,6,0),""))</f>
        <v>-</v>
      </c>
      <c r="D1256" s="70" t="str">
        <f>IF($A$3=" "," ", IFERROR( VLOOKUP($A1256,'SUPPLIER DATA BASE'!$A$2:$G$936,4,0),""))</f>
        <v>-</v>
      </c>
      <c r="E1256" s="71" t="str">
        <f>IF($A$3=" "," ", IFERROR( VLOOKUP($A1256,'SUPPLIER DATA BASE'!$A$2:$H$936,5,0),""))</f>
        <v>-</v>
      </c>
      <c r="F1256" s="72" t="s">
        <v>3675</v>
      </c>
      <c r="G1256" s="73"/>
      <c r="H1256" s="74"/>
      <c r="I1256" s="75"/>
      <c r="J1256" s="76" t="s">
        <v>3676</v>
      </c>
      <c r="K1256" s="76" t="s">
        <v>3677</v>
      </c>
      <c r="L1256" s="73"/>
      <c r="M1256" s="70" t="str">
        <f t="shared" si="3"/>
        <v/>
      </c>
      <c r="N1256" s="70" t="str">
        <f>IF($A$3=" "," ", IFERROR( VLOOKUP($A1256,'SUPPLIER DATA BASE'!$A$2:$O$936,11,0),""))</f>
        <v>-</v>
      </c>
      <c r="O1256" s="70" t="str">
        <f>IF($A$3=" "," ", IFERROR( VLOOKUP($A1256,'SUPPLIER DATA BASE'!$A$2:$O$936,12,0),""))</f>
        <v>-</v>
      </c>
      <c r="P1256" s="70" t="str">
        <f>IF($A$3=" "," ", IFERROR( VLOOKUP($A1256,'SUPPLIER DATA BASE'!$A$2:$O$936,13,0),""))</f>
        <v>-</v>
      </c>
      <c r="Q1256" s="77"/>
      <c r="R1256" s="73"/>
      <c r="S1256" s="77"/>
      <c r="T1256" s="70"/>
      <c r="U1256" s="78"/>
      <c r="V1256" s="70" t="str">
        <f t="shared" si="6"/>
        <v/>
      </c>
      <c r="W1256" s="23"/>
      <c r="X1256" s="23"/>
    </row>
    <row r="1257">
      <c r="A1257" s="70" t="s">
        <v>354</v>
      </c>
      <c r="B1257" s="70" t="str">
        <f>IF($A$3=" "," ", IFERROR( VLOOKUP($A1257,'SUPPLIER DATA BASE'!$A$2:$M$936,3,0),""))</f>
        <v>-</v>
      </c>
      <c r="C1257" s="70" t="str">
        <f>IF($A$3=" "," ", IFERROR( VLOOKUP($A1257,'SUPPLIER DATA BASE'!$A$2:$F$936,6,0),""))</f>
        <v>-</v>
      </c>
      <c r="D1257" s="70" t="str">
        <f>IF($A$3=" "," ", IFERROR( VLOOKUP($A1257,'SUPPLIER DATA BASE'!$A$2:$G$936,4,0),""))</f>
        <v>-</v>
      </c>
      <c r="E1257" s="71" t="str">
        <f>IF($A$3=" "," ", IFERROR( VLOOKUP($A1257,'SUPPLIER DATA BASE'!$A$2:$H$936,5,0),""))</f>
        <v>-</v>
      </c>
      <c r="F1257" s="72" t="s">
        <v>3678</v>
      </c>
      <c r="G1257" s="73"/>
      <c r="H1257" s="74"/>
      <c r="I1257" s="75"/>
      <c r="J1257" s="76" t="s">
        <v>3679</v>
      </c>
      <c r="K1257" s="76" t="s">
        <v>3680</v>
      </c>
      <c r="L1257" s="73"/>
      <c r="M1257" s="70" t="str">
        <f t="shared" si="3"/>
        <v/>
      </c>
      <c r="N1257" s="70" t="str">
        <f>IF($A$3=" "," ", IFERROR( VLOOKUP($A1257,'SUPPLIER DATA BASE'!$A$2:$O$936,11,0),""))</f>
        <v>-</v>
      </c>
      <c r="O1257" s="70" t="str">
        <f>IF($A$3=" "," ", IFERROR( VLOOKUP($A1257,'SUPPLIER DATA BASE'!$A$2:$O$936,12,0),""))</f>
        <v>-</v>
      </c>
      <c r="P1257" s="70" t="str">
        <f>IF($A$3=" "," ", IFERROR( VLOOKUP($A1257,'SUPPLIER DATA BASE'!$A$2:$O$936,13,0),""))</f>
        <v>-</v>
      </c>
      <c r="Q1257" s="77"/>
      <c r="R1257" s="73"/>
      <c r="S1257" s="77"/>
      <c r="T1257" s="70"/>
      <c r="U1257" s="78"/>
      <c r="V1257" s="70" t="str">
        <f t="shared" si="6"/>
        <v/>
      </c>
      <c r="W1257" s="23"/>
      <c r="X1257" s="23"/>
    </row>
    <row r="1258">
      <c r="A1258" s="70" t="s">
        <v>354</v>
      </c>
      <c r="B1258" s="70" t="str">
        <f>IF($A$3=" "," ", IFERROR( VLOOKUP($A1258,'SUPPLIER DATA BASE'!$A$2:$M$936,3,0),""))</f>
        <v>-</v>
      </c>
      <c r="C1258" s="70" t="str">
        <f>IF($A$3=" "," ", IFERROR( VLOOKUP($A1258,'SUPPLIER DATA BASE'!$A$2:$F$936,6,0),""))</f>
        <v>-</v>
      </c>
      <c r="D1258" s="70" t="str">
        <f>IF($A$3=" "," ", IFERROR( VLOOKUP($A1258,'SUPPLIER DATA BASE'!$A$2:$G$936,4,0),""))</f>
        <v>-</v>
      </c>
      <c r="E1258" s="71" t="str">
        <f>IF($A$3=" "," ", IFERROR( VLOOKUP($A1258,'SUPPLIER DATA BASE'!$A$2:$H$936,5,0),""))</f>
        <v>-</v>
      </c>
      <c r="F1258" s="72" t="s">
        <v>3681</v>
      </c>
      <c r="G1258" s="73"/>
      <c r="H1258" s="74"/>
      <c r="I1258" s="75"/>
      <c r="J1258" s="76" t="s">
        <v>3682</v>
      </c>
      <c r="K1258" s="76" t="s">
        <v>3683</v>
      </c>
      <c r="L1258" s="73"/>
      <c r="M1258" s="70" t="str">
        <f t="shared" si="3"/>
        <v/>
      </c>
      <c r="N1258" s="70" t="str">
        <f>IF($A$3=" "," ", IFERROR( VLOOKUP($A1258,'SUPPLIER DATA BASE'!$A$2:$O$936,11,0),""))</f>
        <v>-</v>
      </c>
      <c r="O1258" s="70" t="str">
        <f>IF($A$3=" "," ", IFERROR( VLOOKUP($A1258,'SUPPLIER DATA BASE'!$A$2:$O$936,12,0),""))</f>
        <v>-</v>
      </c>
      <c r="P1258" s="70" t="str">
        <f>IF($A$3=" "," ", IFERROR( VLOOKUP($A1258,'SUPPLIER DATA BASE'!$A$2:$O$936,13,0),""))</f>
        <v>-</v>
      </c>
      <c r="Q1258" s="77"/>
      <c r="R1258" s="73"/>
      <c r="S1258" s="77"/>
      <c r="T1258" s="70"/>
      <c r="U1258" s="78"/>
      <c r="V1258" s="70" t="str">
        <f t="shared" si="6"/>
        <v/>
      </c>
      <c r="W1258" s="23"/>
      <c r="X1258" s="23"/>
    </row>
    <row r="1259">
      <c r="A1259" s="70" t="s">
        <v>354</v>
      </c>
      <c r="B1259" s="70" t="str">
        <f>IF($A$3=" "," ", IFERROR( VLOOKUP($A1259,'SUPPLIER DATA BASE'!$A$2:$M$936,3,0),""))</f>
        <v>-</v>
      </c>
      <c r="C1259" s="70" t="str">
        <f>IF($A$3=" "," ", IFERROR( VLOOKUP($A1259,'SUPPLIER DATA BASE'!$A$2:$F$936,6,0),""))</f>
        <v>-</v>
      </c>
      <c r="D1259" s="70" t="str">
        <f>IF($A$3=" "," ", IFERROR( VLOOKUP($A1259,'SUPPLIER DATA BASE'!$A$2:$G$936,4,0),""))</f>
        <v>-</v>
      </c>
      <c r="E1259" s="71" t="str">
        <f>IF($A$3=" "," ", IFERROR( VLOOKUP($A1259,'SUPPLIER DATA BASE'!$A$2:$H$936,5,0),""))</f>
        <v>-</v>
      </c>
      <c r="F1259" s="72" t="s">
        <v>3684</v>
      </c>
      <c r="G1259" s="73"/>
      <c r="H1259" s="74"/>
      <c r="I1259" s="75"/>
      <c r="J1259" s="76" t="s">
        <v>3685</v>
      </c>
      <c r="K1259" s="76" t="s">
        <v>3686</v>
      </c>
      <c r="L1259" s="73"/>
      <c r="M1259" s="70" t="str">
        <f t="shared" si="3"/>
        <v/>
      </c>
      <c r="N1259" s="70" t="str">
        <f>IF($A$3=" "," ", IFERROR( VLOOKUP($A1259,'SUPPLIER DATA BASE'!$A$2:$O$936,11,0),""))</f>
        <v>-</v>
      </c>
      <c r="O1259" s="70" t="str">
        <f>IF($A$3=" "," ", IFERROR( VLOOKUP($A1259,'SUPPLIER DATA BASE'!$A$2:$O$936,12,0),""))</f>
        <v>-</v>
      </c>
      <c r="P1259" s="70" t="str">
        <f>IF($A$3=" "," ", IFERROR( VLOOKUP($A1259,'SUPPLIER DATA BASE'!$A$2:$O$936,13,0),""))</f>
        <v>-</v>
      </c>
      <c r="Q1259" s="77"/>
      <c r="R1259" s="73"/>
      <c r="S1259" s="77"/>
      <c r="T1259" s="70"/>
      <c r="U1259" s="78"/>
      <c r="V1259" s="70" t="str">
        <f t="shared" si="6"/>
        <v/>
      </c>
      <c r="W1259" s="23"/>
      <c r="X1259" s="23"/>
    </row>
    <row r="1260">
      <c r="A1260" s="70" t="s">
        <v>354</v>
      </c>
      <c r="B1260" s="70" t="str">
        <f>IF($A$3=" "," ", IFERROR( VLOOKUP($A1260,'SUPPLIER DATA BASE'!$A$2:$M$936,3,0),""))</f>
        <v>-</v>
      </c>
      <c r="C1260" s="70" t="str">
        <f>IF($A$3=" "," ", IFERROR( VLOOKUP($A1260,'SUPPLIER DATA BASE'!$A$2:$F$936,6,0),""))</f>
        <v>-</v>
      </c>
      <c r="D1260" s="70" t="str">
        <f>IF($A$3=" "," ", IFERROR( VLOOKUP($A1260,'SUPPLIER DATA BASE'!$A$2:$G$936,4,0),""))</f>
        <v>-</v>
      </c>
      <c r="E1260" s="71" t="str">
        <f>IF($A$3=" "," ", IFERROR( VLOOKUP($A1260,'SUPPLIER DATA BASE'!$A$2:$H$936,5,0),""))</f>
        <v>-</v>
      </c>
      <c r="F1260" s="72" t="s">
        <v>3687</v>
      </c>
      <c r="G1260" s="73"/>
      <c r="H1260" s="74"/>
      <c r="I1260" s="75"/>
      <c r="J1260" s="76" t="s">
        <v>3688</v>
      </c>
      <c r="K1260" s="76" t="s">
        <v>3689</v>
      </c>
      <c r="L1260" s="73"/>
      <c r="M1260" s="70" t="str">
        <f t="shared" si="3"/>
        <v/>
      </c>
      <c r="N1260" s="70" t="str">
        <f>IF($A$3=" "," ", IFERROR( VLOOKUP($A1260,'SUPPLIER DATA BASE'!$A$2:$O$936,11,0),""))</f>
        <v>-</v>
      </c>
      <c r="O1260" s="70" t="str">
        <f>IF($A$3=" "," ", IFERROR( VLOOKUP($A1260,'SUPPLIER DATA BASE'!$A$2:$O$936,12,0),""))</f>
        <v>-</v>
      </c>
      <c r="P1260" s="70" t="str">
        <f>IF($A$3=" "," ", IFERROR( VLOOKUP($A1260,'SUPPLIER DATA BASE'!$A$2:$O$936,13,0),""))</f>
        <v>-</v>
      </c>
      <c r="Q1260" s="77"/>
      <c r="R1260" s="73"/>
      <c r="S1260" s="77"/>
      <c r="T1260" s="70"/>
      <c r="U1260" s="78"/>
      <c r="V1260" s="70" t="str">
        <f t="shared" si="6"/>
        <v/>
      </c>
      <c r="W1260" s="23"/>
      <c r="X1260" s="23"/>
    </row>
    <row r="1261">
      <c r="A1261" s="70" t="s">
        <v>354</v>
      </c>
      <c r="B1261" s="70" t="str">
        <f>IF($A$3=" "," ", IFERROR( VLOOKUP($A1261,'SUPPLIER DATA BASE'!$A$2:$M$936,3,0),""))</f>
        <v>-</v>
      </c>
      <c r="C1261" s="70" t="str">
        <f>IF($A$3=" "," ", IFERROR( VLOOKUP($A1261,'SUPPLIER DATA BASE'!$A$2:$F$936,6,0),""))</f>
        <v>-</v>
      </c>
      <c r="D1261" s="70" t="str">
        <f>IF($A$3=" "," ", IFERROR( VLOOKUP($A1261,'SUPPLIER DATA BASE'!$A$2:$G$936,4,0),""))</f>
        <v>-</v>
      </c>
      <c r="E1261" s="71" t="str">
        <f>IF($A$3=" "," ", IFERROR( VLOOKUP($A1261,'SUPPLIER DATA BASE'!$A$2:$H$936,5,0),""))</f>
        <v>-</v>
      </c>
      <c r="F1261" s="72" t="s">
        <v>3690</v>
      </c>
      <c r="G1261" s="73"/>
      <c r="H1261" s="74"/>
      <c r="I1261" s="75"/>
      <c r="J1261" s="76" t="s">
        <v>3691</v>
      </c>
      <c r="K1261" s="76" t="s">
        <v>3692</v>
      </c>
      <c r="L1261" s="73"/>
      <c r="M1261" s="70" t="str">
        <f t="shared" si="3"/>
        <v/>
      </c>
      <c r="N1261" s="70" t="str">
        <f>IF($A$3=" "," ", IFERROR( VLOOKUP($A1261,'SUPPLIER DATA BASE'!$A$2:$O$936,11,0),""))</f>
        <v>-</v>
      </c>
      <c r="O1261" s="70" t="str">
        <f>IF($A$3=" "," ", IFERROR( VLOOKUP($A1261,'SUPPLIER DATA BASE'!$A$2:$O$936,12,0),""))</f>
        <v>-</v>
      </c>
      <c r="P1261" s="70" t="str">
        <f>IF($A$3=" "," ", IFERROR( VLOOKUP($A1261,'SUPPLIER DATA BASE'!$A$2:$O$936,13,0),""))</f>
        <v>-</v>
      </c>
      <c r="Q1261" s="77"/>
      <c r="R1261" s="73"/>
      <c r="S1261" s="77"/>
      <c r="T1261" s="70"/>
      <c r="U1261" s="78"/>
      <c r="V1261" s="70" t="str">
        <f t="shared" si="6"/>
        <v/>
      </c>
      <c r="W1261" s="23"/>
      <c r="X1261" s="23"/>
    </row>
    <row r="1262">
      <c r="A1262" s="70" t="s">
        <v>354</v>
      </c>
      <c r="B1262" s="70" t="str">
        <f>IF($A$3=" "," ", IFERROR( VLOOKUP($A1262,'SUPPLIER DATA BASE'!$A$2:$M$936,3,0),""))</f>
        <v>-</v>
      </c>
      <c r="C1262" s="70" t="str">
        <f>IF($A$3=" "," ", IFERROR( VLOOKUP($A1262,'SUPPLIER DATA BASE'!$A$2:$F$936,6,0),""))</f>
        <v>-</v>
      </c>
      <c r="D1262" s="70" t="str">
        <f>IF($A$3=" "," ", IFERROR( VLOOKUP($A1262,'SUPPLIER DATA BASE'!$A$2:$G$936,4,0),""))</f>
        <v>-</v>
      </c>
      <c r="E1262" s="71" t="str">
        <f>IF($A$3=" "," ", IFERROR( VLOOKUP($A1262,'SUPPLIER DATA BASE'!$A$2:$H$936,5,0),""))</f>
        <v>-</v>
      </c>
      <c r="F1262" s="72" t="s">
        <v>3693</v>
      </c>
      <c r="G1262" s="73"/>
      <c r="H1262" s="74"/>
      <c r="I1262" s="75"/>
      <c r="J1262" s="76" t="s">
        <v>3694</v>
      </c>
      <c r="K1262" s="76" t="s">
        <v>3695</v>
      </c>
      <c r="L1262" s="73"/>
      <c r="M1262" s="70" t="str">
        <f t="shared" si="3"/>
        <v/>
      </c>
      <c r="N1262" s="70" t="str">
        <f>IF($A$3=" "," ", IFERROR( VLOOKUP($A1262,'SUPPLIER DATA BASE'!$A$2:$O$936,11,0),""))</f>
        <v>-</v>
      </c>
      <c r="O1262" s="70" t="str">
        <f>IF($A$3=" "," ", IFERROR( VLOOKUP($A1262,'SUPPLIER DATA BASE'!$A$2:$O$936,12,0),""))</f>
        <v>-</v>
      </c>
      <c r="P1262" s="70" t="str">
        <f>IF($A$3=" "," ", IFERROR( VLOOKUP($A1262,'SUPPLIER DATA BASE'!$A$2:$O$936,13,0),""))</f>
        <v>-</v>
      </c>
      <c r="Q1262" s="77"/>
      <c r="R1262" s="73"/>
      <c r="S1262" s="77"/>
      <c r="T1262" s="70"/>
      <c r="U1262" s="78"/>
      <c r="V1262" s="70" t="str">
        <f t="shared" si="6"/>
        <v/>
      </c>
      <c r="W1262" s="23"/>
      <c r="X1262" s="23"/>
    </row>
    <row r="1263">
      <c r="A1263" s="70" t="s">
        <v>581</v>
      </c>
      <c r="B1263" s="70" t="str">
        <f>IF($A$3=" "," ", IFERROR( VLOOKUP($A1263,'SUPPLIER DATA BASE'!$A$2:$M$936,3,0),""))</f>
        <v>-</v>
      </c>
      <c r="C1263" s="70" t="str">
        <f>IF($A$3=" "," ", IFERROR( VLOOKUP($A1263,'SUPPLIER DATA BASE'!$A$2:$F$936,6,0),""))</f>
        <v>-</v>
      </c>
      <c r="D1263" s="70" t="str">
        <f>IF($A$3=" "," ", IFERROR( VLOOKUP($A1263,'SUPPLIER DATA BASE'!$A$2:$G$936,4,0),""))</f>
        <v>-</v>
      </c>
      <c r="E1263" s="71" t="str">
        <f>IF($A$3=" "," ", IFERROR( VLOOKUP($A1263,'SUPPLIER DATA BASE'!$A$2:$H$936,5,0),""))</f>
        <v>-</v>
      </c>
      <c r="F1263" s="72"/>
      <c r="G1263" s="73"/>
      <c r="H1263" s="74"/>
      <c r="I1263" s="75"/>
      <c r="J1263" s="76" t="s">
        <v>3696</v>
      </c>
      <c r="K1263" s="76" t="s">
        <v>3697</v>
      </c>
      <c r="L1263" s="73"/>
      <c r="M1263" s="70" t="str">
        <f t="shared" si="3"/>
        <v/>
      </c>
      <c r="N1263" s="70" t="str">
        <f>IF($A$3=" "," ", IFERROR( VLOOKUP($A1263,'SUPPLIER DATA BASE'!$A$2:$O$936,11,0),""))</f>
        <v>MUKESH AGRAWAL</v>
      </c>
      <c r="O1263" s="70" t="str">
        <f>IF($A$3=" "," ", IFERROR( VLOOKUP($A1263,'SUPPLIER DATA BASE'!$A$2:$O$936,12,0),""))</f>
        <v>3581044998</v>
      </c>
      <c r="P1263" s="70" t="str">
        <f>IF($A$3=" "," ", IFERROR( VLOOKUP($A1263,'SUPPLIER DATA BASE'!$A$2:$O$936,13,0),""))</f>
        <v>CBIN0281277</v>
      </c>
      <c r="Q1263" s="77"/>
      <c r="R1263" s="73"/>
      <c r="S1263" s="77"/>
      <c r="T1263" s="70"/>
      <c r="U1263" s="78"/>
      <c r="V1263" s="70" t="str">
        <f t="shared" si="6"/>
        <v/>
      </c>
      <c r="W1263" s="23"/>
      <c r="X1263" s="23"/>
    </row>
    <row r="1264">
      <c r="A1264" s="70" t="s">
        <v>692</v>
      </c>
      <c r="B1264" s="70" t="str">
        <f>IF($A$3=" "," ", IFERROR( VLOOKUP($A1264,'SUPPLIER DATA BASE'!$A$2:$M$936,3,0),""))</f>
        <v>JOCKEY</v>
      </c>
      <c r="C1264" s="70" t="str">
        <f>IF($A$3=" "," ", IFERROR( VLOOKUP($A1264,'SUPPLIER DATA BASE'!$A$2:$F$936,6,0),""))</f>
        <v>DIRECT</v>
      </c>
      <c r="D1264" s="70">
        <f>IF($A$3=" "," ", IFERROR( VLOOKUP($A1264,'SUPPLIER DATA BASE'!$A$2:$G$936,4,0),""))</f>
        <v>30</v>
      </c>
      <c r="E1264" s="71">
        <f>IF($A$3=" "," ", IFERROR( VLOOKUP($A1264,'SUPPLIER DATA BASE'!$A$2:$H$936,5,0),""))</f>
        <v>2</v>
      </c>
      <c r="F1264" s="72"/>
      <c r="G1264" s="73"/>
      <c r="H1264" s="74"/>
      <c r="I1264" s="75"/>
      <c r="J1264" s="76" t="s">
        <v>3698</v>
      </c>
      <c r="K1264" s="76" t="s">
        <v>3699</v>
      </c>
      <c r="L1264" s="73"/>
      <c r="M1264" s="70" t="str">
        <f t="shared" si="3"/>
        <v/>
      </c>
      <c r="N1264" s="70" t="str">
        <f>IF($A$3=" "," ", IFERROR( VLOOKUP($A1264,'SUPPLIER DATA BASE'!$A$2:$O$936,11,0),""))</f>
        <v>SHREE NARAYANI ENTERPRISE</v>
      </c>
      <c r="O1264" s="70" t="str">
        <f>IF($A$3=" "," ", IFERROR( VLOOKUP($A1264,'SUPPLIER DATA BASE'!$A$2:$O$936,12,0),""))</f>
        <v>29205005382</v>
      </c>
      <c r="P1264" s="70" t="str">
        <f>IF($A$3=" "," ", IFERROR( VLOOKUP($A1264,'SUPPLIER DATA BASE'!$A$2:$O$936,13,0),""))</f>
        <v>ICIC0000292</v>
      </c>
      <c r="Q1264" s="77"/>
      <c r="R1264" s="73"/>
      <c r="S1264" s="77"/>
      <c r="T1264" s="70"/>
      <c r="U1264" s="78"/>
      <c r="V1264" s="70" t="str">
        <f t="shared" si="6"/>
        <v/>
      </c>
      <c r="W1264" s="23"/>
      <c r="X1264" s="23"/>
    </row>
    <row r="1265">
      <c r="A1265" s="70" t="s">
        <v>348</v>
      </c>
      <c r="B1265" s="70" t="str">
        <f>IF($A$3=" "," ", IFERROR( VLOOKUP($A1265,'SUPPLIER DATA BASE'!$A$2:$M$936,3,0),""))</f>
        <v>-</v>
      </c>
      <c r="C1265" s="70" t="str">
        <f>IF($A$3=" "," ", IFERROR( VLOOKUP($A1265,'SUPPLIER DATA BASE'!$A$2:$F$936,6,0),""))</f>
        <v>-</v>
      </c>
      <c r="D1265" s="70" t="str">
        <f>IF($A$3=" "," ", IFERROR( VLOOKUP($A1265,'SUPPLIER DATA BASE'!$A$2:$G$936,4,0),""))</f>
        <v>-</v>
      </c>
      <c r="E1265" s="71" t="str">
        <f>IF($A$3=" "," ", IFERROR( VLOOKUP($A1265,'SUPPLIER DATA BASE'!$A$2:$H$936,5,0),""))</f>
        <v>-</v>
      </c>
      <c r="F1265" s="72"/>
      <c r="G1265" s="73"/>
      <c r="H1265" s="74"/>
      <c r="I1265" s="75"/>
      <c r="J1265" s="76" t="s">
        <v>3700</v>
      </c>
      <c r="K1265" s="76" t="s">
        <v>3701</v>
      </c>
      <c r="L1265" s="73"/>
      <c r="M1265" s="70" t="str">
        <f t="shared" si="3"/>
        <v/>
      </c>
      <c r="N1265" s="70" t="str">
        <f>IF($A$3=" "," ", IFERROR( VLOOKUP($A1265,'SUPPLIER DATA BASE'!$A$2:$O$936,11,0),""))</f>
        <v>-</v>
      </c>
      <c r="O1265" s="70" t="str">
        <f>IF($A$3=" "," ", IFERROR( VLOOKUP($A1265,'SUPPLIER DATA BASE'!$A$2:$O$936,12,0),""))</f>
        <v>-</v>
      </c>
      <c r="P1265" s="70" t="str">
        <f>IF($A$3=" "," ", IFERROR( VLOOKUP($A1265,'SUPPLIER DATA BASE'!$A$2:$O$936,13,0),""))</f>
        <v>-</v>
      </c>
      <c r="Q1265" s="77"/>
      <c r="R1265" s="73"/>
      <c r="S1265" s="77"/>
      <c r="T1265" s="70"/>
      <c r="U1265" s="78"/>
      <c r="V1265" s="70" t="str">
        <f t="shared" si="6"/>
        <v/>
      </c>
      <c r="W1265" s="23"/>
      <c r="X1265" s="23"/>
    </row>
    <row r="1266">
      <c r="A1266" s="70" t="s">
        <v>605</v>
      </c>
      <c r="B1266" s="70" t="str">
        <f>IF($A$3=" "," ", IFERROR( VLOOKUP($A1266,'SUPPLIER DATA BASE'!$A$2:$M$936,3,0),""))</f>
        <v>-</v>
      </c>
      <c r="C1266" s="70" t="str">
        <f>IF($A$3=" "," ", IFERROR( VLOOKUP($A1266,'SUPPLIER DATA BASE'!$A$2:$F$936,6,0),""))</f>
        <v>-</v>
      </c>
      <c r="D1266" s="70" t="str">
        <f>IF($A$3=" "," ", IFERROR( VLOOKUP($A1266,'SUPPLIER DATA BASE'!$A$2:$G$936,4,0),""))</f>
        <v>-</v>
      </c>
      <c r="E1266" s="71" t="str">
        <f>IF($A$3=" "," ", IFERROR( VLOOKUP($A1266,'SUPPLIER DATA BASE'!$A$2:$H$936,5,0),""))</f>
        <v>-</v>
      </c>
      <c r="F1266" s="72"/>
      <c r="G1266" s="73"/>
      <c r="H1266" s="74"/>
      <c r="I1266" s="75"/>
      <c r="J1266" s="76" t="s">
        <v>3702</v>
      </c>
      <c r="K1266" s="76" t="s">
        <v>3703</v>
      </c>
      <c r="L1266" s="73"/>
      <c r="M1266" s="70" t="str">
        <f t="shared" si="3"/>
        <v/>
      </c>
      <c r="N1266" s="70" t="str">
        <f>IF($A$3=" "," ", IFERROR( VLOOKUP($A1266,'SUPPLIER DATA BASE'!$A$2:$O$936,11,0),""))</f>
        <v>-</v>
      </c>
      <c r="O1266" s="70" t="str">
        <f>IF($A$3=" "," ", IFERROR( VLOOKUP($A1266,'SUPPLIER DATA BASE'!$A$2:$O$936,12,0),""))</f>
        <v>-</v>
      </c>
      <c r="P1266" s="70" t="str">
        <f>IF($A$3=" "," ", IFERROR( VLOOKUP($A1266,'SUPPLIER DATA BASE'!$A$2:$O$936,13,0),""))</f>
        <v>-</v>
      </c>
      <c r="Q1266" s="77"/>
      <c r="R1266" s="73"/>
      <c r="S1266" s="77"/>
      <c r="T1266" s="70"/>
      <c r="U1266" s="78"/>
      <c r="V1266" s="70" t="str">
        <f t="shared" si="6"/>
        <v/>
      </c>
      <c r="W1266" s="23"/>
      <c r="X1266" s="23"/>
    </row>
    <row r="1267">
      <c r="A1267" s="70" t="s">
        <v>609</v>
      </c>
      <c r="B1267" s="70" t="str">
        <f>IF($A$3=" "," ", IFERROR( VLOOKUP($A1267,'SUPPLIER DATA BASE'!$A$2:$M$936,3,0),""))</f>
        <v>-</v>
      </c>
      <c r="C1267" s="70" t="str">
        <f>IF($A$3=" "," ", IFERROR( VLOOKUP($A1267,'SUPPLIER DATA BASE'!$A$2:$F$936,6,0),""))</f>
        <v>-</v>
      </c>
      <c r="D1267" s="70" t="str">
        <f>IF($A$3=" "," ", IFERROR( VLOOKUP($A1267,'SUPPLIER DATA BASE'!$A$2:$G$936,4,0),""))</f>
        <v>-</v>
      </c>
      <c r="E1267" s="71" t="str">
        <f>IF($A$3=" "," ", IFERROR( VLOOKUP($A1267,'SUPPLIER DATA BASE'!$A$2:$H$936,5,0),""))</f>
        <v>-</v>
      </c>
      <c r="F1267" s="72"/>
      <c r="G1267" s="73"/>
      <c r="H1267" s="74"/>
      <c r="I1267" s="75"/>
      <c r="J1267" s="76" t="s">
        <v>3704</v>
      </c>
      <c r="K1267" s="76" t="s">
        <v>3705</v>
      </c>
      <c r="L1267" s="73"/>
      <c r="M1267" s="70" t="str">
        <f t="shared" si="3"/>
        <v/>
      </c>
      <c r="N1267" s="70" t="str">
        <f>IF($A$3=" "," ", IFERROR( VLOOKUP($A1267,'SUPPLIER DATA BASE'!$A$2:$O$936,11,0),""))</f>
        <v>P R MODI AND SONS</v>
      </c>
      <c r="O1267" s="70" t="str">
        <f>IF($A$3=" "," ", IFERROR( VLOOKUP($A1267,'SUPPLIER DATA BASE'!$A$2:$O$936,12,0),""))</f>
        <v>490930150000030</v>
      </c>
      <c r="P1267" s="70" t="str">
        <f>IF($A$3=" "," ", IFERROR( VLOOKUP($A1267,'SUPPLIER DATA BASE'!$A$2:$O$936,13,0),""))</f>
        <v>BKID0004909</v>
      </c>
      <c r="Q1267" s="77"/>
      <c r="R1267" s="73"/>
      <c r="S1267" s="77"/>
      <c r="T1267" s="70"/>
      <c r="U1267" s="78"/>
      <c r="V1267" s="70" t="str">
        <f t="shared" si="6"/>
        <v/>
      </c>
      <c r="W1267" s="23"/>
      <c r="X1267" s="23"/>
    </row>
    <row r="1268">
      <c r="A1268" s="70" t="s">
        <v>609</v>
      </c>
      <c r="B1268" s="70" t="str">
        <f>IF($A$3=" "," ", IFERROR( VLOOKUP($A1268,'SUPPLIER DATA BASE'!$A$2:$M$936,3,0),""))</f>
        <v>-</v>
      </c>
      <c r="C1268" s="70" t="str">
        <f>IF($A$3=" "," ", IFERROR( VLOOKUP($A1268,'SUPPLIER DATA BASE'!$A$2:$F$936,6,0),""))</f>
        <v>-</v>
      </c>
      <c r="D1268" s="70" t="str">
        <f>IF($A$3=" "," ", IFERROR( VLOOKUP($A1268,'SUPPLIER DATA BASE'!$A$2:$G$936,4,0),""))</f>
        <v>-</v>
      </c>
      <c r="E1268" s="71" t="str">
        <f>IF($A$3=" "," ", IFERROR( VLOOKUP($A1268,'SUPPLIER DATA BASE'!$A$2:$H$936,5,0),""))</f>
        <v>-</v>
      </c>
      <c r="F1268" s="72"/>
      <c r="G1268" s="73"/>
      <c r="H1268" s="74"/>
      <c r="I1268" s="75"/>
      <c r="J1268" s="76" t="s">
        <v>3706</v>
      </c>
      <c r="K1268" s="76" t="s">
        <v>3707</v>
      </c>
      <c r="L1268" s="73"/>
      <c r="M1268" s="70" t="str">
        <f t="shared" si="3"/>
        <v/>
      </c>
      <c r="N1268" s="70" t="str">
        <f>IF($A$3=" "," ", IFERROR( VLOOKUP($A1268,'SUPPLIER DATA BASE'!$A$2:$O$936,11,0),""))</f>
        <v>P R MODI AND SONS</v>
      </c>
      <c r="O1268" s="70" t="str">
        <f>IF($A$3=" "," ", IFERROR( VLOOKUP($A1268,'SUPPLIER DATA BASE'!$A$2:$O$936,12,0),""))</f>
        <v>490930150000030</v>
      </c>
      <c r="P1268" s="70" t="str">
        <f>IF($A$3=" "," ", IFERROR( VLOOKUP($A1268,'SUPPLIER DATA BASE'!$A$2:$O$936,13,0),""))</f>
        <v>BKID0004909</v>
      </c>
      <c r="Q1268" s="77"/>
      <c r="R1268" s="73"/>
      <c r="S1268" s="77"/>
      <c r="T1268" s="70"/>
      <c r="U1268" s="78"/>
      <c r="V1268" s="70" t="str">
        <f t="shared" si="6"/>
        <v/>
      </c>
      <c r="W1268" s="23"/>
      <c r="X1268" s="23"/>
    </row>
    <row r="1269">
      <c r="A1269" s="70" t="s">
        <v>609</v>
      </c>
      <c r="B1269" s="70" t="str">
        <f>IF($A$3=" "," ", IFERROR( VLOOKUP($A1269,'SUPPLIER DATA BASE'!$A$2:$M$936,3,0),""))</f>
        <v>-</v>
      </c>
      <c r="C1269" s="70" t="str">
        <f>IF($A$3=" "," ", IFERROR( VLOOKUP($A1269,'SUPPLIER DATA BASE'!$A$2:$F$936,6,0),""))</f>
        <v>-</v>
      </c>
      <c r="D1269" s="70" t="str">
        <f>IF($A$3=" "," ", IFERROR( VLOOKUP($A1269,'SUPPLIER DATA BASE'!$A$2:$G$936,4,0),""))</f>
        <v>-</v>
      </c>
      <c r="E1269" s="71" t="str">
        <f>IF($A$3=" "," ", IFERROR( VLOOKUP($A1269,'SUPPLIER DATA BASE'!$A$2:$H$936,5,0),""))</f>
        <v>-</v>
      </c>
      <c r="F1269" s="72"/>
      <c r="G1269" s="73"/>
      <c r="H1269" s="74"/>
      <c r="I1269" s="75"/>
      <c r="J1269" s="76" t="s">
        <v>3708</v>
      </c>
      <c r="K1269" s="76" t="s">
        <v>3709</v>
      </c>
      <c r="L1269" s="73"/>
      <c r="M1269" s="70" t="str">
        <f t="shared" si="3"/>
        <v/>
      </c>
      <c r="N1269" s="70" t="str">
        <f>IF($A$3=" "," ", IFERROR( VLOOKUP($A1269,'SUPPLIER DATA BASE'!$A$2:$O$936,11,0),""))</f>
        <v>P R MODI AND SONS</v>
      </c>
      <c r="O1269" s="70" t="str">
        <f>IF($A$3=" "," ", IFERROR( VLOOKUP($A1269,'SUPPLIER DATA BASE'!$A$2:$O$936,12,0),""))</f>
        <v>490930150000030</v>
      </c>
      <c r="P1269" s="70" t="str">
        <f>IF($A$3=" "," ", IFERROR( VLOOKUP($A1269,'SUPPLIER DATA BASE'!$A$2:$O$936,13,0),""))</f>
        <v>BKID0004909</v>
      </c>
      <c r="Q1269" s="77"/>
      <c r="R1269" s="73"/>
      <c r="S1269" s="77"/>
      <c r="T1269" s="70"/>
      <c r="U1269" s="78"/>
      <c r="V1269" s="70" t="str">
        <f t="shared" si="6"/>
        <v/>
      </c>
      <c r="W1269" s="23"/>
      <c r="X1269" s="23"/>
    </row>
    <row r="1270">
      <c r="A1270" s="70" t="s">
        <v>609</v>
      </c>
      <c r="B1270" s="70" t="str">
        <f>IF($A$3=" "," ", IFERROR( VLOOKUP($A1270,'SUPPLIER DATA BASE'!$A$2:$M$936,3,0),""))</f>
        <v>-</v>
      </c>
      <c r="C1270" s="70" t="str">
        <f>IF($A$3=" "," ", IFERROR( VLOOKUP($A1270,'SUPPLIER DATA BASE'!$A$2:$F$936,6,0),""))</f>
        <v>-</v>
      </c>
      <c r="D1270" s="70" t="str">
        <f>IF($A$3=" "," ", IFERROR( VLOOKUP($A1270,'SUPPLIER DATA BASE'!$A$2:$G$936,4,0),""))</f>
        <v>-</v>
      </c>
      <c r="E1270" s="71" t="str">
        <f>IF($A$3=" "," ", IFERROR( VLOOKUP($A1270,'SUPPLIER DATA BASE'!$A$2:$H$936,5,0),""))</f>
        <v>-</v>
      </c>
      <c r="F1270" s="72"/>
      <c r="G1270" s="73"/>
      <c r="H1270" s="74"/>
      <c r="I1270" s="75"/>
      <c r="J1270" s="76" t="s">
        <v>3710</v>
      </c>
      <c r="K1270" s="76" t="s">
        <v>3711</v>
      </c>
      <c r="L1270" s="73"/>
      <c r="M1270" s="70" t="str">
        <f t="shared" si="3"/>
        <v/>
      </c>
      <c r="N1270" s="70" t="str">
        <f>IF($A$3=" "," ", IFERROR( VLOOKUP($A1270,'SUPPLIER DATA BASE'!$A$2:$O$936,11,0),""))</f>
        <v>P R MODI AND SONS</v>
      </c>
      <c r="O1270" s="70" t="str">
        <f>IF($A$3=" "," ", IFERROR( VLOOKUP($A1270,'SUPPLIER DATA BASE'!$A$2:$O$936,12,0),""))</f>
        <v>490930150000030</v>
      </c>
      <c r="P1270" s="70" t="str">
        <f>IF($A$3=" "," ", IFERROR( VLOOKUP($A1270,'SUPPLIER DATA BASE'!$A$2:$O$936,13,0),""))</f>
        <v>BKID0004909</v>
      </c>
      <c r="Q1270" s="77"/>
      <c r="R1270" s="73"/>
      <c r="S1270" s="77"/>
      <c r="T1270" s="70"/>
      <c r="U1270" s="78"/>
      <c r="V1270" s="70" t="str">
        <f t="shared" si="6"/>
        <v/>
      </c>
      <c r="W1270" s="23"/>
      <c r="X1270" s="23"/>
    </row>
    <row r="1271">
      <c r="A1271" s="70" t="s">
        <v>609</v>
      </c>
      <c r="B1271" s="70" t="str">
        <f>IF($A$3=" "," ", IFERROR( VLOOKUP($A1271,'SUPPLIER DATA BASE'!$A$2:$M$936,3,0),""))</f>
        <v>-</v>
      </c>
      <c r="C1271" s="70" t="str">
        <f>IF($A$3=" "," ", IFERROR( VLOOKUP($A1271,'SUPPLIER DATA BASE'!$A$2:$F$936,6,0),""))</f>
        <v>-</v>
      </c>
      <c r="D1271" s="70" t="str">
        <f>IF($A$3=" "," ", IFERROR( VLOOKUP($A1271,'SUPPLIER DATA BASE'!$A$2:$G$936,4,0),""))</f>
        <v>-</v>
      </c>
      <c r="E1271" s="71" t="str">
        <f>IF($A$3=" "," ", IFERROR( VLOOKUP($A1271,'SUPPLIER DATA BASE'!$A$2:$H$936,5,0),""))</f>
        <v>-</v>
      </c>
      <c r="F1271" s="72"/>
      <c r="G1271" s="73"/>
      <c r="H1271" s="74"/>
      <c r="I1271" s="75"/>
      <c r="J1271" s="76" t="s">
        <v>3712</v>
      </c>
      <c r="K1271" s="76" t="s">
        <v>3713</v>
      </c>
      <c r="L1271" s="73"/>
      <c r="M1271" s="70" t="str">
        <f t="shared" si="3"/>
        <v/>
      </c>
      <c r="N1271" s="70" t="str">
        <f>IF($A$3=" "," ", IFERROR( VLOOKUP($A1271,'SUPPLIER DATA BASE'!$A$2:$O$936,11,0),""))</f>
        <v>P R MODI AND SONS</v>
      </c>
      <c r="O1271" s="70" t="str">
        <f>IF($A$3=" "," ", IFERROR( VLOOKUP($A1271,'SUPPLIER DATA BASE'!$A$2:$O$936,12,0),""))</f>
        <v>490930150000030</v>
      </c>
      <c r="P1271" s="70" t="str">
        <f>IF($A$3=" "," ", IFERROR( VLOOKUP($A1271,'SUPPLIER DATA BASE'!$A$2:$O$936,13,0),""))</f>
        <v>BKID0004909</v>
      </c>
      <c r="Q1271" s="77"/>
      <c r="R1271" s="73"/>
      <c r="S1271" s="77"/>
      <c r="T1271" s="70"/>
      <c r="U1271" s="78"/>
      <c r="V1271" s="70" t="str">
        <f t="shared" si="6"/>
        <v/>
      </c>
      <c r="W1271" s="23"/>
      <c r="X1271" s="23"/>
    </row>
    <row r="1272">
      <c r="A1272" s="70" t="s">
        <v>609</v>
      </c>
      <c r="B1272" s="70" t="str">
        <f>IF($A$3=" "," ", IFERROR( VLOOKUP($A1272,'SUPPLIER DATA BASE'!$A$2:$M$936,3,0),""))</f>
        <v>-</v>
      </c>
      <c r="C1272" s="70" t="str">
        <f>IF($A$3=" "," ", IFERROR( VLOOKUP($A1272,'SUPPLIER DATA BASE'!$A$2:$F$936,6,0),""))</f>
        <v>-</v>
      </c>
      <c r="D1272" s="70" t="str">
        <f>IF($A$3=" "," ", IFERROR( VLOOKUP($A1272,'SUPPLIER DATA BASE'!$A$2:$G$936,4,0),""))</f>
        <v>-</v>
      </c>
      <c r="E1272" s="71" t="str">
        <f>IF($A$3=" "," ", IFERROR( VLOOKUP($A1272,'SUPPLIER DATA BASE'!$A$2:$H$936,5,0),""))</f>
        <v>-</v>
      </c>
      <c r="F1272" s="72"/>
      <c r="G1272" s="73"/>
      <c r="H1272" s="74"/>
      <c r="I1272" s="75"/>
      <c r="J1272" s="76" t="s">
        <v>3714</v>
      </c>
      <c r="K1272" s="76" t="s">
        <v>3715</v>
      </c>
      <c r="L1272" s="73"/>
      <c r="M1272" s="70" t="str">
        <f t="shared" si="3"/>
        <v/>
      </c>
      <c r="N1272" s="70" t="str">
        <f>IF($A$3=" "," ", IFERROR( VLOOKUP($A1272,'SUPPLIER DATA BASE'!$A$2:$O$936,11,0),""))</f>
        <v>P R MODI AND SONS</v>
      </c>
      <c r="O1272" s="70" t="str">
        <f>IF($A$3=" "," ", IFERROR( VLOOKUP($A1272,'SUPPLIER DATA BASE'!$A$2:$O$936,12,0),""))</f>
        <v>490930150000030</v>
      </c>
      <c r="P1272" s="70" t="str">
        <f>IF($A$3=" "," ", IFERROR( VLOOKUP($A1272,'SUPPLIER DATA BASE'!$A$2:$O$936,13,0),""))</f>
        <v>BKID0004909</v>
      </c>
      <c r="Q1272" s="77"/>
      <c r="R1272" s="73"/>
      <c r="S1272" s="77"/>
      <c r="T1272" s="70"/>
      <c r="U1272" s="78"/>
      <c r="V1272" s="70" t="str">
        <f t="shared" si="6"/>
        <v/>
      </c>
      <c r="W1272" s="23"/>
      <c r="X1272" s="23"/>
    </row>
    <row r="1273">
      <c r="A1273" s="70" t="s">
        <v>615</v>
      </c>
      <c r="B1273" s="70" t="str">
        <f>IF($A$3=" "," ", IFERROR( VLOOKUP($A1273,'SUPPLIER DATA BASE'!$A$2:$M$936,3,0),""))</f>
        <v>JOCKEY</v>
      </c>
      <c r="C1273" s="70" t="str">
        <f>IF($A$3=" "," ", IFERROR( VLOOKUP($A1273,'SUPPLIER DATA BASE'!$A$2:$F$936,6,0),""))</f>
        <v>-</v>
      </c>
      <c r="D1273" s="70">
        <f>IF($A$3=" "," ", IFERROR( VLOOKUP($A1273,'SUPPLIER DATA BASE'!$A$2:$G$936,4,0),""))</f>
        <v>10</v>
      </c>
      <c r="E1273" s="71">
        <f>IF($A$3=" "," ", IFERROR( VLOOKUP($A1273,'SUPPLIER DATA BASE'!$A$2:$H$936,5,0),""))</f>
        <v>0.02</v>
      </c>
      <c r="F1273" s="72"/>
      <c r="G1273" s="73"/>
      <c r="H1273" s="74"/>
      <c r="I1273" s="75"/>
      <c r="J1273" s="76" t="s">
        <v>3716</v>
      </c>
      <c r="K1273" s="76" t="s">
        <v>3717</v>
      </c>
      <c r="L1273" s="73"/>
      <c r="M1273" s="70" t="str">
        <f t="shared" si="3"/>
        <v/>
      </c>
      <c r="N1273" s="70" t="str">
        <f>IF($A$3=" "," ", IFERROR( VLOOKUP($A1273,'SUPPLIER DATA BASE'!$A$2:$O$936,11,0),""))</f>
        <v>PARAS TEXTILES</v>
      </c>
      <c r="O1273" s="70" t="str">
        <f>IF($A$3=" "," ", IFERROR( VLOOKUP($A1273,'SUPPLIER DATA BASE'!$A$2:$O$936,12,0),""))</f>
        <v>1574210665</v>
      </c>
      <c r="P1273" s="70" t="str">
        <f>IF($A$3=" "," ", IFERROR( VLOOKUP($A1273,'SUPPLIER DATA BASE'!$A$2:$O$936,13,0),""))</f>
        <v>CBIN0281393</v>
      </c>
      <c r="Q1273" s="77"/>
      <c r="R1273" s="73"/>
      <c r="S1273" s="77"/>
      <c r="T1273" s="70"/>
      <c r="U1273" s="78"/>
      <c r="V1273" s="70" t="str">
        <f t="shared" si="6"/>
        <v/>
      </c>
      <c r="W1273" s="23"/>
      <c r="X1273" s="23"/>
    </row>
    <row r="1274">
      <c r="A1274" s="70" t="s">
        <v>620</v>
      </c>
      <c r="B1274" s="70" t="str">
        <f>IF($A$3=" "," ", IFERROR( VLOOKUP($A1274,'SUPPLIER DATA BASE'!$A$2:$M$936,3,0),""))</f>
        <v>DMG/KRMS/TME/S</v>
      </c>
      <c r="C1274" s="70" t="str">
        <f>IF($A$3=" "," ", IFERROR( VLOOKUP($A1274,'SUPPLIER DATA BASE'!$A$2:$F$936,6,0),""))</f>
        <v>-</v>
      </c>
      <c r="D1274" s="70" t="str">
        <f>IF($A$3=" "," ", IFERROR( VLOOKUP($A1274,'SUPPLIER DATA BASE'!$A$2:$G$936,4,0),""))</f>
        <v>-</v>
      </c>
      <c r="E1274" s="71" t="str">
        <f>IF($A$3=" "," ", IFERROR( VLOOKUP($A1274,'SUPPLIER DATA BASE'!$A$2:$H$936,5,0),""))</f>
        <v>-</v>
      </c>
      <c r="F1274" s="72"/>
      <c r="G1274" s="73"/>
      <c r="H1274" s="74"/>
      <c r="I1274" s="75"/>
      <c r="J1274" s="76" t="s">
        <v>3718</v>
      </c>
      <c r="K1274" s="76" t="s">
        <v>3719</v>
      </c>
      <c r="L1274" s="73"/>
      <c r="M1274" s="70" t="str">
        <f t="shared" si="3"/>
        <v/>
      </c>
      <c r="N1274" s="70" t="str">
        <f>IF($A$3=" "," ", IFERROR( VLOOKUP($A1274,'SUPPLIER DATA BASE'!$A$2:$O$936,11,0),""))</f>
        <v>PAYAL GARMENTS</v>
      </c>
      <c r="O1274" s="70" t="str">
        <f>IF($A$3=" "," ", IFERROR( VLOOKUP($A1274,'SUPPLIER DATA BASE'!$A$2:$O$936,12,0),""))</f>
        <v>99921800000005</v>
      </c>
      <c r="P1274" s="70" t="str">
        <f>IF($A$3=" "," ", IFERROR( VLOOKUP($A1274,'SUPPLIER DATA BASE'!$A$2:$O$936,13,0),""))</f>
        <v>HDFC0002834</v>
      </c>
      <c r="Q1274" s="77"/>
      <c r="R1274" s="73"/>
      <c r="S1274" s="77"/>
      <c r="T1274" s="70"/>
      <c r="U1274" s="78"/>
      <c r="V1274" s="70" t="str">
        <f t="shared" si="6"/>
        <v/>
      </c>
      <c r="W1274" s="23"/>
      <c r="X1274" s="23"/>
    </row>
    <row r="1275">
      <c r="A1275" s="70" t="s">
        <v>629</v>
      </c>
      <c r="B1275" s="70" t="str">
        <f>IF($A$3=" "," ", IFERROR( VLOOKUP($A1275,'SUPPLIER DATA BASE'!$A$2:$M$936,3,0),""))</f>
        <v>-</v>
      </c>
      <c r="C1275" s="70" t="str">
        <f>IF($A$3=" "," ", IFERROR( VLOOKUP($A1275,'SUPPLIER DATA BASE'!$A$2:$F$936,6,0),""))</f>
        <v>SURYAM TEXTILE AGENCY</v>
      </c>
      <c r="D1275" s="70" t="str">
        <f>IF($A$3=" "," ", IFERROR( VLOOKUP($A1275,'SUPPLIER DATA BASE'!$A$2:$G$936,4,0),""))</f>
        <v>NO</v>
      </c>
      <c r="E1275" s="71" t="str">
        <f>IF($A$3=" "," ", IFERROR( VLOOKUP($A1275,'SUPPLIER DATA BASE'!$A$2:$H$936,5,0),""))</f>
        <v>-</v>
      </c>
      <c r="F1275" s="72"/>
      <c r="G1275" s="73"/>
      <c r="H1275" s="74"/>
      <c r="I1275" s="75"/>
      <c r="J1275" s="76" t="s">
        <v>3720</v>
      </c>
      <c r="K1275" s="76" t="s">
        <v>3721</v>
      </c>
      <c r="L1275" s="73"/>
      <c r="M1275" s="70" t="str">
        <f t="shared" si="3"/>
        <v/>
      </c>
      <c r="N1275" s="70" t="str">
        <f>IF($A$3=" "," ", IFERROR( VLOOKUP($A1275,'SUPPLIER DATA BASE'!$A$2:$O$936,11,0),""))</f>
        <v>POONAM FASHION</v>
      </c>
      <c r="O1275" s="70" t="str">
        <f>IF($A$3=" "," ", IFERROR( VLOOKUP($A1275,'SUPPLIER DATA BASE'!$A$2:$O$936,12,0),""))</f>
        <v>50200033738992</v>
      </c>
      <c r="P1275" s="70" t="str">
        <f>IF($A$3=" "," ", IFERROR( VLOOKUP($A1275,'SUPPLIER DATA BASE'!$A$2:$O$936,13,0),""))</f>
        <v>HDFC0001007</v>
      </c>
      <c r="Q1275" s="77"/>
      <c r="R1275" s="73"/>
      <c r="S1275" s="77"/>
      <c r="T1275" s="70"/>
      <c r="U1275" s="78"/>
      <c r="V1275" s="70" t="str">
        <f t="shared" si="6"/>
        <v/>
      </c>
      <c r="W1275" s="23"/>
      <c r="X1275" s="23"/>
    </row>
    <row r="1276">
      <c r="A1276" s="70"/>
      <c r="B1276" s="70" t="str">
        <f>IF($A$3=" "," ", IFERROR( VLOOKUP($A1276,'SUPPLIER DATA BASE'!$A$2:$M$936,3,0),""))</f>
        <v/>
      </c>
      <c r="C1276" s="70" t="str">
        <f>IF($A$3=" "," ", IFERROR( VLOOKUP($A1276,'SUPPLIER DATA BASE'!$A$2:$F$936,6,0),""))</f>
        <v/>
      </c>
      <c r="D1276" s="70" t="str">
        <f>IF($A$3=" "," ", IFERROR( VLOOKUP($A1276,'SUPPLIER DATA BASE'!$A$2:$G$936,4,0),""))</f>
        <v/>
      </c>
      <c r="E1276" s="71" t="str">
        <f>IF($A$3=" "," ", IFERROR( VLOOKUP($A1276,'SUPPLIER DATA BASE'!$A$2:$H$936,5,0),""))</f>
        <v/>
      </c>
      <c r="F1276" s="72"/>
      <c r="G1276" s="73"/>
      <c r="H1276" s="74"/>
      <c r="I1276" s="75"/>
      <c r="J1276" s="76" t="s">
        <v>3722</v>
      </c>
      <c r="K1276" s="76" t="s">
        <v>3723</v>
      </c>
      <c r="L1276" s="73"/>
      <c r="M1276" s="70" t="str">
        <f t="shared" si="3"/>
        <v/>
      </c>
      <c r="N1276" s="70" t="str">
        <f>IF($A$3=" "," ", IFERROR( VLOOKUP($A1276,'SUPPLIER DATA BASE'!$A$2:$O$936,11,0),""))</f>
        <v/>
      </c>
      <c r="O1276" s="70" t="str">
        <f>IF($A$3=" "," ", IFERROR( VLOOKUP($A1276,'SUPPLIER DATA BASE'!$A$2:$O$936,12,0),""))</f>
        <v/>
      </c>
      <c r="P1276" s="70" t="str">
        <f>IF($A$3=" "," ", IFERROR( VLOOKUP($A1276,'SUPPLIER DATA BASE'!$A$2:$O$936,13,0),""))</f>
        <v/>
      </c>
      <c r="Q1276" s="77"/>
      <c r="R1276" s="73"/>
      <c r="S1276" s="77"/>
      <c r="T1276" s="70"/>
      <c r="U1276" s="78"/>
      <c r="V1276" s="70" t="str">
        <f t="shared" si="6"/>
        <v/>
      </c>
      <c r="W1276" s="23"/>
      <c r="X1276" s="23"/>
    </row>
    <row r="1277">
      <c r="A1277" s="70" t="s">
        <v>677</v>
      </c>
      <c r="B1277" s="70" t="str">
        <f>IF($A$3=" "," ", IFERROR( VLOOKUP($A1277,'SUPPLIER DATA BASE'!$A$2:$M$936,3,0),""))</f>
        <v>-</v>
      </c>
      <c r="C1277" s="70" t="str">
        <f>IF($A$3=" "," ", IFERROR( VLOOKUP($A1277,'SUPPLIER DATA BASE'!$A$2:$F$936,6,0),""))</f>
        <v>-</v>
      </c>
      <c r="D1277" s="70" t="str">
        <f>IF($A$3=" "," ", IFERROR( VLOOKUP($A1277,'SUPPLIER DATA BASE'!$A$2:$G$936,4,0),""))</f>
        <v>-</v>
      </c>
      <c r="E1277" s="71" t="str">
        <f>IF($A$3=" "," ", IFERROR( VLOOKUP($A1277,'SUPPLIER DATA BASE'!$A$2:$H$936,5,0),""))</f>
        <v>-</v>
      </c>
      <c r="F1277" s="72"/>
      <c r="G1277" s="73"/>
      <c r="H1277" s="74"/>
      <c r="I1277" s="75"/>
      <c r="J1277" s="76" t="s">
        <v>3724</v>
      </c>
      <c r="K1277" s="76" t="s">
        <v>3725</v>
      </c>
      <c r="L1277" s="73"/>
      <c r="M1277" s="70" t="str">
        <f t="shared" si="3"/>
        <v/>
      </c>
      <c r="N1277" s="70" t="str">
        <f>IF($A$3=" "," ", IFERROR( VLOOKUP($A1277,'SUPPLIER DATA BASE'!$A$2:$O$936,11,0),""))</f>
        <v>SARAOGI SUPER SALES PVT LTD</v>
      </c>
      <c r="O1277" s="70" t="str">
        <f>IF($A$3=" "," ", IFERROR( VLOOKUP($A1277,'SUPPLIER DATA BASE'!$A$2:$O$936,12,0),""))</f>
        <v>SASUSP011006</v>
      </c>
      <c r="P1277" s="70" t="str">
        <f>IF($A$3=" "," ", IFERROR( VLOOKUP($A1277,'SUPPLIER DATA BASE'!$A$2:$O$936,13,0),""))</f>
        <v>ICIC0000106</v>
      </c>
      <c r="Q1277" s="77"/>
      <c r="R1277" s="73"/>
      <c r="S1277" s="77"/>
      <c r="T1277" s="70"/>
      <c r="U1277" s="78"/>
      <c r="V1277" s="70" t="str">
        <f t="shared" si="6"/>
        <v/>
      </c>
      <c r="W1277" s="23"/>
      <c r="X1277" s="23"/>
    </row>
    <row r="1278">
      <c r="A1278" s="70" t="s">
        <v>677</v>
      </c>
      <c r="B1278" s="70" t="str">
        <f>IF($A$3=" "," ", IFERROR( VLOOKUP($A1278,'SUPPLIER DATA BASE'!$A$2:$M$936,3,0),""))</f>
        <v>-</v>
      </c>
      <c r="C1278" s="70" t="str">
        <f>IF($A$3=" "," ", IFERROR( VLOOKUP($A1278,'SUPPLIER DATA BASE'!$A$2:$F$936,6,0),""))</f>
        <v>-</v>
      </c>
      <c r="D1278" s="70" t="str">
        <f>IF($A$3=" "," ", IFERROR( VLOOKUP($A1278,'SUPPLIER DATA BASE'!$A$2:$G$936,4,0),""))</f>
        <v>-</v>
      </c>
      <c r="E1278" s="71" t="str">
        <f>IF($A$3=" "," ", IFERROR( VLOOKUP($A1278,'SUPPLIER DATA BASE'!$A$2:$H$936,5,0),""))</f>
        <v>-</v>
      </c>
      <c r="F1278" s="72"/>
      <c r="G1278" s="73"/>
      <c r="H1278" s="74"/>
      <c r="I1278" s="75"/>
      <c r="J1278" s="76" t="s">
        <v>3726</v>
      </c>
      <c r="K1278" s="76" t="s">
        <v>3727</v>
      </c>
      <c r="L1278" s="73"/>
      <c r="M1278" s="70" t="str">
        <f t="shared" si="3"/>
        <v/>
      </c>
      <c r="N1278" s="70" t="str">
        <f>IF($A$3=" "," ", IFERROR( VLOOKUP($A1278,'SUPPLIER DATA BASE'!$A$2:$O$936,11,0),""))</f>
        <v>SARAOGI SUPER SALES PVT LTD</v>
      </c>
      <c r="O1278" s="70" t="str">
        <f>IF($A$3=" "," ", IFERROR( VLOOKUP($A1278,'SUPPLIER DATA BASE'!$A$2:$O$936,12,0),""))</f>
        <v>SASUSP011006</v>
      </c>
      <c r="P1278" s="70" t="str">
        <f>IF($A$3=" "," ", IFERROR( VLOOKUP($A1278,'SUPPLIER DATA BASE'!$A$2:$O$936,13,0),""))</f>
        <v>ICIC0000106</v>
      </c>
      <c r="Q1278" s="77"/>
      <c r="R1278" s="73"/>
      <c r="S1278" s="77"/>
      <c r="T1278" s="70"/>
      <c r="U1278" s="78"/>
      <c r="V1278" s="70" t="str">
        <f t="shared" si="6"/>
        <v/>
      </c>
      <c r="W1278" s="23"/>
      <c r="X1278" s="23"/>
    </row>
    <row r="1279">
      <c r="A1279" s="70" t="s">
        <v>677</v>
      </c>
      <c r="B1279" s="70" t="str">
        <f>IF($A$3=" "," ", IFERROR( VLOOKUP($A1279,'SUPPLIER DATA BASE'!$A$2:$M$936,3,0),""))</f>
        <v>-</v>
      </c>
      <c r="C1279" s="70" t="str">
        <f>IF($A$3=" "," ", IFERROR( VLOOKUP($A1279,'SUPPLIER DATA BASE'!$A$2:$F$936,6,0),""))</f>
        <v>-</v>
      </c>
      <c r="D1279" s="70" t="str">
        <f>IF($A$3=" "," ", IFERROR( VLOOKUP($A1279,'SUPPLIER DATA BASE'!$A$2:$G$936,4,0),""))</f>
        <v>-</v>
      </c>
      <c r="E1279" s="71" t="str">
        <f>IF($A$3=" "," ", IFERROR( VLOOKUP($A1279,'SUPPLIER DATA BASE'!$A$2:$H$936,5,0),""))</f>
        <v>-</v>
      </c>
      <c r="F1279" s="72"/>
      <c r="G1279" s="73"/>
      <c r="H1279" s="74"/>
      <c r="I1279" s="75"/>
      <c r="J1279" s="76" t="s">
        <v>3728</v>
      </c>
      <c r="K1279" s="76" t="s">
        <v>3729</v>
      </c>
      <c r="L1279" s="73"/>
      <c r="M1279" s="70" t="str">
        <f t="shared" si="3"/>
        <v/>
      </c>
      <c r="N1279" s="70" t="str">
        <f>IF($A$3=" "," ", IFERROR( VLOOKUP($A1279,'SUPPLIER DATA BASE'!$A$2:$O$936,11,0),""))</f>
        <v>SARAOGI SUPER SALES PVT LTD</v>
      </c>
      <c r="O1279" s="70" t="str">
        <f>IF($A$3=" "," ", IFERROR( VLOOKUP($A1279,'SUPPLIER DATA BASE'!$A$2:$O$936,12,0),""))</f>
        <v>SASUSP011006</v>
      </c>
      <c r="P1279" s="70" t="str">
        <f>IF($A$3=" "," ", IFERROR( VLOOKUP($A1279,'SUPPLIER DATA BASE'!$A$2:$O$936,13,0),""))</f>
        <v>ICIC0000106</v>
      </c>
      <c r="Q1279" s="77"/>
      <c r="R1279" s="73"/>
      <c r="S1279" s="77"/>
      <c r="T1279" s="70"/>
      <c r="U1279" s="78"/>
      <c r="V1279" s="70" t="str">
        <f t="shared" si="6"/>
        <v/>
      </c>
      <c r="W1279" s="23"/>
      <c r="X1279" s="23"/>
    </row>
    <row r="1280">
      <c r="A1280" s="70" t="s">
        <v>677</v>
      </c>
      <c r="B1280" s="70" t="str">
        <f>IF($A$3=" "," ", IFERROR( VLOOKUP($A1280,'SUPPLIER DATA BASE'!$A$2:$M$936,3,0),""))</f>
        <v>-</v>
      </c>
      <c r="C1280" s="70" t="str">
        <f>IF($A$3=" "," ", IFERROR( VLOOKUP($A1280,'SUPPLIER DATA BASE'!$A$2:$F$936,6,0),""))</f>
        <v>-</v>
      </c>
      <c r="D1280" s="70" t="str">
        <f>IF($A$3=" "," ", IFERROR( VLOOKUP($A1280,'SUPPLIER DATA BASE'!$A$2:$G$936,4,0),""))</f>
        <v>-</v>
      </c>
      <c r="E1280" s="71" t="str">
        <f>IF($A$3=" "," ", IFERROR( VLOOKUP($A1280,'SUPPLIER DATA BASE'!$A$2:$H$936,5,0),""))</f>
        <v>-</v>
      </c>
      <c r="F1280" s="72"/>
      <c r="G1280" s="73"/>
      <c r="H1280" s="74"/>
      <c r="I1280" s="75"/>
      <c r="J1280" s="76" t="s">
        <v>3730</v>
      </c>
      <c r="K1280" s="76" t="s">
        <v>3731</v>
      </c>
      <c r="L1280" s="73"/>
      <c r="M1280" s="70" t="str">
        <f t="shared" si="3"/>
        <v/>
      </c>
      <c r="N1280" s="70" t="str">
        <f>IF($A$3=" "," ", IFERROR( VLOOKUP($A1280,'SUPPLIER DATA BASE'!$A$2:$O$936,11,0),""))</f>
        <v>SARAOGI SUPER SALES PVT LTD</v>
      </c>
      <c r="O1280" s="70" t="str">
        <f>IF($A$3=" "," ", IFERROR( VLOOKUP($A1280,'SUPPLIER DATA BASE'!$A$2:$O$936,12,0),""))</f>
        <v>SASUSP011006</v>
      </c>
      <c r="P1280" s="70" t="str">
        <f>IF($A$3=" "," ", IFERROR( VLOOKUP($A1280,'SUPPLIER DATA BASE'!$A$2:$O$936,13,0),""))</f>
        <v>ICIC0000106</v>
      </c>
      <c r="Q1280" s="77"/>
      <c r="R1280" s="73"/>
      <c r="S1280" s="77"/>
      <c r="T1280" s="70"/>
      <c r="U1280" s="78"/>
      <c r="V1280" s="70" t="str">
        <f t="shared" si="6"/>
        <v/>
      </c>
      <c r="W1280" s="23"/>
      <c r="X1280" s="23"/>
    </row>
    <row r="1281">
      <c r="A1281" s="70" t="s">
        <v>677</v>
      </c>
      <c r="B1281" s="70" t="str">
        <f>IF($A$3=" "," ", IFERROR( VLOOKUP($A1281,'SUPPLIER DATA BASE'!$A$2:$M$936,3,0),""))</f>
        <v>-</v>
      </c>
      <c r="C1281" s="70" t="str">
        <f>IF($A$3=" "," ", IFERROR( VLOOKUP($A1281,'SUPPLIER DATA BASE'!$A$2:$F$936,6,0),""))</f>
        <v>-</v>
      </c>
      <c r="D1281" s="70" t="str">
        <f>IF($A$3=" "," ", IFERROR( VLOOKUP($A1281,'SUPPLIER DATA BASE'!$A$2:$G$936,4,0),""))</f>
        <v>-</v>
      </c>
      <c r="E1281" s="71" t="str">
        <f>IF($A$3=" "," ", IFERROR( VLOOKUP($A1281,'SUPPLIER DATA BASE'!$A$2:$H$936,5,0),""))</f>
        <v>-</v>
      </c>
      <c r="F1281" s="72"/>
      <c r="G1281" s="73"/>
      <c r="H1281" s="74"/>
      <c r="I1281" s="75"/>
      <c r="J1281" s="76" t="s">
        <v>3732</v>
      </c>
      <c r="K1281" s="76" t="s">
        <v>3733</v>
      </c>
      <c r="L1281" s="73"/>
      <c r="M1281" s="70" t="str">
        <f t="shared" si="3"/>
        <v/>
      </c>
      <c r="N1281" s="70" t="str">
        <f>IF($A$3=" "," ", IFERROR( VLOOKUP($A1281,'SUPPLIER DATA BASE'!$A$2:$O$936,11,0),""))</f>
        <v>SARAOGI SUPER SALES PVT LTD</v>
      </c>
      <c r="O1281" s="70" t="str">
        <f>IF($A$3=" "," ", IFERROR( VLOOKUP($A1281,'SUPPLIER DATA BASE'!$A$2:$O$936,12,0),""))</f>
        <v>SASUSP011006</v>
      </c>
      <c r="P1281" s="70" t="str">
        <f>IF($A$3=" "," ", IFERROR( VLOOKUP($A1281,'SUPPLIER DATA BASE'!$A$2:$O$936,13,0),""))</f>
        <v>ICIC0000106</v>
      </c>
      <c r="Q1281" s="77"/>
      <c r="R1281" s="73"/>
      <c r="S1281" s="77"/>
      <c r="T1281" s="70"/>
      <c r="U1281" s="78"/>
      <c r="V1281" s="70" t="str">
        <f t="shared" si="6"/>
        <v/>
      </c>
      <c r="W1281" s="23"/>
      <c r="X1281" s="23"/>
    </row>
    <row r="1282">
      <c r="A1282" s="70" t="s">
        <v>677</v>
      </c>
      <c r="B1282" s="70" t="str">
        <f>IF($A$3=" "," ", IFERROR( VLOOKUP($A1282,'SUPPLIER DATA BASE'!$A$2:$M$936,3,0),""))</f>
        <v>-</v>
      </c>
      <c r="C1282" s="70" t="str">
        <f>IF($A$3=" "," ", IFERROR( VLOOKUP($A1282,'SUPPLIER DATA BASE'!$A$2:$F$936,6,0),""))</f>
        <v>-</v>
      </c>
      <c r="D1282" s="70" t="str">
        <f>IF($A$3=" "," ", IFERROR( VLOOKUP($A1282,'SUPPLIER DATA BASE'!$A$2:$G$936,4,0),""))</f>
        <v>-</v>
      </c>
      <c r="E1282" s="71" t="str">
        <f>IF($A$3=" "," ", IFERROR( VLOOKUP($A1282,'SUPPLIER DATA BASE'!$A$2:$H$936,5,0),""))</f>
        <v>-</v>
      </c>
      <c r="F1282" s="72"/>
      <c r="G1282" s="73"/>
      <c r="H1282" s="74"/>
      <c r="I1282" s="75"/>
      <c r="J1282" s="76" t="s">
        <v>3734</v>
      </c>
      <c r="K1282" s="76" t="s">
        <v>3735</v>
      </c>
      <c r="L1282" s="73"/>
      <c r="M1282" s="70" t="str">
        <f t="shared" si="3"/>
        <v/>
      </c>
      <c r="N1282" s="70" t="str">
        <f>IF($A$3=" "," ", IFERROR( VLOOKUP($A1282,'SUPPLIER DATA BASE'!$A$2:$O$936,11,0),""))</f>
        <v>SARAOGI SUPER SALES PVT LTD</v>
      </c>
      <c r="O1282" s="70" t="str">
        <f>IF($A$3=" "," ", IFERROR( VLOOKUP($A1282,'SUPPLIER DATA BASE'!$A$2:$O$936,12,0),""))</f>
        <v>SASUSP011006</v>
      </c>
      <c r="P1282" s="70" t="str">
        <f>IF($A$3=" "," ", IFERROR( VLOOKUP($A1282,'SUPPLIER DATA BASE'!$A$2:$O$936,13,0),""))</f>
        <v>ICIC0000106</v>
      </c>
      <c r="Q1282" s="77"/>
      <c r="R1282" s="73"/>
      <c r="S1282" s="77"/>
      <c r="T1282" s="70"/>
      <c r="U1282" s="78"/>
      <c r="V1282" s="70" t="str">
        <f t="shared" si="6"/>
        <v/>
      </c>
      <c r="W1282" s="23"/>
      <c r="X1282" s="23"/>
    </row>
    <row r="1283">
      <c r="A1283" s="70" t="s">
        <v>677</v>
      </c>
      <c r="B1283" s="70" t="str">
        <f>IF($A$3=" "," ", IFERROR( VLOOKUP($A1283,'SUPPLIER DATA BASE'!$A$2:$M$936,3,0),""))</f>
        <v>-</v>
      </c>
      <c r="C1283" s="70" t="str">
        <f>IF($A$3=" "," ", IFERROR( VLOOKUP($A1283,'SUPPLIER DATA BASE'!$A$2:$F$936,6,0),""))</f>
        <v>-</v>
      </c>
      <c r="D1283" s="70" t="str">
        <f>IF($A$3=" "," ", IFERROR( VLOOKUP($A1283,'SUPPLIER DATA BASE'!$A$2:$G$936,4,0),""))</f>
        <v>-</v>
      </c>
      <c r="E1283" s="71" t="str">
        <f>IF($A$3=" "," ", IFERROR( VLOOKUP($A1283,'SUPPLIER DATA BASE'!$A$2:$H$936,5,0),""))</f>
        <v>-</v>
      </c>
      <c r="F1283" s="72"/>
      <c r="G1283" s="73"/>
      <c r="H1283" s="74"/>
      <c r="I1283" s="75"/>
      <c r="J1283" s="76" t="s">
        <v>3736</v>
      </c>
      <c r="K1283" s="76" t="s">
        <v>3737</v>
      </c>
      <c r="L1283" s="73"/>
      <c r="M1283" s="70" t="str">
        <f t="shared" si="3"/>
        <v/>
      </c>
      <c r="N1283" s="70" t="str">
        <f>IF($A$3=" "," ", IFERROR( VLOOKUP($A1283,'SUPPLIER DATA BASE'!$A$2:$O$936,11,0),""))</f>
        <v>SARAOGI SUPER SALES PVT LTD</v>
      </c>
      <c r="O1283" s="70" t="str">
        <f>IF($A$3=" "," ", IFERROR( VLOOKUP($A1283,'SUPPLIER DATA BASE'!$A$2:$O$936,12,0),""))</f>
        <v>SASUSP011006</v>
      </c>
      <c r="P1283" s="70" t="str">
        <f>IF($A$3=" "," ", IFERROR( VLOOKUP($A1283,'SUPPLIER DATA BASE'!$A$2:$O$936,13,0),""))</f>
        <v>ICIC0000106</v>
      </c>
      <c r="Q1283" s="77"/>
      <c r="R1283" s="73"/>
      <c r="S1283" s="77"/>
      <c r="T1283" s="70"/>
      <c r="U1283" s="78"/>
      <c r="V1283" s="70" t="str">
        <f t="shared" si="6"/>
        <v/>
      </c>
      <c r="W1283" s="23"/>
      <c r="X1283" s="23"/>
    </row>
    <row r="1284">
      <c r="A1284" s="70" t="s">
        <v>677</v>
      </c>
      <c r="B1284" s="70" t="str">
        <f>IF($A$3=" "," ", IFERROR( VLOOKUP($A1284,'SUPPLIER DATA BASE'!$A$2:$M$936,3,0),""))</f>
        <v>-</v>
      </c>
      <c r="C1284" s="70" t="str">
        <f>IF($A$3=" "," ", IFERROR( VLOOKUP($A1284,'SUPPLIER DATA BASE'!$A$2:$F$936,6,0),""))</f>
        <v>-</v>
      </c>
      <c r="D1284" s="70" t="str">
        <f>IF($A$3=" "," ", IFERROR( VLOOKUP($A1284,'SUPPLIER DATA BASE'!$A$2:$G$936,4,0),""))</f>
        <v>-</v>
      </c>
      <c r="E1284" s="71" t="str">
        <f>IF($A$3=" "," ", IFERROR( VLOOKUP($A1284,'SUPPLIER DATA BASE'!$A$2:$H$936,5,0),""))</f>
        <v>-</v>
      </c>
      <c r="F1284" s="72"/>
      <c r="G1284" s="73"/>
      <c r="H1284" s="74"/>
      <c r="I1284" s="75"/>
      <c r="J1284" s="76" t="s">
        <v>3738</v>
      </c>
      <c r="K1284" s="76" t="s">
        <v>3739</v>
      </c>
      <c r="L1284" s="73"/>
      <c r="M1284" s="70" t="str">
        <f t="shared" si="3"/>
        <v/>
      </c>
      <c r="N1284" s="70" t="str">
        <f>IF($A$3=" "," ", IFERROR( VLOOKUP($A1284,'SUPPLIER DATA BASE'!$A$2:$O$936,11,0),""))</f>
        <v>SARAOGI SUPER SALES PVT LTD</v>
      </c>
      <c r="O1284" s="70" t="str">
        <f>IF($A$3=" "," ", IFERROR( VLOOKUP($A1284,'SUPPLIER DATA BASE'!$A$2:$O$936,12,0),""))</f>
        <v>SASUSP011006</v>
      </c>
      <c r="P1284" s="70" t="str">
        <f>IF($A$3=" "," ", IFERROR( VLOOKUP($A1284,'SUPPLIER DATA BASE'!$A$2:$O$936,13,0),""))</f>
        <v>ICIC0000106</v>
      </c>
      <c r="Q1284" s="77"/>
      <c r="R1284" s="73"/>
      <c r="S1284" s="77"/>
      <c r="T1284" s="70"/>
      <c r="U1284" s="78"/>
      <c r="V1284" s="70" t="str">
        <f t="shared" si="6"/>
        <v/>
      </c>
      <c r="W1284" s="23"/>
      <c r="X1284" s="23"/>
    </row>
    <row r="1285">
      <c r="A1285" s="70" t="s">
        <v>677</v>
      </c>
      <c r="B1285" s="70" t="str">
        <f>IF($A$3=" "," ", IFERROR( VLOOKUP($A1285,'SUPPLIER DATA BASE'!$A$2:$M$936,3,0),""))</f>
        <v>-</v>
      </c>
      <c r="C1285" s="70" t="str">
        <f>IF($A$3=" "," ", IFERROR( VLOOKUP($A1285,'SUPPLIER DATA BASE'!$A$2:$F$936,6,0),""))</f>
        <v>-</v>
      </c>
      <c r="D1285" s="70" t="str">
        <f>IF($A$3=" "," ", IFERROR( VLOOKUP($A1285,'SUPPLIER DATA BASE'!$A$2:$G$936,4,0),""))</f>
        <v>-</v>
      </c>
      <c r="E1285" s="71" t="str">
        <f>IF($A$3=" "," ", IFERROR( VLOOKUP($A1285,'SUPPLIER DATA BASE'!$A$2:$H$936,5,0),""))</f>
        <v>-</v>
      </c>
      <c r="F1285" s="72"/>
      <c r="G1285" s="73"/>
      <c r="H1285" s="74"/>
      <c r="I1285" s="75"/>
      <c r="J1285" s="76" t="s">
        <v>3740</v>
      </c>
      <c r="K1285" s="76" t="s">
        <v>3741</v>
      </c>
      <c r="L1285" s="73"/>
      <c r="M1285" s="70" t="str">
        <f t="shared" si="3"/>
        <v/>
      </c>
      <c r="N1285" s="70" t="str">
        <f>IF($A$3=" "," ", IFERROR( VLOOKUP($A1285,'SUPPLIER DATA BASE'!$A$2:$O$936,11,0),""))</f>
        <v>SARAOGI SUPER SALES PVT LTD</v>
      </c>
      <c r="O1285" s="70" t="str">
        <f>IF($A$3=" "," ", IFERROR( VLOOKUP($A1285,'SUPPLIER DATA BASE'!$A$2:$O$936,12,0),""))</f>
        <v>SASUSP011006</v>
      </c>
      <c r="P1285" s="70" t="str">
        <f>IF($A$3=" "," ", IFERROR( VLOOKUP($A1285,'SUPPLIER DATA BASE'!$A$2:$O$936,13,0),""))</f>
        <v>ICIC0000106</v>
      </c>
      <c r="Q1285" s="77"/>
      <c r="R1285" s="73"/>
      <c r="S1285" s="77"/>
      <c r="T1285" s="70"/>
      <c r="U1285" s="78"/>
      <c r="V1285" s="70" t="str">
        <f t="shared" si="6"/>
        <v/>
      </c>
      <c r="W1285" s="23"/>
      <c r="X1285" s="23"/>
    </row>
    <row r="1286">
      <c r="A1286" s="70" t="s">
        <v>702</v>
      </c>
      <c r="B1286" s="70" t="str">
        <f>IF($A$3=" "," ", IFERROR( VLOOKUP($A1286,'SUPPLIER DATA BASE'!$A$2:$M$936,3,0),""))</f>
        <v>JOCKEY</v>
      </c>
      <c r="C1286" s="70" t="str">
        <f>IF($A$3=" "," ", IFERROR( VLOOKUP($A1286,'SUPPLIER DATA BASE'!$A$2:$F$936,6,0),""))</f>
        <v>-</v>
      </c>
      <c r="D1286" s="70">
        <f>IF($A$3=" "," ", IFERROR( VLOOKUP($A1286,'SUPPLIER DATA BASE'!$A$2:$G$936,4,0),""))</f>
        <v>15</v>
      </c>
      <c r="E1286" s="71">
        <f>IF($A$3=" "," ", IFERROR( VLOOKUP($A1286,'SUPPLIER DATA BASE'!$A$2:$H$936,5,0),""))</f>
        <v>0.02</v>
      </c>
      <c r="F1286" s="72"/>
      <c r="G1286" s="73"/>
      <c r="H1286" s="74"/>
      <c r="I1286" s="75"/>
      <c r="J1286" s="76" t="s">
        <v>3742</v>
      </c>
      <c r="K1286" s="76" t="s">
        <v>3743</v>
      </c>
      <c r="L1286" s="73"/>
      <c r="M1286" s="70" t="str">
        <f t="shared" si="3"/>
        <v/>
      </c>
      <c r="N1286" s="70" t="str">
        <f>IF($A$3=" "," ", IFERROR( VLOOKUP($A1286,'SUPPLIER DATA BASE'!$A$2:$O$936,11,0),""))</f>
        <v>SHRI MAHAVIR ENTERPRISES</v>
      </c>
      <c r="O1286" s="70" t="str">
        <f>IF($A$3=" "," ", IFERROR( VLOOKUP($A1286,'SUPPLIER DATA BASE'!$A$2:$O$936,12,0),""))</f>
        <v>048905500722</v>
      </c>
      <c r="P1286" s="70" t="str">
        <f>IF($A$3=" "," ", IFERROR( VLOOKUP($A1286,'SUPPLIER DATA BASE'!$A$2:$O$936,13,0),""))</f>
        <v>ICIC0000489</v>
      </c>
      <c r="Q1286" s="77"/>
      <c r="R1286" s="73"/>
      <c r="S1286" s="77"/>
      <c r="T1286" s="70"/>
      <c r="U1286" s="78"/>
      <c r="V1286" s="70" t="str">
        <f t="shared" si="6"/>
        <v/>
      </c>
      <c r="W1286" s="23"/>
      <c r="X1286" s="23"/>
    </row>
    <row r="1287">
      <c r="A1287" s="70" t="s">
        <v>702</v>
      </c>
      <c r="B1287" s="70" t="str">
        <f>IF($A$3=" "," ", IFERROR( VLOOKUP($A1287,'SUPPLIER DATA BASE'!$A$2:$M$936,3,0),""))</f>
        <v>JOCKEY</v>
      </c>
      <c r="C1287" s="70" t="str">
        <f>IF($A$3=" "," ", IFERROR( VLOOKUP($A1287,'SUPPLIER DATA BASE'!$A$2:$F$936,6,0),""))</f>
        <v>-</v>
      </c>
      <c r="D1287" s="70">
        <f>IF($A$3=" "," ", IFERROR( VLOOKUP($A1287,'SUPPLIER DATA BASE'!$A$2:$G$936,4,0),""))</f>
        <v>15</v>
      </c>
      <c r="E1287" s="71">
        <f>IF($A$3=" "," ", IFERROR( VLOOKUP($A1287,'SUPPLIER DATA BASE'!$A$2:$H$936,5,0),""))</f>
        <v>0.02</v>
      </c>
      <c r="F1287" s="72"/>
      <c r="G1287" s="73"/>
      <c r="H1287" s="74"/>
      <c r="I1287" s="75"/>
      <c r="J1287" s="76" t="s">
        <v>3744</v>
      </c>
      <c r="K1287" s="76" t="s">
        <v>3745</v>
      </c>
      <c r="L1287" s="73"/>
      <c r="M1287" s="70" t="str">
        <f t="shared" si="3"/>
        <v/>
      </c>
      <c r="N1287" s="70" t="str">
        <f>IF($A$3=" "," ", IFERROR( VLOOKUP($A1287,'SUPPLIER DATA BASE'!$A$2:$O$936,11,0),""))</f>
        <v>SHRI MAHAVIR ENTERPRISES</v>
      </c>
      <c r="O1287" s="70" t="str">
        <f>IF($A$3=" "," ", IFERROR( VLOOKUP($A1287,'SUPPLIER DATA BASE'!$A$2:$O$936,12,0),""))</f>
        <v>048905500722</v>
      </c>
      <c r="P1287" s="70" t="str">
        <f>IF($A$3=" "," ", IFERROR( VLOOKUP($A1287,'SUPPLIER DATA BASE'!$A$2:$O$936,13,0),""))</f>
        <v>ICIC0000489</v>
      </c>
      <c r="Q1287" s="77"/>
      <c r="R1287" s="73"/>
      <c r="S1287" s="77"/>
      <c r="T1287" s="70"/>
      <c r="U1287" s="78"/>
      <c r="V1287" s="70" t="str">
        <f t="shared" si="6"/>
        <v/>
      </c>
      <c r="W1287" s="23"/>
      <c r="X1287" s="23"/>
    </row>
    <row r="1288">
      <c r="A1288" s="70" t="s">
        <v>702</v>
      </c>
      <c r="B1288" s="70" t="str">
        <f>IF($A$3=" "," ", IFERROR( VLOOKUP($A1288,'SUPPLIER DATA BASE'!$A$2:$M$936,3,0),""))</f>
        <v>JOCKEY</v>
      </c>
      <c r="C1288" s="70" t="str">
        <f>IF($A$3=" "," ", IFERROR( VLOOKUP($A1288,'SUPPLIER DATA BASE'!$A$2:$F$936,6,0),""))</f>
        <v>-</v>
      </c>
      <c r="D1288" s="70">
        <f>IF($A$3=" "," ", IFERROR( VLOOKUP($A1288,'SUPPLIER DATA BASE'!$A$2:$G$936,4,0),""))</f>
        <v>15</v>
      </c>
      <c r="E1288" s="71">
        <f>IF($A$3=" "," ", IFERROR( VLOOKUP($A1288,'SUPPLIER DATA BASE'!$A$2:$H$936,5,0),""))</f>
        <v>0.02</v>
      </c>
      <c r="F1288" s="72"/>
      <c r="G1288" s="73"/>
      <c r="H1288" s="74"/>
      <c r="I1288" s="75"/>
      <c r="J1288" s="76" t="s">
        <v>3746</v>
      </c>
      <c r="K1288" s="76" t="s">
        <v>3747</v>
      </c>
      <c r="L1288" s="73"/>
      <c r="M1288" s="70" t="str">
        <f t="shared" si="3"/>
        <v/>
      </c>
      <c r="N1288" s="70" t="str">
        <f>IF($A$3=" "," ", IFERROR( VLOOKUP($A1288,'SUPPLIER DATA BASE'!$A$2:$O$936,11,0),""))</f>
        <v>SHRI MAHAVIR ENTERPRISES</v>
      </c>
      <c r="O1288" s="70" t="str">
        <f>IF($A$3=" "," ", IFERROR( VLOOKUP($A1288,'SUPPLIER DATA BASE'!$A$2:$O$936,12,0),""))</f>
        <v>048905500722</v>
      </c>
      <c r="P1288" s="70" t="str">
        <f>IF($A$3=" "," ", IFERROR( VLOOKUP($A1288,'SUPPLIER DATA BASE'!$A$2:$O$936,13,0),""))</f>
        <v>ICIC0000489</v>
      </c>
      <c r="Q1288" s="77"/>
      <c r="R1288" s="73"/>
      <c r="S1288" s="77"/>
      <c r="T1288" s="70"/>
      <c r="U1288" s="78"/>
      <c r="V1288" s="70" t="str">
        <f t="shared" si="6"/>
        <v/>
      </c>
      <c r="W1288" s="23"/>
      <c r="X1288" s="23"/>
    </row>
    <row r="1289">
      <c r="A1289" s="70" t="s">
        <v>705</v>
      </c>
      <c r="B1289" s="70" t="str">
        <f>IF($A$3=" "," ", IFERROR( VLOOKUP($A1289,'SUPPLIER DATA BASE'!$A$2:$M$936,3,0),""))</f>
        <v>-</v>
      </c>
      <c r="C1289" s="70" t="str">
        <f>IF($A$3=" "," ", IFERROR( VLOOKUP($A1289,'SUPPLIER DATA BASE'!$A$2:$F$936,6,0),""))</f>
        <v>-</v>
      </c>
      <c r="D1289" s="70" t="str">
        <f>IF($A$3=" "," ", IFERROR( VLOOKUP($A1289,'SUPPLIER DATA BASE'!$A$2:$G$936,4,0),""))</f>
        <v>-</v>
      </c>
      <c r="E1289" s="71" t="str">
        <f>IF($A$3=" "," ", IFERROR( VLOOKUP($A1289,'SUPPLIER DATA BASE'!$A$2:$H$936,5,0),""))</f>
        <v>-</v>
      </c>
      <c r="F1289" s="72"/>
      <c r="G1289" s="73"/>
      <c r="H1289" s="74"/>
      <c r="I1289" s="75"/>
      <c r="J1289" s="76" t="s">
        <v>3748</v>
      </c>
      <c r="K1289" s="76" t="s">
        <v>3749</v>
      </c>
      <c r="L1289" s="73"/>
      <c r="M1289" s="70" t="str">
        <f t="shared" si="3"/>
        <v/>
      </c>
      <c r="N1289" s="70" t="str">
        <f>IF($A$3=" "," ", IFERROR( VLOOKUP($A1289,'SUPPLIER DATA BASE'!$A$2:$O$936,11,0),""))</f>
        <v>-</v>
      </c>
      <c r="O1289" s="70" t="str">
        <f>IF($A$3=" "," ", IFERROR( VLOOKUP($A1289,'SUPPLIER DATA BASE'!$A$2:$O$936,12,0),""))</f>
        <v>-</v>
      </c>
      <c r="P1289" s="70" t="str">
        <f>IF($A$3=" "," ", IFERROR( VLOOKUP($A1289,'SUPPLIER DATA BASE'!$A$2:$O$936,13,0),""))</f>
        <v>-</v>
      </c>
      <c r="Q1289" s="77"/>
      <c r="R1289" s="73"/>
      <c r="S1289" s="77"/>
      <c r="T1289" s="70"/>
      <c r="U1289" s="78"/>
      <c r="V1289" s="70" t="str">
        <f t="shared" si="6"/>
        <v/>
      </c>
      <c r="W1289" s="23"/>
      <c r="X1289" s="23"/>
    </row>
    <row r="1290">
      <c r="A1290" s="70"/>
      <c r="B1290" s="70" t="str">
        <f>IF($A$3=" "," ", IFERROR( VLOOKUP($A1290,'SUPPLIER DATA BASE'!$A$2:$M$936,3,0),""))</f>
        <v/>
      </c>
      <c r="C1290" s="70" t="str">
        <f>IF($A$3=" "," ", IFERROR( VLOOKUP($A1290,'SUPPLIER DATA BASE'!$A$2:$F$936,6,0),""))</f>
        <v/>
      </c>
      <c r="D1290" s="70" t="str">
        <f>IF($A$3=" "," ", IFERROR( VLOOKUP($A1290,'SUPPLIER DATA BASE'!$A$2:$G$936,4,0),""))</f>
        <v/>
      </c>
      <c r="E1290" s="71" t="str">
        <f>IF($A$3=" "," ", IFERROR( VLOOKUP($A1290,'SUPPLIER DATA BASE'!$A$2:$H$936,5,0),""))</f>
        <v/>
      </c>
      <c r="F1290" s="72"/>
      <c r="G1290" s="73"/>
      <c r="H1290" s="74"/>
      <c r="I1290" s="75"/>
      <c r="J1290" s="76" t="s">
        <v>3750</v>
      </c>
      <c r="K1290" s="76" t="s">
        <v>3751</v>
      </c>
      <c r="L1290" s="73"/>
      <c r="M1290" s="70" t="str">
        <f t="shared" si="3"/>
        <v/>
      </c>
      <c r="N1290" s="70" t="str">
        <f>IF($A$3=" "," ", IFERROR( VLOOKUP($A1290,'SUPPLIER DATA BASE'!$A$2:$O$936,11,0),""))</f>
        <v/>
      </c>
      <c r="O1290" s="70" t="str">
        <f>IF($A$3=" "," ", IFERROR( VLOOKUP($A1290,'SUPPLIER DATA BASE'!$A$2:$O$936,12,0),""))</f>
        <v/>
      </c>
      <c r="P1290" s="70" t="str">
        <f>IF($A$3=" "," ", IFERROR( VLOOKUP($A1290,'SUPPLIER DATA BASE'!$A$2:$O$936,13,0),""))</f>
        <v/>
      </c>
      <c r="Q1290" s="77"/>
      <c r="R1290" s="73"/>
      <c r="S1290" s="77"/>
      <c r="T1290" s="70"/>
      <c r="U1290" s="78"/>
      <c r="V1290" s="70" t="str">
        <f t="shared" si="6"/>
        <v/>
      </c>
      <c r="W1290" s="23"/>
      <c r="X1290" s="23"/>
    </row>
    <row r="1291">
      <c r="A1291" s="70" t="s">
        <v>709</v>
      </c>
      <c r="B1291" s="70" t="str">
        <f>IF($A$3=" "," ", IFERROR( VLOOKUP($A1291,'SUPPLIER DATA BASE'!$A$2:$M$936,3,0),""))</f>
        <v>MUFTI</v>
      </c>
      <c r="C1291" s="70" t="str">
        <f>IF($A$3=" "," ", IFERROR( VLOOKUP($A1291,'SUPPLIER DATA BASE'!$A$2:$F$936,6,0),""))</f>
        <v>-</v>
      </c>
      <c r="D1291" s="70" t="str">
        <f>IF($A$3=" "," ", IFERROR( VLOOKUP($A1291,'SUPPLIER DATA BASE'!$A$2:$G$936,4,0),""))</f>
        <v>-</v>
      </c>
      <c r="E1291" s="71" t="str">
        <f>IF($A$3=" "," ", IFERROR( VLOOKUP($A1291,'SUPPLIER DATA BASE'!$A$2:$H$936,5,0),""))</f>
        <v>-</v>
      </c>
      <c r="F1291" s="72"/>
      <c r="G1291" s="73"/>
      <c r="H1291" s="74"/>
      <c r="I1291" s="75"/>
      <c r="J1291" s="76" t="s">
        <v>3752</v>
      </c>
      <c r="K1291" s="76" t="s">
        <v>3753</v>
      </c>
      <c r="L1291" s="73"/>
      <c r="M1291" s="70" t="str">
        <f t="shared" si="3"/>
        <v/>
      </c>
      <c r="N1291" s="70" t="str">
        <f>IF($A$3=" "," ", IFERROR( VLOOKUP($A1291,'SUPPLIER DATA BASE'!$A$2:$O$936,11,0),""))</f>
        <v>SHRING APPARELS</v>
      </c>
      <c r="O1291" s="70" t="str">
        <f>IF($A$3=" "," ", IFERROR( VLOOKUP($A1291,'SUPPLIER DATA BASE'!$A$2:$O$936,12,0),""))</f>
        <v>50200030713091</v>
      </c>
      <c r="P1291" s="70" t="str">
        <f>IF($A$3=" "," ", IFERROR( VLOOKUP($A1291,'SUPPLIER DATA BASE'!$A$2:$O$936,13,0),""))</f>
        <v>HDFC0000186</v>
      </c>
      <c r="Q1291" s="77"/>
      <c r="R1291" s="73"/>
      <c r="S1291" s="77"/>
      <c r="T1291" s="70"/>
      <c r="U1291" s="78"/>
      <c r="V1291" s="70" t="str">
        <f t="shared" si="6"/>
        <v/>
      </c>
      <c r="W1291" s="23"/>
      <c r="X1291" s="23"/>
    </row>
    <row r="1292">
      <c r="A1292" s="70" t="s">
        <v>863</v>
      </c>
      <c r="B1292" s="70" t="str">
        <f>IF($A$3=" "," ", IFERROR( VLOOKUP($A1292,'SUPPLIER DATA BASE'!$A$2:$M$936,3,0),""))</f>
        <v/>
      </c>
      <c r="C1292" s="70" t="str">
        <f>IF($A$3=" "," ", IFERROR( VLOOKUP($A1292,'SUPPLIER DATA BASE'!$A$2:$F$936,6,0),""))</f>
        <v/>
      </c>
      <c r="D1292" s="70" t="str">
        <f>IF($A$3=" "," ", IFERROR( VLOOKUP($A1292,'SUPPLIER DATA BASE'!$A$2:$G$936,4,0),""))</f>
        <v/>
      </c>
      <c r="E1292" s="71" t="str">
        <f>IF($A$3=" "," ", IFERROR( VLOOKUP($A1292,'SUPPLIER DATA BASE'!$A$2:$H$936,5,0),""))</f>
        <v/>
      </c>
      <c r="F1292" s="72"/>
      <c r="G1292" s="73"/>
      <c r="H1292" s="74"/>
      <c r="I1292" s="75"/>
      <c r="J1292" s="76" t="s">
        <v>3754</v>
      </c>
      <c r="K1292" s="76" t="s">
        <v>3755</v>
      </c>
      <c r="L1292" s="73"/>
      <c r="M1292" s="70" t="str">
        <f t="shared" si="3"/>
        <v/>
      </c>
      <c r="N1292" s="70" t="str">
        <f>IF($A$3=" "," ", IFERROR( VLOOKUP($A1292,'SUPPLIER DATA BASE'!$A$2:$O$936,11,0),""))</f>
        <v>SINGLA COLLECTIONS PVT. LTD</v>
      </c>
      <c r="O1292" s="70" t="str">
        <f>IF($A$3=" "," ", IFERROR( VLOOKUP($A1292,'SUPPLIER DATA BASE'!$A$2:$O$936,12,0),""))</f>
        <v>112605500650</v>
      </c>
      <c r="P1292" s="70" t="str">
        <f>IF($A$3=" "," ", IFERROR( VLOOKUP($A1292,'SUPPLIER DATA BASE'!$A$2:$O$936,13,0),""))</f>
        <v>ICIC0001126</v>
      </c>
      <c r="Q1292" s="77"/>
      <c r="R1292" s="73"/>
      <c r="S1292" s="77"/>
      <c r="T1292" s="70"/>
      <c r="U1292" s="78"/>
      <c r="V1292" s="70" t="str">
        <f t="shared" si="6"/>
        <v/>
      </c>
      <c r="W1292" s="23"/>
      <c r="X1292" s="23"/>
    </row>
    <row r="1293">
      <c r="A1293" s="70" t="s">
        <v>863</v>
      </c>
      <c r="B1293" s="70" t="str">
        <f>IF($A$3=" "," ", IFERROR( VLOOKUP($A1293,'SUPPLIER DATA BASE'!$A$2:$M$936,3,0),""))</f>
        <v/>
      </c>
      <c r="C1293" s="70" t="str">
        <f>IF($A$3=" "," ", IFERROR( VLOOKUP($A1293,'SUPPLIER DATA BASE'!$A$2:$F$936,6,0),""))</f>
        <v/>
      </c>
      <c r="D1293" s="70" t="str">
        <f>IF($A$3=" "," ", IFERROR( VLOOKUP($A1293,'SUPPLIER DATA BASE'!$A$2:$G$936,4,0),""))</f>
        <v/>
      </c>
      <c r="E1293" s="71" t="str">
        <f>IF($A$3=" "," ", IFERROR( VLOOKUP($A1293,'SUPPLIER DATA BASE'!$A$2:$H$936,5,0),""))</f>
        <v/>
      </c>
      <c r="F1293" s="72"/>
      <c r="G1293" s="73"/>
      <c r="H1293" s="74"/>
      <c r="I1293" s="75"/>
      <c r="J1293" s="76" t="s">
        <v>3756</v>
      </c>
      <c r="K1293" s="76" t="s">
        <v>3757</v>
      </c>
      <c r="L1293" s="73"/>
      <c r="M1293" s="70" t="str">
        <f t="shared" si="3"/>
        <v/>
      </c>
      <c r="N1293" s="70" t="str">
        <f>IF($A$3=" "," ", IFERROR( VLOOKUP($A1293,'SUPPLIER DATA BASE'!$A$2:$O$936,11,0),""))</f>
        <v>SINGLA COLLECTIONS PVT. LTD</v>
      </c>
      <c r="O1293" s="70" t="str">
        <f>IF($A$3=" "," ", IFERROR( VLOOKUP($A1293,'SUPPLIER DATA BASE'!$A$2:$O$936,12,0),""))</f>
        <v>112605500650</v>
      </c>
      <c r="P1293" s="70" t="str">
        <f>IF($A$3=" "," ", IFERROR( VLOOKUP($A1293,'SUPPLIER DATA BASE'!$A$2:$O$936,13,0),""))</f>
        <v>ICIC0001126</v>
      </c>
      <c r="Q1293" s="77"/>
      <c r="R1293" s="73"/>
      <c r="S1293" s="77"/>
      <c r="T1293" s="70"/>
      <c r="U1293" s="78"/>
      <c r="V1293" s="70" t="str">
        <f t="shared" si="6"/>
        <v/>
      </c>
      <c r="W1293" s="23"/>
      <c r="X1293" s="23"/>
    </row>
    <row r="1294">
      <c r="A1294" s="70" t="s">
        <v>863</v>
      </c>
      <c r="B1294" s="70" t="str">
        <f>IF($A$3=" "," ", IFERROR( VLOOKUP($A1294,'SUPPLIER DATA BASE'!$A$2:$M$936,3,0),""))</f>
        <v/>
      </c>
      <c r="C1294" s="70" t="str">
        <f>IF($A$3=" "," ", IFERROR( VLOOKUP($A1294,'SUPPLIER DATA BASE'!$A$2:$F$936,6,0),""))</f>
        <v/>
      </c>
      <c r="D1294" s="70" t="str">
        <f>IF($A$3=" "," ", IFERROR( VLOOKUP($A1294,'SUPPLIER DATA BASE'!$A$2:$G$936,4,0),""))</f>
        <v/>
      </c>
      <c r="E1294" s="71" t="str">
        <f>IF($A$3=" "," ", IFERROR( VLOOKUP($A1294,'SUPPLIER DATA BASE'!$A$2:$H$936,5,0),""))</f>
        <v/>
      </c>
      <c r="F1294" s="72"/>
      <c r="G1294" s="73"/>
      <c r="H1294" s="74"/>
      <c r="I1294" s="75"/>
      <c r="J1294" s="76" t="s">
        <v>3758</v>
      </c>
      <c r="K1294" s="76" t="s">
        <v>3759</v>
      </c>
      <c r="L1294" s="73"/>
      <c r="M1294" s="70" t="str">
        <f t="shared" si="3"/>
        <v/>
      </c>
      <c r="N1294" s="70" t="str">
        <f>IF($A$3=" "," ", IFERROR( VLOOKUP($A1294,'SUPPLIER DATA BASE'!$A$2:$O$936,11,0),""))</f>
        <v>SINGLA COLLECTIONS PVT. LTD</v>
      </c>
      <c r="O1294" s="70" t="str">
        <f>IF($A$3=" "," ", IFERROR( VLOOKUP($A1294,'SUPPLIER DATA BASE'!$A$2:$O$936,12,0),""))</f>
        <v>112605500650</v>
      </c>
      <c r="P1294" s="70" t="str">
        <f>IF($A$3=" "," ", IFERROR( VLOOKUP($A1294,'SUPPLIER DATA BASE'!$A$2:$O$936,13,0),""))</f>
        <v>ICIC0001126</v>
      </c>
      <c r="Q1294" s="77"/>
      <c r="R1294" s="73"/>
      <c r="S1294" s="77"/>
      <c r="T1294" s="70"/>
      <c r="U1294" s="78"/>
      <c r="V1294" s="70" t="str">
        <f t="shared" si="6"/>
        <v/>
      </c>
      <c r="W1294" s="23"/>
      <c r="X1294" s="23"/>
    </row>
    <row r="1295">
      <c r="A1295" s="70" t="s">
        <v>731</v>
      </c>
      <c r="B1295" s="70" t="str">
        <f>IF($A$3=" "," ", IFERROR( VLOOKUP($A1295,'SUPPLIER DATA BASE'!$A$2:$M$936,3,0),""))</f>
        <v>-</v>
      </c>
      <c r="C1295" s="70" t="str">
        <f>IF($A$3=" "," ", IFERROR( VLOOKUP($A1295,'SUPPLIER DATA BASE'!$A$2:$F$936,6,0),""))</f>
        <v>RTC</v>
      </c>
      <c r="D1295" s="70" t="str">
        <f>IF($A$3=" "," ", IFERROR( VLOOKUP($A1295,'SUPPLIER DATA BASE'!$A$2:$G$936,4,0),""))</f>
        <v>-</v>
      </c>
      <c r="E1295" s="71" t="str">
        <f>IF($A$3=" "," ", IFERROR( VLOOKUP($A1295,'SUPPLIER DATA BASE'!$A$2:$H$936,5,0),""))</f>
        <v>-</v>
      </c>
      <c r="F1295" s="72"/>
      <c r="G1295" s="73"/>
      <c r="H1295" s="74"/>
      <c r="I1295" s="75"/>
      <c r="J1295" s="76" t="s">
        <v>3760</v>
      </c>
      <c r="K1295" s="76" t="s">
        <v>3761</v>
      </c>
      <c r="L1295" s="73"/>
      <c r="M1295" s="70" t="str">
        <f t="shared" si="3"/>
        <v/>
      </c>
      <c r="N1295" s="70" t="str">
        <f>IF($A$3=" "," ", IFERROR( VLOOKUP($A1295,'SUPPLIER DATA BASE'!$A$2:$O$936,11,0),""))</f>
        <v>RTC Garmentex India Pvgt LTd</v>
      </c>
      <c r="O1295" s="70" t="str">
        <f>IF($A$3=" "," ", IFERROR( VLOOKUP($A1295,'SUPPLIER DATA BASE'!$A$2:$O$936,12,0),""))</f>
        <v>112605502571</v>
      </c>
      <c r="P1295" s="70" t="str">
        <f>IF($A$3=" "," ", IFERROR( VLOOKUP($A1295,'SUPPLIER DATA BASE'!$A$2:$O$936,13,0),""))</f>
        <v>ICIC0001126</v>
      </c>
      <c r="Q1295" s="77"/>
      <c r="R1295" s="73"/>
      <c r="S1295" s="77"/>
      <c r="T1295" s="70"/>
      <c r="U1295" s="78"/>
      <c r="V1295" s="70" t="str">
        <f t="shared" si="6"/>
        <v/>
      </c>
      <c r="W1295" s="23"/>
      <c r="X1295" s="23"/>
    </row>
    <row r="1296">
      <c r="A1296" s="70" t="s">
        <v>761</v>
      </c>
      <c r="B1296" s="70" t="str">
        <f>IF($A$3=" "," ", IFERROR( VLOOKUP($A1296,'SUPPLIER DATA BASE'!$A$2:$M$936,3,0),""))</f>
        <v>JOCKEY, LIBAS, ROCKIT, INTIGRITI, AMERICAN TOURISTER</v>
      </c>
      <c r="C1296" s="70" t="str">
        <f>IF($A$3=" "," ", IFERROR( VLOOKUP($A1296,'SUPPLIER DATA BASE'!$A$2:$F$936,6,0),""))</f>
        <v>DIRECT</v>
      </c>
      <c r="D1296" s="70">
        <f>IF($A$3=" "," ", IFERROR( VLOOKUP($A1296,'SUPPLIER DATA BASE'!$A$2:$G$936,4,0),""))</f>
        <v>7</v>
      </c>
      <c r="E1296" s="71">
        <f>IF($A$3=" "," ", IFERROR( VLOOKUP($A1296,'SUPPLIER DATA BASE'!$A$2:$H$936,5,0),""))</f>
        <v>0.02</v>
      </c>
      <c r="F1296" s="72"/>
      <c r="G1296" s="73"/>
      <c r="H1296" s="74"/>
      <c r="I1296" s="75"/>
      <c r="J1296" s="76" t="s">
        <v>3762</v>
      </c>
      <c r="K1296" s="76" t="s">
        <v>3763</v>
      </c>
      <c r="L1296" s="73"/>
      <c r="M1296" s="70" t="str">
        <f t="shared" si="3"/>
        <v/>
      </c>
      <c r="N1296" s="70" t="str">
        <f>IF($A$3=" "," ", IFERROR( VLOOKUP($A1296,'SUPPLIER DATA BASE'!$A$2:$O$936,11,0),""))</f>
        <v>TAYAL GARMENTS PVT. LTD.</v>
      </c>
      <c r="O1296" s="70" t="str">
        <f>IF($A$3=" "," ", IFERROR( VLOOKUP($A1296,'SUPPLIER DATA BASE'!$A$2:$O$936,12,0),""))</f>
        <v>1199911999</v>
      </c>
      <c r="P1296" s="70" t="str">
        <f>IF($A$3=" "," ", IFERROR( VLOOKUP($A1296,'SUPPLIER DATA BASE'!$A$2:$O$936,13,0),""))</f>
        <v>KKBK0005632</v>
      </c>
      <c r="Q1296" s="77"/>
      <c r="R1296" s="73"/>
      <c r="S1296" s="77"/>
      <c r="T1296" s="70"/>
      <c r="U1296" s="78"/>
      <c r="V1296" s="70" t="str">
        <f t="shared" si="6"/>
        <v/>
      </c>
      <c r="W1296" s="23"/>
      <c r="X1296" s="23"/>
    </row>
    <row r="1297">
      <c r="A1297" s="70" t="s">
        <v>761</v>
      </c>
      <c r="B1297" s="70" t="str">
        <f>IF($A$3=" "," ", IFERROR( VLOOKUP($A1297,'SUPPLIER DATA BASE'!$A$2:$M$936,3,0),""))</f>
        <v>JOCKEY, LIBAS, ROCKIT, INTIGRITI, AMERICAN TOURISTER</v>
      </c>
      <c r="C1297" s="70" t="str">
        <f>IF($A$3=" "," ", IFERROR( VLOOKUP($A1297,'SUPPLIER DATA BASE'!$A$2:$F$936,6,0),""))</f>
        <v>DIRECT</v>
      </c>
      <c r="D1297" s="70">
        <f>IF($A$3=" "," ", IFERROR( VLOOKUP($A1297,'SUPPLIER DATA BASE'!$A$2:$G$936,4,0),""))</f>
        <v>7</v>
      </c>
      <c r="E1297" s="71">
        <f>IF($A$3=" "," ", IFERROR( VLOOKUP($A1297,'SUPPLIER DATA BASE'!$A$2:$H$936,5,0),""))</f>
        <v>0.02</v>
      </c>
      <c r="F1297" s="72"/>
      <c r="G1297" s="73"/>
      <c r="H1297" s="74"/>
      <c r="I1297" s="75"/>
      <c r="J1297" s="76" t="s">
        <v>3764</v>
      </c>
      <c r="K1297" s="76" t="s">
        <v>3765</v>
      </c>
      <c r="L1297" s="73"/>
      <c r="M1297" s="70" t="str">
        <f t="shared" si="3"/>
        <v/>
      </c>
      <c r="N1297" s="70" t="str">
        <f>IF($A$3=" "," ", IFERROR( VLOOKUP($A1297,'SUPPLIER DATA BASE'!$A$2:$O$936,11,0),""))</f>
        <v>TAYAL GARMENTS PVT. LTD.</v>
      </c>
      <c r="O1297" s="70" t="str">
        <f>IF($A$3=" "," ", IFERROR( VLOOKUP($A1297,'SUPPLIER DATA BASE'!$A$2:$O$936,12,0),""))</f>
        <v>1199911999</v>
      </c>
      <c r="P1297" s="70" t="str">
        <f>IF($A$3=" "," ", IFERROR( VLOOKUP($A1297,'SUPPLIER DATA BASE'!$A$2:$O$936,13,0),""))</f>
        <v>KKBK0005632</v>
      </c>
      <c r="Q1297" s="77"/>
      <c r="R1297" s="73"/>
      <c r="S1297" s="77"/>
      <c r="T1297" s="70"/>
      <c r="U1297" s="78"/>
      <c r="V1297" s="70" t="str">
        <f t="shared" si="6"/>
        <v/>
      </c>
      <c r="W1297" s="23"/>
      <c r="X1297" s="23"/>
    </row>
    <row r="1298">
      <c r="A1298" s="70"/>
      <c r="B1298" s="70" t="str">
        <f>IF($A$3=" "," ", IFERROR( VLOOKUP($A1298,'SUPPLIER DATA BASE'!$A$2:$M$936,3,0),""))</f>
        <v/>
      </c>
      <c r="C1298" s="70" t="str">
        <f>IF($A$3=" "," ", IFERROR( VLOOKUP($A1298,'SUPPLIER DATA BASE'!$A$2:$F$936,6,0),""))</f>
        <v/>
      </c>
      <c r="D1298" s="70" t="str">
        <f>IF($A$3=" "," ", IFERROR( VLOOKUP($A1298,'SUPPLIER DATA BASE'!$A$2:$G$936,4,0),""))</f>
        <v/>
      </c>
      <c r="E1298" s="71" t="str">
        <f>IF($A$3=" "," ", IFERROR( VLOOKUP($A1298,'SUPPLIER DATA BASE'!$A$2:$H$936,5,0),""))</f>
        <v/>
      </c>
      <c r="F1298" s="72"/>
      <c r="G1298" s="73"/>
      <c r="H1298" s="74"/>
      <c r="I1298" s="75"/>
      <c r="J1298" s="76" t="s">
        <v>3766</v>
      </c>
      <c r="K1298" s="76" t="s">
        <v>3767</v>
      </c>
      <c r="L1298" s="73"/>
      <c r="M1298" s="70" t="str">
        <f t="shared" si="3"/>
        <v/>
      </c>
      <c r="N1298" s="70" t="str">
        <f>IF($A$3=" "," ", IFERROR( VLOOKUP($A1298,'SUPPLIER DATA BASE'!$A$2:$O$936,11,0),""))</f>
        <v/>
      </c>
      <c r="O1298" s="70" t="str">
        <f>IF($A$3=" "," ", IFERROR( VLOOKUP($A1298,'SUPPLIER DATA BASE'!$A$2:$O$936,12,0),""))</f>
        <v/>
      </c>
      <c r="P1298" s="70" t="str">
        <f>IF($A$3=" "," ", IFERROR( VLOOKUP($A1298,'SUPPLIER DATA BASE'!$A$2:$O$936,13,0),""))</f>
        <v/>
      </c>
      <c r="Q1298" s="77"/>
      <c r="R1298" s="73"/>
      <c r="S1298" s="77"/>
      <c r="T1298" s="70"/>
      <c r="U1298" s="78"/>
      <c r="V1298" s="70" t="str">
        <f t="shared" si="6"/>
        <v/>
      </c>
      <c r="W1298" s="23"/>
      <c r="X1298" s="23"/>
    </row>
    <row r="1299">
      <c r="A1299" s="70" t="s">
        <v>775</v>
      </c>
      <c r="B1299" s="70" t="str">
        <f>IF($A$3=" "," ", IFERROR( VLOOKUP($A1299,'SUPPLIER DATA BASE'!$A$2:$M$936,3,0),""))</f>
        <v>-</v>
      </c>
      <c r="C1299" s="70" t="str">
        <f>IF($A$3=" "," ", IFERROR( VLOOKUP($A1299,'SUPPLIER DATA BASE'!$A$2:$F$936,6,0),""))</f>
        <v>-</v>
      </c>
      <c r="D1299" s="70" t="str">
        <f>IF($A$3=" "," ", IFERROR( VLOOKUP($A1299,'SUPPLIER DATA BASE'!$A$2:$G$936,4,0),""))</f>
        <v>-</v>
      </c>
      <c r="E1299" s="71" t="str">
        <f>IF($A$3=" "," ", IFERROR( VLOOKUP($A1299,'SUPPLIER DATA BASE'!$A$2:$H$936,5,0),""))</f>
        <v>-</v>
      </c>
      <c r="F1299" s="72"/>
      <c r="G1299" s="73"/>
      <c r="H1299" s="74"/>
      <c r="I1299" s="75"/>
      <c r="J1299" s="76" t="s">
        <v>3768</v>
      </c>
      <c r="K1299" s="76" t="s">
        <v>3769</v>
      </c>
      <c r="L1299" s="73"/>
      <c r="M1299" s="70" t="str">
        <f t="shared" si="3"/>
        <v/>
      </c>
      <c r="N1299" s="70" t="str">
        <f>IF($A$3=" "," ", IFERROR( VLOOKUP($A1299,'SUPPLIER DATA BASE'!$A$2:$O$936,11,0),""))</f>
        <v>-</v>
      </c>
      <c r="O1299" s="70" t="str">
        <f>IF($A$3=" "," ", IFERROR( VLOOKUP($A1299,'SUPPLIER DATA BASE'!$A$2:$O$936,12,0),""))</f>
        <v>-</v>
      </c>
      <c r="P1299" s="70" t="str">
        <f>IF($A$3=" "," ", IFERROR( VLOOKUP($A1299,'SUPPLIER DATA BASE'!$A$2:$O$936,13,0),""))</f>
        <v>-</v>
      </c>
      <c r="Q1299" s="77"/>
      <c r="R1299" s="73"/>
      <c r="S1299" s="77"/>
      <c r="T1299" s="70"/>
      <c r="U1299" s="78"/>
      <c r="V1299" s="70" t="str">
        <f t="shared" si="6"/>
        <v/>
      </c>
      <c r="W1299" s="23"/>
      <c r="X1299" s="23"/>
    </row>
    <row r="1300">
      <c r="A1300" s="70" t="s">
        <v>795</v>
      </c>
      <c r="B1300" s="70" t="str">
        <f>IF($A$3=" "," ", IFERROR( VLOOKUP($A1300,'SUPPLIER DATA BASE'!$A$2:$M$936,3,0),""))</f>
        <v>BANJARAN</v>
      </c>
      <c r="C1300" s="70" t="str">
        <f>IF($A$3=" "," ", IFERROR( VLOOKUP($A1300,'SUPPLIER DATA BASE'!$A$2:$F$936,6,0),""))</f>
        <v>NEPOLIAN</v>
      </c>
      <c r="D1300" s="70" t="str">
        <f>IF($A$3=" "," ", IFERROR( VLOOKUP($A1300,'SUPPLIER DATA BASE'!$A$2:$G$936,4,0),""))</f>
        <v>-</v>
      </c>
      <c r="E1300" s="71" t="str">
        <f>IF($A$3=" "," ", IFERROR( VLOOKUP($A1300,'SUPPLIER DATA BASE'!$A$2:$H$936,5,0),""))</f>
        <v>-</v>
      </c>
      <c r="F1300" s="72"/>
      <c r="G1300" s="73"/>
      <c r="H1300" s="74"/>
      <c r="I1300" s="75"/>
      <c r="J1300" s="76" t="s">
        <v>3770</v>
      </c>
      <c r="K1300" s="76" t="s">
        <v>3771</v>
      </c>
      <c r="L1300" s="73"/>
      <c r="M1300" s="70" t="str">
        <f t="shared" si="3"/>
        <v/>
      </c>
      <c r="N1300" s="70" t="str">
        <f>IF($A$3=" "," ", IFERROR( VLOOKUP($A1300,'SUPPLIER DATA BASE'!$A$2:$O$936,11,0),""))</f>
        <v>VINAYAK EMPORIUM PVT LIMITED</v>
      </c>
      <c r="O1300" s="70" t="str">
        <f>IF($A$3=" "," ", IFERROR( VLOOKUP($A1300,'SUPPLIER DATA BASE'!$A$2:$O$936,12,0),""))</f>
        <v>2192790001113</v>
      </c>
      <c r="P1300" s="70" t="str">
        <f>IF($A$3=" "," ", IFERROR( VLOOKUP($A1300,'SUPPLIER DATA BASE'!$A$2:$O$936,13,0),""))</f>
        <v>HDFC0000219</v>
      </c>
      <c r="Q1300" s="77"/>
      <c r="R1300" s="73"/>
      <c r="S1300" s="77"/>
      <c r="T1300" s="70"/>
      <c r="U1300" s="78"/>
      <c r="V1300" s="70" t="str">
        <f t="shared" si="6"/>
        <v/>
      </c>
      <c r="W1300" s="23"/>
      <c r="X1300" s="23"/>
    </row>
    <row r="1301">
      <c r="A1301" s="70" t="s">
        <v>799</v>
      </c>
      <c r="B1301" s="70" t="str">
        <f>IF($A$3=" "," ", IFERROR( VLOOKUP($A1301,'SUPPLIER DATA BASE'!$A$2:$M$936,3,0),""))</f>
        <v>-</v>
      </c>
      <c r="C1301" s="70" t="str">
        <f>IF($A$3=" "," ", IFERROR( VLOOKUP($A1301,'SUPPLIER DATA BASE'!$A$2:$F$936,6,0),""))</f>
        <v>-</v>
      </c>
      <c r="D1301" s="70" t="str">
        <f>IF($A$3=" "," ", IFERROR( VLOOKUP($A1301,'SUPPLIER DATA BASE'!$A$2:$G$936,4,0),""))</f>
        <v>-</v>
      </c>
      <c r="E1301" s="71" t="str">
        <f>IF($A$3=" "," ", IFERROR( VLOOKUP($A1301,'SUPPLIER DATA BASE'!$A$2:$H$936,5,0),""))</f>
        <v>-</v>
      </c>
      <c r="F1301" s="72"/>
      <c r="G1301" s="73"/>
      <c r="H1301" s="74"/>
      <c r="I1301" s="75"/>
      <c r="J1301" s="76" t="s">
        <v>3772</v>
      </c>
      <c r="K1301" s="76" t="s">
        <v>3773</v>
      </c>
      <c r="L1301" s="73"/>
      <c r="M1301" s="70" t="str">
        <f t="shared" si="3"/>
        <v/>
      </c>
      <c r="N1301" s="70" t="str">
        <f>IF($A$3=" "," ", IFERROR( VLOOKUP($A1301,'SUPPLIER DATA BASE'!$A$2:$O$936,11,0),""))</f>
        <v>VISHAL MARKETING &amp; CO.</v>
      </c>
      <c r="O1301" s="70" t="str">
        <f>IF($A$3=" "," ", IFERROR( VLOOKUP($A1301,'SUPPLIER DATA BASE'!$A$2:$O$936,12,0),""))</f>
        <v>1091008700001025</v>
      </c>
      <c r="P1301" s="70" t="str">
        <f>IF($A$3=" "," ", IFERROR( VLOOKUP($A1301,'SUPPLIER DATA BASE'!$A$2:$O$936,13,0),""))</f>
        <v>PUNB0109100</v>
      </c>
      <c r="Q1301" s="77"/>
      <c r="R1301" s="73"/>
      <c r="S1301" s="77"/>
      <c r="T1301" s="70"/>
      <c r="U1301" s="78"/>
      <c r="V1301" s="70" t="str">
        <f t="shared" si="6"/>
        <v/>
      </c>
      <c r="W1301" s="23"/>
      <c r="X1301" s="23"/>
    </row>
    <row r="1302">
      <c r="A1302" s="70" t="s">
        <v>802</v>
      </c>
      <c r="B1302" s="70" t="str">
        <f>IF($A$3=" "," ", IFERROR( VLOOKUP($A1302,'SUPPLIER DATA BASE'!$A$2:$M$936,3,0),""))</f>
        <v>WO</v>
      </c>
      <c r="C1302" s="70" t="str">
        <f>IF($A$3=" "," ", IFERROR( VLOOKUP($A1302,'SUPPLIER DATA BASE'!$A$2:$F$936,6,0),""))</f>
        <v>NEPOLIAN</v>
      </c>
      <c r="D1302" s="70">
        <f>IF($A$3=" "," ", IFERROR( VLOOKUP($A1302,'SUPPLIER DATA BASE'!$A$2:$G$936,4,0),""))</f>
        <v>60</v>
      </c>
      <c r="E1302" s="71">
        <f>IF($A$3=" "," ", IFERROR( VLOOKUP($A1302,'SUPPLIER DATA BASE'!$A$2:$H$936,5,0),""))</f>
        <v>0.03</v>
      </c>
      <c r="F1302" s="72"/>
      <c r="G1302" s="73"/>
      <c r="H1302" s="74"/>
      <c r="I1302" s="75"/>
      <c r="J1302" s="76" t="s">
        <v>3774</v>
      </c>
      <c r="K1302" s="76" t="s">
        <v>3775</v>
      </c>
      <c r="L1302" s="73"/>
      <c r="M1302" s="70" t="str">
        <f t="shared" si="3"/>
        <v/>
      </c>
      <c r="N1302" s="70" t="str">
        <f>IF($A$3=" "," ", IFERROR( VLOOKUP($A1302,'SUPPLIER DATA BASE'!$A$2:$O$936,11,0),""))</f>
        <v>WEAR ON ENSEMBLES PRIVATE LIMITED</v>
      </c>
      <c r="O1302" s="70" t="str">
        <f>IF($A$3=" "," ", IFERROR( VLOOKUP($A1302,'SUPPLIER DATA BASE'!$A$2:$O$936,12,0),""))</f>
        <v>627905502440</v>
      </c>
      <c r="P1302" s="70" t="str">
        <f>IF($A$3=" "," ", IFERROR( VLOOKUP($A1302,'SUPPLIER DATA BASE'!$A$2:$O$936,13,0),""))</f>
        <v>ICIC0006279</v>
      </c>
      <c r="Q1302" s="77"/>
      <c r="R1302" s="73"/>
      <c r="S1302" s="77"/>
      <c r="T1302" s="70"/>
      <c r="U1302" s="78"/>
      <c r="V1302" s="70" t="str">
        <f t="shared" si="6"/>
        <v/>
      </c>
      <c r="W1302" s="23"/>
      <c r="X1302" s="23"/>
    </row>
    <row r="1303">
      <c r="A1303" s="70" t="s">
        <v>802</v>
      </c>
      <c r="B1303" s="70" t="str">
        <f>IF($A$3=" "," ", IFERROR( VLOOKUP($A1303,'SUPPLIER DATA BASE'!$A$2:$M$936,3,0),""))</f>
        <v>WO</v>
      </c>
      <c r="C1303" s="70" t="str">
        <f>IF($A$3=" "," ", IFERROR( VLOOKUP($A1303,'SUPPLIER DATA BASE'!$A$2:$F$936,6,0),""))</f>
        <v>NEPOLIAN</v>
      </c>
      <c r="D1303" s="70">
        <f>IF($A$3=" "," ", IFERROR( VLOOKUP($A1303,'SUPPLIER DATA BASE'!$A$2:$G$936,4,0),""))</f>
        <v>60</v>
      </c>
      <c r="E1303" s="71">
        <f>IF($A$3=" "," ", IFERROR( VLOOKUP($A1303,'SUPPLIER DATA BASE'!$A$2:$H$936,5,0),""))</f>
        <v>0.03</v>
      </c>
      <c r="F1303" s="72"/>
      <c r="G1303" s="73"/>
      <c r="H1303" s="74"/>
      <c r="I1303" s="75"/>
      <c r="J1303" s="76" t="s">
        <v>3776</v>
      </c>
      <c r="K1303" s="76" t="s">
        <v>3777</v>
      </c>
      <c r="L1303" s="73"/>
      <c r="M1303" s="70" t="str">
        <f t="shared" si="3"/>
        <v/>
      </c>
      <c r="N1303" s="70" t="str">
        <f>IF($A$3=" "," ", IFERROR( VLOOKUP($A1303,'SUPPLIER DATA BASE'!$A$2:$O$936,11,0),""))</f>
        <v>WEAR ON ENSEMBLES PRIVATE LIMITED</v>
      </c>
      <c r="O1303" s="70" t="str">
        <f>IF($A$3=" "," ", IFERROR( VLOOKUP($A1303,'SUPPLIER DATA BASE'!$A$2:$O$936,12,0),""))</f>
        <v>627905502440</v>
      </c>
      <c r="P1303" s="70" t="str">
        <f>IF($A$3=" "," ", IFERROR( VLOOKUP($A1303,'SUPPLIER DATA BASE'!$A$2:$O$936,13,0),""))</f>
        <v>ICIC0006279</v>
      </c>
      <c r="Q1303" s="77"/>
      <c r="R1303" s="73"/>
      <c r="S1303" s="77"/>
      <c r="T1303" s="70"/>
      <c r="U1303" s="78"/>
      <c r="V1303" s="70" t="str">
        <f t="shared" si="6"/>
        <v/>
      </c>
      <c r="W1303" s="23"/>
      <c r="X1303" s="23"/>
    </row>
    <row r="1304">
      <c r="A1304" s="70" t="s">
        <v>805</v>
      </c>
      <c r="B1304" s="70" t="str">
        <f>IF($A$3=" "," ", IFERROR( VLOOKUP($A1304,'SUPPLIER DATA BASE'!$A$2:$M$936,3,0),""))</f>
        <v>-</v>
      </c>
      <c r="C1304" s="70" t="str">
        <f>IF($A$3=" "," ", IFERROR( VLOOKUP($A1304,'SUPPLIER DATA BASE'!$A$2:$F$936,6,0),""))</f>
        <v>SURYAM TEXTILE AGENCY</v>
      </c>
      <c r="D1304" s="70" t="str">
        <f>IF($A$3=" "," ", IFERROR( VLOOKUP($A1304,'SUPPLIER DATA BASE'!$A$2:$G$936,4,0),""))</f>
        <v>NO</v>
      </c>
      <c r="E1304" s="71" t="str">
        <f>IF($A$3=" "," ", IFERROR( VLOOKUP($A1304,'SUPPLIER DATA BASE'!$A$2:$H$936,5,0),""))</f>
        <v>-</v>
      </c>
      <c r="F1304" s="72"/>
      <c r="G1304" s="73"/>
      <c r="H1304" s="74"/>
      <c r="I1304" s="75"/>
      <c r="J1304" s="76" t="s">
        <v>3778</v>
      </c>
      <c r="K1304" s="76" t="s">
        <v>3779</v>
      </c>
      <c r="L1304" s="73"/>
      <c r="M1304" s="70" t="str">
        <f t="shared" si="3"/>
        <v/>
      </c>
      <c r="N1304" s="70" t="str">
        <f>IF($A$3=" "," ", IFERROR( VLOOKUP($A1304,'SUPPLIER DATA BASE'!$A$2:$O$936,11,0),""))</f>
        <v>WILSON PRINTS</v>
      </c>
      <c r="O1304" s="70" t="str">
        <f>IF($A$3=" "," ", IFERROR( VLOOKUP($A1304,'SUPPLIER DATA BASE'!$A$2:$O$936,12,0),""))</f>
        <v>510044017719</v>
      </c>
      <c r="P1304" s="70" t="str">
        <f>IF($A$3=" "," ", IFERROR( VLOOKUP($A1304,'SUPPLIER DATA BASE'!$A$2:$O$936,13,0),""))</f>
        <v>KKBK0002852</v>
      </c>
      <c r="Q1304" s="77"/>
      <c r="R1304" s="73"/>
      <c r="S1304" s="77"/>
      <c r="T1304" s="70"/>
      <c r="U1304" s="78"/>
      <c r="V1304" s="70" t="str">
        <f t="shared" si="6"/>
        <v/>
      </c>
      <c r="W1304" s="23"/>
      <c r="X1304" s="23"/>
    </row>
    <row r="1305">
      <c r="A1305" s="70" t="s">
        <v>808</v>
      </c>
      <c r="B1305" s="70" t="str">
        <f>IF($A$3=" "," ", IFERROR( VLOOKUP($A1305,'SUPPLIER DATA BASE'!$A$2:$M$936,3,0),""))</f>
        <v>-</v>
      </c>
      <c r="C1305" s="70" t="str">
        <f>IF($A$3=" "," ", IFERROR( VLOOKUP($A1305,'SUPPLIER DATA BASE'!$A$2:$F$936,6,0),""))</f>
        <v>-</v>
      </c>
      <c r="D1305" s="70" t="str">
        <f>IF($A$3=" "," ", IFERROR( VLOOKUP($A1305,'SUPPLIER DATA BASE'!$A$2:$G$936,4,0),""))</f>
        <v>-</v>
      </c>
      <c r="E1305" s="71" t="str">
        <f>IF($A$3=" "," ", IFERROR( VLOOKUP($A1305,'SUPPLIER DATA BASE'!$A$2:$H$936,5,0),""))</f>
        <v>-</v>
      </c>
      <c r="F1305" s="72"/>
      <c r="G1305" s="73"/>
      <c r="H1305" s="74"/>
      <c r="I1305" s="75"/>
      <c r="J1305" s="76" t="s">
        <v>3780</v>
      </c>
      <c r="K1305" s="76" t="s">
        <v>3781</v>
      </c>
      <c r="L1305" s="73"/>
      <c r="M1305" s="70" t="str">
        <f t="shared" si="3"/>
        <v/>
      </c>
      <c r="N1305" s="70" t="str">
        <f>IF($A$3=" "," ", IFERROR( VLOOKUP($A1305,'SUPPLIER DATA BASE'!$A$2:$O$936,11,0),""))</f>
        <v>-</v>
      </c>
      <c r="O1305" s="70" t="str">
        <f>IF($A$3=" "," ", IFERROR( VLOOKUP($A1305,'SUPPLIER DATA BASE'!$A$2:$O$936,12,0),""))</f>
        <v>-</v>
      </c>
      <c r="P1305" s="70" t="str">
        <f>IF($A$3=" "," ", IFERROR( VLOOKUP($A1305,'SUPPLIER DATA BASE'!$A$2:$O$936,13,0),""))</f>
        <v>-</v>
      </c>
      <c r="Q1305" s="77"/>
      <c r="R1305" s="73"/>
      <c r="S1305" s="77"/>
      <c r="T1305" s="70"/>
      <c r="U1305" s="78"/>
      <c r="V1305" s="70" t="str">
        <f t="shared" si="6"/>
        <v/>
      </c>
      <c r="W1305" s="23"/>
      <c r="X1305" s="23"/>
    </row>
    <row r="1306">
      <c r="A1306" s="70" t="s">
        <v>406</v>
      </c>
      <c r="B1306" s="70" t="str">
        <f>IF($A$3=" "," ", IFERROR( VLOOKUP($A1306,'SUPPLIER DATA BASE'!$A$2:$M$936,3,0),""))</f>
        <v>SWEET DREAMS</v>
      </c>
      <c r="C1306" s="70" t="str">
        <f>IF($A$3=" "," ", IFERROR( VLOOKUP($A1306,'SUPPLIER DATA BASE'!$A$2:$F$936,6,0),""))</f>
        <v>-</v>
      </c>
      <c r="D1306" s="70" t="str">
        <f>IF($A$3=" "," ", IFERROR( VLOOKUP($A1306,'SUPPLIER DATA BASE'!$A$2:$G$936,4,0),""))</f>
        <v>NO</v>
      </c>
      <c r="E1306" s="71" t="str">
        <f>IF($A$3=" "," ", IFERROR( VLOOKUP($A1306,'SUPPLIER DATA BASE'!$A$2:$H$936,5,0),""))</f>
        <v>-</v>
      </c>
      <c r="F1306" s="72"/>
      <c r="G1306" s="73"/>
      <c r="H1306" s="74"/>
      <c r="I1306" s="75"/>
      <c r="J1306" s="76" t="s">
        <v>3782</v>
      </c>
      <c r="K1306" s="76" t="s">
        <v>3783</v>
      </c>
      <c r="L1306" s="73"/>
      <c r="M1306" s="70" t="str">
        <f t="shared" si="3"/>
        <v/>
      </c>
      <c r="N1306" s="70" t="str">
        <f>IF($A$3=" "," ", IFERROR( VLOOKUP($A1306,'SUPPLIER DATA BASE'!$A$2:$O$936,11,0),""))</f>
        <v>D D APPARELS</v>
      </c>
      <c r="O1306" s="70" t="str">
        <f>IF($A$3=" "," ", IFERROR( VLOOKUP($A1306,'SUPPLIER DATA BASE'!$A$2:$O$936,12,0),""))</f>
        <v>029205007835</v>
      </c>
      <c r="P1306" s="70" t="str">
        <f>IF($A$3=" "," ", IFERROR( VLOOKUP($A1306,'SUPPLIER DATA BASE'!$A$2:$O$936,13,0),""))</f>
        <v>ICIC0000292</v>
      </c>
      <c r="Q1306" s="77"/>
      <c r="R1306" s="73"/>
      <c r="S1306" s="77"/>
      <c r="T1306" s="70"/>
      <c r="U1306" s="78"/>
      <c r="V1306" s="70" t="str">
        <f t="shared" si="6"/>
        <v/>
      </c>
      <c r="W1306" s="23"/>
      <c r="X1306" s="23"/>
    </row>
    <row r="1307">
      <c r="A1307" s="70" t="s">
        <v>448</v>
      </c>
      <c r="B1307" s="70" t="str">
        <f>IF($A$3=" "," ", IFERROR( VLOOKUP($A1307,'SUPPLIER DATA BASE'!$A$2:$M$936,3,0),""))</f>
        <v>SEWBERRY</v>
      </c>
      <c r="C1307" s="70" t="str">
        <f>IF($A$3=" "," ", IFERROR( VLOOKUP($A1307,'SUPPLIER DATA BASE'!$A$2:$F$936,6,0),""))</f>
        <v>-</v>
      </c>
      <c r="D1307" s="70" t="str">
        <f>IF($A$3=" "," ", IFERROR( VLOOKUP($A1307,'SUPPLIER DATA BASE'!$A$2:$G$936,4,0),""))</f>
        <v>-</v>
      </c>
      <c r="E1307" s="71" t="str">
        <f>IF($A$3=" "," ", IFERROR( VLOOKUP($A1307,'SUPPLIER DATA BASE'!$A$2:$H$936,5,0),""))</f>
        <v>-</v>
      </c>
      <c r="F1307" s="72"/>
      <c r="G1307" s="73"/>
      <c r="H1307" s="74"/>
      <c r="I1307" s="75"/>
      <c r="J1307" s="76" t="s">
        <v>3784</v>
      </c>
      <c r="K1307" s="76" t="s">
        <v>3785</v>
      </c>
      <c r="L1307" s="73"/>
      <c r="M1307" s="70" t="str">
        <f t="shared" si="3"/>
        <v/>
      </c>
      <c r="N1307" s="70" t="str">
        <f>IF($A$3=" "," ", IFERROR( VLOOKUP($A1307,'SUPPLIER DATA BASE'!$A$2:$O$936,11,0),""))</f>
        <v>FASHION EARTH GARMENTS PVT LTD</v>
      </c>
      <c r="O1307" s="70" t="str">
        <f>IF($A$3=" "," ", IFERROR( VLOOKUP($A1307,'SUPPLIER DATA BASE'!$A$2:$O$936,12,0),""))</f>
        <v>59209830559685</v>
      </c>
      <c r="P1307" s="70" t="str">
        <f>IF($A$3=" "," ", IFERROR( VLOOKUP($A1307,'SUPPLIER DATA BASE'!$A$2:$O$936,13,0),""))</f>
        <v>HDFC0000219</v>
      </c>
      <c r="Q1307" s="77"/>
      <c r="R1307" s="73"/>
      <c r="S1307" s="77"/>
      <c r="T1307" s="70"/>
      <c r="U1307" s="78"/>
      <c r="V1307" s="70" t="str">
        <f t="shared" si="6"/>
        <v/>
      </c>
      <c r="W1307" s="23"/>
      <c r="X1307" s="23"/>
    </row>
    <row r="1308">
      <c r="A1308" s="70" t="s">
        <v>354</v>
      </c>
      <c r="B1308" s="70" t="str">
        <f>IF($A$3=" "," ", IFERROR( VLOOKUP($A1308,'SUPPLIER DATA BASE'!$A$2:$M$936,3,0),""))</f>
        <v>-</v>
      </c>
      <c r="C1308" s="70" t="str">
        <f>IF($A$3=" "," ", IFERROR( VLOOKUP($A1308,'SUPPLIER DATA BASE'!$A$2:$F$936,6,0),""))</f>
        <v>-</v>
      </c>
      <c r="D1308" s="70" t="str">
        <f>IF($A$3=" "," ", IFERROR( VLOOKUP($A1308,'SUPPLIER DATA BASE'!$A$2:$G$936,4,0),""))</f>
        <v>-</v>
      </c>
      <c r="E1308" s="71" t="str">
        <f>IF($A$3=" "," ", IFERROR( VLOOKUP($A1308,'SUPPLIER DATA BASE'!$A$2:$H$936,5,0),""))</f>
        <v>-</v>
      </c>
      <c r="F1308" s="72" t="s">
        <v>3786</v>
      </c>
      <c r="G1308" s="73"/>
      <c r="H1308" s="74"/>
      <c r="I1308" s="75"/>
      <c r="J1308" s="76" t="s">
        <v>3787</v>
      </c>
      <c r="K1308" s="76" t="s">
        <v>3788</v>
      </c>
      <c r="L1308" s="73"/>
      <c r="M1308" s="70" t="str">
        <f t="shared" si="3"/>
        <v/>
      </c>
      <c r="N1308" s="70" t="str">
        <f>IF($A$3=" "," ", IFERROR( VLOOKUP($A1308,'SUPPLIER DATA BASE'!$A$2:$O$936,11,0),""))</f>
        <v>-</v>
      </c>
      <c r="O1308" s="70" t="str">
        <f>IF($A$3=" "," ", IFERROR( VLOOKUP($A1308,'SUPPLIER DATA BASE'!$A$2:$O$936,12,0),""))</f>
        <v>-</v>
      </c>
      <c r="P1308" s="70" t="str">
        <f>IF($A$3=" "," ", IFERROR( VLOOKUP($A1308,'SUPPLIER DATA BASE'!$A$2:$O$936,13,0),""))</f>
        <v>-</v>
      </c>
      <c r="Q1308" s="77"/>
      <c r="R1308" s="73"/>
      <c r="S1308" s="77"/>
      <c r="T1308" s="70"/>
      <c r="U1308" s="78"/>
      <c r="V1308" s="70" t="str">
        <f t="shared" si="6"/>
        <v/>
      </c>
      <c r="W1308" s="23"/>
      <c r="X1308" s="23"/>
    </row>
    <row r="1309">
      <c r="A1309" s="70" t="s">
        <v>354</v>
      </c>
      <c r="B1309" s="70" t="str">
        <f>IF($A$3=" "," ", IFERROR( VLOOKUP($A1309,'SUPPLIER DATA BASE'!$A$2:$M$936,3,0),""))</f>
        <v>-</v>
      </c>
      <c r="C1309" s="70" t="str">
        <f>IF($A$3=" "," ", IFERROR( VLOOKUP($A1309,'SUPPLIER DATA BASE'!$A$2:$F$936,6,0),""))</f>
        <v>-</v>
      </c>
      <c r="D1309" s="70" t="str">
        <f>IF($A$3=" "," ", IFERROR( VLOOKUP($A1309,'SUPPLIER DATA BASE'!$A$2:$G$936,4,0),""))</f>
        <v>-</v>
      </c>
      <c r="E1309" s="71" t="str">
        <f>IF($A$3=" "," ", IFERROR( VLOOKUP($A1309,'SUPPLIER DATA BASE'!$A$2:$H$936,5,0),""))</f>
        <v>-</v>
      </c>
      <c r="F1309" s="72" t="s">
        <v>3789</v>
      </c>
      <c r="G1309" s="73"/>
      <c r="H1309" s="74"/>
      <c r="I1309" s="75"/>
      <c r="J1309" s="76" t="s">
        <v>3790</v>
      </c>
      <c r="K1309" s="76" t="s">
        <v>3791</v>
      </c>
      <c r="L1309" s="73"/>
      <c r="M1309" s="70" t="str">
        <f t="shared" si="3"/>
        <v/>
      </c>
      <c r="N1309" s="70" t="str">
        <f>IF($A$3=" "," ", IFERROR( VLOOKUP($A1309,'SUPPLIER DATA BASE'!$A$2:$O$936,11,0),""))</f>
        <v>-</v>
      </c>
      <c r="O1309" s="70" t="str">
        <f>IF($A$3=" "," ", IFERROR( VLOOKUP($A1309,'SUPPLIER DATA BASE'!$A$2:$O$936,12,0),""))</f>
        <v>-</v>
      </c>
      <c r="P1309" s="70" t="str">
        <f>IF($A$3=" "," ", IFERROR( VLOOKUP($A1309,'SUPPLIER DATA BASE'!$A$2:$O$936,13,0),""))</f>
        <v>-</v>
      </c>
      <c r="Q1309" s="77"/>
      <c r="R1309" s="73"/>
      <c r="S1309" s="77"/>
      <c r="T1309" s="70"/>
      <c r="U1309" s="78"/>
      <c r="V1309" s="70" t="str">
        <f t="shared" si="6"/>
        <v/>
      </c>
      <c r="W1309" s="23"/>
      <c r="X1309" s="23"/>
    </row>
    <row r="1310">
      <c r="A1310" s="70" t="s">
        <v>354</v>
      </c>
      <c r="B1310" s="70" t="str">
        <f>IF($A$3=" "," ", IFERROR( VLOOKUP($A1310,'SUPPLIER DATA BASE'!$A$2:$M$936,3,0),""))</f>
        <v>-</v>
      </c>
      <c r="C1310" s="70" t="str">
        <f>IF($A$3=" "," ", IFERROR( VLOOKUP($A1310,'SUPPLIER DATA BASE'!$A$2:$F$936,6,0),""))</f>
        <v>-</v>
      </c>
      <c r="D1310" s="70" t="str">
        <f>IF($A$3=" "," ", IFERROR( VLOOKUP($A1310,'SUPPLIER DATA BASE'!$A$2:$G$936,4,0),""))</f>
        <v>-</v>
      </c>
      <c r="E1310" s="71" t="str">
        <f>IF($A$3=" "," ", IFERROR( VLOOKUP($A1310,'SUPPLIER DATA BASE'!$A$2:$H$936,5,0),""))</f>
        <v>-</v>
      </c>
      <c r="F1310" s="72" t="s">
        <v>3792</v>
      </c>
      <c r="G1310" s="73"/>
      <c r="H1310" s="74"/>
      <c r="I1310" s="75"/>
      <c r="J1310" s="76" t="s">
        <v>3793</v>
      </c>
      <c r="K1310" s="76" t="s">
        <v>3794</v>
      </c>
      <c r="L1310" s="73"/>
      <c r="M1310" s="70" t="str">
        <f t="shared" si="3"/>
        <v/>
      </c>
      <c r="N1310" s="70" t="str">
        <f>IF($A$3=" "," ", IFERROR( VLOOKUP($A1310,'SUPPLIER DATA BASE'!$A$2:$O$936,11,0),""))</f>
        <v>-</v>
      </c>
      <c r="O1310" s="70" t="str">
        <f>IF($A$3=" "," ", IFERROR( VLOOKUP($A1310,'SUPPLIER DATA BASE'!$A$2:$O$936,12,0),""))</f>
        <v>-</v>
      </c>
      <c r="P1310" s="70" t="str">
        <f>IF($A$3=" "," ", IFERROR( VLOOKUP($A1310,'SUPPLIER DATA BASE'!$A$2:$O$936,13,0),""))</f>
        <v>-</v>
      </c>
      <c r="Q1310" s="77"/>
      <c r="R1310" s="73"/>
      <c r="S1310" s="77"/>
      <c r="T1310" s="70"/>
      <c r="U1310" s="78"/>
      <c r="V1310" s="70" t="str">
        <f t="shared" si="6"/>
        <v/>
      </c>
      <c r="W1310" s="23"/>
      <c r="X1310" s="23"/>
    </row>
    <row r="1311">
      <c r="A1311" s="70" t="s">
        <v>354</v>
      </c>
      <c r="B1311" s="70" t="str">
        <f>IF($A$3=" "," ", IFERROR( VLOOKUP($A1311,'SUPPLIER DATA BASE'!$A$2:$M$936,3,0),""))</f>
        <v>-</v>
      </c>
      <c r="C1311" s="70" t="str">
        <f>IF($A$3=" "," ", IFERROR( VLOOKUP($A1311,'SUPPLIER DATA BASE'!$A$2:$F$936,6,0),""))</f>
        <v>-</v>
      </c>
      <c r="D1311" s="70" t="str">
        <f>IF($A$3=" "," ", IFERROR( VLOOKUP($A1311,'SUPPLIER DATA BASE'!$A$2:$G$936,4,0),""))</f>
        <v>-</v>
      </c>
      <c r="E1311" s="71" t="str">
        <f>IF($A$3=" "," ", IFERROR( VLOOKUP($A1311,'SUPPLIER DATA BASE'!$A$2:$H$936,5,0),""))</f>
        <v>-</v>
      </c>
      <c r="F1311" s="72" t="s">
        <v>3795</v>
      </c>
      <c r="G1311" s="73"/>
      <c r="H1311" s="74"/>
      <c r="I1311" s="75"/>
      <c r="J1311" s="76" t="s">
        <v>3796</v>
      </c>
      <c r="K1311" s="76" t="s">
        <v>3797</v>
      </c>
      <c r="L1311" s="73"/>
      <c r="M1311" s="70" t="str">
        <f t="shared" si="3"/>
        <v/>
      </c>
      <c r="N1311" s="70" t="str">
        <f>IF($A$3=" "," ", IFERROR( VLOOKUP($A1311,'SUPPLIER DATA BASE'!$A$2:$O$936,11,0),""))</f>
        <v>-</v>
      </c>
      <c r="O1311" s="70" t="str">
        <f>IF($A$3=" "," ", IFERROR( VLOOKUP($A1311,'SUPPLIER DATA BASE'!$A$2:$O$936,12,0),""))</f>
        <v>-</v>
      </c>
      <c r="P1311" s="70" t="str">
        <f>IF($A$3=" "," ", IFERROR( VLOOKUP($A1311,'SUPPLIER DATA BASE'!$A$2:$O$936,13,0),""))</f>
        <v>-</v>
      </c>
      <c r="Q1311" s="77"/>
      <c r="R1311" s="73"/>
      <c r="S1311" s="77"/>
      <c r="T1311" s="70"/>
      <c r="U1311" s="78"/>
      <c r="V1311" s="70" t="str">
        <f t="shared" si="6"/>
        <v/>
      </c>
      <c r="W1311" s="23"/>
      <c r="X1311" s="23"/>
    </row>
    <row r="1312">
      <c r="A1312" s="70" t="s">
        <v>354</v>
      </c>
      <c r="B1312" s="70" t="str">
        <f>IF($A$3=" "," ", IFERROR( VLOOKUP($A1312,'SUPPLIER DATA BASE'!$A$2:$M$936,3,0),""))</f>
        <v>-</v>
      </c>
      <c r="C1312" s="70" t="str">
        <f>IF($A$3=" "," ", IFERROR( VLOOKUP($A1312,'SUPPLIER DATA BASE'!$A$2:$F$936,6,0),""))</f>
        <v>-</v>
      </c>
      <c r="D1312" s="70" t="str">
        <f>IF($A$3=" "," ", IFERROR( VLOOKUP($A1312,'SUPPLIER DATA BASE'!$A$2:$G$936,4,0),""))</f>
        <v>-</v>
      </c>
      <c r="E1312" s="71" t="str">
        <f>IF($A$3=" "," ", IFERROR( VLOOKUP($A1312,'SUPPLIER DATA BASE'!$A$2:$H$936,5,0),""))</f>
        <v>-</v>
      </c>
      <c r="F1312" s="72" t="s">
        <v>3798</v>
      </c>
      <c r="G1312" s="73"/>
      <c r="H1312" s="74"/>
      <c r="I1312" s="75"/>
      <c r="J1312" s="76" t="s">
        <v>3799</v>
      </c>
      <c r="K1312" s="76" t="s">
        <v>3800</v>
      </c>
      <c r="L1312" s="73"/>
      <c r="M1312" s="70" t="str">
        <f t="shared" si="3"/>
        <v/>
      </c>
      <c r="N1312" s="70" t="str">
        <f>IF($A$3=" "," ", IFERROR( VLOOKUP($A1312,'SUPPLIER DATA BASE'!$A$2:$O$936,11,0),""))</f>
        <v>-</v>
      </c>
      <c r="O1312" s="70" t="str">
        <f>IF($A$3=" "," ", IFERROR( VLOOKUP($A1312,'SUPPLIER DATA BASE'!$A$2:$O$936,12,0),""))</f>
        <v>-</v>
      </c>
      <c r="P1312" s="70" t="str">
        <f>IF($A$3=" "," ", IFERROR( VLOOKUP($A1312,'SUPPLIER DATA BASE'!$A$2:$O$936,13,0),""))</f>
        <v>-</v>
      </c>
      <c r="Q1312" s="77"/>
      <c r="R1312" s="73"/>
      <c r="S1312" s="77"/>
      <c r="T1312" s="70"/>
      <c r="U1312" s="78"/>
      <c r="V1312" s="70" t="str">
        <f t="shared" si="6"/>
        <v/>
      </c>
      <c r="W1312" s="23"/>
      <c r="X1312" s="23"/>
    </row>
    <row r="1313">
      <c r="A1313" s="70" t="s">
        <v>354</v>
      </c>
      <c r="B1313" s="70" t="str">
        <f>IF($A$3=" "," ", IFERROR( VLOOKUP($A1313,'SUPPLIER DATA BASE'!$A$2:$M$936,3,0),""))</f>
        <v>-</v>
      </c>
      <c r="C1313" s="70" t="str">
        <f>IF($A$3=" "," ", IFERROR( VLOOKUP($A1313,'SUPPLIER DATA BASE'!$A$2:$F$936,6,0),""))</f>
        <v>-</v>
      </c>
      <c r="D1313" s="70" t="str">
        <f>IF($A$3=" "," ", IFERROR( VLOOKUP($A1313,'SUPPLIER DATA BASE'!$A$2:$G$936,4,0),""))</f>
        <v>-</v>
      </c>
      <c r="E1313" s="71" t="str">
        <f>IF($A$3=" "," ", IFERROR( VLOOKUP($A1313,'SUPPLIER DATA BASE'!$A$2:$H$936,5,0),""))</f>
        <v>-</v>
      </c>
      <c r="F1313" s="72" t="s">
        <v>3801</v>
      </c>
      <c r="G1313" s="73"/>
      <c r="H1313" s="74"/>
      <c r="I1313" s="75"/>
      <c r="J1313" s="76" t="s">
        <v>3802</v>
      </c>
      <c r="K1313" s="76" t="s">
        <v>3803</v>
      </c>
      <c r="L1313" s="73"/>
      <c r="M1313" s="70" t="str">
        <f t="shared" si="3"/>
        <v/>
      </c>
      <c r="N1313" s="70" t="str">
        <f>IF($A$3=" "," ", IFERROR( VLOOKUP($A1313,'SUPPLIER DATA BASE'!$A$2:$O$936,11,0),""))</f>
        <v>-</v>
      </c>
      <c r="O1313" s="70" t="str">
        <f>IF($A$3=" "," ", IFERROR( VLOOKUP($A1313,'SUPPLIER DATA BASE'!$A$2:$O$936,12,0),""))</f>
        <v>-</v>
      </c>
      <c r="P1313" s="70" t="str">
        <f>IF($A$3=" "," ", IFERROR( VLOOKUP($A1313,'SUPPLIER DATA BASE'!$A$2:$O$936,13,0),""))</f>
        <v>-</v>
      </c>
      <c r="Q1313" s="77"/>
      <c r="R1313" s="73"/>
      <c r="S1313" s="77"/>
      <c r="T1313" s="70"/>
      <c r="U1313" s="78"/>
      <c r="V1313" s="70" t="str">
        <f t="shared" si="6"/>
        <v/>
      </c>
      <c r="W1313" s="23"/>
      <c r="X1313" s="23"/>
    </row>
    <row r="1314">
      <c r="A1314" s="70" t="s">
        <v>761</v>
      </c>
      <c r="B1314" s="70" t="str">
        <f>IF($A$3=" "," ", IFERROR( VLOOKUP($A1314,'SUPPLIER DATA BASE'!$A$2:$M$936,3,0),""))</f>
        <v>JOCKEY, LIBAS, ROCKIT, INTIGRITI, AMERICAN TOURISTER</v>
      </c>
      <c r="C1314" s="70" t="str">
        <f>IF($A$3=" "," ", IFERROR( VLOOKUP($A1314,'SUPPLIER DATA BASE'!$A$2:$F$936,6,0),""))</f>
        <v>DIRECT</v>
      </c>
      <c r="D1314" s="70">
        <f>IF($A$3=" "," ", IFERROR( VLOOKUP($A1314,'SUPPLIER DATA BASE'!$A$2:$G$936,4,0),""))</f>
        <v>7</v>
      </c>
      <c r="E1314" s="71">
        <f>IF($A$3=" "," ", IFERROR( VLOOKUP($A1314,'SUPPLIER DATA BASE'!$A$2:$H$936,5,0),""))</f>
        <v>0.02</v>
      </c>
      <c r="F1314" s="72"/>
      <c r="G1314" s="73"/>
      <c r="H1314" s="74"/>
      <c r="I1314" s="75"/>
      <c r="J1314" s="76" t="s">
        <v>3804</v>
      </c>
      <c r="K1314" s="76" t="s">
        <v>3805</v>
      </c>
      <c r="L1314" s="73"/>
      <c r="M1314" s="70" t="str">
        <f t="shared" si="3"/>
        <v/>
      </c>
      <c r="N1314" s="70" t="str">
        <f>IF($A$3=" "," ", IFERROR( VLOOKUP($A1314,'SUPPLIER DATA BASE'!$A$2:$O$936,11,0),""))</f>
        <v>TAYAL GARMENTS PVT. LTD.</v>
      </c>
      <c r="O1314" s="70" t="str">
        <f>IF($A$3=" "," ", IFERROR( VLOOKUP($A1314,'SUPPLIER DATA BASE'!$A$2:$O$936,12,0),""))</f>
        <v>1199911999</v>
      </c>
      <c r="P1314" s="70" t="str">
        <f>IF($A$3=" "," ", IFERROR( VLOOKUP($A1314,'SUPPLIER DATA BASE'!$A$2:$O$936,13,0),""))</f>
        <v>KKBK0005632</v>
      </c>
      <c r="Q1314" s="77"/>
      <c r="R1314" s="73"/>
      <c r="S1314" s="77"/>
      <c r="T1314" s="70"/>
      <c r="U1314" s="78"/>
      <c r="V1314" s="70" t="str">
        <f t="shared" si="6"/>
        <v/>
      </c>
      <c r="W1314" s="23"/>
      <c r="X1314" s="23"/>
    </row>
    <row r="1315">
      <c r="A1315" s="70" t="s">
        <v>798</v>
      </c>
      <c r="B1315" s="70" t="str">
        <f>IF($A$3=" "," ", IFERROR( VLOOKUP($A1315,'SUPPLIER DATA BASE'!$A$2:$M$936,3,0),""))</f>
        <v>-</v>
      </c>
      <c r="C1315" s="70" t="str">
        <f>IF($A$3=" "," ", IFERROR( VLOOKUP($A1315,'SUPPLIER DATA BASE'!$A$2:$F$936,6,0),""))</f>
        <v>-</v>
      </c>
      <c r="D1315" s="70" t="str">
        <f>IF($A$3=" "," ", IFERROR( VLOOKUP($A1315,'SUPPLIER DATA BASE'!$A$2:$G$936,4,0),""))</f>
        <v>-</v>
      </c>
      <c r="E1315" s="71" t="str">
        <f>IF($A$3=" "," ", IFERROR( VLOOKUP($A1315,'SUPPLIER DATA BASE'!$A$2:$H$936,5,0),""))</f>
        <v>-</v>
      </c>
      <c r="F1315" s="72"/>
      <c r="G1315" s="73"/>
      <c r="H1315" s="74"/>
      <c r="I1315" s="75"/>
      <c r="J1315" s="76" t="s">
        <v>3806</v>
      </c>
      <c r="K1315" s="76" t="s">
        <v>3807</v>
      </c>
      <c r="L1315" s="73"/>
      <c r="M1315" s="70" t="str">
        <f t="shared" si="3"/>
        <v/>
      </c>
      <c r="N1315" s="70" t="str">
        <f>IF($A$3=" "," ", IFERROR( VLOOKUP($A1315,'SUPPLIER DATA BASE'!$A$2:$O$936,11,0),""))</f>
        <v>-</v>
      </c>
      <c r="O1315" s="70" t="str">
        <f>IF($A$3=" "," ", IFERROR( VLOOKUP($A1315,'SUPPLIER DATA BASE'!$A$2:$O$936,12,0),""))</f>
        <v>-</v>
      </c>
      <c r="P1315" s="70" t="str">
        <f>IF($A$3=" "," ", IFERROR( VLOOKUP($A1315,'SUPPLIER DATA BASE'!$A$2:$O$936,13,0),""))</f>
        <v>-</v>
      </c>
      <c r="Q1315" s="77"/>
      <c r="R1315" s="73"/>
      <c r="S1315" s="77"/>
      <c r="T1315" s="70"/>
      <c r="U1315" s="78"/>
      <c r="V1315" s="70" t="str">
        <f t="shared" si="6"/>
        <v/>
      </c>
      <c r="W1315" s="23"/>
      <c r="X1315" s="23"/>
    </row>
    <row r="1316">
      <c r="A1316" s="70" t="s">
        <v>798</v>
      </c>
      <c r="B1316" s="70" t="str">
        <f>IF($A$3=" "," ", IFERROR( VLOOKUP($A1316,'SUPPLIER DATA BASE'!$A$2:$M$936,3,0),""))</f>
        <v>-</v>
      </c>
      <c r="C1316" s="70" t="str">
        <f>IF($A$3=" "," ", IFERROR( VLOOKUP($A1316,'SUPPLIER DATA BASE'!$A$2:$F$936,6,0),""))</f>
        <v>-</v>
      </c>
      <c r="D1316" s="70" t="str">
        <f>IF($A$3=" "," ", IFERROR( VLOOKUP($A1316,'SUPPLIER DATA BASE'!$A$2:$G$936,4,0),""))</f>
        <v>-</v>
      </c>
      <c r="E1316" s="71" t="str">
        <f>IF($A$3=" "," ", IFERROR( VLOOKUP($A1316,'SUPPLIER DATA BASE'!$A$2:$H$936,5,0),""))</f>
        <v>-</v>
      </c>
      <c r="F1316" s="72"/>
      <c r="G1316" s="73"/>
      <c r="H1316" s="74"/>
      <c r="I1316" s="75"/>
      <c r="J1316" s="76" t="s">
        <v>3808</v>
      </c>
      <c r="K1316" s="76" t="s">
        <v>3809</v>
      </c>
      <c r="L1316" s="73"/>
      <c r="M1316" s="70" t="str">
        <f t="shared" si="3"/>
        <v/>
      </c>
      <c r="N1316" s="70" t="str">
        <f>IF($A$3=" "," ", IFERROR( VLOOKUP($A1316,'SUPPLIER DATA BASE'!$A$2:$O$936,11,0),""))</f>
        <v>-</v>
      </c>
      <c r="O1316" s="70" t="str">
        <f>IF($A$3=" "," ", IFERROR( VLOOKUP($A1316,'SUPPLIER DATA BASE'!$A$2:$O$936,12,0),""))</f>
        <v>-</v>
      </c>
      <c r="P1316" s="70" t="str">
        <f>IF($A$3=" "," ", IFERROR( VLOOKUP($A1316,'SUPPLIER DATA BASE'!$A$2:$O$936,13,0),""))</f>
        <v>-</v>
      </c>
      <c r="Q1316" s="77"/>
      <c r="R1316" s="73"/>
      <c r="S1316" s="77"/>
      <c r="T1316" s="70"/>
      <c r="U1316" s="78"/>
      <c r="V1316" s="70" t="str">
        <f t="shared" si="6"/>
        <v/>
      </c>
      <c r="W1316" s="23"/>
      <c r="X1316" s="23"/>
    </row>
    <row r="1317">
      <c r="A1317" s="70" t="s">
        <v>799</v>
      </c>
      <c r="B1317" s="70" t="str">
        <f>IF($A$3=" "," ", IFERROR( VLOOKUP($A1317,'SUPPLIER DATA BASE'!$A$2:$M$936,3,0),""))</f>
        <v>-</v>
      </c>
      <c r="C1317" s="70" t="str">
        <f>IF($A$3=" "," ", IFERROR( VLOOKUP($A1317,'SUPPLIER DATA BASE'!$A$2:$F$936,6,0),""))</f>
        <v>-</v>
      </c>
      <c r="D1317" s="70" t="str">
        <f>IF($A$3=" "," ", IFERROR( VLOOKUP($A1317,'SUPPLIER DATA BASE'!$A$2:$G$936,4,0),""))</f>
        <v>-</v>
      </c>
      <c r="E1317" s="71" t="str">
        <f>IF($A$3=" "," ", IFERROR( VLOOKUP($A1317,'SUPPLIER DATA BASE'!$A$2:$H$936,5,0),""))</f>
        <v>-</v>
      </c>
      <c r="F1317" s="72"/>
      <c r="G1317" s="73"/>
      <c r="H1317" s="74"/>
      <c r="I1317" s="75"/>
      <c r="J1317" s="76" t="s">
        <v>3810</v>
      </c>
      <c r="K1317" s="76" t="s">
        <v>3811</v>
      </c>
      <c r="L1317" s="73"/>
      <c r="M1317" s="70" t="str">
        <f t="shared" si="3"/>
        <v/>
      </c>
      <c r="N1317" s="70" t="str">
        <f>IF($A$3=" "," ", IFERROR( VLOOKUP($A1317,'SUPPLIER DATA BASE'!$A$2:$O$936,11,0),""))</f>
        <v>VISHAL MARKETING &amp; CO.</v>
      </c>
      <c r="O1317" s="70" t="str">
        <f>IF($A$3=" "," ", IFERROR( VLOOKUP($A1317,'SUPPLIER DATA BASE'!$A$2:$O$936,12,0),""))</f>
        <v>1091008700001025</v>
      </c>
      <c r="P1317" s="70" t="str">
        <f>IF($A$3=" "," ", IFERROR( VLOOKUP($A1317,'SUPPLIER DATA BASE'!$A$2:$O$936,13,0),""))</f>
        <v>PUNB0109100</v>
      </c>
      <c r="Q1317" s="77"/>
      <c r="R1317" s="73"/>
      <c r="S1317" s="77"/>
      <c r="T1317" s="70"/>
      <c r="U1317" s="78"/>
      <c r="V1317" s="70" t="str">
        <f t="shared" si="6"/>
        <v/>
      </c>
      <c r="W1317" s="23"/>
      <c r="X1317" s="23"/>
    </row>
    <row r="1318">
      <c r="A1318" s="70" t="s">
        <v>799</v>
      </c>
      <c r="B1318" s="70" t="str">
        <f>IF($A$3=" "," ", IFERROR( VLOOKUP($A1318,'SUPPLIER DATA BASE'!$A$2:$M$936,3,0),""))</f>
        <v>-</v>
      </c>
      <c r="C1318" s="70" t="str">
        <f>IF($A$3=" "," ", IFERROR( VLOOKUP($A1318,'SUPPLIER DATA BASE'!$A$2:$F$936,6,0),""))</f>
        <v>-</v>
      </c>
      <c r="D1318" s="70" t="str">
        <f>IF($A$3=" "," ", IFERROR( VLOOKUP($A1318,'SUPPLIER DATA BASE'!$A$2:$G$936,4,0),""))</f>
        <v>-</v>
      </c>
      <c r="E1318" s="71" t="str">
        <f>IF($A$3=" "," ", IFERROR( VLOOKUP($A1318,'SUPPLIER DATA BASE'!$A$2:$H$936,5,0),""))</f>
        <v>-</v>
      </c>
      <c r="F1318" s="72"/>
      <c r="G1318" s="73"/>
      <c r="H1318" s="74"/>
      <c r="I1318" s="75"/>
      <c r="J1318" s="76" t="s">
        <v>3812</v>
      </c>
      <c r="K1318" s="76" t="s">
        <v>3813</v>
      </c>
      <c r="L1318" s="73"/>
      <c r="M1318" s="70" t="str">
        <f t="shared" si="3"/>
        <v/>
      </c>
      <c r="N1318" s="70" t="str">
        <f>IF($A$3=" "," ", IFERROR( VLOOKUP($A1318,'SUPPLIER DATA BASE'!$A$2:$O$936,11,0),""))</f>
        <v>VISHAL MARKETING &amp; CO.</v>
      </c>
      <c r="O1318" s="70" t="str">
        <f>IF($A$3=" "," ", IFERROR( VLOOKUP($A1318,'SUPPLIER DATA BASE'!$A$2:$O$936,12,0),""))</f>
        <v>1091008700001025</v>
      </c>
      <c r="P1318" s="70" t="str">
        <f>IF($A$3=" "," ", IFERROR( VLOOKUP($A1318,'SUPPLIER DATA BASE'!$A$2:$O$936,13,0),""))</f>
        <v>PUNB0109100</v>
      </c>
      <c r="Q1318" s="77"/>
      <c r="R1318" s="73"/>
      <c r="S1318" s="77"/>
      <c r="T1318" s="70"/>
      <c r="U1318" s="78"/>
      <c r="V1318" s="70" t="str">
        <f t="shared" si="6"/>
        <v/>
      </c>
      <c r="W1318" s="23"/>
      <c r="X1318" s="23"/>
    </row>
    <row r="1319">
      <c r="A1319" s="70" t="s">
        <v>799</v>
      </c>
      <c r="B1319" s="70" t="str">
        <f>IF($A$3=" "," ", IFERROR( VLOOKUP($A1319,'SUPPLIER DATA BASE'!$A$2:$M$936,3,0),""))</f>
        <v>-</v>
      </c>
      <c r="C1319" s="70" t="str">
        <f>IF($A$3=" "," ", IFERROR( VLOOKUP($A1319,'SUPPLIER DATA BASE'!$A$2:$F$936,6,0),""))</f>
        <v>-</v>
      </c>
      <c r="D1319" s="70" t="str">
        <f>IF($A$3=" "," ", IFERROR( VLOOKUP($A1319,'SUPPLIER DATA BASE'!$A$2:$G$936,4,0),""))</f>
        <v>-</v>
      </c>
      <c r="E1319" s="71" t="str">
        <f>IF($A$3=" "," ", IFERROR( VLOOKUP($A1319,'SUPPLIER DATA BASE'!$A$2:$H$936,5,0),""))</f>
        <v>-</v>
      </c>
      <c r="F1319" s="72"/>
      <c r="G1319" s="73"/>
      <c r="H1319" s="74"/>
      <c r="I1319" s="75"/>
      <c r="J1319" s="76" t="s">
        <v>3814</v>
      </c>
      <c r="K1319" s="76" t="s">
        <v>3815</v>
      </c>
      <c r="L1319" s="73"/>
      <c r="M1319" s="70" t="str">
        <f t="shared" si="3"/>
        <v/>
      </c>
      <c r="N1319" s="70" t="str">
        <f>IF($A$3=" "," ", IFERROR( VLOOKUP($A1319,'SUPPLIER DATA BASE'!$A$2:$O$936,11,0),""))</f>
        <v>VISHAL MARKETING &amp; CO.</v>
      </c>
      <c r="O1319" s="70" t="str">
        <f>IF($A$3=" "," ", IFERROR( VLOOKUP($A1319,'SUPPLIER DATA BASE'!$A$2:$O$936,12,0),""))</f>
        <v>1091008700001025</v>
      </c>
      <c r="P1319" s="70" t="str">
        <f>IF($A$3=" "," ", IFERROR( VLOOKUP($A1319,'SUPPLIER DATA BASE'!$A$2:$O$936,13,0),""))</f>
        <v>PUNB0109100</v>
      </c>
      <c r="Q1319" s="77"/>
      <c r="R1319" s="73"/>
      <c r="S1319" s="77"/>
      <c r="T1319" s="70"/>
      <c r="U1319" s="78"/>
      <c r="V1319" s="70" t="str">
        <f t="shared" si="6"/>
        <v/>
      </c>
      <c r="W1319" s="23"/>
      <c r="X1319" s="23"/>
    </row>
    <row r="1320">
      <c r="A1320" s="70" t="s">
        <v>799</v>
      </c>
      <c r="B1320" s="70" t="str">
        <f>IF($A$3=" "," ", IFERROR( VLOOKUP($A1320,'SUPPLIER DATA BASE'!$A$2:$M$936,3,0),""))</f>
        <v>-</v>
      </c>
      <c r="C1320" s="70" t="str">
        <f>IF($A$3=" "," ", IFERROR( VLOOKUP($A1320,'SUPPLIER DATA BASE'!$A$2:$F$936,6,0),""))</f>
        <v>-</v>
      </c>
      <c r="D1320" s="70" t="str">
        <f>IF($A$3=" "," ", IFERROR( VLOOKUP($A1320,'SUPPLIER DATA BASE'!$A$2:$G$936,4,0),""))</f>
        <v>-</v>
      </c>
      <c r="E1320" s="71" t="str">
        <f>IF($A$3=" "," ", IFERROR( VLOOKUP($A1320,'SUPPLIER DATA BASE'!$A$2:$H$936,5,0),""))</f>
        <v>-</v>
      </c>
      <c r="F1320" s="72"/>
      <c r="G1320" s="73"/>
      <c r="H1320" s="74"/>
      <c r="I1320" s="75"/>
      <c r="J1320" s="76" t="s">
        <v>3816</v>
      </c>
      <c r="K1320" s="76" t="s">
        <v>3817</v>
      </c>
      <c r="L1320" s="73"/>
      <c r="M1320" s="70" t="str">
        <f t="shared" si="3"/>
        <v/>
      </c>
      <c r="N1320" s="70" t="str">
        <f>IF($A$3=" "," ", IFERROR( VLOOKUP($A1320,'SUPPLIER DATA BASE'!$A$2:$O$936,11,0),""))</f>
        <v>VISHAL MARKETING &amp; CO.</v>
      </c>
      <c r="O1320" s="70" t="str">
        <f>IF($A$3=" "," ", IFERROR( VLOOKUP($A1320,'SUPPLIER DATA BASE'!$A$2:$O$936,12,0),""))</f>
        <v>1091008700001025</v>
      </c>
      <c r="P1320" s="70" t="str">
        <f>IF($A$3=" "," ", IFERROR( VLOOKUP($A1320,'SUPPLIER DATA BASE'!$A$2:$O$936,13,0),""))</f>
        <v>PUNB0109100</v>
      </c>
      <c r="Q1320" s="77"/>
      <c r="R1320" s="73"/>
      <c r="S1320" s="77"/>
      <c r="T1320" s="70"/>
      <c r="U1320" s="78"/>
      <c r="V1320" s="70" t="str">
        <f t="shared" si="6"/>
        <v/>
      </c>
      <c r="W1320" s="23"/>
      <c r="X1320" s="23"/>
    </row>
    <row r="1321">
      <c r="A1321" s="70" t="s">
        <v>354</v>
      </c>
      <c r="B1321" s="70" t="str">
        <f>IF($A$3=" "," ", IFERROR( VLOOKUP($A1321,'SUPPLIER DATA BASE'!$A$2:$M$936,3,0),""))</f>
        <v>-</v>
      </c>
      <c r="C1321" s="70" t="str">
        <f>IF($A$3=" "," ", IFERROR( VLOOKUP($A1321,'SUPPLIER DATA BASE'!$A$2:$F$936,6,0),""))</f>
        <v>-</v>
      </c>
      <c r="D1321" s="70" t="str">
        <f>IF($A$3=" "," ", IFERROR( VLOOKUP($A1321,'SUPPLIER DATA BASE'!$A$2:$G$936,4,0),""))</f>
        <v>-</v>
      </c>
      <c r="E1321" s="71" t="str">
        <f>IF($A$3=" "," ", IFERROR( VLOOKUP($A1321,'SUPPLIER DATA BASE'!$A$2:$H$936,5,0),""))</f>
        <v>-</v>
      </c>
      <c r="F1321" s="72" t="s">
        <v>3818</v>
      </c>
      <c r="G1321" s="73"/>
      <c r="H1321" s="74"/>
      <c r="I1321" s="75"/>
      <c r="J1321" s="76" t="s">
        <v>3819</v>
      </c>
      <c r="K1321" s="76" t="s">
        <v>3820</v>
      </c>
      <c r="L1321" s="73"/>
      <c r="M1321" s="70" t="str">
        <f t="shared" si="3"/>
        <v/>
      </c>
      <c r="N1321" s="70" t="str">
        <f>IF($A$3=" "," ", IFERROR( VLOOKUP($A1321,'SUPPLIER DATA BASE'!$A$2:$O$936,11,0),""))</f>
        <v>-</v>
      </c>
      <c r="O1321" s="70" t="str">
        <f>IF($A$3=" "," ", IFERROR( VLOOKUP($A1321,'SUPPLIER DATA BASE'!$A$2:$O$936,12,0),""))</f>
        <v>-</v>
      </c>
      <c r="P1321" s="70" t="str">
        <f>IF($A$3=" "," ", IFERROR( VLOOKUP($A1321,'SUPPLIER DATA BASE'!$A$2:$O$936,13,0),""))</f>
        <v>-</v>
      </c>
      <c r="Q1321" s="77"/>
      <c r="R1321" s="73"/>
      <c r="S1321" s="77"/>
      <c r="T1321" s="70"/>
      <c r="U1321" s="78"/>
      <c r="V1321" s="70" t="str">
        <f t="shared" si="6"/>
        <v/>
      </c>
      <c r="W1321" s="23"/>
      <c r="X1321" s="23"/>
    </row>
    <row r="1322">
      <c r="A1322" s="70" t="s">
        <v>354</v>
      </c>
      <c r="B1322" s="70" t="str">
        <f>IF($A$3=" "," ", IFERROR( VLOOKUP($A1322,'SUPPLIER DATA BASE'!$A$2:$M$936,3,0),""))</f>
        <v>-</v>
      </c>
      <c r="C1322" s="70" t="str">
        <f>IF($A$3=" "," ", IFERROR( VLOOKUP($A1322,'SUPPLIER DATA BASE'!$A$2:$F$936,6,0),""))</f>
        <v>-</v>
      </c>
      <c r="D1322" s="70" t="str">
        <f>IF($A$3=" "," ", IFERROR( VLOOKUP($A1322,'SUPPLIER DATA BASE'!$A$2:$G$936,4,0),""))</f>
        <v>-</v>
      </c>
      <c r="E1322" s="71" t="str">
        <f>IF($A$3=" "," ", IFERROR( VLOOKUP($A1322,'SUPPLIER DATA BASE'!$A$2:$H$936,5,0),""))</f>
        <v>-</v>
      </c>
      <c r="F1322" s="72" t="s">
        <v>3821</v>
      </c>
      <c r="G1322" s="73"/>
      <c r="H1322" s="74"/>
      <c r="I1322" s="75"/>
      <c r="J1322" s="76" t="s">
        <v>3822</v>
      </c>
      <c r="K1322" s="76" t="s">
        <v>3823</v>
      </c>
      <c r="L1322" s="73"/>
      <c r="M1322" s="70" t="str">
        <f t="shared" si="3"/>
        <v/>
      </c>
      <c r="N1322" s="70" t="str">
        <f>IF($A$3=" "," ", IFERROR( VLOOKUP($A1322,'SUPPLIER DATA BASE'!$A$2:$O$936,11,0),""))</f>
        <v>-</v>
      </c>
      <c r="O1322" s="70" t="str">
        <f>IF($A$3=" "," ", IFERROR( VLOOKUP($A1322,'SUPPLIER DATA BASE'!$A$2:$O$936,12,0),""))</f>
        <v>-</v>
      </c>
      <c r="P1322" s="70" t="str">
        <f>IF($A$3=" "," ", IFERROR( VLOOKUP($A1322,'SUPPLIER DATA BASE'!$A$2:$O$936,13,0),""))</f>
        <v>-</v>
      </c>
      <c r="Q1322" s="77"/>
      <c r="R1322" s="73"/>
      <c r="S1322" s="77"/>
      <c r="T1322" s="70"/>
      <c r="U1322" s="78"/>
      <c r="V1322" s="70" t="str">
        <f t="shared" si="6"/>
        <v/>
      </c>
      <c r="W1322" s="23"/>
      <c r="X1322" s="23"/>
    </row>
    <row r="1323">
      <c r="A1323" s="70" t="s">
        <v>354</v>
      </c>
      <c r="B1323" s="70" t="str">
        <f>IF($A$3=" "," ", IFERROR( VLOOKUP($A1323,'SUPPLIER DATA BASE'!$A$2:$M$936,3,0),""))</f>
        <v>-</v>
      </c>
      <c r="C1323" s="70" t="str">
        <f>IF($A$3=" "," ", IFERROR( VLOOKUP($A1323,'SUPPLIER DATA BASE'!$A$2:$F$936,6,0),""))</f>
        <v>-</v>
      </c>
      <c r="D1323" s="70" t="str">
        <f>IF($A$3=" "," ", IFERROR( VLOOKUP($A1323,'SUPPLIER DATA BASE'!$A$2:$G$936,4,0),""))</f>
        <v>-</v>
      </c>
      <c r="E1323" s="71" t="str">
        <f>IF($A$3=" "," ", IFERROR( VLOOKUP($A1323,'SUPPLIER DATA BASE'!$A$2:$H$936,5,0),""))</f>
        <v>-</v>
      </c>
      <c r="F1323" s="72" t="s">
        <v>3824</v>
      </c>
      <c r="G1323" s="73"/>
      <c r="H1323" s="74"/>
      <c r="I1323" s="75"/>
      <c r="J1323" s="76" t="s">
        <v>3825</v>
      </c>
      <c r="K1323" s="76" t="s">
        <v>3826</v>
      </c>
      <c r="L1323" s="73"/>
      <c r="M1323" s="70" t="str">
        <f t="shared" si="3"/>
        <v/>
      </c>
      <c r="N1323" s="70" t="str">
        <f>IF($A$3=" "," ", IFERROR( VLOOKUP($A1323,'SUPPLIER DATA BASE'!$A$2:$O$936,11,0),""))</f>
        <v>-</v>
      </c>
      <c r="O1323" s="70" t="str">
        <f>IF($A$3=" "," ", IFERROR( VLOOKUP($A1323,'SUPPLIER DATA BASE'!$A$2:$O$936,12,0),""))</f>
        <v>-</v>
      </c>
      <c r="P1323" s="70" t="str">
        <f>IF($A$3=" "," ", IFERROR( VLOOKUP($A1323,'SUPPLIER DATA BASE'!$A$2:$O$936,13,0),""))</f>
        <v>-</v>
      </c>
      <c r="Q1323" s="77"/>
      <c r="R1323" s="73"/>
      <c r="S1323" s="77"/>
      <c r="T1323" s="70"/>
      <c r="U1323" s="78"/>
      <c r="V1323" s="70" t="str">
        <f t="shared" si="6"/>
        <v/>
      </c>
      <c r="W1323" s="23"/>
      <c r="X1323" s="23"/>
    </row>
    <row r="1324">
      <c r="A1324" s="70" t="s">
        <v>354</v>
      </c>
      <c r="B1324" s="70" t="str">
        <f>IF($A$3=" "," ", IFERROR( VLOOKUP($A1324,'SUPPLIER DATA BASE'!$A$2:$M$936,3,0),""))</f>
        <v>-</v>
      </c>
      <c r="C1324" s="70" t="str">
        <f>IF($A$3=" "," ", IFERROR( VLOOKUP($A1324,'SUPPLIER DATA BASE'!$A$2:$F$936,6,0),""))</f>
        <v>-</v>
      </c>
      <c r="D1324" s="70" t="str">
        <f>IF($A$3=" "," ", IFERROR( VLOOKUP($A1324,'SUPPLIER DATA BASE'!$A$2:$G$936,4,0),""))</f>
        <v>-</v>
      </c>
      <c r="E1324" s="71" t="str">
        <f>IF($A$3=" "," ", IFERROR( VLOOKUP($A1324,'SUPPLIER DATA BASE'!$A$2:$H$936,5,0),""))</f>
        <v>-</v>
      </c>
      <c r="F1324" s="72" t="s">
        <v>3827</v>
      </c>
      <c r="G1324" s="73"/>
      <c r="H1324" s="74"/>
      <c r="I1324" s="75"/>
      <c r="J1324" s="76" t="s">
        <v>3828</v>
      </c>
      <c r="K1324" s="76" t="s">
        <v>3829</v>
      </c>
      <c r="L1324" s="73"/>
      <c r="M1324" s="70" t="str">
        <f t="shared" si="3"/>
        <v/>
      </c>
      <c r="N1324" s="70" t="str">
        <f>IF($A$3=" "," ", IFERROR( VLOOKUP($A1324,'SUPPLIER DATA BASE'!$A$2:$O$936,11,0),""))</f>
        <v>-</v>
      </c>
      <c r="O1324" s="70" t="str">
        <f>IF($A$3=" "," ", IFERROR( VLOOKUP($A1324,'SUPPLIER DATA BASE'!$A$2:$O$936,12,0),""))</f>
        <v>-</v>
      </c>
      <c r="P1324" s="70" t="str">
        <f>IF($A$3=" "," ", IFERROR( VLOOKUP($A1324,'SUPPLIER DATA BASE'!$A$2:$O$936,13,0),""))</f>
        <v>-</v>
      </c>
      <c r="Q1324" s="77"/>
      <c r="R1324" s="73"/>
      <c r="S1324" s="77"/>
      <c r="T1324" s="70"/>
      <c r="U1324" s="78"/>
      <c r="V1324" s="70" t="str">
        <f t="shared" si="6"/>
        <v/>
      </c>
      <c r="W1324" s="23"/>
      <c r="X1324" s="23"/>
    </row>
    <row r="1325">
      <c r="A1325" s="70" t="s">
        <v>354</v>
      </c>
      <c r="B1325" s="70" t="str">
        <f>IF($A$3=" "," ", IFERROR( VLOOKUP($A1325,'SUPPLIER DATA BASE'!$A$2:$M$936,3,0),""))</f>
        <v>-</v>
      </c>
      <c r="C1325" s="70" t="str">
        <f>IF($A$3=" "," ", IFERROR( VLOOKUP($A1325,'SUPPLIER DATA BASE'!$A$2:$F$936,6,0),""))</f>
        <v>-</v>
      </c>
      <c r="D1325" s="70" t="str">
        <f>IF($A$3=" "," ", IFERROR( VLOOKUP($A1325,'SUPPLIER DATA BASE'!$A$2:$G$936,4,0),""))</f>
        <v>-</v>
      </c>
      <c r="E1325" s="71" t="str">
        <f>IF($A$3=" "," ", IFERROR( VLOOKUP($A1325,'SUPPLIER DATA BASE'!$A$2:$H$936,5,0),""))</f>
        <v>-</v>
      </c>
      <c r="F1325" s="72" t="s">
        <v>3830</v>
      </c>
      <c r="G1325" s="73"/>
      <c r="H1325" s="74"/>
      <c r="I1325" s="75"/>
      <c r="J1325" s="76" t="s">
        <v>3831</v>
      </c>
      <c r="K1325" s="76" t="s">
        <v>3832</v>
      </c>
      <c r="L1325" s="73"/>
      <c r="M1325" s="70" t="str">
        <f t="shared" si="3"/>
        <v/>
      </c>
      <c r="N1325" s="70" t="str">
        <f>IF($A$3=" "," ", IFERROR( VLOOKUP($A1325,'SUPPLIER DATA BASE'!$A$2:$O$936,11,0),""))</f>
        <v>-</v>
      </c>
      <c r="O1325" s="70" t="str">
        <f>IF($A$3=" "," ", IFERROR( VLOOKUP($A1325,'SUPPLIER DATA BASE'!$A$2:$O$936,12,0),""))</f>
        <v>-</v>
      </c>
      <c r="P1325" s="70" t="str">
        <f>IF($A$3=" "," ", IFERROR( VLOOKUP($A1325,'SUPPLIER DATA BASE'!$A$2:$O$936,13,0),""))</f>
        <v>-</v>
      </c>
      <c r="Q1325" s="77"/>
      <c r="R1325" s="73"/>
      <c r="S1325" s="77"/>
      <c r="T1325" s="70"/>
      <c r="U1325" s="78"/>
      <c r="V1325" s="70" t="str">
        <f t="shared" si="6"/>
        <v/>
      </c>
      <c r="W1325" s="23"/>
      <c r="X1325" s="23"/>
    </row>
    <row r="1326">
      <c r="A1326" s="70" t="s">
        <v>402</v>
      </c>
      <c r="B1326" s="70" t="str">
        <f>IF($A$3=" "," ", IFERROR( VLOOKUP($A1326,'SUPPLIER DATA BASE'!$A$2:$M$936,3,0),""))</f>
        <v>KHUSHAL/STATUS QUO</v>
      </c>
      <c r="C1326" s="70" t="str">
        <f>IF($A$3=" "," ", IFERROR( VLOOKUP($A1326,'SUPPLIER DATA BASE'!$A$2:$F$936,6,0),""))</f>
        <v>-</v>
      </c>
      <c r="D1326" s="70" t="str">
        <f>IF($A$3=" "," ", IFERROR( VLOOKUP($A1326,'SUPPLIER DATA BASE'!$A$2:$G$936,4,0),""))</f>
        <v>-</v>
      </c>
      <c r="E1326" s="71" t="str">
        <f>IF($A$3=" "," ", IFERROR( VLOOKUP($A1326,'SUPPLIER DATA BASE'!$A$2:$H$936,5,0),""))</f>
        <v>-</v>
      </c>
      <c r="F1326" s="72"/>
      <c r="G1326" s="73"/>
      <c r="H1326" s="74"/>
      <c r="I1326" s="75"/>
      <c r="J1326" s="76" t="s">
        <v>3833</v>
      </c>
      <c r="K1326" s="76" t="s">
        <v>3834</v>
      </c>
      <c r="L1326" s="73"/>
      <c r="M1326" s="70" t="str">
        <f t="shared" si="3"/>
        <v/>
      </c>
      <c r="N1326" s="70" t="str">
        <f>IF($A$3=" "," ", IFERROR( VLOOKUP($A1326,'SUPPLIER DATA BASE'!$A$2:$O$936,11,0),""))</f>
        <v>D APPAREL</v>
      </c>
      <c r="O1326" s="70" t="str">
        <f>IF($A$3=" "," ", IFERROR( VLOOKUP($A1326,'SUPPLIER DATA BASE'!$A$2:$O$936,12,0),""))</f>
        <v>722501010050397</v>
      </c>
      <c r="P1326" s="70" t="str">
        <f>IF($A$3=" "," ", IFERROR( VLOOKUP($A1326,'SUPPLIER DATA BASE'!$A$2:$O$936,13,0),""))</f>
        <v>UBIN0572250</v>
      </c>
      <c r="Q1326" s="77"/>
      <c r="R1326" s="73"/>
      <c r="S1326" s="77"/>
      <c r="T1326" s="70"/>
      <c r="U1326" s="78"/>
      <c r="V1326" s="70" t="str">
        <f t="shared" si="6"/>
        <v/>
      </c>
      <c r="W1326" s="23"/>
      <c r="X1326" s="23"/>
    </row>
    <row r="1327">
      <c r="A1327" s="70" t="s">
        <v>848</v>
      </c>
      <c r="B1327" s="70" t="str">
        <f>IF($A$3=" "," ", IFERROR( VLOOKUP($A1327,'SUPPLIER DATA BASE'!$A$2:$M$936,3,0),""))</f>
        <v>-</v>
      </c>
      <c r="C1327" s="70" t="str">
        <f>IF($A$3=" "," ", IFERROR( VLOOKUP($A1327,'SUPPLIER DATA BASE'!$A$2:$F$936,6,0),""))</f>
        <v>-</v>
      </c>
      <c r="D1327" s="70" t="str">
        <f>IF($A$3=" "," ", IFERROR( VLOOKUP($A1327,'SUPPLIER DATA BASE'!$A$2:$G$936,4,0),""))</f>
        <v>-</v>
      </c>
      <c r="E1327" s="71" t="str">
        <f>IF($A$3=" "," ", IFERROR( VLOOKUP($A1327,'SUPPLIER DATA BASE'!$A$2:$H$936,5,0),""))</f>
        <v>-</v>
      </c>
      <c r="F1327" s="72"/>
      <c r="G1327" s="73"/>
      <c r="H1327" s="74"/>
      <c r="I1327" s="75"/>
      <c r="J1327" s="76" t="s">
        <v>3835</v>
      </c>
      <c r="K1327" s="76" t="s">
        <v>3836</v>
      </c>
      <c r="L1327" s="73"/>
      <c r="M1327" s="70" t="str">
        <f t="shared" si="3"/>
        <v/>
      </c>
      <c r="N1327" s="70" t="str">
        <f>IF($A$3=" "," ", IFERROR( VLOOKUP($A1327,'SUPPLIER DATA BASE'!$A$2:$O$936,11,0),""))</f>
        <v>-</v>
      </c>
      <c r="O1327" s="70" t="str">
        <f>IF($A$3=" "," ", IFERROR( VLOOKUP($A1327,'SUPPLIER DATA BASE'!$A$2:$O$936,12,0),""))</f>
        <v>-</v>
      </c>
      <c r="P1327" s="70" t="str">
        <f>IF($A$3=" "," ", IFERROR( VLOOKUP($A1327,'SUPPLIER DATA BASE'!$A$2:$O$936,13,0),""))</f>
        <v>-</v>
      </c>
      <c r="Q1327" s="77"/>
      <c r="R1327" s="73"/>
      <c r="S1327" s="77"/>
      <c r="T1327" s="70"/>
      <c r="U1327" s="78"/>
      <c r="V1327" s="70" t="str">
        <f t="shared" si="6"/>
        <v/>
      </c>
      <c r="W1327" s="23"/>
      <c r="X1327" s="23"/>
    </row>
    <row r="1328">
      <c r="A1328" s="70" t="s">
        <v>354</v>
      </c>
      <c r="B1328" s="70" t="str">
        <f>IF($A$3=" "," ", IFERROR( VLOOKUP($A1328,'SUPPLIER DATA BASE'!$A$2:$M$936,3,0),""))</f>
        <v>-</v>
      </c>
      <c r="C1328" s="70" t="str">
        <f>IF($A$3=" "," ", IFERROR( VLOOKUP($A1328,'SUPPLIER DATA BASE'!$A$2:$F$936,6,0),""))</f>
        <v>-</v>
      </c>
      <c r="D1328" s="70" t="str">
        <f>IF($A$3=" "," ", IFERROR( VLOOKUP($A1328,'SUPPLIER DATA BASE'!$A$2:$G$936,4,0),""))</f>
        <v>-</v>
      </c>
      <c r="E1328" s="71" t="str">
        <f>IF($A$3=" "," ", IFERROR( VLOOKUP($A1328,'SUPPLIER DATA BASE'!$A$2:$H$936,5,0),""))</f>
        <v>-</v>
      </c>
      <c r="F1328" s="72" t="s">
        <v>3837</v>
      </c>
      <c r="G1328" s="73"/>
      <c r="H1328" s="74"/>
      <c r="I1328" s="75"/>
      <c r="J1328" s="76" t="s">
        <v>3838</v>
      </c>
      <c r="K1328" s="76" t="s">
        <v>3839</v>
      </c>
      <c r="L1328" s="73"/>
      <c r="M1328" s="70" t="str">
        <f t="shared" si="3"/>
        <v/>
      </c>
      <c r="N1328" s="70" t="str">
        <f>IF($A$3=" "," ", IFERROR( VLOOKUP($A1328,'SUPPLIER DATA BASE'!$A$2:$O$936,11,0),""))</f>
        <v>-</v>
      </c>
      <c r="O1328" s="70" t="str">
        <f>IF($A$3=" "," ", IFERROR( VLOOKUP($A1328,'SUPPLIER DATA BASE'!$A$2:$O$936,12,0),""))</f>
        <v>-</v>
      </c>
      <c r="P1328" s="70" t="str">
        <f>IF($A$3=" "," ", IFERROR( VLOOKUP($A1328,'SUPPLIER DATA BASE'!$A$2:$O$936,13,0),""))</f>
        <v>-</v>
      </c>
      <c r="Q1328" s="77"/>
      <c r="R1328" s="73"/>
      <c r="S1328" s="77"/>
      <c r="T1328" s="70"/>
      <c r="U1328" s="78"/>
      <c r="V1328" s="70" t="str">
        <f t="shared" si="6"/>
        <v/>
      </c>
      <c r="W1328" s="23"/>
      <c r="X1328" s="23"/>
    </row>
    <row r="1329">
      <c r="A1329" s="70" t="s">
        <v>354</v>
      </c>
      <c r="B1329" s="70" t="str">
        <f>IF($A$3=" "," ", IFERROR( VLOOKUP($A1329,'SUPPLIER DATA BASE'!$A$2:$M$936,3,0),""))</f>
        <v>-</v>
      </c>
      <c r="C1329" s="70" t="str">
        <f>IF($A$3=" "," ", IFERROR( VLOOKUP($A1329,'SUPPLIER DATA BASE'!$A$2:$F$936,6,0),""))</f>
        <v>-</v>
      </c>
      <c r="D1329" s="70" t="str">
        <f>IF($A$3=" "," ", IFERROR( VLOOKUP($A1329,'SUPPLIER DATA BASE'!$A$2:$G$936,4,0),""))</f>
        <v>-</v>
      </c>
      <c r="E1329" s="71" t="str">
        <f>IF($A$3=" "," ", IFERROR( VLOOKUP($A1329,'SUPPLIER DATA BASE'!$A$2:$H$936,5,0),""))</f>
        <v>-</v>
      </c>
      <c r="F1329" s="72" t="s">
        <v>3840</v>
      </c>
      <c r="G1329" s="73"/>
      <c r="H1329" s="74"/>
      <c r="I1329" s="75"/>
      <c r="J1329" s="76" t="s">
        <v>3841</v>
      </c>
      <c r="K1329" s="76" t="s">
        <v>3842</v>
      </c>
      <c r="L1329" s="73"/>
      <c r="M1329" s="70" t="str">
        <f t="shared" si="3"/>
        <v/>
      </c>
      <c r="N1329" s="70" t="str">
        <f>IF($A$3=" "," ", IFERROR( VLOOKUP($A1329,'SUPPLIER DATA BASE'!$A$2:$O$936,11,0),""))</f>
        <v>-</v>
      </c>
      <c r="O1329" s="70" t="str">
        <f>IF($A$3=" "," ", IFERROR( VLOOKUP($A1329,'SUPPLIER DATA BASE'!$A$2:$O$936,12,0),""))</f>
        <v>-</v>
      </c>
      <c r="P1329" s="70" t="str">
        <f>IF($A$3=" "," ", IFERROR( VLOOKUP($A1329,'SUPPLIER DATA BASE'!$A$2:$O$936,13,0),""))</f>
        <v>-</v>
      </c>
      <c r="Q1329" s="77"/>
      <c r="R1329" s="73"/>
      <c r="S1329" s="77"/>
      <c r="T1329" s="70"/>
      <c r="U1329" s="78"/>
      <c r="V1329" s="70" t="str">
        <f t="shared" si="6"/>
        <v/>
      </c>
      <c r="W1329" s="23"/>
      <c r="X1329" s="23"/>
    </row>
    <row r="1330">
      <c r="A1330" s="70" t="s">
        <v>658</v>
      </c>
      <c r="B1330" s="70" t="str">
        <f>IF($A$3=" "," ", IFERROR( VLOOKUP($A1330,'SUPPLIER DATA BASE'!$A$2:$M$936,3,0),""))</f>
        <v>-</v>
      </c>
      <c r="C1330" s="70" t="str">
        <f>IF($A$3=" "," ", IFERROR( VLOOKUP($A1330,'SUPPLIER DATA BASE'!$A$2:$F$936,6,0),""))</f>
        <v>-</v>
      </c>
      <c r="D1330" s="70" t="str">
        <f>IF($A$3=" "," ", IFERROR( VLOOKUP($A1330,'SUPPLIER DATA BASE'!$A$2:$G$936,4,0),""))</f>
        <v>-</v>
      </c>
      <c r="E1330" s="71" t="str">
        <f>IF($A$3=" "," ", IFERROR( VLOOKUP($A1330,'SUPPLIER DATA BASE'!$A$2:$H$936,5,0),""))</f>
        <v>-</v>
      </c>
      <c r="F1330" s="72"/>
      <c r="G1330" s="73"/>
      <c r="H1330" s="74"/>
      <c r="I1330" s="75"/>
      <c r="J1330" s="76" t="s">
        <v>3843</v>
      </c>
      <c r="K1330" s="76" t="s">
        <v>3844</v>
      </c>
      <c r="L1330" s="73"/>
      <c r="M1330" s="70" t="str">
        <f t="shared" si="3"/>
        <v/>
      </c>
      <c r="N1330" s="70" t="str">
        <f>IF($A$3=" "," ", IFERROR( VLOOKUP($A1330,'SUPPLIER DATA BASE'!$A$2:$O$936,11,0),""))</f>
        <v>-</v>
      </c>
      <c r="O1330" s="70" t="str">
        <f>IF($A$3=" "," ", IFERROR( VLOOKUP($A1330,'SUPPLIER DATA BASE'!$A$2:$O$936,12,0),""))</f>
        <v>-</v>
      </c>
      <c r="P1330" s="70" t="str">
        <f>IF($A$3=" "," ", IFERROR( VLOOKUP($A1330,'SUPPLIER DATA BASE'!$A$2:$O$936,13,0),""))</f>
        <v>-</v>
      </c>
      <c r="Q1330" s="77"/>
      <c r="R1330" s="73"/>
      <c r="S1330" s="77"/>
      <c r="T1330" s="70"/>
      <c r="U1330" s="78"/>
      <c r="V1330" s="70" t="str">
        <f t="shared" si="6"/>
        <v/>
      </c>
      <c r="W1330" s="23"/>
      <c r="X1330" s="23"/>
    </row>
    <row r="1331">
      <c r="A1331" s="70" t="s">
        <v>799</v>
      </c>
      <c r="B1331" s="70" t="str">
        <f>IF($A$3=" "," ", IFERROR( VLOOKUP($A1331,'SUPPLIER DATA BASE'!$A$2:$M$936,3,0),""))</f>
        <v>-</v>
      </c>
      <c r="C1331" s="70" t="str">
        <f>IF($A$3=" "," ", IFERROR( VLOOKUP($A1331,'SUPPLIER DATA BASE'!$A$2:$F$936,6,0),""))</f>
        <v>-</v>
      </c>
      <c r="D1331" s="70" t="str">
        <f>IF($A$3=" "," ", IFERROR( VLOOKUP($A1331,'SUPPLIER DATA BASE'!$A$2:$G$936,4,0),""))</f>
        <v>-</v>
      </c>
      <c r="E1331" s="71" t="str">
        <f>IF($A$3=" "," ", IFERROR( VLOOKUP($A1331,'SUPPLIER DATA BASE'!$A$2:$H$936,5,0),""))</f>
        <v>-</v>
      </c>
      <c r="F1331" s="72"/>
      <c r="G1331" s="73"/>
      <c r="H1331" s="74"/>
      <c r="I1331" s="75"/>
      <c r="J1331" s="76" t="s">
        <v>3845</v>
      </c>
      <c r="K1331" s="76" t="s">
        <v>3846</v>
      </c>
      <c r="L1331" s="73"/>
      <c r="M1331" s="70" t="str">
        <f t="shared" si="3"/>
        <v/>
      </c>
      <c r="N1331" s="70" t="str">
        <f>IF($A$3=" "," ", IFERROR( VLOOKUP($A1331,'SUPPLIER DATA BASE'!$A$2:$O$936,11,0),""))</f>
        <v>VISHAL MARKETING &amp; CO.</v>
      </c>
      <c r="O1331" s="70" t="str">
        <f>IF($A$3=" "," ", IFERROR( VLOOKUP($A1331,'SUPPLIER DATA BASE'!$A$2:$O$936,12,0),""))</f>
        <v>1091008700001025</v>
      </c>
      <c r="P1331" s="70" t="str">
        <f>IF($A$3=" "," ", IFERROR( VLOOKUP($A1331,'SUPPLIER DATA BASE'!$A$2:$O$936,13,0),""))</f>
        <v>PUNB0109100</v>
      </c>
      <c r="Q1331" s="77"/>
      <c r="R1331" s="73"/>
      <c r="S1331" s="77"/>
      <c r="T1331" s="70"/>
      <c r="U1331" s="78"/>
      <c r="V1331" s="70" t="str">
        <f t="shared" si="6"/>
        <v/>
      </c>
      <c r="W1331" s="23"/>
      <c r="X1331" s="23"/>
    </row>
    <row r="1332">
      <c r="A1332" s="70" t="s">
        <v>799</v>
      </c>
      <c r="B1332" s="70" t="str">
        <f>IF($A$3=" "," ", IFERROR( VLOOKUP($A1332,'SUPPLIER DATA BASE'!$A$2:$M$936,3,0),""))</f>
        <v>-</v>
      </c>
      <c r="C1332" s="70" t="str">
        <f>IF($A$3=" "," ", IFERROR( VLOOKUP($A1332,'SUPPLIER DATA BASE'!$A$2:$F$936,6,0),""))</f>
        <v>-</v>
      </c>
      <c r="D1332" s="70" t="str">
        <f>IF($A$3=" "," ", IFERROR( VLOOKUP($A1332,'SUPPLIER DATA BASE'!$A$2:$G$936,4,0),""))</f>
        <v>-</v>
      </c>
      <c r="E1332" s="71" t="str">
        <f>IF($A$3=" "," ", IFERROR( VLOOKUP($A1332,'SUPPLIER DATA BASE'!$A$2:$H$936,5,0),""))</f>
        <v>-</v>
      </c>
      <c r="F1332" s="72"/>
      <c r="G1332" s="73"/>
      <c r="H1332" s="74"/>
      <c r="I1332" s="75"/>
      <c r="J1332" s="76" t="s">
        <v>3847</v>
      </c>
      <c r="K1332" s="76" t="s">
        <v>3848</v>
      </c>
      <c r="L1332" s="73"/>
      <c r="M1332" s="70" t="str">
        <f t="shared" si="3"/>
        <v/>
      </c>
      <c r="N1332" s="70" t="str">
        <f>IF($A$3=" "," ", IFERROR( VLOOKUP($A1332,'SUPPLIER DATA BASE'!$A$2:$O$936,11,0),""))</f>
        <v>VISHAL MARKETING &amp; CO.</v>
      </c>
      <c r="O1332" s="70" t="str">
        <f>IF($A$3=" "," ", IFERROR( VLOOKUP($A1332,'SUPPLIER DATA BASE'!$A$2:$O$936,12,0),""))</f>
        <v>1091008700001025</v>
      </c>
      <c r="P1332" s="70" t="str">
        <f>IF($A$3=" "," ", IFERROR( VLOOKUP($A1332,'SUPPLIER DATA BASE'!$A$2:$O$936,13,0),""))</f>
        <v>PUNB0109100</v>
      </c>
      <c r="Q1332" s="77"/>
      <c r="R1332" s="73"/>
      <c r="S1332" s="77"/>
      <c r="T1332" s="70"/>
      <c r="U1332" s="78"/>
      <c r="V1332" s="70" t="str">
        <f t="shared" si="6"/>
        <v/>
      </c>
      <c r="W1332" s="23"/>
      <c r="X1332" s="23"/>
    </row>
    <row r="1333">
      <c r="A1333" s="70" t="s">
        <v>799</v>
      </c>
      <c r="B1333" s="70" t="str">
        <f>IF($A$3=" "," ", IFERROR( VLOOKUP($A1333,'SUPPLIER DATA BASE'!$A$2:$M$936,3,0),""))</f>
        <v>-</v>
      </c>
      <c r="C1333" s="70" t="str">
        <f>IF($A$3=" "," ", IFERROR( VLOOKUP($A1333,'SUPPLIER DATA BASE'!$A$2:$F$936,6,0),""))</f>
        <v>-</v>
      </c>
      <c r="D1333" s="70" t="str">
        <f>IF($A$3=" "," ", IFERROR( VLOOKUP($A1333,'SUPPLIER DATA BASE'!$A$2:$G$936,4,0),""))</f>
        <v>-</v>
      </c>
      <c r="E1333" s="71" t="str">
        <f>IF($A$3=" "," ", IFERROR( VLOOKUP($A1333,'SUPPLIER DATA BASE'!$A$2:$H$936,5,0),""))</f>
        <v>-</v>
      </c>
      <c r="F1333" s="72"/>
      <c r="G1333" s="73"/>
      <c r="H1333" s="74"/>
      <c r="I1333" s="75"/>
      <c r="J1333" s="76" t="s">
        <v>3849</v>
      </c>
      <c r="K1333" s="76" t="s">
        <v>3850</v>
      </c>
      <c r="L1333" s="73"/>
      <c r="M1333" s="70" t="str">
        <f t="shared" si="3"/>
        <v/>
      </c>
      <c r="N1333" s="70" t="str">
        <f>IF($A$3=" "," ", IFERROR( VLOOKUP($A1333,'SUPPLIER DATA BASE'!$A$2:$O$936,11,0),""))</f>
        <v>VISHAL MARKETING &amp; CO.</v>
      </c>
      <c r="O1333" s="70" t="str">
        <f>IF($A$3=" "," ", IFERROR( VLOOKUP($A1333,'SUPPLIER DATA BASE'!$A$2:$O$936,12,0),""))</f>
        <v>1091008700001025</v>
      </c>
      <c r="P1333" s="70" t="str">
        <f>IF($A$3=" "," ", IFERROR( VLOOKUP($A1333,'SUPPLIER DATA BASE'!$A$2:$O$936,13,0),""))</f>
        <v>PUNB0109100</v>
      </c>
      <c r="Q1333" s="77"/>
      <c r="R1333" s="73"/>
      <c r="S1333" s="77"/>
      <c r="T1333" s="70"/>
      <c r="U1333" s="78"/>
      <c r="V1333" s="70" t="str">
        <f t="shared" si="6"/>
        <v/>
      </c>
      <c r="W1333" s="23"/>
      <c r="X1333" s="23"/>
    </row>
    <row r="1334">
      <c r="A1334" s="70" t="s">
        <v>799</v>
      </c>
      <c r="B1334" s="70" t="str">
        <f>IF($A$3=" "," ", IFERROR( VLOOKUP($A1334,'SUPPLIER DATA BASE'!$A$2:$M$936,3,0),""))</f>
        <v>-</v>
      </c>
      <c r="C1334" s="70" t="str">
        <f>IF($A$3=" "," ", IFERROR( VLOOKUP($A1334,'SUPPLIER DATA BASE'!$A$2:$F$936,6,0),""))</f>
        <v>-</v>
      </c>
      <c r="D1334" s="70" t="str">
        <f>IF($A$3=" "," ", IFERROR( VLOOKUP($A1334,'SUPPLIER DATA BASE'!$A$2:$G$936,4,0),""))</f>
        <v>-</v>
      </c>
      <c r="E1334" s="71" t="str">
        <f>IF($A$3=" "," ", IFERROR( VLOOKUP($A1334,'SUPPLIER DATA BASE'!$A$2:$H$936,5,0),""))</f>
        <v>-</v>
      </c>
      <c r="F1334" s="72"/>
      <c r="G1334" s="73"/>
      <c r="H1334" s="74"/>
      <c r="I1334" s="75"/>
      <c r="J1334" s="76" t="s">
        <v>3851</v>
      </c>
      <c r="K1334" s="76" t="s">
        <v>3852</v>
      </c>
      <c r="L1334" s="73"/>
      <c r="M1334" s="70" t="str">
        <f t="shared" si="3"/>
        <v/>
      </c>
      <c r="N1334" s="70" t="str">
        <f>IF($A$3=" "," ", IFERROR( VLOOKUP($A1334,'SUPPLIER DATA BASE'!$A$2:$O$936,11,0),""))</f>
        <v>VISHAL MARKETING &amp; CO.</v>
      </c>
      <c r="O1334" s="70" t="str">
        <f>IF($A$3=" "," ", IFERROR( VLOOKUP($A1334,'SUPPLIER DATA BASE'!$A$2:$O$936,12,0),""))</f>
        <v>1091008700001025</v>
      </c>
      <c r="P1334" s="70" t="str">
        <f>IF($A$3=" "," ", IFERROR( VLOOKUP($A1334,'SUPPLIER DATA BASE'!$A$2:$O$936,13,0),""))</f>
        <v>PUNB0109100</v>
      </c>
      <c r="Q1334" s="77"/>
      <c r="R1334" s="73"/>
      <c r="S1334" s="77"/>
      <c r="T1334" s="70"/>
      <c r="U1334" s="78"/>
      <c r="V1334" s="70" t="str">
        <f t="shared" si="6"/>
        <v/>
      </c>
      <c r="W1334" s="23"/>
      <c r="X1334" s="23"/>
    </row>
    <row r="1335">
      <c r="A1335" s="70" t="s">
        <v>848</v>
      </c>
      <c r="B1335" s="70" t="str">
        <f>IF($A$3=" "," ", IFERROR( VLOOKUP($A1335,'SUPPLIER DATA BASE'!$A$2:$M$936,3,0),""))</f>
        <v>-</v>
      </c>
      <c r="C1335" s="70" t="str">
        <f>IF($A$3=" "," ", IFERROR( VLOOKUP($A1335,'SUPPLIER DATA BASE'!$A$2:$F$936,6,0),""))</f>
        <v>-</v>
      </c>
      <c r="D1335" s="70" t="str">
        <f>IF($A$3=" "," ", IFERROR( VLOOKUP($A1335,'SUPPLIER DATA BASE'!$A$2:$G$936,4,0),""))</f>
        <v>-</v>
      </c>
      <c r="E1335" s="71" t="str">
        <f>IF($A$3=" "," ", IFERROR( VLOOKUP($A1335,'SUPPLIER DATA BASE'!$A$2:$H$936,5,0),""))</f>
        <v>-</v>
      </c>
      <c r="F1335" s="72"/>
      <c r="G1335" s="73"/>
      <c r="H1335" s="74"/>
      <c r="I1335" s="75"/>
      <c r="J1335" s="76" t="s">
        <v>3853</v>
      </c>
      <c r="K1335" s="76" t="s">
        <v>3854</v>
      </c>
      <c r="L1335" s="73"/>
      <c r="M1335" s="70" t="str">
        <f t="shared" si="3"/>
        <v/>
      </c>
      <c r="N1335" s="70" t="str">
        <f>IF($A$3=" "," ", IFERROR( VLOOKUP($A1335,'SUPPLIER DATA BASE'!$A$2:$O$936,11,0),""))</f>
        <v>-</v>
      </c>
      <c r="O1335" s="70" t="str">
        <f>IF($A$3=" "," ", IFERROR( VLOOKUP($A1335,'SUPPLIER DATA BASE'!$A$2:$O$936,12,0),""))</f>
        <v>-</v>
      </c>
      <c r="P1335" s="70" t="str">
        <f>IF($A$3=" "," ", IFERROR( VLOOKUP($A1335,'SUPPLIER DATA BASE'!$A$2:$O$936,13,0),""))</f>
        <v>-</v>
      </c>
      <c r="Q1335" s="77"/>
      <c r="R1335" s="73"/>
      <c r="S1335" s="77"/>
      <c r="T1335" s="70"/>
      <c r="U1335" s="78"/>
      <c r="V1335" s="70" t="str">
        <f t="shared" si="6"/>
        <v/>
      </c>
      <c r="W1335" s="23"/>
      <c r="X1335" s="23"/>
    </row>
    <row r="1336">
      <c r="A1336" s="70" t="s">
        <v>575</v>
      </c>
      <c r="B1336" s="70" t="str">
        <f>IF($A$3=" "," ", IFERROR( VLOOKUP($A1336,'SUPPLIER DATA BASE'!$A$2:$M$936,3,0),""))</f>
        <v>BLACKBERRY</v>
      </c>
      <c r="C1336" s="70" t="str">
        <f>IF($A$3=" "," ", IFERROR( VLOOKUP($A1336,'SUPPLIER DATA BASE'!$A$2:$F$936,6,0),""))</f>
        <v>-</v>
      </c>
      <c r="D1336" s="70" t="str">
        <f>IF($A$3=" "," ", IFERROR( VLOOKUP($A1336,'SUPPLIER DATA BASE'!$A$2:$G$936,4,0),""))</f>
        <v>-</v>
      </c>
      <c r="E1336" s="71" t="str">
        <f>IF($A$3=" "," ", IFERROR( VLOOKUP($A1336,'SUPPLIER DATA BASE'!$A$2:$H$936,5,0),""))</f>
        <v>-</v>
      </c>
      <c r="F1336" s="72"/>
      <c r="G1336" s="73"/>
      <c r="H1336" s="74"/>
      <c r="I1336" s="75"/>
      <c r="J1336" s="76" t="s">
        <v>3855</v>
      </c>
      <c r="K1336" s="76" t="s">
        <v>3856</v>
      </c>
      <c r="L1336" s="73"/>
      <c r="M1336" s="70" t="str">
        <f t="shared" si="3"/>
        <v/>
      </c>
      <c r="N1336" s="70" t="str">
        <f>IF($A$3=" "," ", IFERROR( VLOOKUP($A1336,'SUPPLIER DATA BASE'!$A$2:$O$936,11,0),""))</f>
        <v>MOHAN CLOTHING COMPANY PVT LTD</v>
      </c>
      <c r="O1336" s="70" t="str">
        <f>IF($A$3=" "," ", IFERROR( VLOOKUP($A1336,'SUPPLIER DATA BASE'!$A$2:$O$936,12,0),""))</f>
        <v>0710096023</v>
      </c>
      <c r="P1336" s="70" t="str">
        <f>IF($A$3=" "," ", IFERROR( VLOOKUP($A1336,'SUPPLIER DATA BASE'!$A$2:$O$936,13,0),""))</f>
        <v>CITI0000002</v>
      </c>
      <c r="Q1336" s="77"/>
      <c r="R1336" s="73"/>
      <c r="S1336" s="77"/>
      <c r="T1336" s="70"/>
      <c r="U1336" s="78"/>
      <c r="V1336" s="70" t="str">
        <f t="shared" si="6"/>
        <v/>
      </c>
      <c r="W1336" s="23"/>
      <c r="X1336" s="23"/>
    </row>
    <row r="1337">
      <c r="A1337" s="70" t="s">
        <v>354</v>
      </c>
      <c r="B1337" s="70" t="str">
        <f>IF($A$3=" "," ", IFERROR( VLOOKUP($A1337,'SUPPLIER DATA BASE'!$A$2:$M$936,3,0),""))</f>
        <v>-</v>
      </c>
      <c r="C1337" s="70" t="str">
        <f>IF($A$3=" "," ", IFERROR( VLOOKUP($A1337,'SUPPLIER DATA BASE'!$A$2:$F$936,6,0),""))</f>
        <v>-</v>
      </c>
      <c r="D1337" s="70" t="str">
        <f>IF($A$3=" "," ", IFERROR( VLOOKUP($A1337,'SUPPLIER DATA BASE'!$A$2:$G$936,4,0),""))</f>
        <v>-</v>
      </c>
      <c r="E1337" s="71" t="str">
        <f>IF($A$3=" "," ", IFERROR( VLOOKUP($A1337,'SUPPLIER DATA BASE'!$A$2:$H$936,5,0),""))</f>
        <v>-</v>
      </c>
      <c r="F1337" s="72" t="s">
        <v>3857</v>
      </c>
      <c r="G1337" s="73"/>
      <c r="H1337" s="74"/>
      <c r="I1337" s="75"/>
      <c r="J1337" s="76" t="s">
        <v>3858</v>
      </c>
      <c r="K1337" s="76" t="s">
        <v>3859</v>
      </c>
      <c r="L1337" s="73"/>
      <c r="M1337" s="70" t="str">
        <f t="shared" si="3"/>
        <v/>
      </c>
      <c r="N1337" s="70" t="str">
        <f>IF($A$3=" "," ", IFERROR( VLOOKUP($A1337,'SUPPLIER DATA BASE'!$A$2:$O$936,11,0),""))</f>
        <v>-</v>
      </c>
      <c r="O1337" s="70" t="str">
        <f>IF($A$3=" "," ", IFERROR( VLOOKUP($A1337,'SUPPLIER DATA BASE'!$A$2:$O$936,12,0),""))</f>
        <v>-</v>
      </c>
      <c r="P1337" s="70" t="str">
        <f>IF($A$3=" "," ", IFERROR( VLOOKUP($A1337,'SUPPLIER DATA BASE'!$A$2:$O$936,13,0),""))</f>
        <v>-</v>
      </c>
      <c r="Q1337" s="77"/>
      <c r="R1337" s="73"/>
      <c r="S1337" s="77"/>
      <c r="T1337" s="70"/>
      <c r="U1337" s="78"/>
      <c r="V1337" s="70" t="str">
        <f t="shared" si="6"/>
        <v/>
      </c>
      <c r="W1337" s="23"/>
      <c r="X1337" s="23"/>
    </row>
    <row r="1338">
      <c r="A1338" s="70" t="s">
        <v>354</v>
      </c>
      <c r="B1338" s="70" t="str">
        <f>IF($A$3=" "," ", IFERROR( VLOOKUP($A1338,'SUPPLIER DATA BASE'!$A$2:$M$936,3,0),""))</f>
        <v>-</v>
      </c>
      <c r="C1338" s="70" t="str">
        <f>IF($A$3=" "," ", IFERROR( VLOOKUP($A1338,'SUPPLIER DATA BASE'!$A$2:$F$936,6,0),""))</f>
        <v>-</v>
      </c>
      <c r="D1338" s="70" t="str">
        <f>IF($A$3=" "," ", IFERROR( VLOOKUP($A1338,'SUPPLIER DATA BASE'!$A$2:$G$936,4,0),""))</f>
        <v>-</v>
      </c>
      <c r="E1338" s="71" t="str">
        <f>IF($A$3=" "," ", IFERROR( VLOOKUP($A1338,'SUPPLIER DATA BASE'!$A$2:$H$936,5,0),""))</f>
        <v>-</v>
      </c>
      <c r="F1338" s="72" t="s">
        <v>3860</v>
      </c>
      <c r="G1338" s="73"/>
      <c r="H1338" s="74"/>
      <c r="I1338" s="75"/>
      <c r="J1338" s="76" t="s">
        <v>3861</v>
      </c>
      <c r="K1338" s="76" t="s">
        <v>3862</v>
      </c>
      <c r="L1338" s="73"/>
      <c r="M1338" s="70" t="str">
        <f t="shared" si="3"/>
        <v/>
      </c>
      <c r="N1338" s="70" t="str">
        <f>IF($A$3=" "," ", IFERROR( VLOOKUP($A1338,'SUPPLIER DATA BASE'!$A$2:$O$936,11,0),""))</f>
        <v>-</v>
      </c>
      <c r="O1338" s="70" t="str">
        <f>IF($A$3=" "," ", IFERROR( VLOOKUP($A1338,'SUPPLIER DATA BASE'!$A$2:$O$936,12,0),""))</f>
        <v>-</v>
      </c>
      <c r="P1338" s="70" t="str">
        <f>IF($A$3=" "," ", IFERROR( VLOOKUP($A1338,'SUPPLIER DATA BASE'!$A$2:$O$936,13,0),""))</f>
        <v>-</v>
      </c>
      <c r="Q1338" s="77"/>
      <c r="R1338" s="73"/>
      <c r="S1338" s="77"/>
      <c r="T1338" s="70"/>
      <c r="U1338" s="78"/>
      <c r="V1338" s="70" t="str">
        <f t="shared" si="6"/>
        <v/>
      </c>
      <c r="W1338" s="23"/>
      <c r="X1338" s="23"/>
    </row>
    <row r="1339">
      <c r="A1339" s="70" t="s">
        <v>354</v>
      </c>
      <c r="B1339" s="70" t="str">
        <f>IF($A$3=" "," ", IFERROR( VLOOKUP($A1339,'SUPPLIER DATA BASE'!$A$2:$M$936,3,0),""))</f>
        <v>-</v>
      </c>
      <c r="C1339" s="70" t="str">
        <f>IF($A$3=" "," ", IFERROR( VLOOKUP($A1339,'SUPPLIER DATA BASE'!$A$2:$F$936,6,0),""))</f>
        <v>-</v>
      </c>
      <c r="D1339" s="70" t="str">
        <f>IF($A$3=" "," ", IFERROR( VLOOKUP($A1339,'SUPPLIER DATA BASE'!$A$2:$G$936,4,0),""))</f>
        <v>-</v>
      </c>
      <c r="E1339" s="71" t="str">
        <f>IF($A$3=" "," ", IFERROR( VLOOKUP($A1339,'SUPPLIER DATA BASE'!$A$2:$H$936,5,0),""))</f>
        <v>-</v>
      </c>
      <c r="F1339" s="72" t="s">
        <v>3863</v>
      </c>
      <c r="G1339" s="73"/>
      <c r="H1339" s="74"/>
      <c r="I1339" s="75"/>
      <c r="J1339" s="76" t="s">
        <v>3864</v>
      </c>
      <c r="K1339" s="76" t="s">
        <v>3865</v>
      </c>
      <c r="L1339" s="73"/>
      <c r="M1339" s="70" t="str">
        <f t="shared" si="3"/>
        <v/>
      </c>
      <c r="N1339" s="70" t="str">
        <f>IF($A$3=" "," ", IFERROR( VLOOKUP($A1339,'SUPPLIER DATA BASE'!$A$2:$O$936,11,0),""))</f>
        <v>-</v>
      </c>
      <c r="O1339" s="70" t="str">
        <f>IF($A$3=" "," ", IFERROR( VLOOKUP($A1339,'SUPPLIER DATA BASE'!$A$2:$O$936,12,0),""))</f>
        <v>-</v>
      </c>
      <c r="P1339" s="70" t="str">
        <f>IF($A$3=" "," ", IFERROR( VLOOKUP($A1339,'SUPPLIER DATA BASE'!$A$2:$O$936,13,0),""))</f>
        <v>-</v>
      </c>
      <c r="Q1339" s="77"/>
      <c r="R1339" s="73"/>
      <c r="S1339" s="77"/>
      <c r="T1339" s="70"/>
      <c r="U1339" s="78"/>
      <c r="V1339" s="70" t="str">
        <f t="shared" si="6"/>
        <v/>
      </c>
      <c r="W1339" s="23"/>
      <c r="X1339" s="23"/>
    </row>
    <row r="1340">
      <c r="A1340" s="70" t="s">
        <v>354</v>
      </c>
      <c r="B1340" s="70" t="str">
        <f>IF($A$3=" "," ", IFERROR( VLOOKUP($A1340,'SUPPLIER DATA BASE'!$A$2:$M$936,3,0),""))</f>
        <v>-</v>
      </c>
      <c r="C1340" s="70" t="str">
        <f>IF($A$3=" "," ", IFERROR( VLOOKUP($A1340,'SUPPLIER DATA BASE'!$A$2:$F$936,6,0),""))</f>
        <v>-</v>
      </c>
      <c r="D1340" s="70" t="str">
        <f>IF($A$3=" "," ", IFERROR( VLOOKUP($A1340,'SUPPLIER DATA BASE'!$A$2:$G$936,4,0),""))</f>
        <v>-</v>
      </c>
      <c r="E1340" s="71" t="str">
        <f>IF($A$3=" "," ", IFERROR( VLOOKUP($A1340,'SUPPLIER DATA BASE'!$A$2:$H$936,5,0),""))</f>
        <v>-</v>
      </c>
      <c r="F1340" s="72" t="s">
        <v>3866</v>
      </c>
      <c r="G1340" s="73"/>
      <c r="H1340" s="74"/>
      <c r="I1340" s="75"/>
      <c r="J1340" s="76" t="s">
        <v>3867</v>
      </c>
      <c r="K1340" s="76" t="s">
        <v>3868</v>
      </c>
      <c r="L1340" s="73"/>
      <c r="M1340" s="70" t="str">
        <f t="shared" si="3"/>
        <v/>
      </c>
      <c r="N1340" s="70" t="str">
        <f>IF($A$3=" "," ", IFERROR( VLOOKUP($A1340,'SUPPLIER DATA BASE'!$A$2:$O$936,11,0),""))</f>
        <v>-</v>
      </c>
      <c r="O1340" s="70" t="str">
        <f>IF($A$3=" "," ", IFERROR( VLOOKUP($A1340,'SUPPLIER DATA BASE'!$A$2:$O$936,12,0),""))</f>
        <v>-</v>
      </c>
      <c r="P1340" s="70" t="str">
        <f>IF($A$3=" "," ", IFERROR( VLOOKUP($A1340,'SUPPLIER DATA BASE'!$A$2:$O$936,13,0),""))</f>
        <v>-</v>
      </c>
      <c r="Q1340" s="77"/>
      <c r="R1340" s="73"/>
      <c r="S1340" s="77"/>
      <c r="T1340" s="70"/>
      <c r="U1340" s="78"/>
      <c r="V1340" s="70" t="str">
        <f t="shared" si="6"/>
        <v/>
      </c>
      <c r="W1340" s="23"/>
      <c r="X1340" s="23"/>
    </row>
    <row r="1341">
      <c r="A1341" s="70" t="s">
        <v>354</v>
      </c>
      <c r="B1341" s="70" t="str">
        <f>IF($A$3=" "," ", IFERROR( VLOOKUP($A1341,'SUPPLIER DATA BASE'!$A$2:$M$936,3,0),""))</f>
        <v>-</v>
      </c>
      <c r="C1341" s="70" t="str">
        <f>IF($A$3=" "," ", IFERROR( VLOOKUP($A1341,'SUPPLIER DATA BASE'!$A$2:$F$936,6,0),""))</f>
        <v>-</v>
      </c>
      <c r="D1341" s="70" t="str">
        <f>IF($A$3=" "," ", IFERROR( VLOOKUP($A1341,'SUPPLIER DATA BASE'!$A$2:$G$936,4,0),""))</f>
        <v>-</v>
      </c>
      <c r="E1341" s="71" t="str">
        <f>IF($A$3=" "," ", IFERROR( VLOOKUP($A1341,'SUPPLIER DATA BASE'!$A$2:$H$936,5,0),""))</f>
        <v>-</v>
      </c>
      <c r="F1341" s="72" t="s">
        <v>3869</v>
      </c>
      <c r="G1341" s="73"/>
      <c r="H1341" s="74"/>
      <c r="I1341" s="75"/>
      <c r="J1341" s="76" t="s">
        <v>3870</v>
      </c>
      <c r="K1341" s="76" t="s">
        <v>3871</v>
      </c>
      <c r="L1341" s="73"/>
      <c r="M1341" s="70" t="str">
        <f t="shared" si="3"/>
        <v/>
      </c>
      <c r="N1341" s="70" t="str">
        <f>IF($A$3=" "," ", IFERROR( VLOOKUP($A1341,'SUPPLIER DATA BASE'!$A$2:$O$936,11,0),""))</f>
        <v>-</v>
      </c>
      <c r="O1341" s="70" t="str">
        <f>IF($A$3=" "," ", IFERROR( VLOOKUP($A1341,'SUPPLIER DATA BASE'!$A$2:$O$936,12,0),""))</f>
        <v>-</v>
      </c>
      <c r="P1341" s="70" t="str">
        <f>IF($A$3=" "," ", IFERROR( VLOOKUP($A1341,'SUPPLIER DATA BASE'!$A$2:$O$936,13,0),""))</f>
        <v>-</v>
      </c>
      <c r="Q1341" s="77"/>
      <c r="R1341" s="73"/>
      <c r="S1341" s="77"/>
      <c r="T1341" s="70"/>
      <c r="U1341" s="78"/>
      <c r="V1341" s="70" t="str">
        <f t="shared" si="6"/>
        <v/>
      </c>
      <c r="W1341" s="23"/>
      <c r="X1341" s="23"/>
    </row>
    <row r="1342">
      <c r="A1342" s="70" t="s">
        <v>354</v>
      </c>
      <c r="B1342" s="70" t="str">
        <f>IF($A$3=" "," ", IFERROR( VLOOKUP($A1342,'SUPPLIER DATA BASE'!$A$2:$M$936,3,0),""))</f>
        <v>-</v>
      </c>
      <c r="C1342" s="70" t="str">
        <f>IF($A$3=" "," ", IFERROR( VLOOKUP($A1342,'SUPPLIER DATA BASE'!$A$2:$F$936,6,0),""))</f>
        <v>-</v>
      </c>
      <c r="D1342" s="70" t="str">
        <f>IF($A$3=" "," ", IFERROR( VLOOKUP($A1342,'SUPPLIER DATA BASE'!$A$2:$G$936,4,0),""))</f>
        <v>-</v>
      </c>
      <c r="E1342" s="71" t="str">
        <f>IF($A$3=" "," ", IFERROR( VLOOKUP($A1342,'SUPPLIER DATA BASE'!$A$2:$H$936,5,0),""))</f>
        <v>-</v>
      </c>
      <c r="F1342" s="72" t="s">
        <v>3872</v>
      </c>
      <c r="G1342" s="73"/>
      <c r="H1342" s="74"/>
      <c r="I1342" s="75"/>
      <c r="J1342" s="76" t="s">
        <v>3873</v>
      </c>
      <c r="K1342" s="76" t="s">
        <v>3874</v>
      </c>
      <c r="L1342" s="73"/>
      <c r="M1342" s="70" t="str">
        <f t="shared" si="3"/>
        <v/>
      </c>
      <c r="N1342" s="70" t="str">
        <f>IF($A$3=" "," ", IFERROR( VLOOKUP($A1342,'SUPPLIER DATA BASE'!$A$2:$O$936,11,0),""))</f>
        <v>-</v>
      </c>
      <c r="O1342" s="70" t="str">
        <f>IF($A$3=" "," ", IFERROR( VLOOKUP($A1342,'SUPPLIER DATA BASE'!$A$2:$O$936,12,0),""))</f>
        <v>-</v>
      </c>
      <c r="P1342" s="70" t="str">
        <f>IF($A$3=" "," ", IFERROR( VLOOKUP($A1342,'SUPPLIER DATA BASE'!$A$2:$O$936,13,0),""))</f>
        <v>-</v>
      </c>
      <c r="Q1342" s="77"/>
      <c r="R1342" s="73"/>
      <c r="S1342" s="77"/>
      <c r="T1342" s="70"/>
      <c r="U1342" s="78"/>
      <c r="V1342" s="70" t="str">
        <f t="shared" si="6"/>
        <v/>
      </c>
      <c r="W1342" s="23"/>
      <c r="X1342" s="23"/>
    </row>
    <row r="1343">
      <c r="A1343" s="70" t="s">
        <v>354</v>
      </c>
      <c r="B1343" s="70" t="str">
        <f>IF($A$3=" "," ", IFERROR( VLOOKUP($A1343,'SUPPLIER DATA BASE'!$A$2:$M$936,3,0),""))</f>
        <v>-</v>
      </c>
      <c r="C1343" s="70" t="str">
        <f>IF($A$3=" "," ", IFERROR( VLOOKUP($A1343,'SUPPLIER DATA BASE'!$A$2:$F$936,6,0),""))</f>
        <v>-</v>
      </c>
      <c r="D1343" s="70" t="str">
        <f>IF($A$3=" "," ", IFERROR( VLOOKUP($A1343,'SUPPLIER DATA BASE'!$A$2:$G$936,4,0),""))</f>
        <v>-</v>
      </c>
      <c r="E1343" s="71" t="str">
        <f>IF($A$3=" "," ", IFERROR( VLOOKUP($A1343,'SUPPLIER DATA BASE'!$A$2:$H$936,5,0),""))</f>
        <v>-</v>
      </c>
      <c r="F1343" s="72" t="s">
        <v>3875</v>
      </c>
      <c r="G1343" s="73"/>
      <c r="H1343" s="74"/>
      <c r="I1343" s="75"/>
      <c r="J1343" s="76" t="s">
        <v>3876</v>
      </c>
      <c r="K1343" s="76" t="s">
        <v>3877</v>
      </c>
      <c r="L1343" s="73"/>
      <c r="M1343" s="70" t="str">
        <f t="shared" si="3"/>
        <v/>
      </c>
      <c r="N1343" s="70" t="str">
        <f>IF($A$3=" "," ", IFERROR( VLOOKUP($A1343,'SUPPLIER DATA BASE'!$A$2:$O$936,11,0),""))</f>
        <v>-</v>
      </c>
      <c r="O1343" s="70" t="str">
        <f>IF($A$3=" "," ", IFERROR( VLOOKUP($A1343,'SUPPLIER DATA BASE'!$A$2:$O$936,12,0),""))</f>
        <v>-</v>
      </c>
      <c r="P1343" s="70" t="str">
        <f>IF($A$3=" "," ", IFERROR( VLOOKUP($A1343,'SUPPLIER DATA BASE'!$A$2:$O$936,13,0),""))</f>
        <v>-</v>
      </c>
      <c r="Q1343" s="77"/>
      <c r="R1343" s="73"/>
      <c r="S1343" s="77"/>
      <c r="T1343" s="70"/>
      <c r="U1343" s="78"/>
      <c r="V1343" s="70" t="str">
        <f t="shared" si="6"/>
        <v/>
      </c>
      <c r="W1343" s="23"/>
      <c r="X1343" s="23"/>
    </row>
    <row r="1344">
      <c r="A1344" s="70" t="s">
        <v>354</v>
      </c>
      <c r="B1344" s="70" t="str">
        <f>IF($A$3=" "," ", IFERROR( VLOOKUP($A1344,'SUPPLIER DATA BASE'!$A$2:$M$936,3,0),""))</f>
        <v>-</v>
      </c>
      <c r="C1344" s="70" t="str">
        <f>IF($A$3=" "," ", IFERROR( VLOOKUP($A1344,'SUPPLIER DATA BASE'!$A$2:$F$936,6,0),""))</f>
        <v>-</v>
      </c>
      <c r="D1344" s="70" t="str">
        <f>IF($A$3=" "," ", IFERROR( VLOOKUP($A1344,'SUPPLIER DATA BASE'!$A$2:$G$936,4,0),""))</f>
        <v>-</v>
      </c>
      <c r="E1344" s="71" t="str">
        <f>IF($A$3=" "," ", IFERROR( VLOOKUP($A1344,'SUPPLIER DATA BASE'!$A$2:$H$936,5,0),""))</f>
        <v>-</v>
      </c>
      <c r="F1344" s="72" t="s">
        <v>3878</v>
      </c>
      <c r="G1344" s="73"/>
      <c r="H1344" s="74"/>
      <c r="I1344" s="75"/>
      <c r="J1344" s="76" t="s">
        <v>3879</v>
      </c>
      <c r="K1344" s="76" t="s">
        <v>3880</v>
      </c>
      <c r="L1344" s="73"/>
      <c r="M1344" s="70" t="str">
        <f t="shared" si="3"/>
        <v/>
      </c>
      <c r="N1344" s="70" t="str">
        <f>IF($A$3=" "," ", IFERROR( VLOOKUP($A1344,'SUPPLIER DATA BASE'!$A$2:$O$936,11,0),""))</f>
        <v>-</v>
      </c>
      <c r="O1344" s="70" t="str">
        <f>IF($A$3=" "," ", IFERROR( VLOOKUP($A1344,'SUPPLIER DATA BASE'!$A$2:$O$936,12,0),""))</f>
        <v>-</v>
      </c>
      <c r="P1344" s="70" t="str">
        <f>IF($A$3=" "," ", IFERROR( VLOOKUP($A1344,'SUPPLIER DATA BASE'!$A$2:$O$936,13,0),""))</f>
        <v>-</v>
      </c>
      <c r="Q1344" s="77"/>
      <c r="R1344" s="73"/>
      <c r="S1344" s="77"/>
      <c r="T1344" s="70"/>
      <c r="U1344" s="78"/>
      <c r="V1344" s="70" t="str">
        <f t="shared" si="6"/>
        <v/>
      </c>
      <c r="W1344" s="23"/>
      <c r="X1344" s="23"/>
    </row>
    <row r="1345">
      <c r="A1345" s="70" t="s">
        <v>354</v>
      </c>
      <c r="B1345" s="70" t="str">
        <f>IF($A$3=" "," ", IFERROR( VLOOKUP($A1345,'SUPPLIER DATA BASE'!$A$2:$M$936,3,0),""))</f>
        <v>-</v>
      </c>
      <c r="C1345" s="70" t="str">
        <f>IF($A$3=" "," ", IFERROR( VLOOKUP($A1345,'SUPPLIER DATA BASE'!$A$2:$F$936,6,0),""))</f>
        <v>-</v>
      </c>
      <c r="D1345" s="70" t="str">
        <f>IF($A$3=" "," ", IFERROR( VLOOKUP($A1345,'SUPPLIER DATA BASE'!$A$2:$G$936,4,0),""))</f>
        <v>-</v>
      </c>
      <c r="E1345" s="71" t="str">
        <f>IF($A$3=" "," ", IFERROR( VLOOKUP($A1345,'SUPPLIER DATA BASE'!$A$2:$H$936,5,0),""))</f>
        <v>-</v>
      </c>
      <c r="F1345" s="72" t="s">
        <v>3881</v>
      </c>
      <c r="G1345" s="73"/>
      <c r="H1345" s="74"/>
      <c r="I1345" s="75"/>
      <c r="J1345" s="76" t="s">
        <v>3882</v>
      </c>
      <c r="K1345" s="76" t="s">
        <v>3883</v>
      </c>
      <c r="L1345" s="73"/>
      <c r="M1345" s="70" t="str">
        <f t="shared" si="3"/>
        <v/>
      </c>
      <c r="N1345" s="70" t="str">
        <f>IF($A$3=" "," ", IFERROR( VLOOKUP($A1345,'SUPPLIER DATA BASE'!$A$2:$O$936,11,0),""))</f>
        <v>-</v>
      </c>
      <c r="O1345" s="70" t="str">
        <f>IF($A$3=" "," ", IFERROR( VLOOKUP($A1345,'SUPPLIER DATA BASE'!$A$2:$O$936,12,0),""))</f>
        <v>-</v>
      </c>
      <c r="P1345" s="70" t="str">
        <f>IF($A$3=" "," ", IFERROR( VLOOKUP($A1345,'SUPPLIER DATA BASE'!$A$2:$O$936,13,0),""))</f>
        <v>-</v>
      </c>
      <c r="Q1345" s="77"/>
      <c r="R1345" s="73"/>
      <c r="S1345" s="77"/>
      <c r="T1345" s="70"/>
      <c r="U1345" s="78"/>
      <c r="V1345" s="70" t="str">
        <f t="shared" si="6"/>
        <v/>
      </c>
      <c r="W1345" s="23"/>
      <c r="X1345" s="23"/>
    </row>
    <row r="1346">
      <c r="A1346" s="70" t="s">
        <v>799</v>
      </c>
      <c r="B1346" s="70" t="str">
        <f>IF($A$3=" "," ", IFERROR( VLOOKUP($A1346,'SUPPLIER DATA BASE'!$A$2:$M$936,3,0),""))</f>
        <v>-</v>
      </c>
      <c r="C1346" s="70" t="str">
        <f>IF($A$3=" "," ", IFERROR( VLOOKUP($A1346,'SUPPLIER DATA BASE'!$A$2:$F$936,6,0),""))</f>
        <v>-</v>
      </c>
      <c r="D1346" s="70" t="str">
        <f>IF($A$3=" "," ", IFERROR( VLOOKUP($A1346,'SUPPLIER DATA BASE'!$A$2:$G$936,4,0),""))</f>
        <v>-</v>
      </c>
      <c r="E1346" s="71" t="str">
        <f>IF($A$3=" "," ", IFERROR( VLOOKUP($A1346,'SUPPLIER DATA BASE'!$A$2:$H$936,5,0),""))</f>
        <v>-</v>
      </c>
      <c r="F1346" s="72"/>
      <c r="G1346" s="73"/>
      <c r="H1346" s="74"/>
      <c r="I1346" s="75"/>
      <c r="J1346" s="76" t="s">
        <v>3884</v>
      </c>
      <c r="K1346" s="76" t="s">
        <v>3885</v>
      </c>
      <c r="L1346" s="73"/>
      <c r="M1346" s="70" t="str">
        <f t="shared" si="3"/>
        <v/>
      </c>
      <c r="N1346" s="70" t="str">
        <f>IF($A$3=" "," ", IFERROR( VLOOKUP($A1346,'SUPPLIER DATA BASE'!$A$2:$O$936,11,0),""))</f>
        <v>VISHAL MARKETING &amp; CO.</v>
      </c>
      <c r="O1346" s="70" t="str">
        <f>IF($A$3=" "," ", IFERROR( VLOOKUP($A1346,'SUPPLIER DATA BASE'!$A$2:$O$936,12,0),""))</f>
        <v>1091008700001025</v>
      </c>
      <c r="P1346" s="70" t="str">
        <f>IF($A$3=" "," ", IFERROR( VLOOKUP($A1346,'SUPPLIER DATA BASE'!$A$2:$O$936,13,0),""))</f>
        <v>PUNB0109100</v>
      </c>
      <c r="Q1346" s="77"/>
      <c r="R1346" s="73"/>
      <c r="S1346" s="77"/>
      <c r="T1346" s="70"/>
      <c r="U1346" s="78"/>
      <c r="V1346" s="70" t="str">
        <f t="shared" si="6"/>
        <v/>
      </c>
      <c r="W1346" s="23"/>
      <c r="X1346" s="23"/>
    </row>
    <row r="1347">
      <c r="A1347" s="70" t="s">
        <v>799</v>
      </c>
      <c r="B1347" s="70" t="str">
        <f>IF($A$3=" "," ", IFERROR( VLOOKUP($A1347,'SUPPLIER DATA BASE'!$A$2:$M$936,3,0),""))</f>
        <v>-</v>
      </c>
      <c r="C1347" s="70" t="str">
        <f>IF($A$3=" "," ", IFERROR( VLOOKUP($A1347,'SUPPLIER DATA BASE'!$A$2:$F$936,6,0),""))</f>
        <v>-</v>
      </c>
      <c r="D1347" s="70" t="str">
        <f>IF($A$3=" "," ", IFERROR( VLOOKUP($A1347,'SUPPLIER DATA BASE'!$A$2:$G$936,4,0),""))</f>
        <v>-</v>
      </c>
      <c r="E1347" s="71" t="str">
        <f>IF($A$3=" "," ", IFERROR( VLOOKUP($A1347,'SUPPLIER DATA BASE'!$A$2:$H$936,5,0),""))</f>
        <v>-</v>
      </c>
      <c r="F1347" s="72"/>
      <c r="G1347" s="73"/>
      <c r="H1347" s="74"/>
      <c r="I1347" s="75"/>
      <c r="J1347" s="76" t="s">
        <v>3886</v>
      </c>
      <c r="K1347" s="76" t="s">
        <v>3887</v>
      </c>
      <c r="L1347" s="73"/>
      <c r="M1347" s="70" t="str">
        <f t="shared" si="3"/>
        <v/>
      </c>
      <c r="N1347" s="70" t="str">
        <f>IF($A$3=" "," ", IFERROR( VLOOKUP($A1347,'SUPPLIER DATA BASE'!$A$2:$O$936,11,0),""))</f>
        <v>VISHAL MARKETING &amp; CO.</v>
      </c>
      <c r="O1347" s="70" t="str">
        <f>IF($A$3=" "," ", IFERROR( VLOOKUP($A1347,'SUPPLIER DATA BASE'!$A$2:$O$936,12,0),""))</f>
        <v>1091008700001025</v>
      </c>
      <c r="P1347" s="70" t="str">
        <f>IF($A$3=" "," ", IFERROR( VLOOKUP($A1347,'SUPPLIER DATA BASE'!$A$2:$O$936,13,0),""))</f>
        <v>PUNB0109100</v>
      </c>
      <c r="Q1347" s="77"/>
      <c r="R1347" s="73"/>
      <c r="S1347" s="77"/>
      <c r="T1347" s="70"/>
      <c r="U1347" s="78"/>
      <c r="V1347" s="70" t="str">
        <f t="shared" si="6"/>
        <v/>
      </c>
      <c r="W1347" s="23"/>
      <c r="X1347" s="23"/>
    </row>
    <row r="1348">
      <c r="A1348" s="70" t="s">
        <v>370</v>
      </c>
      <c r="B1348" s="70" t="str">
        <f>IF($A$3=" "," ", IFERROR( VLOOKUP($A1348,'SUPPLIER DATA BASE'!$A$2:$M$936,3,0),""))</f>
        <v>-</v>
      </c>
      <c r="C1348" s="70" t="str">
        <f>IF($A$3=" "," ", IFERROR( VLOOKUP($A1348,'SUPPLIER DATA BASE'!$A$2:$F$936,6,0),""))</f>
        <v>SURYAM TEXTILE AGENCY</v>
      </c>
      <c r="D1348" s="70">
        <f>IF($A$3=" "," ", IFERROR( VLOOKUP($A1348,'SUPPLIER DATA BASE'!$A$2:$G$936,4,0),""))</f>
        <v>30</v>
      </c>
      <c r="E1348" s="71">
        <f>IF($A$3=" "," ", IFERROR( VLOOKUP($A1348,'SUPPLIER DATA BASE'!$A$2:$H$936,5,0),""))</f>
        <v>0.09</v>
      </c>
      <c r="F1348" s="72"/>
      <c r="G1348" s="73"/>
      <c r="H1348" s="74"/>
      <c r="I1348" s="75"/>
      <c r="J1348" s="76" t="s">
        <v>3888</v>
      </c>
      <c r="K1348" s="76" t="s">
        <v>3889</v>
      </c>
      <c r="L1348" s="73"/>
      <c r="M1348" s="70" t="str">
        <f t="shared" si="3"/>
        <v/>
      </c>
      <c r="N1348" s="70" t="str">
        <f>IF($A$3=" "," ", IFERROR( VLOOKUP($A1348,'SUPPLIER DATA BASE'!$A$2:$O$936,11,0),""))</f>
        <v>AS TEXTILE</v>
      </c>
      <c r="O1348" s="70" t="str">
        <f>IF($A$3=" "," ", IFERROR( VLOOKUP($A1348,'SUPPLIER DATA BASE'!$A$2:$O$936,12,0),""))</f>
        <v>50200012846193</v>
      </c>
      <c r="P1348" s="70" t="str">
        <f>IF($A$3=" "," ", IFERROR( VLOOKUP($A1348,'SUPPLIER DATA BASE'!$A$2:$O$936,13,0),""))</f>
        <v>HDFC0001249</v>
      </c>
      <c r="Q1348" s="77"/>
      <c r="R1348" s="73"/>
      <c r="S1348" s="77"/>
      <c r="T1348" s="70"/>
      <c r="U1348" s="78"/>
      <c r="V1348" s="70" t="str">
        <f t="shared" si="6"/>
        <v/>
      </c>
      <c r="W1348" s="23"/>
      <c r="X1348" s="23"/>
    </row>
    <row r="1349">
      <c r="A1349" s="70" t="s">
        <v>370</v>
      </c>
      <c r="B1349" s="70" t="str">
        <f>IF($A$3=" "," ", IFERROR( VLOOKUP($A1349,'SUPPLIER DATA BASE'!$A$2:$M$936,3,0),""))</f>
        <v>-</v>
      </c>
      <c r="C1349" s="70" t="str">
        <f>IF($A$3=" "," ", IFERROR( VLOOKUP($A1349,'SUPPLIER DATA BASE'!$A$2:$F$936,6,0),""))</f>
        <v>SURYAM TEXTILE AGENCY</v>
      </c>
      <c r="D1349" s="70">
        <f>IF($A$3=" "," ", IFERROR( VLOOKUP($A1349,'SUPPLIER DATA BASE'!$A$2:$G$936,4,0),""))</f>
        <v>30</v>
      </c>
      <c r="E1349" s="71">
        <f>IF($A$3=" "," ", IFERROR( VLOOKUP($A1349,'SUPPLIER DATA BASE'!$A$2:$H$936,5,0),""))</f>
        <v>0.09</v>
      </c>
      <c r="F1349" s="72"/>
      <c r="G1349" s="73"/>
      <c r="H1349" s="74"/>
      <c r="I1349" s="75"/>
      <c r="J1349" s="76" t="s">
        <v>3890</v>
      </c>
      <c r="K1349" s="76" t="s">
        <v>3891</v>
      </c>
      <c r="L1349" s="73"/>
      <c r="M1349" s="70" t="str">
        <f t="shared" si="3"/>
        <v/>
      </c>
      <c r="N1349" s="70" t="str">
        <f>IF($A$3=" "," ", IFERROR( VLOOKUP($A1349,'SUPPLIER DATA BASE'!$A$2:$O$936,11,0),""))</f>
        <v>AS TEXTILE</v>
      </c>
      <c r="O1349" s="70" t="str">
        <f>IF($A$3=" "," ", IFERROR( VLOOKUP($A1349,'SUPPLIER DATA BASE'!$A$2:$O$936,12,0),""))</f>
        <v>50200012846193</v>
      </c>
      <c r="P1349" s="70" t="str">
        <f>IF($A$3=" "," ", IFERROR( VLOOKUP($A1349,'SUPPLIER DATA BASE'!$A$2:$O$936,13,0),""))</f>
        <v>HDFC0001249</v>
      </c>
      <c r="Q1349" s="77"/>
      <c r="R1349" s="73"/>
      <c r="S1349" s="77"/>
      <c r="T1349" s="70"/>
      <c r="U1349" s="78"/>
      <c r="V1349" s="70" t="str">
        <f t="shared" si="6"/>
        <v/>
      </c>
      <c r="W1349" s="23"/>
      <c r="X1349" s="23"/>
    </row>
    <row r="1350">
      <c r="A1350" s="70" t="s">
        <v>848</v>
      </c>
      <c r="B1350" s="70" t="str">
        <f>IF($A$3=" "," ", IFERROR( VLOOKUP($A1350,'SUPPLIER DATA BASE'!$A$2:$M$936,3,0),""))</f>
        <v>-</v>
      </c>
      <c r="C1350" s="70" t="str">
        <f>IF($A$3=" "," ", IFERROR( VLOOKUP($A1350,'SUPPLIER DATA BASE'!$A$2:$F$936,6,0),""))</f>
        <v>-</v>
      </c>
      <c r="D1350" s="70" t="str">
        <f>IF($A$3=" "," ", IFERROR( VLOOKUP($A1350,'SUPPLIER DATA BASE'!$A$2:$G$936,4,0),""))</f>
        <v>-</v>
      </c>
      <c r="E1350" s="71" t="str">
        <f>IF($A$3=" "," ", IFERROR( VLOOKUP($A1350,'SUPPLIER DATA BASE'!$A$2:$H$936,5,0),""))</f>
        <v>-</v>
      </c>
      <c r="F1350" s="72"/>
      <c r="G1350" s="73"/>
      <c r="H1350" s="74"/>
      <c r="I1350" s="75"/>
      <c r="J1350" s="76" t="s">
        <v>3892</v>
      </c>
      <c r="K1350" s="76" t="s">
        <v>3893</v>
      </c>
      <c r="L1350" s="73"/>
      <c r="M1350" s="70" t="str">
        <f t="shared" si="3"/>
        <v/>
      </c>
      <c r="N1350" s="70" t="str">
        <f>IF($A$3=" "," ", IFERROR( VLOOKUP($A1350,'SUPPLIER DATA BASE'!$A$2:$O$936,11,0),""))</f>
        <v>-</v>
      </c>
      <c r="O1350" s="70" t="str">
        <f>IF($A$3=" "," ", IFERROR( VLOOKUP($A1350,'SUPPLIER DATA BASE'!$A$2:$O$936,12,0),""))</f>
        <v>-</v>
      </c>
      <c r="P1350" s="70" t="str">
        <f>IF($A$3=" "," ", IFERROR( VLOOKUP($A1350,'SUPPLIER DATA BASE'!$A$2:$O$936,13,0),""))</f>
        <v>-</v>
      </c>
      <c r="Q1350" s="77"/>
      <c r="R1350" s="73"/>
      <c r="S1350" s="77"/>
      <c r="T1350" s="70"/>
      <c r="U1350" s="78"/>
      <c r="V1350" s="70" t="str">
        <f t="shared" si="6"/>
        <v/>
      </c>
      <c r="W1350" s="23"/>
      <c r="X1350" s="23"/>
    </row>
    <row r="1351">
      <c r="A1351" s="70"/>
      <c r="B1351" s="70" t="str">
        <f>IF($A$3=" "," ", IFERROR( VLOOKUP($A1351,'SUPPLIER DATA BASE'!$A$2:$M$936,3,0),""))</f>
        <v/>
      </c>
      <c r="C1351" s="70" t="str">
        <f>IF($A$3=" "," ", IFERROR( VLOOKUP($A1351,'SUPPLIER DATA BASE'!$A$2:$F$936,6,0),""))</f>
        <v/>
      </c>
      <c r="D1351" s="70" t="str">
        <f>IF($A$3=" "," ", IFERROR( VLOOKUP($A1351,'SUPPLIER DATA BASE'!$A$2:$G$936,4,0),""))</f>
        <v/>
      </c>
      <c r="E1351" s="71" t="str">
        <f>IF($A$3=" "," ", IFERROR( VLOOKUP($A1351,'SUPPLIER DATA BASE'!$A$2:$H$936,5,0),""))</f>
        <v/>
      </c>
      <c r="F1351" s="72"/>
      <c r="G1351" s="73"/>
      <c r="H1351" s="74"/>
      <c r="I1351" s="75"/>
      <c r="J1351" s="76" t="s">
        <v>3894</v>
      </c>
      <c r="K1351" s="76" t="s">
        <v>3895</v>
      </c>
      <c r="L1351" s="73"/>
      <c r="M1351" s="70" t="str">
        <f t="shared" si="3"/>
        <v/>
      </c>
      <c r="N1351" s="70" t="str">
        <f>IF($A$3=" "," ", IFERROR( VLOOKUP($A1351,'SUPPLIER DATA BASE'!$A$2:$O$936,11,0),""))</f>
        <v/>
      </c>
      <c r="O1351" s="70" t="str">
        <f>IF($A$3=" "," ", IFERROR( VLOOKUP($A1351,'SUPPLIER DATA BASE'!$A$2:$O$936,12,0),""))</f>
        <v/>
      </c>
      <c r="P1351" s="70" t="str">
        <f>IF($A$3=" "," ", IFERROR( VLOOKUP($A1351,'SUPPLIER DATA BASE'!$A$2:$O$936,13,0),""))</f>
        <v/>
      </c>
      <c r="Q1351" s="77"/>
      <c r="R1351" s="73"/>
      <c r="S1351" s="77"/>
      <c r="T1351" s="70"/>
      <c r="U1351" s="78"/>
      <c r="V1351" s="70" t="str">
        <f t="shared" si="6"/>
        <v/>
      </c>
      <c r="W1351" s="23"/>
      <c r="X1351" s="23"/>
    </row>
    <row r="1352">
      <c r="A1352" s="70" t="s">
        <v>848</v>
      </c>
      <c r="B1352" s="70" t="str">
        <f>IF($A$3=" "," ", IFERROR( VLOOKUP($A1352,'SUPPLIER DATA BASE'!$A$2:$M$936,3,0),""))</f>
        <v>-</v>
      </c>
      <c r="C1352" s="70" t="str">
        <f>IF($A$3=" "," ", IFERROR( VLOOKUP($A1352,'SUPPLIER DATA BASE'!$A$2:$F$936,6,0),""))</f>
        <v>-</v>
      </c>
      <c r="D1352" s="70" t="str">
        <f>IF($A$3=" "," ", IFERROR( VLOOKUP($A1352,'SUPPLIER DATA BASE'!$A$2:$G$936,4,0),""))</f>
        <v>-</v>
      </c>
      <c r="E1352" s="71" t="str">
        <f>IF($A$3=" "," ", IFERROR( VLOOKUP($A1352,'SUPPLIER DATA BASE'!$A$2:$H$936,5,0),""))</f>
        <v>-</v>
      </c>
      <c r="F1352" s="72"/>
      <c r="G1352" s="73"/>
      <c r="H1352" s="74"/>
      <c r="I1352" s="75"/>
      <c r="J1352" s="76" t="s">
        <v>3896</v>
      </c>
      <c r="K1352" s="76" t="s">
        <v>3897</v>
      </c>
      <c r="L1352" s="73"/>
      <c r="M1352" s="70" t="str">
        <f t="shared" si="3"/>
        <v/>
      </c>
      <c r="N1352" s="70" t="str">
        <f>IF($A$3=" "," ", IFERROR( VLOOKUP($A1352,'SUPPLIER DATA BASE'!$A$2:$O$936,11,0),""))</f>
        <v>-</v>
      </c>
      <c r="O1352" s="70" t="str">
        <f>IF($A$3=" "," ", IFERROR( VLOOKUP($A1352,'SUPPLIER DATA BASE'!$A$2:$O$936,12,0),""))</f>
        <v>-</v>
      </c>
      <c r="P1352" s="70" t="str">
        <f>IF($A$3=" "," ", IFERROR( VLOOKUP($A1352,'SUPPLIER DATA BASE'!$A$2:$O$936,13,0),""))</f>
        <v>-</v>
      </c>
      <c r="Q1352" s="77"/>
      <c r="R1352" s="73"/>
      <c r="S1352" s="77"/>
      <c r="T1352" s="70"/>
      <c r="U1352" s="78"/>
      <c r="V1352" s="70" t="str">
        <f t="shared" si="6"/>
        <v/>
      </c>
      <c r="W1352" s="23"/>
      <c r="X1352" s="23"/>
    </row>
    <row r="1353">
      <c r="A1353" s="70" t="s">
        <v>848</v>
      </c>
      <c r="B1353" s="70" t="str">
        <f>IF($A$3=" "," ", IFERROR( VLOOKUP($A1353,'SUPPLIER DATA BASE'!$A$2:$M$936,3,0),""))</f>
        <v>-</v>
      </c>
      <c r="C1353" s="70" t="str">
        <f>IF($A$3=" "," ", IFERROR( VLOOKUP($A1353,'SUPPLIER DATA BASE'!$A$2:$F$936,6,0),""))</f>
        <v>-</v>
      </c>
      <c r="D1353" s="70" t="str">
        <f>IF($A$3=" "," ", IFERROR( VLOOKUP($A1353,'SUPPLIER DATA BASE'!$A$2:$G$936,4,0),""))</f>
        <v>-</v>
      </c>
      <c r="E1353" s="71" t="str">
        <f>IF($A$3=" "," ", IFERROR( VLOOKUP($A1353,'SUPPLIER DATA BASE'!$A$2:$H$936,5,0),""))</f>
        <v>-</v>
      </c>
      <c r="F1353" s="72"/>
      <c r="G1353" s="73"/>
      <c r="H1353" s="74"/>
      <c r="I1353" s="75"/>
      <c r="J1353" s="76" t="s">
        <v>3898</v>
      </c>
      <c r="K1353" s="76" t="s">
        <v>3899</v>
      </c>
      <c r="L1353" s="73"/>
      <c r="M1353" s="70" t="str">
        <f t="shared" si="3"/>
        <v/>
      </c>
      <c r="N1353" s="70" t="str">
        <f>IF($A$3=" "," ", IFERROR( VLOOKUP($A1353,'SUPPLIER DATA BASE'!$A$2:$O$936,11,0),""))</f>
        <v>-</v>
      </c>
      <c r="O1353" s="70" t="str">
        <f>IF($A$3=" "," ", IFERROR( VLOOKUP($A1353,'SUPPLIER DATA BASE'!$A$2:$O$936,12,0),""))</f>
        <v>-</v>
      </c>
      <c r="P1353" s="70" t="str">
        <f>IF($A$3=" "," ", IFERROR( VLOOKUP($A1353,'SUPPLIER DATA BASE'!$A$2:$O$936,13,0),""))</f>
        <v>-</v>
      </c>
      <c r="Q1353" s="77"/>
      <c r="R1353" s="73"/>
      <c r="S1353" s="77"/>
      <c r="T1353" s="70"/>
      <c r="U1353" s="78"/>
      <c r="V1353" s="70" t="str">
        <f t="shared" si="6"/>
        <v/>
      </c>
      <c r="W1353" s="23"/>
      <c r="X1353" s="23"/>
    </row>
    <row r="1354">
      <c r="A1354" s="70" t="s">
        <v>848</v>
      </c>
      <c r="B1354" s="70" t="str">
        <f>IF($A$3=" "," ", IFERROR( VLOOKUP($A1354,'SUPPLIER DATA BASE'!$A$2:$M$936,3,0),""))</f>
        <v>-</v>
      </c>
      <c r="C1354" s="70" t="str">
        <f>IF($A$3=" "," ", IFERROR( VLOOKUP($A1354,'SUPPLIER DATA BASE'!$A$2:$F$936,6,0),""))</f>
        <v>-</v>
      </c>
      <c r="D1354" s="70" t="str">
        <f>IF($A$3=" "," ", IFERROR( VLOOKUP($A1354,'SUPPLIER DATA BASE'!$A$2:$G$936,4,0),""))</f>
        <v>-</v>
      </c>
      <c r="E1354" s="71" t="str">
        <f>IF($A$3=" "," ", IFERROR( VLOOKUP($A1354,'SUPPLIER DATA BASE'!$A$2:$H$936,5,0),""))</f>
        <v>-</v>
      </c>
      <c r="F1354" s="72"/>
      <c r="G1354" s="73"/>
      <c r="H1354" s="74"/>
      <c r="I1354" s="75"/>
      <c r="J1354" s="76" t="s">
        <v>3900</v>
      </c>
      <c r="K1354" s="76" t="s">
        <v>3901</v>
      </c>
      <c r="L1354" s="73"/>
      <c r="M1354" s="70" t="str">
        <f t="shared" si="3"/>
        <v/>
      </c>
      <c r="N1354" s="70" t="str">
        <f>IF($A$3=" "," ", IFERROR( VLOOKUP($A1354,'SUPPLIER DATA BASE'!$A$2:$O$936,11,0),""))</f>
        <v>-</v>
      </c>
      <c r="O1354" s="70" t="str">
        <f>IF($A$3=" "," ", IFERROR( VLOOKUP($A1354,'SUPPLIER DATA BASE'!$A$2:$O$936,12,0),""))</f>
        <v>-</v>
      </c>
      <c r="P1354" s="70" t="str">
        <f>IF($A$3=" "," ", IFERROR( VLOOKUP($A1354,'SUPPLIER DATA BASE'!$A$2:$O$936,13,0),""))</f>
        <v>-</v>
      </c>
      <c r="Q1354" s="77"/>
      <c r="R1354" s="73"/>
      <c r="S1354" s="77"/>
      <c r="T1354" s="70"/>
      <c r="U1354" s="78"/>
      <c r="V1354" s="70" t="str">
        <f t="shared" si="6"/>
        <v/>
      </c>
      <c r="W1354" s="23"/>
      <c r="X1354" s="23"/>
    </row>
    <row r="1355">
      <c r="A1355" s="70" t="s">
        <v>354</v>
      </c>
      <c r="B1355" s="70" t="str">
        <f>IF($A$3=" "," ", IFERROR( VLOOKUP($A1355,'SUPPLIER DATA BASE'!$A$2:$M$936,3,0),""))</f>
        <v>-</v>
      </c>
      <c r="C1355" s="70" t="str">
        <f>IF($A$3=" "," ", IFERROR( VLOOKUP($A1355,'SUPPLIER DATA BASE'!$A$2:$F$936,6,0),""))</f>
        <v>-</v>
      </c>
      <c r="D1355" s="70" t="str">
        <f>IF($A$3=" "," ", IFERROR( VLOOKUP($A1355,'SUPPLIER DATA BASE'!$A$2:$G$936,4,0),""))</f>
        <v>-</v>
      </c>
      <c r="E1355" s="71" t="str">
        <f>IF($A$3=" "," ", IFERROR( VLOOKUP($A1355,'SUPPLIER DATA BASE'!$A$2:$H$936,5,0),""))</f>
        <v>-</v>
      </c>
      <c r="F1355" s="72" t="s">
        <v>3902</v>
      </c>
      <c r="G1355" s="73"/>
      <c r="H1355" s="74"/>
      <c r="I1355" s="75"/>
      <c r="J1355" s="76" t="s">
        <v>3903</v>
      </c>
      <c r="K1355" s="76" t="s">
        <v>3904</v>
      </c>
      <c r="L1355" s="73"/>
      <c r="M1355" s="70" t="str">
        <f t="shared" si="3"/>
        <v/>
      </c>
      <c r="N1355" s="70" t="str">
        <f>IF($A$3=" "," ", IFERROR( VLOOKUP($A1355,'SUPPLIER DATA BASE'!$A$2:$O$936,11,0),""))</f>
        <v>-</v>
      </c>
      <c r="O1355" s="70" t="str">
        <f>IF($A$3=" "," ", IFERROR( VLOOKUP($A1355,'SUPPLIER DATA BASE'!$A$2:$O$936,12,0),""))</f>
        <v>-</v>
      </c>
      <c r="P1355" s="70" t="str">
        <f>IF($A$3=" "," ", IFERROR( VLOOKUP($A1355,'SUPPLIER DATA BASE'!$A$2:$O$936,13,0),""))</f>
        <v>-</v>
      </c>
      <c r="Q1355" s="77"/>
      <c r="R1355" s="73"/>
      <c r="S1355" s="77"/>
      <c r="T1355" s="70"/>
      <c r="U1355" s="78"/>
      <c r="V1355" s="70" t="str">
        <f t="shared" si="6"/>
        <v/>
      </c>
      <c r="W1355" s="23"/>
      <c r="X1355" s="23"/>
    </row>
    <row r="1356">
      <c r="A1356" s="70" t="s">
        <v>354</v>
      </c>
      <c r="B1356" s="70" t="str">
        <f>IF($A$3=" "," ", IFERROR( VLOOKUP($A1356,'SUPPLIER DATA BASE'!$A$2:$M$936,3,0),""))</f>
        <v>-</v>
      </c>
      <c r="C1356" s="70" t="str">
        <f>IF($A$3=" "," ", IFERROR( VLOOKUP($A1356,'SUPPLIER DATA BASE'!$A$2:$F$936,6,0),""))</f>
        <v>-</v>
      </c>
      <c r="D1356" s="70" t="str">
        <f>IF($A$3=" "," ", IFERROR( VLOOKUP($A1356,'SUPPLIER DATA BASE'!$A$2:$G$936,4,0),""))</f>
        <v>-</v>
      </c>
      <c r="E1356" s="71" t="str">
        <f>IF($A$3=" "," ", IFERROR( VLOOKUP($A1356,'SUPPLIER DATA BASE'!$A$2:$H$936,5,0),""))</f>
        <v>-</v>
      </c>
      <c r="F1356" s="72" t="s">
        <v>3905</v>
      </c>
      <c r="G1356" s="73"/>
      <c r="H1356" s="74"/>
      <c r="I1356" s="75"/>
      <c r="J1356" s="76" t="s">
        <v>3906</v>
      </c>
      <c r="K1356" s="76" t="s">
        <v>3907</v>
      </c>
      <c r="L1356" s="73"/>
      <c r="M1356" s="70" t="str">
        <f t="shared" si="3"/>
        <v/>
      </c>
      <c r="N1356" s="70" t="str">
        <f>IF($A$3=" "," ", IFERROR( VLOOKUP($A1356,'SUPPLIER DATA BASE'!$A$2:$O$936,11,0),""))</f>
        <v>-</v>
      </c>
      <c r="O1356" s="70" t="str">
        <f>IF($A$3=" "," ", IFERROR( VLOOKUP($A1356,'SUPPLIER DATA BASE'!$A$2:$O$936,12,0),""))</f>
        <v>-</v>
      </c>
      <c r="P1356" s="70" t="str">
        <f>IF($A$3=" "," ", IFERROR( VLOOKUP($A1356,'SUPPLIER DATA BASE'!$A$2:$O$936,13,0),""))</f>
        <v>-</v>
      </c>
      <c r="Q1356" s="77"/>
      <c r="R1356" s="73"/>
      <c r="S1356" s="77"/>
      <c r="T1356" s="70"/>
      <c r="U1356" s="78"/>
      <c r="V1356" s="70" t="str">
        <f t="shared" si="6"/>
        <v/>
      </c>
      <c r="W1356" s="23"/>
      <c r="X1356" s="23"/>
    </row>
    <row r="1357">
      <c r="A1357" s="70" t="s">
        <v>354</v>
      </c>
      <c r="B1357" s="70" t="str">
        <f>IF($A$3=" "," ", IFERROR( VLOOKUP($A1357,'SUPPLIER DATA BASE'!$A$2:$M$936,3,0),""))</f>
        <v>-</v>
      </c>
      <c r="C1357" s="70" t="str">
        <f>IF($A$3=" "," ", IFERROR( VLOOKUP($A1357,'SUPPLIER DATA BASE'!$A$2:$F$936,6,0),""))</f>
        <v>-</v>
      </c>
      <c r="D1357" s="70" t="str">
        <f>IF($A$3=" "," ", IFERROR( VLOOKUP($A1357,'SUPPLIER DATA BASE'!$A$2:$G$936,4,0),""))</f>
        <v>-</v>
      </c>
      <c r="E1357" s="71" t="str">
        <f>IF($A$3=" "," ", IFERROR( VLOOKUP($A1357,'SUPPLIER DATA BASE'!$A$2:$H$936,5,0),""))</f>
        <v>-</v>
      </c>
      <c r="F1357" s="72" t="s">
        <v>3908</v>
      </c>
      <c r="G1357" s="73"/>
      <c r="H1357" s="74"/>
      <c r="I1357" s="75"/>
      <c r="J1357" s="76" t="s">
        <v>3909</v>
      </c>
      <c r="K1357" s="76" t="s">
        <v>3910</v>
      </c>
      <c r="L1357" s="73"/>
      <c r="M1357" s="70" t="str">
        <f t="shared" si="3"/>
        <v/>
      </c>
      <c r="N1357" s="70" t="str">
        <f>IF($A$3=" "," ", IFERROR( VLOOKUP($A1357,'SUPPLIER DATA BASE'!$A$2:$O$936,11,0),""))</f>
        <v>-</v>
      </c>
      <c r="O1357" s="70" t="str">
        <f>IF($A$3=" "," ", IFERROR( VLOOKUP($A1357,'SUPPLIER DATA BASE'!$A$2:$O$936,12,0),""))</f>
        <v>-</v>
      </c>
      <c r="P1357" s="70" t="str">
        <f>IF($A$3=" "," ", IFERROR( VLOOKUP($A1357,'SUPPLIER DATA BASE'!$A$2:$O$936,13,0),""))</f>
        <v>-</v>
      </c>
      <c r="Q1357" s="77"/>
      <c r="R1357" s="73"/>
      <c r="S1357" s="77"/>
      <c r="T1357" s="70"/>
      <c r="U1357" s="78"/>
      <c r="V1357" s="70" t="str">
        <f t="shared" si="6"/>
        <v/>
      </c>
      <c r="W1357" s="23"/>
      <c r="X1357" s="23"/>
    </row>
    <row r="1358">
      <c r="A1358" s="70" t="s">
        <v>354</v>
      </c>
      <c r="B1358" s="70" t="str">
        <f>IF($A$3=" "," ", IFERROR( VLOOKUP($A1358,'SUPPLIER DATA BASE'!$A$2:$M$936,3,0),""))</f>
        <v>-</v>
      </c>
      <c r="C1358" s="70" t="str">
        <f>IF($A$3=" "," ", IFERROR( VLOOKUP($A1358,'SUPPLIER DATA BASE'!$A$2:$F$936,6,0),""))</f>
        <v>-</v>
      </c>
      <c r="D1358" s="70" t="str">
        <f>IF($A$3=" "," ", IFERROR( VLOOKUP($A1358,'SUPPLIER DATA BASE'!$A$2:$G$936,4,0),""))</f>
        <v>-</v>
      </c>
      <c r="E1358" s="71" t="str">
        <f>IF($A$3=" "," ", IFERROR( VLOOKUP($A1358,'SUPPLIER DATA BASE'!$A$2:$H$936,5,0),""))</f>
        <v>-</v>
      </c>
      <c r="F1358" s="72" t="s">
        <v>3911</v>
      </c>
      <c r="G1358" s="73"/>
      <c r="H1358" s="74"/>
      <c r="I1358" s="75"/>
      <c r="J1358" s="76" t="s">
        <v>3912</v>
      </c>
      <c r="K1358" s="76" t="s">
        <v>3913</v>
      </c>
      <c r="L1358" s="73"/>
      <c r="M1358" s="70" t="str">
        <f t="shared" si="3"/>
        <v/>
      </c>
      <c r="N1358" s="70" t="str">
        <f>IF($A$3=" "," ", IFERROR( VLOOKUP($A1358,'SUPPLIER DATA BASE'!$A$2:$O$936,11,0),""))</f>
        <v>-</v>
      </c>
      <c r="O1358" s="70" t="str">
        <f>IF($A$3=" "," ", IFERROR( VLOOKUP($A1358,'SUPPLIER DATA BASE'!$A$2:$O$936,12,0),""))</f>
        <v>-</v>
      </c>
      <c r="P1358" s="70" t="str">
        <f>IF($A$3=" "," ", IFERROR( VLOOKUP($A1358,'SUPPLIER DATA BASE'!$A$2:$O$936,13,0),""))</f>
        <v>-</v>
      </c>
      <c r="Q1358" s="77"/>
      <c r="R1358" s="73"/>
      <c r="S1358" s="77"/>
      <c r="T1358" s="70"/>
      <c r="U1358" s="78"/>
      <c r="V1358" s="70" t="str">
        <f t="shared" si="6"/>
        <v/>
      </c>
      <c r="W1358" s="23"/>
      <c r="X1358" s="23"/>
    </row>
    <row r="1359">
      <c r="A1359" s="70" t="s">
        <v>354</v>
      </c>
      <c r="B1359" s="70" t="str">
        <f>IF($A$3=" "," ", IFERROR( VLOOKUP($A1359,'SUPPLIER DATA BASE'!$A$2:$M$936,3,0),""))</f>
        <v>-</v>
      </c>
      <c r="C1359" s="70" t="str">
        <f>IF($A$3=" "," ", IFERROR( VLOOKUP($A1359,'SUPPLIER DATA BASE'!$A$2:$F$936,6,0),""))</f>
        <v>-</v>
      </c>
      <c r="D1359" s="70" t="str">
        <f>IF($A$3=" "," ", IFERROR( VLOOKUP($A1359,'SUPPLIER DATA BASE'!$A$2:$G$936,4,0),""))</f>
        <v>-</v>
      </c>
      <c r="E1359" s="71" t="str">
        <f>IF($A$3=" "," ", IFERROR( VLOOKUP($A1359,'SUPPLIER DATA BASE'!$A$2:$H$936,5,0),""))</f>
        <v>-</v>
      </c>
      <c r="F1359" s="72" t="s">
        <v>3914</v>
      </c>
      <c r="G1359" s="73"/>
      <c r="H1359" s="74"/>
      <c r="I1359" s="75"/>
      <c r="J1359" s="76" t="s">
        <v>3915</v>
      </c>
      <c r="K1359" s="76" t="s">
        <v>3916</v>
      </c>
      <c r="L1359" s="73"/>
      <c r="M1359" s="70" t="str">
        <f t="shared" si="3"/>
        <v/>
      </c>
      <c r="N1359" s="70" t="str">
        <f>IF($A$3=" "," ", IFERROR( VLOOKUP($A1359,'SUPPLIER DATA BASE'!$A$2:$O$936,11,0),""))</f>
        <v>-</v>
      </c>
      <c r="O1359" s="70" t="str">
        <f>IF($A$3=" "," ", IFERROR( VLOOKUP($A1359,'SUPPLIER DATA BASE'!$A$2:$O$936,12,0),""))</f>
        <v>-</v>
      </c>
      <c r="P1359" s="70" t="str">
        <f>IF($A$3=" "," ", IFERROR( VLOOKUP($A1359,'SUPPLIER DATA BASE'!$A$2:$O$936,13,0),""))</f>
        <v>-</v>
      </c>
      <c r="Q1359" s="77"/>
      <c r="R1359" s="73"/>
      <c r="S1359" s="77"/>
      <c r="T1359" s="70"/>
      <c r="U1359" s="78"/>
      <c r="V1359" s="70" t="str">
        <f t="shared" si="6"/>
        <v/>
      </c>
      <c r="W1359" s="23"/>
      <c r="X1359" s="23"/>
    </row>
    <row r="1360">
      <c r="A1360" s="70" t="s">
        <v>354</v>
      </c>
      <c r="B1360" s="70" t="str">
        <f>IF($A$3=" "," ", IFERROR( VLOOKUP($A1360,'SUPPLIER DATA BASE'!$A$2:$M$936,3,0),""))</f>
        <v>-</v>
      </c>
      <c r="C1360" s="70" t="str">
        <f>IF($A$3=" "," ", IFERROR( VLOOKUP($A1360,'SUPPLIER DATA BASE'!$A$2:$F$936,6,0),""))</f>
        <v>-</v>
      </c>
      <c r="D1360" s="70" t="str">
        <f>IF($A$3=" "," ", IFERROR( VLOOKUP($A1360,'SUPPLIER DATA BASE'!$A$2:$G$936,4,0),""))</f>
        <v>-</v>
      </c>
      <c r="E1360" s="71" t="str">
        <f>IF($A$3=" "," ", IFERROR( VLOOKUP($A1360,'SUPPLIER DATA BASE'!$A$2:$H$936,5,0),""))</f>
        <v>-</v>
      </c>
      <c r="F1360" s="72" t="s">
        <v>3917</v>
      </c>
      <c r="G1360" s="73"/>
      <c r="H1360" s="74"/>
      <c r="I1360" s="75"/>
      <c r="J1360" s="76" t="s">
        <v>3918</v>
      </c>
      <c r="K1360" s="76" t="s">
        <v>3919</v>
      </c>
      <c r="L1360" s="73"/>
      <c r="M1360" s="70" t="str">
        <f t="shared" si="3"/>
        <v/>
      </c>
      <c r="N1360" s="70" t="str">
        <f>IF($A$3=" "," ", IFERROR( VLOOKUP($A1360,'SUPPLIER DATA BASE'!$A$2:$O$936,11,0),""))</f>
        <v>-</v>
      </c>
      <c r="O1360" s="70" t="str">
        <f>IF($A$3=" "," ", IFERROR( VLOOKUP($A1360,'SUPPLIER DATA BASE'!$A$2:$O$936,12,0),""))</f>
        <v>-</v>
      </c>
      <c r="P1360" s="70" t="str">
        <f>IF($A$3=" "," ", IFERROR( VLOOKUP($A1360,'SUPPLIER DATA BASE'!$A$2:$O$936,13,0),""))</f>
        <v>-</v>
      </c>
      <c r="Q1360" s="77"/>
      <c r="R1360" s="73"/>
      <c r="S1360" s="77"/>
      <c r="T1360" s="70"/>
      <c r="U1360" s="78"/>
      <c r="V1360" s="70" t="str">
        <f t="shared" si="6"/>
        <v/>
      </c>
      <c r="W1360" s="23"/>
      <c r="X1360" s="23"/>
    </row>
    <row r="1361">
      <c r="A1361" s="70" t="s">
        <v>354</v>
      </c>
      <c r="B1361" s="70" t="str">
        <f>IF($A$3=" "," ", IFERROR( VLOOKUP($A1361,'SUPPLIER DATA BASE'!$A$2:$M$936,3,0),""))</f>
        <v>-</v>
      </c>
      <c r="C1361" s="70" t="str">
        <f>IF($A$3=" "," ", IFERROR( VLOOKUP($A1361,'SUPPLIER DATA BASE'!$A$2:$F$936,6,0),""))</f>
        <v>-</v>
      </c>
      <c r="D1361" s="70" t="str">
        <f>IF($A$3=" "," ", IFERROR( VLOOKUP($A1361,'SUPPLIER DATA BASE'!$A$2:$G$936,4,0),""))</f>
        <v>-</v>
      </c>
      <c r="E1361" s="71" t="str">
        <f>IF($A$3=" "," ", IFERROR( VLOOKUP($A1361,'SUPPLIER DATA BASE'!$A$2:$H$936,5,0),""))</f>
        <v>-</v>
      </c>
      <c r="F1361" s="72" t="s">
        <v>3920</v>
      </c>
      <c r="G1361" s="73"/>
      <c r="H1361" s="74"/>
      <c r="I1361" s="75"/>
      <c r="J1361" s="76" t="s">
        <v>3921</v>
      </c>
      <c r="K1361" s="76" t="s">
        <v>3922</v>
      </c>
      <c r="L1361" s="73"/>
      <c r="M1361" s="70" t="str">
        <f t="shared" si="3"/>
        <v/>
      </c>
      <c r="N1361" s="70" t="str">
        <f>IF($A$3=" "," ", IFERROR( VLOOKUP($A1361,'SUPPLIER DATA BASE'!$A$2:$O$936,11,0),""))</f>
        <v>-</v>
      </c>
      <c r="O1361" s="70" t="str">
        <f>IF($A$3=" "," ", IFERROR( VLOOKUP($A1361,'SUPPLIER DATA BASE'!$A$2:$O$936,12,0),""))</f>
        <v>-</v>
      </c>
      <c r="P1361" s="70" t="str">
        <f>IF($A$3=" "," ", IFERROR( VLOOKUP($A1361,'SUPPLIER DATA BASE'!$A$2:$O$936,13,0),""))</f>
        <v>-</v>
      </c>
      <c r="Q1361" s="77"/>
      <c r="R1361" s="73"/>
      <c r="S1361" s="77"/>
      <c r="T1361" s="70"/>
      <c r="U1361" s="78"/>
      <c r="V1361" s="70" t="str">
        <f t="shared" si="6"/>
        <v/>
      </c>
      <c r="W1361" s="23"/>
      <c r="X1361" s="23"/>
    </row>
    <row r="1362">
      <c r="A1362" s="70" t="s">
        <v>354</v>
      </c>
      <c r="B1362" s="70" t="str">
        <f>IF($A$3=" "," ", IFERROR( VLOOKUP($A1362,'SUPPLIER DATA BASE'!$A$2:$M$936,3,0),""))</f>
        <v>-</v>
      </c>
      <c r="C1362" s="70" t="str">
        <f>IF($A$3=" "," ", IFERROR( VLOOKUP($A1362,'SUPPLIER DATA BASE'!$A$2:$F$936,6,0),""))</f>
        <v>-</v>
      </c>
      <c r="D1362" s="70" t="str">
        <f>IF($A$3=" "," ", IFERROR( VLOOKUP($A1362,'SUPPLIER DATA BASE'!$A$2:$G$936,4,0),""))</f>
        <v>-</v>
      </c>
      <c r="E1362" s="71" t="str">
        <f>IF($A$3=" "," ", IFERROR( VLOOKUP($A1362,'SUPPLIER DATA BASE'!$A$2:$H$936,5,0),""))</f>
        <v>-</v>
      </c>
      <c r="F1362" s="72" t="s">
        <v>3923</v>
      </c>
      <c r="G1362" s="73"/>
      <c r="H1362" s="74"/>
      <c r="I1362" s="75"/>
      <c r="J1362" s="76" t="s">
        <v>3924</v>
      </c>
      <c r="K1362" s="76" t="s">
        <v>3925</v>
      </c>
      <c r="L1362" s="73"/>
      <c r="M1362" s="70" t="str">
        <f t="shared" si="3"/>
        <v/>
      </c>
      <c r="N1362" s="70" t="str">
        <f>IF($A$3=" "," ", IFERROR( VLOOKUP($A1362,'SUPPLIER DATA BASE'!$A$2:$O$936,11,0),""))</f>
        <v>-</v>
      </c>
      <c r="O1362" s="70" t="str">
        <f>IF($A$3=" "," ", IFERROR( VLOOKUP($A1362,'SUPPLIER DATA BASE'!$A$2:$O$936,12,0),""))</f>
        <v>-</v>
      </c>
      <c r="P1362" s="70" t="str">
        <f>IF($A$3=" "," ", IFERROR( VLOOKUP($A1362,'SUPPLIER DATA BASE'!$A$2:$O$936,13,0),""))</f>
        <v>-</v>
      </c>
      <c r="Q1362" s="77"/>
      <c r="R1362" s="73"/>
      <c r="S1362" s="77"/>
      <c r="T1362" s="70"/>
      <c r="U1362" s="78"/>
      <c r="V1362" s="70" t="str">
        <f t="shared" si="6"/>
        <v/>
      </c>
      <c r="W1362" s="23"/>
      <c r="X1362" s="23"/>
    </row>
    <row r="1363">
      <c r="A1363" s="70" t="s">
        <v>354</v>
      </c>
      <c r="B1363" s="70" t="str">
        <f>IF($A$3=" "," ", IFERROR( VLOOKUP($A1363,'SUPPLIER DATA BASE'!$A$2:$M$936,3,0),""))</f>
        <v>-</v>
      </c>
      <c r="C1363" s="70" t="str">
        <f>IF($A$3=" "," ", IFERROR( VLOOKUP($A1363,'SUPPLIER DATA BASE'!$A$2:$F$936,6,0),""))</f>
        <v>-</v>
      </c>
      <c r="D1363" s="70" t="str">
        <f>IF($A$3=" "," ", IFERROR( VLOOKUP($A1363,'SUPPLIER DATA BASE'!$A$2:$G$936,4,0),""))</f>
        <v>-</v>
      </c>
      <c r="E1363" s="71" t="str">
        <f>IF($A$3=" "," ", IFERROR( VLOOKUP($A1363,'SUPPLIER DATA BASE'!$A$2:$H$936,5,0),""))</f>
        <v>-</v>
      </c>
      <c r="F1363" s="72" t="s">
        <v>3926</v>
      </c>
      <c r="G1363" s="73"/>
      <c r="H1363" s="74"/>
      <c r="I1363" s="75"/>
      <c r="J1363" s="76" t="s">
        <v>3927</v>
      </c>
      <c r="K1363" s="76" t="s">
        <v>3928</v>
      </c>
      <c r="L1363" s="73"/>
      <c r="M1363" s="70" t="str">
        <f t="shared" si="3"/>
        <v/>
      </c>
      <c r="N1363" s="70" t="str">
        <f>IF($A$3=" "," ", IFERROR( VLOOKUP($A1363,'SUPPLIER DATA BASE'!$A$2:$O$936,11,0),""))</f>
        <v>-</v>
      </c>
      <c r="O1363" s="70" t="str">
        <f>IF($A$3=" "," ", IFERROR( VLOOKUP($A1363,'SUPPLIER DATA BASE'!$A$2:$O$936,12,0),""))</f>
        <v>-</v>
      </c>
      <c r="P1363" s="70" t="str">
        <f>IF($A$3=" "," ", IFERROR( VLOOKUP($A1363,'SUPPLIER DATA BASE'!$A$2:$O$936,13,0),""))</f>
        <v>-</v>
      </c>
      <c r="Q1363" s="77"/>
      <c r="R1363" s="73"/>
      <c r="S1363" s="77"/>
      <c r="T1363" s="70"/>
      <c r="U1363" s="78"/>
      <c r="V1363" s="70" t="str">
        <f t="shared" si="6"/>
        <v/>
      </c>
      <c r="W1363" s="23"/>
      <c r="X1363" s="23"/>
    </row>
    <row r="1364">
      <c r="A1364" s="70" t="s">
        <v>354</v>
      </c>
      <c r="B1364" s="70" t="str">
        <f>IF($A$3=" "," ", IFERROR( VLOOKUP($A1364,'SUPPLIER DATA BASE'!$A$2:$M$936,3,0),""))</f>
        <v>-</v>
      </c>
      <c r="C1364" s="70" t="str">
        <f>IF($A$3=" "," ", IFERROR( VLOOKUP($A1364,'SUPPLIER DATA BASE'!$A$2:$F$936,6,0),""))</f>
        <v>-</v>
      </c>
      <c r="D1364" s="70" t="str">
        <f>IF($A$3=" "," ", IFERROR( VLOOKUP($A1364,'SUPPLIER DATA BASE'!$A$2:$G$936,4,0),""))</f>
        <v>-</v>
      </c>
      <c r="E1364" s="71" t="str">
        <f>IF($A$3=" "," ", IFERROR( VLOOKUP($A1364,'SUPPLIER DATA BASE'!$A$2:$H$936,5,0),""))</f>
        <v>-</v>
      </c>
      <c r="F1364" s="72" t="s">
        <v>3929</v>
      </c>
      <c r="G1364" s="73"/>
      <c r="H1364" s="74"/>
      <c r="I1364" s="75"/>
      <c r="J1364" s="76" t="s">
        <v>3930</v>
      </c>
      <c r="K1364" s="76" t="s">
        <v>3931</v>
      </c>
      <c r="L1364" s="73"/>
      <c r="M1364" s="70" t="str">
        <f t="shared" si="3"/>
        <v/>
      </c>
      <c r="N1364" s="70" t="str">
        <f>IF($A$3=" "," ", IFERROR( VLOOKUP($A1364,'SUPPLIER DATA BASE'!$A$2:$O$936,11,0),""))</f>
        <v>-</v>
      </c>
      <c r="O1364" s="70" t="str">
        <f>IF($A$3=" "," ", IFERROR( VLOOKUP($A1364,'SUPPLIER DATA BASE'!$A$2:$O$936,12,0),""))</f>
        <v>-</v>
      </c>
      <c r="P1364" s="70" t="str">
        <f>IF($A$3=" "," ", IFERROR( VLOOKUP($A1364,'SUPPLIER DATA BASE'!$A$2:$O$936,13,0),""))</f>
        <v>-</v>
      </c>
      <c r="Q1364" s="77"/>
      <c r="R1364" s="73"/>
      <c r="S1364" s="77"/>
      <c r="T1364" s="70"/>
      <c r="U1364" s="78"/>
      <c r="V1364" s="70" t="str">
        <f t="shared" si="6"/>
        <v/>
      </c>
      <c r="W1364" s="23"/>
      <c r="X1364" s="23"/>
    </row>
    <row r="1365">
      <c r="A1365" s="70" t="s">
        <v>354</v>
      </c>
      <c r="B1365" s="70" t="str">
        <f>IF($A$3=" "," ", IFERROR( VLOOKUP($A1365,'SUPPLIER DATA BASE'!$A$2:$M$936,3,0),""))</f>
        <v>-</v>
      </c>
      <c r="C1365" s="70" t="str">
        <f>IF($A$3=" "," ", IFERROR( VLOOKUP($A1365,'SUPPLIER DATA BASE'!$A$2:$F$936,6,0),""))</f>
        <v>-</v>
      </c>
      <c r="D1365" s="70" t="str">
        <f>IF($A$3=" "," ", IFERROR( VLOOKUP($A1365,'SUPPLIER DATA BASE'!$A$2:$G$936,4,0),""))</f>
        <v>-</v>
      </c>
      <c r="E1365" s="71" t="str">
        <f>IF($A$3=" "," ", IFERROR( VLOOKUP($A1365,'SUPPLIER DATA BASE'!$A$2:$H$936,5,0),""))</f>
        <v>-</v>
      </c>
      <c r="F1365" s="72" t="s">
        <v>3932</v>
      </c>
      <c r="G1365" s="73"/>
      <c r="H1365" s="74"/>
      <c r="I1365" s="75"/>
      <c r="J1365" s="76" t="s">
        <v>3933</v>
      </c>
      <c r="K1365" s="76" t="s">
        <v>3934</v>
      </c>
      <c r="L1365" s="73"/>
      <c r="M1365" s="70" t="str">
        <f t="shared" si="3"/>
        <v/>
      </c>
      <c r="N1365" s="70" t="str">
        <f>IF($A$3=" "," ", IFERROR( VLOOKUP($A1365,'SUPPLIER DATA BASE'!$A$2:$O$936,11,0),""))</f>
        <v>-</v>
      </c>
      <c r="O1365" s="70" t="str">
        <f>IF($A$3=" "," ", IFERROR( VLOOKUP($A1365,'SUPPLIER DATA BASE'!$A$2:$O$936,12,0),""))</f>
        <v>-</v>
      </c>
      <c r="P1365" s="70" t="str">
        <f>IF($A$3=" "," ", IFERROR( VLOOKUP($A1365,'SUPPLIER DATA BASE'!$A$2:$O$936,13,0),""))</f>
        <v>-</v>
      </c>
      <c r="Q1365" s="77"/>
      <c r="R1365" s="73"/>
      <c r="S1365" s="77"/>
      <c r="T1365" s="70"/>
      <c r="U1365" s="78"/>
      <c r="V1365" s="70" t="str">
        <f t="shared" si="6"/>
        <v/>
      </c>
      <c r="W1365" s="23"/>
      <c r="X1365" s="23"/>
    </row>
    <row r="1366">
      <c r="A1366" s="70" t="s">
        <v>354</v>
      </c>
      <c r="B1366" s="70" t="str">
        <f>IF($A$3=" "," ", IFERROR( VLOOKUP($A1366,'SUPPLIER DATA BASE'!$A$2:$M$936,3,0),""))</f>
        <v>-</v>
      </c>
      <c r="C1366" s="70" t="str">
        <f>IF($A$3=" "," ", IFERROR( VLOOKUP($A1366,'SUPPLIER DATA BASE'!$A$2:$F$936,6,0),""))</f>
        <v>-</v>
      </c>
      <c r="D1366" s="70" t="str">
        <f>IF($A$3=" "," ", IFERROR( VLOOKUP($A1366,'SUPPLIER DATA BASE'!$A$2:$G$936,4,0),""))</f>
        <v>-</v>
      </c>
      <c r="E1366" s="71" t="str">
        <f>IF($A$3=" "," ", IFERROR( VLOOKUP($A1366,'SUPPLIER DATA BASE'!$A$2:$H$936,5,0),""))</f>
        <v>-</v>
      </c>
      <c r="F1366" s="72" t="s">
        <v>3935</v>
      </c>
      <c r="G1366" s="73"/>
      <c r="H1366" s="74"/>
      <c r="I1366" s="75"/>
      <c r="J1366" s="76" t="s">
        <v>3936</v>
      </c>
      <c r="K1366" s="76" t="s">
        <v>3937</v>
      </c>
      <c r="L1366" s="73"/>
      <c r="M1366" s="70" t="str">
        <f t="shared" si="3"/>
        <v/>
      </c>
      <c r="N1366" s="70" t="str">
        <f>IF($A$3=" "," ", IFERROR( VLOOKUP($A1366,'SUPPLIER DATA BASE'!$A$2:$O$936,11,0),""))</f>
        <v>-</v>
      </c>
      <c r="O1366" s="70" t="str">
        <f>IF($A$3=" "," ", IFERROR( VLOOKUP($A1366,'SUPPLIER DATA BASE'!$A$2:$O$936,12,0),""))</f>
        <v>-</v>
      </c>
      <c r="P1366" s="70" t="str">
        <f>IF($A$3=" "," ", IFERROR( VLOOKUP($A1366,'SUPPLIER DATA BASE'!$A$2:$O$936,13,0),""))</f>
        <v>-</v>
      </c>
      <c r="Q1366" s="77"/>
      <c r="R1366" s="73"/>
      <c r="S1366" s="77"/>
      <c r="T1366" s="70"/>
      <c r="U1366" s="78"/>
      <c r="V1366" s="70" t="str">
        <f t="shared" si="6"/>
        <v/>
      </c>
      <c r="W1366" s="23"/>
      <c r="X1366" s="23"/>
    </row>
    <row r="1367">
      <c r="A1367" s="70" t="s">
        <v>354</v>
      </c>
      <c r="B1367" s="70" t="str">
        <f>IF($A$3=" "," ", IFERROR( VLOOKUP($A1367,'SUPPLIER DATA BASE'!$A$2:$M$936,3,0),""))</f>
        <v>-</v>
      </c>
      <c r="C1367" s="70" t="str">
        <f>IF($A$3=" "," ", IFERROR( VLOOKUP($A1367,'SUPPLIER DATA BASE'!$A$2:$F$936,6,0),""))</f>
        <v>-</v>
      </c>
      <c r="D1367" s="70" t="str">
        <f>IF($A$3=" "," ", IFERROR( VLOOKUP($A1367,'SUPPLIER DATA BASE'!$A$2:$G$936,4,0),""))</f>
        <v>-</v>
      </c>
      <c r="E1367" s="71" t="str">
        <f>IF($A$3=" "," ", IFERROR( VLOOKUP($A1367,'SUPPLIER DATA BASE'!$A$2:$H$936,5,0),""))</f>
        <v>-</v>
      </c>
      <c r="F1367" s="72" t="s">
        <v>3938</v>
      </c>
      <c r="G1367" s="73"/>
      <c r="H1367" s="74"/>
      <c r="I1367" s="75"/>
      <c r="J1367" s="76" t="s">
        <v>3939</v>
      </c>
      <c r="K1367" s="76" t="s">
        <v>3940</v>
      </c>
      <c r="L1367" s="73"/>
      <c r="M1367" s="70" t="str">
        <f t="shared" si="3"/>
        <v/>
      </c>
      <c r="N1367" s="70" t="str">
        <f>IF($A$3=" "," ", IFERROR( VLOOKUP($A1367,'SUPPLIER DATA BASE'!$A$2:$O$936,11,0),""))</f>
        <v>-</v>
      </c>
      <c r="O1367" s="70" t="str">
        <f>IF($A$3=" "," ", IFERROR( VLOOKUP($A1367,'SUPPLIER DATA BASE'!$A$2:$O$936,12,0),""))</f>
        <v>-</v>
      </c>
      <c r="P1367" s="70" t="str">
        <f>IF($A$3=" "," ", IFERROR( VLOOKUP($A1367,'SUPPLIER DATA BASE'!$A$2:$O$936,13,0),""))</f>
        <v>-</v>
      </c>
      <c r="Q1367" s="77"/>
      <c r="R1367" s="73"/>
      <c r="S1367" s="77"/>
      <c r="T1367" s="70"/>
      <c r="U1367" s="78"/>
      <c r="V1367" s="70" t="str">
        <f t="shared" si="6"/>
        <v/>
      </c>
      <c r="W1367" s="23"/>
      <c r="X1367" s="23"/>
    </row>
    <row r="1368">
      <c r="A1368" s="70" t="s">
        <v>354</v>
      </c>
      <c r="B1368" s="70" t="str">
        <f>IF($A$3=" "," ", IFERROR( VLOOKUP($A1368,'SUPPLIER DATA BASE'!$A$2:$M$936,3,0),""))</f>
        <v>-</v>
      </c>
      <c r="C1368" s="70" t="str">
        <f>IF($A$3=" "," ", IFERROR( VLOOKUP($A1368,'SUPPLIER DATA BASE'!$A$2:$F$936,6,0),""))</f>
        <v>-</v>
      </c>
      <c r="D1368" s="70" t="str">
        <f>IF($A$3=" "," ", IFERROR( VLOOKUP($A1368,'SUPPLIER DATA BASE'!$A$2:$G$936,4,0),""))</f>
        <v>-</v>
      </c>
      <c r="E1368" s="71" t="str">
        <f>IF($A$3=" "," ", IFERROR( VLOOKUP($A1368,'SUPPLIER DATA BASE'!$A$2:$H$936,5,0),""))</f>
        <v>-</v>
      </c>
      <c r="F1368" s="72" t="s">
        <v>3941</v>
      </c>
      <c r="G1368" s="73"/>
      <c r="H1368" s="74"/>
      <c r="I1368" s="75"/>
      <c r="J1368" s="76" t="s">
        <v>3942</v>
      </c>
      <c r="K1368" s="76" t="s">
        <v>3943</v>
      </c>
      <c r="L1368" s="73"/>
      <c r="M1368" s="70" t="str">
        <f t="shared" si="3"/>
        <v/>
      </c>
      <c r="N1368" s="70" t="str">
        <f>IF($A$3=" "," ", IFERROR( VLOOKUP($A1368,'SUPPLIER DATA BASE'!$A$2:$O$936,11,0),""))</f>
        <v>-</v>
      </c>
      <c r="O1368" s="70" t="str">
        <f>IF($A$3=" "," ", IFERROR( VLOOKUP($A1368,'SUPPLIER DATA BASE'!$A$2:$O$936,12,0),""))</f>
        <v>-</v>
      </c>
      <c r="P1368" s="70" t="str">
        <f>IF($A$3=" "," ", IFERROR( VLOOKUP($A1368,'SUPPLIER DATA BASE'!$A$2:$O$936,13,0),""))</f>
        <v>-</v>
      </c>
      <c r="Q1368" s="77"/>
      <c r="R1368" s="73"/>
      <c r="S1368" s="77"/>
      <c r="T1368" s="70"/>
      <c r="U1368" s="78"/>
      <c r="V1368" s="70" t="str">
        <f t="shared" si="6"/>
        <v/>
      </c>
      <c r="W1368" s="23"/>
      <c r="X1368" s="23"/>
    </row>
    <row r="1369">
      <c r="A1369" s="70" t="s">
        <v>354</v>
      </c>
      <c r="B1369" s="70" t="str">
        <f>IF($A$3=" "," ", IFERROR( VLOOKUP($A1369,'SUPPLIER DATA BASE'!$A$2:$M$936,3,0),""))</f>
        <v>-</v>
      </c>
      <c r="C1369" s="70" t="str">
        <f>IF($A$3=" "," ", IFERROR( VLOOKUP($A1369,'SUPPLIER DATA BASE'!$A$2:$F$936,6,0),""))</f>
        <v>-</v>
      </c>
      <c r="D1369" s="70" t="str">
        <f>IF($A$3=" "," ", IFERROR( VLOOKUP($A1369,'SUPPLIER DATA BASE'!$A$2:$G$936,4,0),""))</f>
        <v>-</v>
      </c>
      <c r="E1369" s="71" t="str">
        <f>IF($A$3=" "," ", IFERROR( VLOOKUP($A1369,'SUPPLIER DATA BASE'!$A$2:$H$936,5,0),""))</f>
        <v>-</v>
      </c>
      <c r="F1369" s="72" t="s">
        <v>3944</v>
      </c>
      <c r="G1369" s="73"/>
      <c r="H1369" s="74"/>
      <c r="I1369" s="75"/>
      <c r="J1369" s="76" t="s">
        <v>3945</v>
      </c>
      <c r="K1369" s="76" t="s">
        <v>3946</v>
      </c>
      <c r="L1369" s="73"/>
      <c r="M1369" s="70" t="str">
        <f t="shared" si="3"/>
        <v/>
      </c>
      <c r="N1369" s="70" t="str">
        <f>IF($A$3=" "," ", IFERROR( VLOOKUP($A1369,'SUPPLIER DATA BASE'!$A$2:$O$936,11,0),""))</f>
        <v>-</v>
      </c>
      <c r="O1369" s="70" t="str">
        <f>IF($A$3=" "," ", IFERROR( VLOOKUP($A1369,'SUPPLIER DATA BASE'!$A$2:$O$936,12,0),""))</f>
        <v>-</v>
      </c>
      <c r="P1369" s="70" t="str">
        <f>IF($A$3=" "," ", IFERROR( VLOOKUP($A1369,'SUPPLIER DATA BASE'!$A$2:$O$936,13,0),""))</f>
        <v>-</v>
      </c>
      <c r="Q1369" s="77"/>
      <c r="R1369" s="73"/>
      <c r="S1369" s="77"/>
      <c r="T1369" s="70"/>
      <c r="U1369" s="78"/>
      <c r="V1369" s="70" t="str">
        <f t="shared" si="6"/>
        <v/>
      </c>
      <c r="W1369" s="23"/>
      <c r="X1369" s="23"/>
    </row>
    <row r="1370">
      <c r="A1370" s="70" t="s">
        <v>354</v>
      </c>
      <c r="B1370" s="70" t="str">
        <f>IF($A$3=" "," ", IFERROR( VLOOKUP($A1370,'SUPPLIER DATA BASE'!$A$2:$M$936,3,0),""))</f>
        <v>-</v>
      </c>
      <c r="C1370" s="70" t="str">
        <f>IF($A$3=" "," ", IFERROR( VLOOKUP($A1370,'SUPPLIER DATA BASE'!$A$2:$F$936,6,0),""))</f>
        <v>-</v>
      </c>
      <c r="D1370" s="70" t="str">
        <f>IF($A$3=" "," ", IFERROR( VLOOKUP($A1370,'SUPPLIER DATA BASE'!$A$2:$G$936,4,0),""))</f>
        <v>-</v>
      </c>
      <c r="E1370" s="71" t="str">
        <f>IF($A$3=" "," ", IFERROR( VLOOKUP($A1370,'SUPPLIER DATA BASE'!$A$2:$H$936,5,0),""))</f>
        <v>-</v>
      </c>
      <c r="F1370" s="72" t="s">
        <v>3947</v>
      </c>
      <c r="G1370" s="73"/>
      <c r="H1370" s="74"/>
      <c r="I1370" s="75"/>
      <c r="J1370" s="76" t="s">
        <v>3948</v>
      </c>
      <c r="K1370" s="76" t="s">
        <v>3949</v>
      </c>
      <c r="L1370" s="73"/>
      <c r="M1370" s="70" t="str">
        <f t="shared" si="3"/>
        <v/>
      </c>
      <c r="N1370" s="70" t="str">
        <f>IF($A$3=" "," ", IFERROR( VLOOKUP($A1370,'SUPPLIER DATA BASE'!$A$2:$O$936,11,0),""))</f>
        <v>-</v>
      </c>
      <c r="O1370" s="70" t="str">
        <f>IF($A$3=" "," ", IFERROR( VLOOKUP($A1370,'SUPPLIER DATA BASE'!$A$2:$O$936,12,0),""))</f>
        <v>-</v>
      </c>
      <c r="P1370" s="70" t="str">
        <f>IF($A$3=" "," ", IFERROR( VLOOKUP($A1370,'SUPPLIER DATA BASE'!$A$2:$O$936,13,0),""))</f>
        <v>-</v>
      </c>
      <c r="Q1370" s="77"/>
      <c r="R1370" s="73"/>
      <c r="S1370" s="77"/>
      <c r="T1370" s="70"/>
      <c r="U1370" s="78"/>
      <c r="V1370" s="70" t="str">
        <f t="shared" si="6"/>
        <v/>
      </c>
      <c r="W1370" s="23"/>
      <c r="X1370" s="23"/>
    </row>
    <row r="1371">
      <c r="A1371" s="70" t="s">
        <v>354</v>
      </c>
      <c r="B1371" s="70" t="str">
        <f>IF($A$3=" "," ", IFERROR( VLOOKUP($A1371,'SUPPLIER DATA BASE'!$A$2:$M$936,3,0),""))</f>
        <v>-</v>
      </c>
      <c r="C1371" s="70" t="str">
        <f>IF($A$3=" "," ", IFERROR( VLOOKUP($A1371,'SUPPLIER DATA BASE'!$A$2:$F$936,6,0),""))</f>
        <v>-</v>
      </c>
      <c r="D1371" s="70" t="str">
        <f>IF($A$3=" "," ", IFERROR( VLOOKUP($A1371,'SUPPLIER DATA BASE'!$A$2:$G$936,4,0),""))</f>
        <v>-</v>
      </c>
      <c r="E1371" s="71" t="str">
        <f>IF($A$3=" "," ", IFERROR( VLOOKUP($A1371,'SUPPLIER DATA BASE'!$A$2:$H$936,5,0),""))</f>
        <v>-</v>
      </c>
      <c r="F1371" s="72" t="s">
        <v>3950</v>
      </c>
      <c r="G1371" s="73"/>
      <c r="H1371" s="74"/>
      <c r="I1371" s="75"/>
      <c r="J1371" s="76" t="s">
        <v>3951</v>
      </c>
      <c r="K1371" s="76" t="s">
        <v>3952</v>
      </c>
      <c r="L1371" s="73"/>
      <c r="M1371" s="70" t="str">
        <f t="shared" si="3"/>
        <v/>
      </c>
      <c r="N1371" s="70" t="str">
        <f>IF($A$3=" "," ", IFERROR( VLOOKUP($A1371,'SUPPLIER DATA BASE'!$A$2:$O$936,11,0),""))</f>
        <v>-</v>
      </c>
      <c r="O1371" s="70" t="str">
        <f>IF($A$3=" "," ", IFERROR( VLOOKUP($A1371,'SUPPLIER DATA BASE'!$A$2:$O$936,12,0),""))</f>
        <v>-</v>
      </c>
      <c r="P1371" s="70" t="str">
        <f>IF($A$3=" "," ", IFERROR( VLOOKUP($A1371,'SUPPLIER DATA BASE'!$A$2:$O$936,13,0),""))</f>
        <v>-</v>
      </c>
      <c r="Q1371" s="77"/>
      <c r="R1371" s="73"/>
      <c r="S1371" s="77"/>
      <c r="T1371" s="70"/>
      <c r="U1371" s="78"/>
      <c r="V1371" s="70" t="str">
        <f t="shared" si="6"/>
        <v/>
      </c>
      <c r="W1371" s="23"/>
      <c r="X1371" s="23"/>
    </row>
    <row r="1372">
      <c r="A1372" s="70" t="s">
        <v>354</v>
      </c>
      <c r="B1372" s="70" t="str">
        <f>IF($A$3=" "," ", IFERROR( VLOOKUP($A1372,'SUPPLIER DATA BASE'!$A$2:$M$936,3,0),""))</f>
        <v>-</v>
      </c>
      <c r="C1372" s="70" t="str">
        <f>IF($A$3=" "," ", IFERROR( VLOOKUP($A1372,'SUPPLIER DATA BASE'!$A$2:$F$936,6,0),""))</f>
        <v>-</v>
      </c>
      <c r="D1372" s="70" t="str">
        <f>IF($A$3=" "," ", IFERROR( VLOOKUP($A1372,'SUPPLIER DATA BASE'!$A$2:$G$936,4,0),""))</f>
        <v>-</v>
      </c>
      <c r="E1372" s="71" t="str">
        <f>IF($A$3=" "," ", IFERROR( VLOOKUP($A1372,'SUPPLIER DATA BASE'!$A$2:$H$936,5,0),""))</f>
        <v>-</v>
      </c>
      <c r="F1372" s="72" t="s">
        <v>3953</v>
      </c>
      <c r="G1372" s="73"/>
      <c r="H1372" s="74"/>
      <c r="I1372" s="75"/>
      <c r="J1372" s="76" t="s">
        <v>3954</v>
      </c>
      <c r="K1372" s="76" t="s">
        <v>3955</v>
      </c>
      <c r="L1372" s="73"/>
      <c r="M1372" s="70" t="str">
        <f t="shared" si="3"/>
        <v/>
      </c>
      <c r="N1372" s="70" t="str">
        <f>IF($A$3=" "," ", IFERROR( VLOOKUP($A1372,'SUPPLIER DATA BASE'!$A$2:$O$936,11,0),""))</f>
        <v>-</v>
      </c>
      <c r="O1372" s="70" t="str">
        <f>IF($A$3=" "," ", IFERROR( VLOOKUP($A1372,'SUPPLIER DATA BASE'!$A$2:$O$936,12,0),""))</f>
        <v>-</v>
      </c>
      <c r="P1372" s="70" t="str">
        <f>IF($A$3=" "," ", IFERROR( VLOOKUP($A1372,'SUPPLIER DATA BASE'!$A$2:$O$936,13,0),""))</f>
        <v>-</v>
      </c>
      <c r="Q1372" s="77"/>
      <c r="R1372" s="73"/>
      <c r="S1372" s="77"/>
      <c r="T1372" s="70"/>
      <c r="U1372" s="78"/>
      <c r="V1372" s="70" t="str">
        <f t="shared" si="6"/>
        <v/>
      </c>
      <c r="W1372" s="23"/>
      <c r="X1372" s="23"/>
    </row>
    <row r="1373">
      <c r="A1373" s="70" t="s">
        <v>354</v>
      </c>
      <c r="B1373" s="70" t="str">
        <f>IF($A$3=" "," ", IFERROR( VLOOKUP($A1373,'SUPPLIER DATA BASE'!$A$2:$M$936,3,0),""))</f>
        <v>-</v>
      </c>
      <c r="C1373" s="70" t="str">
        <f>IF($A$3=" "," ", IFERROR( VLOOKUP($A1373,'SUPPLIER DATA BASE'!$A$2:$F$936,6,0),""))</f>
        <v>-</v>
      </c>
      <c r="D1373" s="70" t="str">
        <f>IF($A$3=" "," ", IFERROR( VLOOKUP($A1373,'SUPPLIER DATA BASE'!$A$2:$G$936,4,0),""))</f>
        <v>-</v>
      </c>
      <c r="E1373" s="71" t="str">
        <f>IF($A$3=" "," ", IFERROR( VLOOKUP($A1373,'SUPPLIER DATA BASE'!$A$2:$H$936,5,0),""))</f>
        <v>-</v>
      </c>
      <c r="F1373" s="72" t="s">
        <v>3956</v>
      </c>
      <c r="G1373" s="73"/>
      <c r="H1373" s="74"/>
      <c r="I1373" s="75"/>
      <c r="J1373" s="76" t="s">
        <v>3957</v>
      </c>
      <c r="K1373" s="76" t="s">
        <v>3958</v>
      </c>
      <c r="L1373" s="73"/>
      <c r="M1373" s="70" t="str">
        <f t="shared" si="3"/>
        <v/>
      </c>
      <c r="N1373" s="70" t="str">
        <f>IF($A$3=" "," ", IFERROR( VLOOKUP($A1373,'SUPPLIER DATA BASE'!$A$2:$O$936,11,0),""))</f>
        <v>-</v>
      </c>
      <c r="O1373" s="70" t="str">
        <f>IF($A$3=" "," ", IFERROR( VLOOKUP($A1373,'SUPPLIER DATA BASE'!$A$2:$O$936,12,0),""))</f>
        <v>-</v>
      </c>
      <c r="P1373" s="70" t="str">
        <f>IF($A$3=" "," ", IFERROR( VLOOKUP($A1373,'SUPPLIER DATA BASE'!$A$2:$O$936,13,0),""))</f>
        <v>-</v>
      </c>
      <c r="Q1373" s="77"/>
      <c r="R1373" s="73"/>
      <c r="S1373" s="77"/>
      <c r="T1373" s="70"/>
      <c r="U1373" s="78"/>
      <c r="V1373" s="70" t="str">
        <f t="shared" si="6"/>
        <v/>
      </c>
      <c r="W1373" s="23"/>
      <c r="X1373" s="23"/>
    </row>
    <row r="1374">
      <c r="A1374" s="70" t="s">
        <v>354</v>
      </c>
      <c r="B1374" s="70" t="str">
        <f>IF($A$3=" "," ", IFERROR( VLOOKUP($A1374,'SUPPLIER DATA BASE'!$A$2:$M$936,3,0),""))</f>
        <v>-</v>
      </c>
      <c r="C1374" s="70" t="str">
        <f>IF($A$3=" "," ", IFERROR( VLOOKUP($A1374,'SUPPLIER DATA BASE'!$A$2:$F$936,6,0),""))</f>
        <v>-</v>
      </c>
      <c r="D1374" s="70" t="str">
        <f>IF($A$3=" "," ", IFERROR( VLOOKUP($A1374,'SUPPLIER DATA BASE'!$A$2:$G$936,4,0),""))</f>
        <v>-</v>
      </c>
      <c r="E1374" s="71" t="str">
        <f>IF($A$3=" "," ", IFERROR( VLOOKUP($A1374,'SUPPLIER DATA BASE'!$A$2:$H$936,5,0),""))</f>
        <v>-</v>
      </c>
      <c r="F1374" s="72" t="s">
        <v>3959</v>
      </c>
      <c r="G1374" s="73"/>
      <c r="H1374" s="74"/>
      <c r="I1374" s="75"/>
      <c r="J1374" s="76" t="s">
        <v>3960</v>
      </c>
      <c r="K1374" s="76" t="s">
        <v>3961</v>
      </c>
      <c r="L1374" s="73"/>
      <c r="M1374" s="70" t="str">
        <f t="shared" si="3"/>
        <v/>
      </c>
      <c r="N1374" s="70" t="str">
        <f>IF($A$3=" "," ", IFERROR( VLOOKUP($A1374,'SUPPLIER DATA BASE'!$A$2:$O$936,11,0),""))</f>
        <v>-</v>
      </c>
      <c r="O1374" s="70" t="str">
        <f>IF($A$3=" "," ", IFERROR( VLOOKUP($A1374,'SUPPLIER DATA BASE'!$A$2:$O$936,12,0),""))</f>
        <v>-</v>
      </c>
      <c r="P1374" s="70" t="str">
        <f>IF($A$3=" "," ", IFERROR( VLOOKUP($A1374,'SUPPLIER DATA BASE'!$A$2:$O$936,13,0),""))</f>
        <v>-</v>
      </c>
      <c r="Q1374" s="77"/>
      <c r="R1374" s="73"/>
      <c r="S1374" s="77"/>
      <c r="T1374" s="70"/>
      <c r="U1374" s="78"/>
      <c r="V1374" s="70" t="str">
        <f t="shared" si="6"/>
        <v/>
      </c>
      <c r="W1374" s="23"/>
      <c r="X1374" s="23"/>
    </row>
    <row r="1375">
      <c r="A1375" s="70" t="s">
        <v>354</v>
      </c>
      <c r="B1375" s="70" t="str">
        <f>IF($A$3=" "," ", IFERROR( VLOOKUP($A1375,'SUPPLIER DATA BASE'!$A$2:$M$936,3,0),""))</f>
        <v>-</v>
      </c>
      <c r="C1375" s="70" t="str">
        <f>IF($A$3=" "," ", IFERROR( VLOOKUP($A1375,'SUPPLIER DATA BASE'!$A$2:$F$936,6,0),""))</f>
        <v>-</v>
      </c>
      <c r="D1375" s="70" t="str">
        <f>IF($A$3=" "," ", IFERROR( VLOOKUP($A1375,'SUPPLIER DATA BASE'!$A$2:$G$936,4,0),""))</f>
        <v>-</v>
      </c>
      <c r="E1375" s="71" t="str">
        <f>IF($A$3=" "," ", IFERROR( VLOOKUP($A1375,'SUPPLIER DATA BASE'!$A$2:$H$936,5,0),""))</f>
        <v>-</v>
      </c>
      <c r="F1375" s="72" t="s">
        <v>3962</v>
      </c>
      <c r="G1375" s="73"/>
      <c r="H1375" s="74"/>
      <c r="I1375" s="75"/>
      <c r="J1375" s="76" t="s">
        <v>3963</v>
      </c>
      <c r="K1375" s="76" t="s">
        <v>3964</v>
      </c>
      <c r="L1375" s="73"/>
      <c r="M1375" s="70" t="str">
        <f t="shared" si="3"/>
        <v/>
      </c>
      <c r="N1375" s="70" t="str">
        <f>IF($A$3=" "," ", IFERROR( VLOOKUP($A1375,'SUPPLIER DATA BASE'!$A$2:$O$936,11,0),""))</f>
        <v>-</v>
      </c>
      <c r="O1375" s="70" t="str">
        <f>IF($A$3=" "," ", IFERROR( VLOOKUP($A1375,'SUPPLIER DATA BASE'!$A$2:$O$936,12,0),""))</f>
        <v>-</v>
      </c>
      <c r="P1375" s="70" t="str">
        <f>IF($A$3=" "," ", IFERROR( VLOOKUP($A1375,'SUPPLIER DATA BASE'!$A$2:$O$936,13,0),""))</f>
        <v>-</v>
      </c>
      <c r="Q1375" s="77"/>
      <c r="R1375" s="73"/>
      <c r="S1375" s="77"/>
      <c r="T1375" s="70"/>
      <c r="U1375" s="78"/>
      <c r="V1375" s="70" t="str">
        <f t="shared" si="6"/>
        <v/>
      </c>
      <c r="W1375" s="23"/>
      <c r="X1375" s="23"/>
    </row>
    <row r="1376">
      <c r="A1376" s="70" t="s">
        <v>354</v>
      </c>
      <c r="B1376" s="70" t="str">
        <f>IF($A$3=" "," ", IFERROR( VLOOKUP($A1376,'SUPPLIER DATA BASE'!$A$2:$M$936,3,0),""))</f>
        <v>-</v>
      </c>
      <c r="C1376" s="70" t="str">
        <f>IF($A$3=" "," ", IFERROR( VLOOKUP($A1376,'SUPPLIER DATA BASE'!$A$2:$F$936,6,0),""))</f>
        <v>-</v>
      </c>
      <c r="D1376" s="70" t="str">
        <f>IF($A$3=" "," ", IFERROR( VLOOKUP($A1376,'SUPPLIER DATA BASE'!$A$2:$G$936,4,0),""))</f>
        <v>-</v>
      </c>
      <c r="E1376" s="71" t="str">
        <f>IF($A$3=" "," ", IFERROR( VLOOKUP($A1376,'SUPPLIER DATA BASE'!$A$2:$H$936,5,0),""))</f>
        <v>-</v>
      </c>
      <c r="F1376" s="72" t="s">
        <v>3965</v>
      </c>
      <c r="G1376" s="73"/>
      <c r="H1376" s="74"/>
      <c r="I1376" s="75"/>
      <c r="J1376" s="76" t="s">
        <v>3966</v>
      </c>
      <c r="K1376" s="76" t="s">
        <v>3967</v>
      </c>
      <c r="L1376" s="73"/>
      <c r="M1376" s="70" t="str">
        <f t="shared" si="3"/>
        <v/>
      </c>
      <c r="N1376" s="70" t="str">
        <f>IF($A$3=" "," ", IFERROR( VLOOKUP($A1376,'SUPPLIER DATA BASE'!$A$2:$O$936,11,0),""))</f>
        <v>-</v>
      </c>
      <c r="O1376" s="70" t="str">
        <f>IF($A$3=" "," ", IFERROR( VLOOKUP($A1376,'SUPPLIER DATA BASE'!$A$2:$O$936,12,0),""))</f>
        <v>-</v>
      </c>
      <c r="P1376" s="70" t="str">
        <f>IF($A$3=" "," ", IFERROR( VLOOKUP($A1376,'SUPPLIER DATA BASE'!$A$2:$O$936,13,0),""))</f>
        <v>-</v>
      </c>
      <c r="Q1376" s="77"/>
      <c r="R1376" s="73"/>
      <c r="S1376" s="77"/>
      <c r="T1376" s="70"/>
      <c r="U1376" s="78"/>
      <c r="V1376" s="70" t="str">
        <f t="shared" si="6"/>
        <v/>
      </c>
      <c r="W1376" s="23"/>
      <c r="X1376" s="23"/>
    </row>
    <row r="1377">
      <c r="A1377" s="70" t="s">
        <v>354</v>
      </c>
      <c r="B1377" s="70" t="str">
        <f>IF($A$3=" "," ", IFERROR( VLOOKUP($A1377,'SUPPLIER DATA BASE'!$A$2:$M$936,3,0),""))</f>
        <v>-</v>
      </c>
      <c r="C1377" s="70" t="str">
        <f>IF($A$3=" "," ", IFERROR( VLOOKUP($A1377,'SUPPLIER DATA BASE'!$A$2:$F$936,6,0),""))</f>
        <v>-</v>
      </c>
      <c r="D1377" s="70" t="str">
        <f>IF($A$3=" "," ", IFERROR( VLOOKUP($A1377,'SUPPLIER DATA BASE'!$A$2:$G$936,4,0),""))</f>
        <v>-</v>
      </c>
      <c r="E1377" s="71" t="str">
        <f>IF($A$3=" "," ", IFERROR( VLOOKUP($A1377,'SUPPLIER DATA BASE'!$A$2:$H$936,5,0),""))</f>
        <v>-</v>
      </c>
      <c r="F1377" s="72" t="s">
        <v>3968</v>
      </c>
      <c r="G1377" s="73"/>
      <c r="H1377" s="74"/>
      <c r="I1377" s="75"/>
      <c r="J1377" s="76" t="s">
        <v>3969</v>
      </c>
      <c r="K1377" s="76" t="s">
        <v>3970</v>
      </c>
      <c r="L1377" s="73"/>
      <c r="M1377" s="70" t="str">
        <f t="shared" si="3"/>
        <v/>
      </c>
      <c r="N1377" s="70" t="str">
        <f>IF($A$3=" "," ", IFERROR( VLOOKUP($A1377,'SUPPLIER DATA BASE'!$A$2:$O$936,11,0),""))</f>
        <v>-</v>
      </c>
      <c r="O1377" s="70" t="str">
        <f>IF($A$3=" "," ", IFERROR( VLOOKUP($A1377,'SUPPLIER DATA BASE'!$A$2:$O$936,12,0),""))</f>
        <v>-</v>
      </c>
      <c r="P1377" s="70" t="str">
        <f>IF($A$3=" "," ", IFERROR( VLOOKUP($A1377,'SUPPLIER DATA BASE'!$A$2:$O$936,13,0),""))</f>
        <v>-</v>
      </c>
      <c r="Q1377" s="77"/>
      <c r="R1377" s="73"/>
      <c r="S1377" s="77"/>
      <c r="T1377" s="70"/>
      <c r="U1377" s="78"/>
      <c r="V1377" s="70" t="str">
        <f t="shared" si="6"/>
        <v/>
      </c>
      <c r="W1377" s="23"/>
      <c r="X1377" s="23"/>
    </row>
    <row r="1378">
      <c r="A1378" s="70" t="s">
        <v>354</v>
      </c>
      <c r="B1378" s="70" t="str">
        <f>IF($A$3=" "," ", IFERROR( VLOOKUP($A1378,'SUPPLIER DATA BASE'!$A$2:$M$936,3,0),""))</f>
        <v>-</v>
      </c>
      <c r="C1378" s="70" t="str">
        <f>IF($A$3=" "," ", IFERROR( VLOOKUP($A1378,'SUPPLIER DATA BASE'!$A$2:$F$936,6,0),""))</f>
        <v>-</v>
      </c>
      <c r="D1378" s="70" t="str">
        <f>IF($A$3=" "," ", IFERROR( VLOOKUP($A1378,'SUPPLIER DATA BASE'!$A$2:$G$936,4,0),""))</f>
        <v>-</v>
      </c>
      <c r="E1378" s="71" t="str">
        <f>IF($A$3=" "," ", IFERROR( VLOOKUP($A1378,'SUPPLIER DATA BASE'!$A$2:$H$936,5,0),""))</f>
        <v>-</v>
      </c>
      <c r="F1378" s="72" t="s">
        <v>3971</v>
      </c>
      <c r="G1378" s="73"/>
      <c r="H1378" s="74"/>
      <c r="I1378" s="75"/>
      <c r="J1378" s="76" t="s">
        <v>3972</v>
      </c>
      <c r="K1378" s="76" t="s">
        <v>3973</v>
      </c>
      <c r="L1378" s="73"/>
      <c r="M1378" s="70" t="str">
        <f t="shared" si="3"/>
        <v/>
      </c>
      <c r="N1378" s="70" t="str">
        <f>IF($A$3=" "," ", IFERROR( VLOOKUP($A1378,'SUPPLIER DATA BASE'!$A$2:$O$936,11,0),""))</f>
        <v>-</v>
      </c>
      <c r="O1378" s="70" t="str">
        <f>IF($A$3=" "," ", IFERROR( VLOOKUP($A1378,'SUPPLIER DATA BASE'!$A$2:$O$936,12,0),""))</f>
        <v>-</v>
      </c>
      <c r="P1378" s="70" t="str">
        <f>IF($A$3=" "," ", IFERROR( VLOOKUP($A1378,'SUPPLIER DATA BASE'!$A$2:$O$936,13,0),""))</f>
        <v>-</v>
      </c>
      <c r="Q1378" s="77"/>
      <c r="R1378" s="73"/>
      <c r="S1378" s="77"/>
      <c r="T1378" s="70"/>
      <c r="U1378" s="78"/>
      <c r="V1378" s="70" t="str">
        <f t="shared" si="6"/>
        <v/>
      </c>
      <c r="W1378" s="23"/>
      <c r="X1378" s="23"/>
    </row>
    <row r="1379">
      <c r="A1379" s="70" t="s">
        <v>354</v>
      </c>
      <c r="B1379" s="70" t="str">
        <f>IF($A$3=" "," ", IFERROR( VLOOKUP($A1379,'SUPPLIER DATA BASE'!$A$2:$M$936,3,0),""))</f>
        <v>-</v>
      </c>
      <c r="C1379" s="70" t="str">
        <f>IF($A$3=" "," ", IFERROR( VLOOKUP($A1379,'SUPPLIER DATA BASE'!$A$2:$F$936,6,0),""))</f>
        <v>-</v>
      </c>
      <c r="D1379" s="70" t="str">
        <f>IF($A$3=" "," ", IFERROR( VLOOKUP($A1379,'SUPPLIER DATA BASE'!$A$2:$G$936,4,0),""))</f>
        <v>-</v>
      </c>
      <c r="E1379" s="71" t="str">
        <f>IF($A$3=" "," ", IFERROR( VLOOKUP($A1379,'SUPPLIER DATA BASE'!$A$2:$H$936,5,0),""))</f>
        <v>-</v>
      </c>
      <c r="F1379" s="72" t="s">
        <v>3974</v>
      </c>
      <c r="G1379" s="73"/>
      <c r="H1379" s="74"/>
      <c r="I1379" s="75"/>
      <c r="J1379" s="76" t="s">
        <v>3975</v>
      </c>
      <c r="K1379" s="76" t="s">
        <v>3976</v>
      </c>
      <c r="L1379" s="73"/>
      <c r="M1379" s="70" t="str">
        <f t="shared" si="3"/>
        <v/>
      </c>
      <c r="N1379" s="70" t="str">
        <f>IF($A$3=" "," ", IFERROR( VLOOKUP($A1379,'SUPPLIER DATA BASE'!$A$2:$O$936,11,0),""))</f>
        <v>-</v>
      </c>
      <c r="O1379" s="70" t="str">
        <f>IF($A$3=" "," ", IFERROR( VLOOKUP($A1379,'SUPPLIER DATA BASE'!$A$2:$O$936,12,0),""))</f>
        <v>-</v>
      </c>
      <c r="P1379" s="70" t="str">
        <f>IF($A$3=" "," ", IFERROR( VLOOKUP($A1379,'SUPPLIER DATA BASE'!$A$2:$O$936,13,0),""))</f>
        <v>-</v>
      </c>
      <c r="Q1379" s="77"/>
      <c r="R1379" s="73"/>
      <c r="S1379" s="77"/>
      <c r="T1379" s="70"/>
      <c r="U1379" s="78"/>
      <c r="V1379" s="70" t="str">
        <f t="shared" si="6"/>
        <v/>
      </c>
      <c r="W1379" s="23"/>
      <c r="X1379" s="23"/>
    </row>
    <row r="1380">
      <c r="A1380" s="70" t="s">
        <v>354</v>
      </c>
      <c r="B1380" s="70" t="str">
        <f>IF($A$3=" "," ", IFERROR( VLOOKUP($A1380,'SUPPLIER DATA BASE'!$A$2:$M$936,3,0),""))</f>
        <v>-</v>
      </c>
      <c r="C1380" s="70" t="str">
        <f>IF($A$3=" "," ", IFERROR( VLOOKUP($A1380,'SUPPLIER DATA BASE'!$A$2:$F$936,6,0),""))</f>
        <v>-</v>
      </c>
      <c r="D1380" s="70" t="str">
        <f>IF($A$3=" "," ", IFERROR( VLOOKUP($A1380,'SUPPLIER DATA BASE'!$A$2:$G$936,4,0),""))</f>
        <v>-</v>
      </c>
      <c r="E1380" s="71" t="str">
        <f>IF($A$3=" "," ", IFERROR( VLOOKUP($A1380,'SUPPLIER DATA BASE'!$A$2:$H$936,5,0),""))</f>
        <v>-</v>
      </c>
      <c r="F1380" s="72" t="s">
        <v>3977</v>
      </c>
      <c r="G1380" s="73"/>
      <c r="H1380" s="74"/>
      <c r="I1380" s="75"/>
      <c r="J1380" s="76" t="s">
        <v>3978</v>
      </c>
      <c r="K1380" s="76" t="s">
        <v>3979</v>
      </c>
      <c r="L1380" s="73"/>
      <c r="M1380" s="70" t="str">
        <f t="shared" si="3"/>
        <v/>
      </c>
      <c r="N1380" s="70" t="str">
        <f>IF($A$3=" "," ", IFERROR( VLOOKUP($A1380,'SUPPLIER DATA BASE'!$A$2:$O$936,11,0),""))</f>
        <v>-</v>
      </c>
      <c r="O1380" s="70" t="str">
        <f>IF($A$3=" "," ", IFERROR( VLOOKUP($A1380,'SUPPLIER DATA BASE'!$A$2:$O$936,12,0),""))</f>
        <v>-</v>
      </c>
      <c r="P1380" s="70" t="str">
        <f>IF($A$3=" "," ", IFERROR( VLOOKUP($A1380,'SUPPLIER DATA BASE'!$A$2:$O$936,13,0),""))</f>
        <v>-</v>
      </c>
      <c r="Q1380" s="77"/>
      <c r="R1380" s="73"/>
      <c r="S1380" s="77"/>
      <c r="T1380" s="70"/>
      <c r="U1380" s="78"/>
      <c r="V1380" s="70" t="str">
        <f t="shared" si="6"/>
        <v/>
      </c>
      <c r="W1380" s="23"/>
      <c r="X1380" s="23"/>
    </row>
    <row r="1381">
      <c r="A1381" s="70" t="s">
        <v>354</v>
      </c>
      <c r="B1381" s="70" t="str">
        <f>IF($A$3=" "," ", IFERROR( VLOOKUP($A1381,'SUPPLIER DATA BASE'!$A$2:$M$936,3,0),""))</f>
        <v>-</v>
      </c>
      <c r="C1381" s="70" t="str">
        <f>IF($A$3=" "," ", IFERROR( VLOOKUP($A1381,'SUPPLIER DATA BASE'!$A$2:$F$936,6,0),""))</f>
        <v>-</v>
      </c>
      <c r="D1381" s="70" t="str">
        <f>IF($A$3=" "," ", IFERROR( VLOOKUP($A1381,'SUPPLIER DATA BASE'!$A$2:$G$936,4,0),""))</f>
        <v>-</v>
      </c>
      <c r="E1381" s="71" t="str">
        <f>IF($A$3=" "," ", IFERROR( VLOOKUP($A1381,'SUPPLIER DATA BASE'!$A$2:$H$936,5,0),""))</f>
        <v>-</v>
      </c>
      <c r="F1381" s="72" t="s">
        <v>3980</v>
      </c>
      <c r="G1381" s="73"/>
      <c r="H1381" s="74"/>
      <c r="I1381" s="75"/>
      <c r="J1381" s="76" t="s">
        <v>3981</v>
      </c>
      <c r="K1381" s="76" t="s">
        <v>3982</v>
      </c>
      <c r="L1381" s="73"/>
      <c r="M1381" s="70" t="str">
        <f t="shared" si="3"/>
        <v/>
      </c>
      <c r="N1381" s="70" t="str">
        <f>IF($A$3=" "," ", IFERROR( VLOOKUP($A1381,'SUPPLIER DATA BASE'!$A$2:$O$936,11,0),""))</f>
        <v>-</v>
      </c>
      <c r="O1381" s="70" t="str">
        <f>IF($A$3=" "," ", IFERROR( VLOOKUP($A1381,'SUPPLIER DATA BASE'!$A$2:$O$936,12,0),""))</f>
        <v>-</v>
      </c>
      <c r="P1381" s="70" t="str">
        <f>IF($A$3=" "," ", IFERROR( VLOOKUP($A1381,'SUPPLIER DATA BASE'!$A$2:$O$936,13,0),""))</f>
        <v>-</v>
      </c>
      <c r="Q1381" s="77"/>
      <c r="R1381" s="73"/>
      <c r="S1381" s="77"/>
      <c r="T1381" s="70"/>
      <c r="U1381" s="78"/>
      <c r="V1381" s="70" t="str">
        <f t="shared" si="6"/>
        <v/>
      </c>
      <c r="W1381" s="23"/>
      <c r="X1381" s="23"/>
    </row>
    <row r="1382">
      <c r="A1382" s="70" t="s">
        <v>354</v>
      </c>
      <c r="B1382" s="70" t="str">
        <f>IF($A$3=" "," ", IFERROR( VLOOKUP($A1382,'SUPPLIER DATA BASE'!$A$2:$M$936,3,0),""))</f>
        <v>-</v>
      </c>
      <c r="C1382" s="70" t="str">
        <f>IF($A$3=" "," ", IFERROR( VLOOKUP($A1382,'SUPPLIER DATA BASE'!$A$2:$F$936,6,0),""))</f>
        <v>-</v>
      </c>
      <c r="D1382" s="70" t="str">
        <f>IF($A$3=" "," ", IFERROR( VLOOKUP($A1382,'SUPPLIER DATA BASE'!$A$2:$G$936,4,0),""))</f>
        <v>-</v>
      </c>
      <c r="E1382" s="71" t="str">
        <f>IF($A$3=" "," ", IFERROR( VLOOKUP($A1382,'SUPPLIER DATA BASE'!$A$2:$H$936,5,0),""))</f>
        <v>-</v>
      </c>
      <c r="F1382" s="72" t="s">
        <v>3983</v>
      </c>
      <c r="G1382" s="73"/>
      <c r="H1382" s="74"/>
      <c r="I1382" s="75"/>
      <c r="J1382" s="76" t="s">
        <v>3984</v>
      </c>
      <c r="K1382" s="76" t="s">
        <v>3985</v>
      </c>
      <c r="L1382" s="73"/>
      <c r="M1382" s="70" t="str">
        <f t="shared" si="3"/>
        <v/>
      </c>
      <c r="N1382" s="70" t="str">
        <f>IF($A$3=" "," ", IFERROR( VLOOKUP($A1382,'SUPPLIER DATA BASE'!$A$2:$O$936,11,0),""))</f>
        <v>-</v>
      </c>
      <c r="O1382" s="70" t="str">
        <f>IF($A$3=" "," ", IFERROR( VLOOKUP($A1382,'SUPPLIER DATA BASE'!$A$2:$O$936,12,0),""))</f>
        <v>-</v>
      </c>
      <c r="P1382" s="70" t="str">
        <f>IF($A$3=" "," ", IFERROR( VLOOKUP($A1382,'SUPPLIER DATA BASE'!$A$2:$O$936,13,0),""))</f>
        <v>-</v>
      </c>
      <c r="Q1382" s="77"/>
      <c r="R1382" s="73"/>
      <c r="S1382" s="77"/>
      <c r="T1382" s="70"/>
      <c r="U1382" s="78"/>
      <c r="V1382" s="70" t="str">
        <f t="shared" si="6"/>
        <v/>
      </c>
      <c r="W1382" s="23"/>
      <c r="X1382" s="23"/>
    </row>
    <row r="1383">
      <c r="A1383" s="70" t="s">
        <v>354</v>
      </c>
      <c r="B1383" s="70" t="str">
        <f>IF($A$3=" "," ", IFERROR( VLOOKUP($A1383,'SUPPLIER DATA BASE'!$A$2:$M$936,3,0),""))</f>
        <v>-</v>
      </c>
      <c r="C1383" s="70" t="str">
        <f>IF($A$3=" "," ", IFERROR( VLOOKUP($A1383,'SUPPLIER DATA BASE'!$A$2:$F$936,6,0),""))</f>
        <v>-</v>
      </c>
      <c r="D1383" s="70" t="str">
        <f>IF($A$3=" "," ", IFERROR( VLOOKUP($A1383,'SUPPLIER DATA BASE'!$A$2:$G$936,4,0),""))</f>
        <v>-</v>
      </c>
      <c r="E1383" s="71" t="str">
        <f>IF($A$3=" "," ", IFERROR( VLOOKUP($A1383,'SUPPLIER DATA BASE'!$A$2:$H$936,5,0),""))</f>
        <v>-</v>
      </c>
      <c r="F1383" s="72" t="s">
        <v>3986</v>
      </c>
      <c r="G1383" s="73"/>
      <c r="H1383" s="74"/>
      <c r="I1383" s="75"/>
      <c r="J1383" s="76" t="s">
        <v>3987</v>
      </c>
      <c r="K1383" s="76" t="s">
        <v>3988</v>
      </c>
      <c r="L1383" s="73"/>
      <c r="M1383" s="70" t="str">
        <f t="shared" si="3"/>
        <v/>
      </c>
      <c r="N1383" s="70" t="str">
        <f>IF($A$3=" "," ", IFERROR( VLOOKUP($A1383,'SUPPLIER DATA BASE'!$A$2:$O$936,11,0),""))</f>
        <v>-</v>
      </c>
      <c r="O1383" s="70" t="str">
        <f>IF($A$3=" "," ", IFERROR( VLOOKUP($A1383,'SUPPLIER DATA BASE'!$A$2:$O$936,12,0),""))</f>
        <v>-</v>
      </c>
      <c r="P1383" s="70" t="str">
        <f>IF($A$3=" "," ", IFERROR( VLOOKUP($A1383,'SUPPLIER DATA BASE'!$A$2:$O$936,13,0),""))</f>
        <v>-</v>
      </c>
      <c r="Q1383" s="77"/>
      <c r="R1383" s="73"/>
      <c r="S1383" s="77"/>
      <c r="T1383" s="70"/>
      <c r="U1383" s="78"/>
      <c r="V1383" s="70" t="str">
        <f t="shared" si="6"/>
        <v/>
      </c>
      <c r="W1383" s="23"/>
      <c r="X1383" s="23"/>
    </row>
    <row r="1384">
      <c r="A1384" s="70" t="s">
        <v>354</v>
      </c>
      <c r="B1384" s="70" t="str">
        <f>IF($A$3=" "," ", IFERROR( VLOOKUP($A1384,'SUPPLIER DATA BASE'!$A$2:$M$936,3,0),""))</f>
        <v>-</v>
      </c>
      <c r="C1384" s="70" t="str">
        <f>IF($A$3=" "," ", IFERROR( VLOOKUP($A1384,'SUPPLIER DATA BASE'!$A$2:$F$936,6,0),""))</f>
        <v>-</v>
      </c>
      <c r="D1384" s="70" t="str">
        <f>IF($A$3=" "," ", IFERROR( VLOOKUP($A1384,'SUPPLIER DATA BASE'!$A$2:$G$936,4,0),""))</f>
        <v>-</v>
      </c>
      <c r="E1384" s="71" t="str">
        <f>IF($A$3=" "," ", IFERROR( VLOOKUP($A1384,'SUPPLIER DATA BASE'!$A$2:$H$936,5,0),""))</f>
        <v>-</v>
      </c>
      <c r="F1384" s="72" t="s">
        <v>3989</v>
      </c>
      <c r="G1384" s="73"/>
      <c r="H1384" s="74"/>
      <c r="I1384" s="75"/>
      <c r="J1384" s="76" t="s">
        <v>3990</v>
      </c>
      <c r="K1384" s="76" t="s">
        <v>3991</v>
      </c>
      <c r="L1384" s="73"/>
      <c r="M1384" s="70" t="str">
        <f t="shared" si="3"/>
        <v/>
      </c>
      <c r="N1384" s="70" t="str">
        <f>IF($A$3=" "," ", IFERROR( VLOOKUP($A1384,'SUPPLIER DATA BASE'!$A$2:$O$936,11,0),""))</f>
        <v>-</v>
      </c>
      <c r="O1384" s="70" t="str">
        <f>IF($A$3=" "," ", IFERROR( VLOOKUP($A1384,'SUPPLIER DATA BASE'!$A$2:$O$936,12,0),""))</f>
        <v>-</v>
      </c>
      <c r="P1384" s="70" t="str">
        <f>IF($A$3=" "," ", IFERROR( VLOOKUP($A1384,'SUPPLIER DATA BASE'!$A$2:$O$936,13,0),""))</f>
        <v>-</v>
      </c>
      <c r="Q1384" s="77"/>
      <c r="R1384" s="73"/>
      <c r="S1384" s="77"/>
      <c r="T1384" s="70"/>
      <c r="U1384" s="78"/>
      <c r="V1384" s="70" t="str">
        <f t="shared" si="6"/>
        <v/>
      </c>
      <c r="W1384" s="23"/>
      <c r="X1384" s="23"/>
    </row>
    <row r="1385">
      <c r="A1385" s="70" t="s">
        <v>354</v>
      </c>
      <c r="B1385" s="70" t="str">
        <f>IF($A$3=" "," ", IFERROR( VLOOKUP($A1385,'SUPPLIER DATA BASE'!$A$2:$M$936,3,0),""))</f>
        <v>-</v>
      </c>
      <c r="C1385" s="70" t="str">
        <f>IF($A$3=" "," ", IFERROR( VLOOKUP($A1385,'SUPPLIER DATA BASE'!$A$2:$F$936,6,0),""))</f>
        <v>-</v>
      </c>
      <c r="D1385" s="70" t="str">
        <f>IF($A$3=" "," ", IFERROR( VLOOKUP($A1385,'SUPPLIER DATA BASE'!$A$2:$G$936,4,0),""))</f>
        <v>-</v>
      </c>
      <c r="E1385" s="71" t="str">
        <f>IF($A$3=" "," ", IFERROR( VLOOKUP($A1385,'SUPPLIER DATA BASE'!$A$2:$H$936,5,0),""))</f>
        <v>-</v>
      </c>
      <c r="F1385" s="72" t="s">
        <v>3992</v>
      </c>
      <c r="G1385" s="73"/>
      <c r="H1385" s="74"/>
      <c r="I1385" s="75"/>
      <c r="J1385" s="76" t="s">
        <v>3993</v>
      </c>
      <c r="K1385" s="76" t="s">
        <v>3994</v>
      </c>
      <c r="L1385" s="73"/>
      <c r="M1385" s="70" t="str">
        <f t="shared" si="3"/>
        <v/>
      </c>
      <c r="N1385" s="70" t="str">
        <f>IF($A$3=" "," ", IFERROR( VLOOKUP($A1385,'SUPPLIER DATA BASE'!$A$2:$O$936,11,0),""))</f>
        <v>-</v>
      </c>
      <c r="O1385" s="70" t="str">
        <f>IF($A$3=" "," ", IFERROR( VLOOKUP($A1385,'SUPPLIER DATA BASE'!$A$2:$O$936,12,0),""))</f>
        <v>-</v>
      </c>
      <c r="P1385" s="70" t="str">
        <f>IF($A$3=" "," ", IFERROR( VLOOKUP($A1385,'SUPPLIER DATA BASE'!$A$2:$O$936,13,0),""))</f>
        <v>-</v>
      </c>
      <c r="Q1385" s="77"/>
      <c r="R1385" s="73"/>
      <c r="S1385" s="77"/>
      <c r="T1385" s="70"/>
      <c r="U1385" s="78"/>
      <c r="V1385" s="70" t="str">
        <f t="shared" si="6"/>
        <v/>
      </c>
      <c r="W1385" s="23"/>
      <c r="X1385" s="23"/>
    </row>
    <row r="1386">
      <c r="A1386" s="70" t="s">
        <v>354</v>
      </c>
      <c r="B1386" s="70" t="str">
        <f>IF($A$3=" "," ", IFERROR( VLOOKUP($A1386,'SUPPLIER DATA BASE'!$A$2:$M$936,3,0),""))</f>
        <v>-</v>
      </c>
      <c r="C1386" s="70" t="str">
        <f>IF($A$3=" "," ", IFERROR( VLOOKUP($A1386,'SUPPLIER DATA BASE'!$A$2:$F$936,6,0),""))</f>
        <v>-</v>
      </c>
      <c r="D1386" s="70" t="str">
        <f>IF($A$3=" "," ", IFERROR( VLOOKUP($A1386,'SUPPLIER DATA BASE'!$A$2:$G$936,4,0),""))</f>
        <v>-</v>
      </c>
      <c r="E1386" s="71" t="str">
        <f>IF($A$3=" "," ", IFERROR( VLOOKUP($A1386,'SUPPLIER DATA BASE'!$A$2:$H$936,5,0),""))</f>
        <v>-</v>
      </c>
      <c r="F1386" s="72" t="s">
        <v>3995</v>
      </c>
      <c r="G1386" s="73"/>
      <c r="H1386" s="74"/>
      <c r="I1386" s="75"/>
      <c r="J1386" s="76" t="s">
        <v>3996</v>
      </c>
      <c r="K1386" s="76" t="s">
        <v>3997</v>
      </c>
      <c r="L1386" s="73"/>
      <c r="M1386" s="70" t="str">
        <f t="shared" si="3"/>
        <v/>
      </c>
      <c r="N1386" s="70" t="str">
        <f>IF($A$3=" "," ", IFERROR( VLOOKUP($A1386,'SUPPLIER DATA BASE'!$A$2:$O$936,11,0),""))</f>
        <v>-</v>
      </c>
      <c r="O1386" s="70" t="str">
        <f>IF($A$3=" "," ", IFERROR( VLOOKUP($A1386,'SUPPLIER DATA BASE'!$A$2:$O$936,12,0),""))</f>
        <v>-</v>
      </c>
      <c r="P1386" s="70" t="str">
        <f>IF($A$3=" "," ", IFERROR( VLOOKUP($A1386,'SUPPLIER DATA BASE'!$A$2:$O$936,13,0),""))</f>
        <v>-</v>
      </c>
      <c r="Q1386" s="77"/>
      <c r="R1386" s="73"/>
      <c r="S1386" s="77"/>
      <c r="T1386" s="70"/>
      <c r="U1386" s="78"/>
      <c r="V1386" s="70" t="str">
        <f t="shared" si="6"/>
        <v/>
      </c>
      <c r="W1386" s="23"/>
      <c r="X1386" s="23"/>
    </row>
    <row r="1387">
      <c r="A1387" s="70" t="s">
        <v>354</v>
      </c>
      <c r="B1387" s="70" t="str">
        <f>IF($A$3=" "," ", IFERROR( VLOOKUP($A1387,'SUPPLIER DATA BASE'!$A$2:$M$936,3,0),""))</f>
        <v>-</v>
      </c>
      <c r="C1387" s="70" t="str">
        <f>IF($A$3=" "," ", IFERROR( VLOOKUP($A1387,'SUPPLIER DATA BASE'!$A$2:$F$936,6,0),""))</f>
        <v>-</v>
      </c>
      <c r="D1387" s="70" t="str">
        <f>IF($A$3=" "," ", IFERROR( VLOOKUP($A1387,'SUPPLIER DATA BASE'!$A$2:$G$936,4,0),""))</f>
        <v>-</v>
      </c>
      <c r="E1387" s="71" t="str">
        <f>IF($A$3=" "," ", IFERROR( VLOOKUP($A1387,'SUPPLIER DATA BASE'!$A$2:$H$936,5,0),""))</f>
        <v>-</v>
      </c>
      <c r="F1387" s="72" t="s">
        <v>3998</v>
      </c>
      <c r="G1387" s="73"/>
      <c r="H1387" s="74"/>
      <c r="I1387" s="75"/>
      <c r="J1387" s="76" t="s">
        <v>3999</v>
      </c>
      <c r="K1387" s="76" t="s">
        <v>4000</v>
      </c>
      <c r="L1387" s="73"/>
      <c r="M1387" s="70" t="str">
        <f t="shared" si="3"/>
        <v/>
      </c>
      <c r="N1387" s="70" t="str">
        <f>IF($A$3=" "," ", IFERROR( VLOOKUP($A1387,'SUPPLIER DATA BASE'!$A$2:$O$936,11,0),""))</f>
        <v>-</v>
      </c>
      <c r="O1387" s="70" t="str">
        <f>IF($A$3=" "," ", IFERROR( VLOOKUP($A1387,'SUPPLIER DATA BASE'!$A$2:$O$936,12,0),""))</f>
        <v>-</v>
      </c>
      <c r="P1387" s="70" t="str">
        <f>IF($A$3=" "," ", IFERROR( VLOOKUP($A1387,'SUPPLIER DATA BASE'!$A$2:$O$936,13,0),""))</f>
        <v>-</v>
      </c>
      <c r="Q1387" s="77"/>
      <c r="R1387" s="73"/>
      <c r="S1387" s="77"/>
      <c r="T1387" s="70"/>
      <c r="U1387" s="78"/>
      <c r="V1387" s="70" t="str">
        <f t="shared" si="6"/>
        <v/>
      </c>
      <c r="W1387" s="23"/>
      <c r="X1387" s="23"/>
    </row>
    <row r="1388">
      <c r="A1388" s="70" t="s">
        <v>354</v>
      </c>
      <c r="B1388" s="70" t="str">
        <f>IF($A$3=" "," ", IFERROR( VLOOKUP($A1388,'SUPPLIER DATA BASE'!$A$2:$M$936,3,0),""))</f>
        <v>-</v>
      </c>
      <c r="C1388" s="70" t="str">
        <f>IF($A$3=" "," ", IFERROR( VLOOKUP($A1388,'SUPPLIER DATA BASE'!$A$2:$F$936,6,0),""))</f>
        <v>-</v>
      </c>
      <c r="D1388" s="70" t="str">
        <f>IF($A$3=" "," ", IFERROR( VLOOKUP($A1388,'SUPPLIER DATA BASE'!$A$2:$G$936,4,0),""))</f>
        <v>-</v>
      </c>
      <c r="E1388" s="71" t="str">
        <f>IF($A$3=" "," ", IFERROR( VLOOKUP($A1388,'SUPPLIER DATA BASE'!$A$2:$H$936,5,0),""))</f>
        <v>-</v>
      </c>
      <c r="F1388" s="72" t="s">
        <v>4001</v>
      </c>
      <c r="G1388" s="73"/>
      <c r="H1388" s="74"/>
      <c r="I1388" s="75"/>
      <c r="J1388" s="76" t="s">
        <v>4002</v>
      </c>
      <c r="K1388" s="76" t="s">
        <v>4003</v>
      </c>
      <c r="L1388" s="73"/>
      <c r="M1388" s="70" t="str">
        <f t="shared" si="3"/>
        <v/>
      </c>
      <c r="N1388" s="70" t="str">
        <f>IF($A$3=" "," ", IFERROR( VLOOKUP($A1388,'SUPPLIER DATA BASE'!$A$2:$O$936,11,0),""))</f>
        <v>-</v>
      </c>
      <c r="O1388" s="70" t="str">
        <f>IF($A$3=" "," ", IFERROR( VLOOKUP($A1388,'SUPPLIER DATA BASE'!$A$2:$O$936,12,0),""))</f>
        <v>-</v>
      </c>
      <c r="P1388" s="70" t="str">
        <f>IF($A$3=" "," ", IFERROR( VLOOKUP($A1388,'SUPPLIER DATA BASE'!$A$2:$O$936,13,0),""))</f>
        <v>-</v>
      </c>
      <c r="Q1388" s="77"/>
      <c r="R1388" s="73"/>
      <c r="S1388" s="77"/>
      <c r="T1388" s="70"/>
      <c r="U1388" s="78"/>
      <c r="V1388" s="70" t="str">
        <f t="shared" si="6"/>
        <v/>
      </c>
      <c r="W1388" s="23"/>
      <c r="X1388" s="23"/>
    </row>
    <row r="1389">
      <c r="A1389" s="70" t="s">
        <v>354</v>
      </c>
      <c r="B1389" s="70" t="str">
        <f>IF($A$3=" "," ", IFERROR( VLOOKUP($A1389,'SUPPLIER DATA BASE'!$A$2:$M$936,3,0),""))</f>
        <v>-</v>
      </c>
      <c r="C1389" s="70" t="str">
        <f>IF($A$3=" "," ", IFERROR( VLOOKUP($A1389,'SUPPLIER DATA BASE'!$A$2:$F$936,6,0),""))</f>
        <v>-</v>
      </c>
      <c r="D1389" s="70" t="str">
        <f>IF($A$3=" "," ", IFERROR( VLOOKUP($A1389,'SUPPLIER DATA BASE'!$A$2:$G$936,4,0),""))</f>
        <v>-</v>
      </c>
      <c r="E1389" s="71" t="str">
        <f>IF($A$3=" "," ", IFERROR( VLOOKUP($A1389,'SUPPLIER DATA BASE'!$A$2:$H$936,5,0),""))</f>
        <v>-</v>
      </c>
      <c r="F1389" s="72" t="s">
        <v>4004</v>
      </c>
      <c r="G1389" s="73"/>
      <c r="H1389" s="74"/>
      <c r="I1389" s="75"/>
      <c r="J1389" s="76" t="s">
        <v>4005</v>
      </c>
      <c r="K1389" s="76" t="s">
        <v>4006</v>
      </c>
      <c r="L1389" s="73"/>
      <c r="M1389" s="70" t="str">
        <f t="shared" si="3"/>
        <v/>
      </c>
      <c r="N1389" s="70" t="str">
        <f>IF($A$3=" "," ", IFERROR( VLOOKUP($A1389,'SUPPLIER DATA BASE'!$A$2:$O$936,11,0),""))</f>
        <v>-</v>
      </c>
      <c r="O1389" s="70" t="str">
        <f>IF($A$3=" "," ", IFERROR( VLOOKUP($A1389,'SUPPLIER DATA BASE'!$A$2:$O$936,12,0),""))</f>
        <v>-</v>
      </c>
      <c r="P1389" s="70" t="str">
        <f>IF($A$3=" "," ", IFERROR( VLOOKUP($A1389,'SUPPLIER DATA BASE'!$A$2:$O$936,13,0),""))</f>
        <v>-</v>
      </c>
      <c r="Q1389" s="77"/>
      <c r="R1389" s="73"/>
      <c r="S1389" s="77"/>
      <c r="T1389" s="70"/>
      <c r="U1389" s="78"/>
      <c r="V1389" s="70" t="str">
        <f t="shared" si="6"/>
        <v/>
      </c>
      <c r="W1389" s="23"/>
      <c r="X1389" s="23"/>
    </row>
    <row r="1390">
      <c r="A1390" s="70" t="s">
        <v>354</v>
      </c>
      <c r="B1390" s="70" t="str">
        <f>IF($A$3=" "," ", IFERROR( VLOOKUP($A1390,'SUPPLIER DATA BASE'!$A$2:$M$936,3,0),""))</f>
        <v>-</v>
      </c>
      <c r="C1390" s="70" t="str">
        <f>IF($A$3=" "," ", IFERROR( VLOOKUP($A1390,'SUPPLIER DATA BASE'!$A$2:$F$936,6,0),""))</f>
        <v>-</v>
      </c>
      <c r="D1390" s="70" t="str">
        <f>IF($A$3=" "," ", IFERROR( VLOOKUP($A1390,'SUPPLIER DATA BASE'!$A$2:$G$936,4,0),""))</f>
        <v>-</v>
      </c>
      <c r="E1390" s="71" t="str">
        <f>IF($A$3=" "," ", IFERROR( VLOOKUP($A1390,'SUPPLIER DATA BASE'!$A$2:$H$936,5,0),""))</f>
        <v>-</v>
      </c>
      <c r="F1390" s="72" t="s">
        <v>4007</v>
      </c>
      <c r="G1390" s="73"/>
      <c r="H1390" s="74"/>
      <c r="I1390" s="75"/>
      <c r="J1390" s="76" t="s">
        <v>4008</v>
      </c>
      <c r="K1390" s="76" t="s">
        <v>4009</v>
      </c>
      <c r="L1390" s="73"/>
      <c r="M1390" s="70" t="str">
        <f t="shared" si="3"/>
        <v/>
      </c>
      <c r="N1390" s="70" t="str">
        <f>IF($A$3=" "," ", IFERROR( VLOOKUP($A1390,'SUPPLIER DATA BASE'!$A$2:$O$936,11,0),""))</f>
        <v>-</v>
      </c>
      <c r="O1390" s="70" t="str">
        <f>IF($A$3=" "," ", IFERROR( VLOOKUP($A1390,'SUPPLIER DATA BASE'!$A$2:$O$936,12,0),""))</f>
        <v>-</v>
      </c>
      <c r="P1390" s="70" t="str">
        <f>IF($A$3=" "," ", IFERROR( VLOOKUP($A1390,'SUPPLIER DATA BASE'!$A$2:$O$936,13,0),""))</f>
        <v>-</v>
      </c>
      <c r="Q1390" s="77"/>
      <c r="R1390" s="73"/>
      <c r="S1390" s="77"/>
      <c r="T1390" s="70"/>
      <c r="U1390" s="78"/>
      <c r="V1390" s="70" t="str">
        <f t="shared" si="6"/>
        <v/>
      </c>
      <c r="W1390" s="23"/>
      <c r="X1390" s="23"/>
    </row>
    <row r="1391">
      <c r="A1391" s="70"/>
      <c r="B1391" s="70" t="str">
        <f>IF($A$3=" "," ", IFERROR( VLOOKUP($A1391,'SUPPLIER DATA BASE'!$A$2:$M$936,3,0),""))</f>
        <v/>
      </c>
      <c r="C1391" s="70" t="str">
        <f>IF($A$3=" "," ", IFERROR( VLOOKUP($A1391,'SUPPLIER DATA BASE'!$A$2:$F$936,6,0),""))</f>
        <v/>
      </c>
      <c r="D1391" s="70" t="str">
        <f>IF($A$3=" "," ", IFERROR( VLOOKUP($A1391,'SUPPLIER DATA BASE'!$A$2:$G$936,4,0),""))</f>
        <v/>
      </c>
      <c r="E1391" s="71" t="str">
        <f>IF($A$3=" "," ", IFERROR( VLOOKUP($A1391,'SUPPLIER DATA BASE'!$A$2:$H$936,5,0),""))</f>
        <v/>
      </c>
      <c r="F1391" s="72"/>
      <c r="G1391" s="73"/>
      <c r="H1391" s="74"/>
      <c r="I1391" s="75"/>
      <c r="J1391" s="76" t="s">
        <v>4010</v>
      </c>
      <c r="K1391" s="76" t="s">
        <v>4011</v>
      </c>
      <c r="L1391" s="73"/>
      <c r="M1391" s="70" t="str">
        <f t="shared" si="3"/>
        <v/>
      </c>
      <c r="N1391" s="70" t="str">
        <f>IF($A$3=" "," ", IFERROR( VLOOKUP($A1391,'SUPPLIER DATA BASE'!$A$2:$O$936,11,0),""))</f>
        <v/>
      </c>
      <c r="O1391" s="70" t="str">
        <f>IF($A$3=" "," ", IFERROR( VLOOKUP($A1391,'SUPPLIER DATA BASE'!$A$2:$O$936,12,0),""))</f>
        <v/>
      </c>
      <c r="P1391" s="70" t="str">
        <f>IF($A$3=" "," ", IFERROR( VLOOKUP($A1391,'SUPPLIER DATA BASE'!$A$2:$O$936,13,0),""))</f>
        <v/>
      </c>
      <c r="Q1391" s="77"/>
      <c r="R1391" s="73"/>
      <c r="S1391" s="77"/>
      <c r="T1391" s="70"/>
      <c r="U1391" s="78"/>
      <c r="V1391" s="70" t="str">
        <f t="shared" si="6"/>
        <v/>
      </c>
      <c r="W1391" s="23"/>
      <c r="X1391" s="23"/>
    </row>
    <row r="1392">
      <c r="A1392" s="70" t="s">
        <v>677</v>
      </c>
      <c r="B1392" s="70" t="str">
        <f>IF($A$3=" "," ", IFERROR( VLOOKUP($A1392,'SUPPLIER DATA BASE'!$A$2:$M$936,3,0),""))</f>
        <v>-</v>
      </c>
      <c r="C1392" s="70" t="str">
        <f>IF($A$3=" "," ", IFERROR( VLOOKUP($A1392,'SUPPLIER DATA BASE'!$A$2:$F$936,6,0),""))</f>
        <v>-</v>
      </c>
      <c r="D1392" s="70" t="str">
        <f>IF($A$3=" "," ", IFERROR( VLOOKUP($A1392,'SUPPLIER DATA BASE'!$A$2:$G$936,4,0),""))</f>
        <v>-</v>
      </c>
      <c r="E1392" s="71" t="str">
        <f>IF($A$3=" "," ", IFERROR( VLOOKUP($A1392,'SUPPLIER DATA BASE'!$A$2:$H$936,5,0),""))</f>
        <v>-</v>
      </c>
      <c r="F1392" s="72"/>
      <c r="G1392" s="73"/>
      <c r="H1392" s="74"/>
      <c r="I1392" s="75"/>
      <c r="J1392" s="76" t="s">
        <v>4012</v>
      </c>
      <c r="K1392" s="76" t="s">
        <v>4013</v>
      </c>
      <c r="L1392" s="73"/>
      <c r="M1392" s="70" t="str">
        <f t="shared" si="3"/>
        <v/>
      </c>
      <c r="N1392" s="70" t="str">
        <f>IF($A$3=" "," ", IFERROR( VLOOKUP($A1392,'SUPPLIER DATA BASE'!$A$2:$O$936,11,0),""))</f>
        <v>SARAOGI SUPER SALES PVT LTD</v>
      </c>
      <c r="O1392" s="70" t="str">
        <f>IF($A$3=" "," ", IFERROR( VLOOKUP($A1392,'SUPPLIER DATA BASE'!$A$2:$O$936,12,0),""))</f>
        <v>SASUSP011006</v>
      </c>
      <c r="P1392" s="70" t="str">
        <f>IF($A$3=" "," ", IFERROR( VLOOKUP($A1392,'SUPPLIER DATA BASE'!$A$2:$O$936,13,0),""))</f>
        <v>ICIC0000106</v>
      </c>
      <c r="Q1392" s="77"/>
      <c r="R1392" s="73"/>
      <c r="S1392" s="77"/>
      <c r="T1392" s="70"/>
      <c r="U1392" s="78"/>
      <c r="V1392" s="70" t="str">
        <f t="shared" si="6"/>
        <v/>
      </c>
      <c r="W1392" s="23"/>
      <c r="X1392" s="23"/>
    </row>
    <row r="1393">
      <c r="A1393" s="70" t="s">
        <v>677</v>
      </c>
      <c r="B1393" s="70" t="str">
        <f>IF($A$3=" "," ", IFERROR( VLOOKUP($A1393,'SUPPLIER DATA BASE'!$A$2:$M$936,3,0),""))</f>
        <v>-</v>
      </c>
      <c r="C1393" s="70" t="str">
        <f>IF($A$3=" "," ", IFERROR( VLOOKUP($A1393,'SUPPLIER DATA BASE'!$A$2:$F$936,6,0),""))</f>
        <v>-</v>
      </c>
      <c r="D1393" s="70" t="str">
        <f>IF($A$3=" "," ", IFERROR( VLOOKUP($A1393,'SUPPLIER DATA BASE'!$A$2:$G$936,4,0),""))</f>
        <v>-</v>
      </c>
      <c r="E1393" s="71" t="str">
        <f>IF($A$3=" "," ", IFERROR( VLOOKUP($A1393,'SUPPLIER DATA BASE'!$A$2:$H$936,5,0),""))</f>
        <v>-</v>
      </c>
      <c r="F1393" s="72"/>
      <c r="G1393" s="73"/>
      <c r="H1393" s="74"/>
      <c r="I1393" s="75"/>
      <c r="J1393" s="76" t="s">
        <v>4014</v>
      </c>
      <c r="K1393" s="76" t="s">
        <v>4015</v>
      </c>
      <c r="L1393" s="73"/>
      <c r="M1393" s="70" t="str">
        <f t="shared" si="3"/>
        <v/>
      </c>
      <c r="N1393" s="70" t="str">
        <f>IF($A$3=" "," ", IFERROR( VLOOKUP($A1393,'SUPPLIER DATA BASE'!$A$2:$O$936,11,0),""))</f>
        <v>SARAOGI SUPER SALES PVT LTD</v>
      </c>
      <c r="O1393" s="70" t="str">
        <f>IF($A$3=" "," ", IFERROR( VLOOKUP($A1393,'SUPPLIER DATA BASE'!$A$2:$O$936,12,0),""))</f>
        <v>SASUSP011006</v>
      </c>
      <c r="P1393" s="70" t="str">
        <f>IF($A$3=" "," ", IFERROR( VLOOKUP($A1393,'SUPPLIER DATA BASE'!$A$2:$O$936,13,0),""))</f>
        <v>ICIC0000106</v>
      </c>
      <c r="Q1393" s="77"/>
      <c r="R1393" s="73"/>
      <c r="S1393" s="77"/>
      <c r="T1393" s="70"/>
      <c r="U1393" s="78"/>
      <c r="V1393" s="70" t="str">
        <f t="shared" si="6"/>
        <v/>
      </c>
      <c r="W1393" s="23"/>
      <c r="X1393" s="23"/>
    </row>
    <row r="1394">
      <c r="A1394" s="70" t="s">
        <v>761</v>
      </c>
      <c r="B1394" s="70" t="str">
        <f>IF($A$3=" "," ", IFERROR( VLOOKUP($A1394,'SUPPLIER DATA BASE'!$A$2:$M$936,3,0),""))</f>
        <v>JOCKEY, LIBAS, ROCKIT, INTIGRITI, AMERICAN TOURISTER</v>
      </c>
      <c r="C1394" s="70" t="str">
        <f>IF($A$3=" "," ", IFERROR( VLOOKUP($A1394,'SUPPLIER DATA BASE'!$A$2:$F$936,6,0),""))</f>
        <v>DIRECT</v>
      </c>
      <c r="D1394" s="70">
        <f>IF($A$3=" "," ", IFERROR( VLOOKUP($A1394,'SUPPLIER DATA BASE'!$A$2:$G$936,4,0),""))</f>
        <v>7</v>
      </c>
      <c r="E1394" s="71">
        <f>IF($A$3=" "," ", IFERROR( VLOOKUP($A1394,'SUPPLIER DATA BASE'!$A$2:$H$936,5,0),""))</f>
        <v>0.02</v>
      </c>
      <c r="F1394" s="72"/>
      <c r="G1394" s="73"/>
      <c r="H1394" s="74"/>
      <c r="I1394" s="75"/>
      <c r="J1394" s="76" t="s">
        <v>4016</v>
      </c>
      <c r="K1394" s="76" t="s">
        <v>4017</v>
      </c>
      <c r="L1394" s="73"/>
      <c r="M1394" s="70" t="str">
        <f t="shared" si="3"/>
        <v/>
      </c>
      <c r="N1394" s="70" t="str">
        <f>IF($A$3=" "," ", IFERROR( VLOOKUP($A1394,'SUPPLIER DATA BASE'!$A$2:$O$936,11,0),""))</f>
        <v>TAYAL GARMENTS PVT. LTD.</v>
      </c>
      <c r="O1394" s="70" t="str">
        <f>IF($A$3=" "," ", IFERROR( VLOOKUP($A1394,'SUPPLIER DATA BASE'!$A$2:$O$936,12,0),""))</f>
        <v>1199911999</v>
      </c>
      <c r="P1394" s="70" t="str">
        <f>IF($A$3=" "," ", IFERROR( VLOOKUP($A1394,'SUPPLIER DATA BASE'!$A$2:$O$936,13,0),""))</f>
        <v>KKBK0005632</v>
      </c>
      <c r="Q1394" s="77"/>
      <c r="R1394" s="73"/>
      <c r="S1394" s="77"/>
      <c r="T1394" s="70"/>
      <c r="U1394" s="78"/>
      <c r="V1394" s="70" t="str">
        <f t="shared" si="6"/>
        <v/>
      </c>
      <c r="W1394" s="23"/>
      <c r="X1394" s="23"/>
    </row>
    <row r="1395">
      <c r="A1395" s="70"/>
      <c r="B1395" s="70" t="str">
        <f>IF($A$3=" "," ", IFERROR( VLOOKUP($A1395,'SUPPLIER DATA BASE'!$A$2:$M$936,3,0),""))</f>
        <v/>
      </c>
      <c r="C1395" s="70" t="str">
        <f>IF($A$3=" "," ", IFERROR( VLOOKUP($A1395,'SUPPLIER DATA BASE'!$A$2:$F$936,6,0),""))</f>
        <v/>
      </c>
      <c r="D1395" s="70" t="str">
        <f>IF($A$3=" "," ", IFERROR( VLOOKUP($A1395,'SUPPLIER DATA BASE'!$A$2:$G$936,4,0),""))</f>
        <v/>
      </c>
      <c r="E1395" s="71" t="str">
        <f>IF($A$3=" "," ", IFERROR( VLOOKUP($A1395,'SUPPLIER DATA BASE'!$A$2:$H$936,5,0),""))</f>
        <v/>
      </c>
      <c r="F1395" s="72"/>
      <c r="G1395" s="73"/>
      <c r="H1395" s="74"/>
      <c r="I1395" s="75"/>
      <c r="J1395" s="76" t="s">
        <v>4018</v>
      </c>
      <c r="K1395" s="76" t="s">
        <v>4019</v>
      </c>
      <c r="L1395" s="73"/>
      <c r="M1395" s="70" t="str">
        <f t="shared" si="3"/>
        <v/>
      </c>
      <c r="N1395" s="70" t="str">
        <f>IF($A$3=" "," ", IFERROR( VLOOKUP($A1395,'SUPPLIER DATA BASE'!$A$2:$O$936,11,0),""))</f>
        <v/>
      </c>
      <c r="O1395" s="70" t="str">
        <f>IF($A$3=" "," ", IFERROR( VLOOKUP($A1395,'SUPPLIER DATA BASE'!$A$2:$O$936,12,0),""))</f>
        <v/>
      </c>
      <c r="P1395" s="70" t="str">
        <f>IF($A$3=" "," ", IFERROR( VLOOKUP($A1395,'SUPPLIER DATA BASE'!$A$2:$O$936,13,0),""))</f>
        <v/>
      </c>
      <c r="Q1395" s="77"/>
      <c r="R1395" s="73"/>
      <c r="S1395" s="77"/>
      <c r="T1395" s="70"/>
      <c r="U1395" s="78"/>
      <c r="V1395" s="70" t="str">
        <f t="shared" si="6"/>
        <v/>
      </c>
      <c r="W1395" s="23"/>
      <c r="X1395" s="23"/>
    </row>
    <row r="1396">
      <c r="A1396" s="70" t="s">
        <v>606</v>
      </c>
      <c r="B1396" s="70" t="str">
        <f>IF($A$3=" "," ", IFERROR( VLOOKUP($A1396,'SUPPLIER DATA BASE'!$A$2:$M$936,3,0),""))</f>
        <v>-</v>
      </c>
      <c r="C1396" s="70" t="str">
        <f>IF($A$3=" "," ", IFERROR( VLOOKUP($A1396,'SUPPLIER DATA BASE'!$A$2:$F$936,6,0),""))</f>
        <v>-</v>
      </c>
      <c r="D1396" s="70" t="str">
        <f>IF($A$3=" "," ", IFERROR( VLOOKUP($A1396,'SUPPLIER DATA BASE'!$A$2:$G$936,4,0),""))</f>
        <v>-</v>
      </c>
      <c r="E1396" s="71" t="str">
        <f>IF($A$3=" "," ", IFERROR( VLOOKUP($A1396,'SUPPLIER DATA BASE'!$A$2:$H$936,5,0),""))</f>
        <v>-</v>
      </c>
      <c r="F1396" s="72"/>
      <c r="G1396" s="73"/>
      <c r="H1396" s="74"/>
      <c r="I1396" s="75"/>
      <c r="J1396" s="76" t="s">
        <v>4020</v>
      </c>
      <c r="K1396" s="76" t="s">
        <v>4021</v>
      </c>
      <c r="L1396" s="73"/>
      <c r="M1396" s="70" t="str">
        <f t="shared" si="3"/>
        <v/>
      </c>
      <c r="N1396" s="70" t="str">
        <f>IF($A$3=" "," ", IFERROR( VLOOKUP($A1396,'SUPPLIER DATA BASE'!$A$2:$O$936,11,0),""))</f>
        <v>P M SONS</v>
      </c>
      <c r="O1396" s="70" t="str">
        <f>IF($A$3=" "," ", IFERROR( VLOOKUP($A1396,'SUPPLIER DATA BASE'!$A$2:$O$936,12,0),""))</f>
        <v>8084600000325</v>
      </c>
      <c r="P1396" s="70" t="str">
        <f>IF($A$3=" "," ", IFERROR( VLOOKUP($A1396,'SUPPLIER DATA BASE'!$A$2:$O$936,13,0),""))</f>
        <v>YESB0000080</v>
      </c>
      <c r="Q1396" s="77"/>
      <c r="R1396" s="73"/>
      <c r="S1396" s="77"/>
      <c r="T1396" s="70"/>
      <c r="U1396" s="78"/>
      <c r="V1396" s="70" t="str">
        <f t="shared" si="6"/>
        <v/>
      </c>
      <c r="W1396" s="23"/>
      <c r="X1396" s="23"/>
    </row>
    <row r="1397">
      <c r="A1397" s="70" t="s">
        <v>799</v>
      </c>
      <c r="B1397" s="70" t="str">
        <f>IF($A$3=" "," ", IFERROR( VLOOKUP($A1397,'SUPPLIER DATA BASE'!$A$2:$M$936,3,0),""))</f>
        <v>-</v>
      </c>
      <c r="C1397" s="70" t="str">
        <f>IF($A$3=" "," ", IFERROR( VLOOKUP($A1397,'SUPPLIER DATA BASE'!$A$2:$F$936,6,0),""))</f>
        <v>-</v>
      </c>
      <c r="D1397" s="70" t="str">
        <f>IF($A$3=" "," ", IFERROR( VLOOKUP($A1397,'SUPPLIER DATA BASE'!$A$2:$G$936,4,0),""))</f>
        <v>-</v>
      </c>
      <c r="E1397" s="71" t="str">
        <f>IF($A$3=" "," ", IFERROR( VLOOKUP($A1397,'SUPPLIER DATA BASE'!$A$2:$H$936,5,0),""))</f>
        <v>-</v>
      </c>
      <c r="F1397" s="72"/>
      <c r="G1397" s="73"/>
      <c r="H1397" s="74"/>
      <c r="I1397" s="75"/>
      <c r="J1397" s="76" t="s">
        <v>4022</v>
      </c>
      <c r="K1397" s="76" t="s">
        <v>4023</v>
      </c>
      <c r="L1397" s="73"/>
      <c r="M1397" s="70" t="str">
        <f t="shared" si="3"/>
        <v/>
      </c>
      <c r="N1397" s="70" t="str">
        <f>IF($A$3=" "," ", IFERROR( VLOOKUP($A1397,'SUPPLIER DATA BASE'!$A$2:$O$936,11,0),""))</f>
        <v>VISHAL MARKETING &amp; CO.</v>
      </c>
      <c r="O1397" s="70" t="str">
        <f>IF($A$3=" "," ", IFERROR( VLOOKUP($A1397,'SUPPLIER DATA BASE'!$A$2:$O$936,12,0),""))</f>
        <v>1091008700001025</v>
      </c>
      <c r="P1397" s="70" t="str">
        <f>IF($A$3=" "," ", IFERROR( VLOOKUP($A1397,'SUPPLIER DATA BASE'!$A$2:$O$936,13,0),""))</f>
        <v>PUNB0109100</v>
      </c>
      <c r="Q1397" s="77"/>
      <c r="R1397" s="73"/>
      <c r="S1397" s="77"/>
      <c r="T1397" s="70"/>
      <c r="U1397" s="78"/>
      <c r="V1397" s="70" t="str">
        <f t="shared" si="6"/>
        <v/>
      </c>
      <c r="W1397" s="23"/>
      <c r="X1397" s="23"/>
    </row>
    <row r="1398">
      <c r="A1398" s="70"/>
      <c r="B1398" s="70" t="str">
        <f>IF($A$3=" "," ", IFERROR( VLOOKUP($A1398,'SUPPLIER DATA BASE'!$A$2:$M$936,3,0),""))</f>
        <v/>
      </c>
      <c r="C1398" s="70" t="str">
        <f>IF($A$3=" "," ", IFERROR( VLOOKUP($A1398,'SUPPLIER DATA BASE'!$A$2:$F$936,6,0),""))</f>
        <v/>
      </c>
      <c r="D1398" s="70" t="str">
        <f>IF($A$3=" "," ", IFERROR( VLOOKUP($A1398,'SUPPLIER DATA BASE'!$A$2:$G$936,4,0),""))</f>
        <v/>
      </c>
      <c r="E1398" s="71" t="str">
        <f>IF($A$3=" "," ", IFERROR( VLOOKUP($A1398,'SUPPLIER DATA BASE'!$A$2:$H$936,5,0),""))</f>
        <v/>
      </c>
      <c r="F1398" s="72"/>
      <c r="G1398" s="73"/>
      <c r="H1398" s="74"/>
      <c r="I1398" s="75"/>
      <c r="J1398" s="76" t="s">
        <v>4024</v>
      </c>
      <c r="K1398" s="76" t="s">
        <v>4025</v>
      </c>
      <c r="L1398" s="73"/>
      <c r="M1398" s="70" t="str">
        <f t="shared" si="3"/>
        <v/>
      </c>
      <c r="N1398" s="70" t="str">
        <f>IF($A$3=" "," ", IFERROR( VLOOKUP($A1398,'SUPPLIER DATA BASE'!$A$2:$O$936,11,0),""))</f>
        <v/>
      </c>
      <c r="O1398" s="70" t="str">
        <f>IF($A$3=" "," ", IFERROR( VLOOKUP($A1398,'SUPPLIER DATA BASE'!$A$2:$O$936,12,0),""))</f>
        <v/>
      </c>
      <c r="P1398" s="70" t="str">
        <f>IF($A$3=" "," ", IFERROR( VLOOKUP($A1398,'SUPPLIER DATA BASE'!$A$2:$O$936,13,0),""))</f>
        <v/>
      </c>
      <c r="Q1398" s="77"/>
      <c r="R1398" s="73"/>
      <c r="S1398" s="77"/>
      <c r="T1398" s="70"/>
      <c r="U1398" s="78"/>
      <c r="V1398" s="70" t="str">
        <f t="shared" si="6"/>
        <v/>
      </c>
      <c r="W1398" s="23"/>
      <c r="X1398" s="23"/>
    </row>
    <row r="1399">
      <c r="A1399" s="70"/>
      <c r="B1399" s="70" t="str">
        <f>IF($A$3=" "," ", IFERROR( VLOOKUP($A1399,'SUPPLIER DATA BASE'!$A$2:$M$936,3,0),""))</f>
        <v/>
      </c>
      <c r="C1399" s="70" t="str">
        <f>IF($A$3=" "," ", IFERROR( VLOOKUP($A1399,'SUPPLIER DATA BASE'!$A$2:$F$936,6,0),""))</f>
        <v/>
      </c>
      <c r="D1399" s="70" t="str">
        <f>IF($A$3=" "," ", IFERROR( VLOOKUP($A1399,'SUPPLIER DATA BASE'!$A$2:$G$936,4,0),""))</f>
        <v/>
      </c>
      <c r="E1399" s="71" t="str">
        <f>IF($A$3=" "," ", IFERROR( VLOOKUP($A1399,'SUPPLIER DATA BASE'!$A$2:$H$936,5,0),""))</f>
        <v/>
      </c>
      <c r="F1399" s="72"/>
      <c r="G1399" s="73"/>
      <c r="H1399" s="74"/>
      <c r="I1399" s="75"/>
      <c r="J1399" s="76" t="s">
        <v>4026</v>
      </c>
      <c r="K1399" s="76" t="s">
        <v>4027</v>
      </c>
      <c r="L1399" s="73"/>
      <c r="M1399" s="70" t="str">
        <f t="shared" si="3"/>
        <v/>
      </c>
      <c r="N1399" s="70" t="str">
        <f>IF($A$3=" "," ", IFERROR( VLOOKUP($A1399,'SUPPLIER DATA BASE'!$A$2:$O$936,11,0),""))</f>
        <v/>
      </c>
      <c r="O1399" s="70" t="str">
        <f>IF($A$3=" "," ", IFERROR( VLOOKUP($A1399,'SUPPLIER DATA BASE'!$A$2:$O$936,12,0),""))</f>
        <v/>
      </c>
      <c r="P1399" s="70" t="str">
        <f>IF($A$3=" "," ", IFERROR( VLOOKUP($A1399,'SUPPLIER DATA BASE'!$A$2:$O$936,13,0),""))</f>
        <v/>
      </c>
      <c r="Q1399" s="77"/>
      <c r="R1399" s="73"/>
      <c r="S1399" s="77"/>
      <c r="T1399" s="70"/>
      <c r="U1399" s="78"/>
      <c r="V1399" s="70" t="str">
        <f t="shared" si="6"/>
        <v/>
      </c>
      <c r="W1399" s="23"/>
      <c r="X1399" s="23"/>
    </row>
    <row r="1400">
      <c r="A1400" s="70"/>
      <c r="B1400" s="70" t="str">
        <f>IF($A$3=" "," ", IFERROR( VLOOKUP($A1400,'SUPPLIER DATA BASE'!$A$2:$M$936,3,0),""))</f>
        <v/>
      </c>
      <c r="C1400" s="70" t="str">
        <f>IF($A$3=" "," ", IFERROR( VLOOKUP($A1400,'SUPPLIER DATA BASE'!$A$2:$F$936,6,0),""))</f>
        <v/>
      </c>
      <c r="D1400" s="70" t="str">
        <f>IF($A$3=" "," ", IFERROR( VLOOKUP($A1400,'SUPPLIER DATA BASE'!$A$2:$G$936,4,0),""))</f>
        <v/>
      </c>
      <c r="E1400" s="71" t="str">
        <f>IF($A$3=" "," ", IFERROR( VLOOKUP($A1400,'SUPPLIER DATA BASE'!$A$2:$H$936,5,0),""))</f>
        <v/>
      </c>
      <c r="F1400" s="72"/>
      <c r="G1400" s="73"/>
      <c r="H1400" s="74"/>
      <c r="I1400" s="75"/>
      <c r="J1400" s="76" t="s">
        <v>4028</v>
      </c>
      <c r="K1400" s="76" t="s">
        <v>4029</v>
      </c>
      <c r="L1400" s="73"/>
      <c r="M1400" s="70" t="str">
        <f t="shared" si="3"/>
        <v/>
      </c>
      <c r="N1400" s="70" t="str">
        <f>IF($A$3=" "," ", IFERROR( VLOOKUP($A1400,'SUPPLIER DATA BASE'!$A$2:$O$936,11,0),""))</f>
        <v/>
      </c>
      <c r="O1400" s="70" t="str">
        <f>IF($A$3=" "," ", IFERROR( VLOOKUP($A1400,'SUPPLIER DATA BASE'!$A$2:$O$936,12,0),""))</f>
        <v/>
      </c>
      <c r="P1400" s="70" t="str">
        <f>IF($A$3=" "," ", IFERROR( VLOOKUP($A1400,'SUPPLIER DATA BASE'!$A$2:$O$936,13,0),""))</f>
        <v/>
      </c>
      <c r="Q1400" s="77"/>
      <c r="R1400" s="73"/>
      <c r="S1400" s="77"/>
      <c r="T1400" s="70"/>
      <c r="U1400" s="78"/>
      <c r="V1400" s="70" t="str">
        <f t="shared" si="6"/>
        <v/>
      </c>
      <c r="W1400" s="23"/>
      <c r="X1400" s="23"/>
    </row>
    <row r="1401">
      <c r="A1401" s="70" t="s">
        <v>354</v>
      </c>
      <c r="B1401" s="70" t="str">
        <f>IF($A$3=" "," ", IFERROR( VLOOKUP($A1401,'SUPPLIER DATA BASE'!$A$2:$M$936,3,0),""))</f>
        <v>-</v>
      </c>
      <c r="C1401" s="70" t="str">
        <f>IF($A$3=" "," ", IFERROR( VLOOKUP($A1401,'SUPPLIER DATA BASE'!$A$2:$F$936,6,0),""))</f>
        <v>-</v>
      </c>
      <c r="D1401" s="70" t="str">
        <f>IF($A$3=" "," ", IFERROR( VLOOKUP($A1401,'SUPPLIER DATA BASE'!$A$2:$G$936,4,0),""))</f>
        <v>-</v>
      </c>
      <c r="E1401" s="71" t="str">
        <f>IF($A$3=" "," ", IFERROR( VLOOKUP($A1401,'SUPPLIER DATA BASE'!$A$2:$H$936,5,0),""))</f>
        <v>-</v>
      </c>
      <c r="F1401" s="72" t="s">
        <v>4030</v>
      </c>
      <c r="G1401" s="73"/>
      <c r="H1401" s="74"/>
      <c r="I1401" s="75"/>
      <c r="J1401" s="76" t="s">
        <v>4031</v>
      </c>
      <c r="K1401" s="76" t="s">
        <v>4032</v>
      </c>
      <c r="L1401" s="73"/>
      <c r="M1401" s="70" t="str">
        <f t="shared" si="3"/>
        <v/>
      </c>
      <c r="N1401" s="70" t="str">
        <f>IF($A$3=" "," ", IFERROR( VLOOKUP($A1401,'SUPPLIER DATA BASE'!$A$2:$O$936,11,0),""))</f>
        <v>-</v>
      </c>
      <c r="O1401" s="70" t="str">
        <f>IF($A$3=" "," ", IFERROR( VLOOKUP($A1401,'SUPPLIER DATA BASE'!$A$2:$O$936,12,0),""))</f>
        <v>-</v>
      </c>
      <c r="P1401" s="70" t="str">
        <f>IF($A$3=" "," ", IFERROR( VLOOKUP($A1401,'SUPPLIER DATA BASE'!$A$2:$O$936,13,0),""))</f>
        <v>-</v>
      </c>
      <c r="Q1401" s="77"/>
      <c r="R1401" s="73"/>
      <c r="S1401" s="77"/>
      <c r="T1401" s="70"/>
      <c r="U1401" s="78"/>
      <c r="V1401" s="70" t="str">
        <f t="shared" si="6"/>
        <v/>
      </c>
      <c r="W1401" s="23"/>
      <c r="X1401" s="23"/>
    </row>
    <row r="1402">
      <c r="A1402" s="70" t="s">
        <v>354</v>
      </c>
      <c r="B1402" s="70" t="str">
        <f>IF($A$3=" "," ", IFERROR( VLOOKUP($A1402,'SUPPLIER DATA BASE'!$A$2:$M$936,3,0),""))</f>
        <v>-</v>
      </c>
      <c r="C1402" s="70" t="str">
        <f>IF($A$3=" "," ", IFERROR( VLOOKUP($A1402,'SUPPLIER DATA BASE'!$A$2:$F$936,6,0),""))</f>
        <v>-</v>
      </c>
      <c r="D1402" s="70" t="str">
        <f>IF($A$3=" "," ", IFERROR( VLOOKUP($A1402,'SUPPLIER DATA BASE'!$A$2:$G$936,4,0),""))</f>
        <v>-</v>
      </c>
      <c r="E1402" s="71" t="str">
        <f>IF($A$3=" "," ", IFERROR( VLOOKUP($A1402,'SUPPLIER DATA BASE'!$A$2:$H$936,5,0),""))</f>
        <v>-</v>
      </c>
      <c r="F1402" s="72" t="s">
        <v>4033</v>
      </c>
      <c r="G1402" s="73"/>
      <c r="H1402" s="74"/>
      <c r="I1402" s="75"/>
      <c r="J1402" s="76" t="s">
        <v>4034</v>
      </c>
      <c r="K1402" s="76" t="s">
        <v>4035</v>
      </c>
      <c r="L1402" s="73"/>
      <c r="M1402" s="70" t="str">
        <f t="shared" si="3"/>
        <v/>
      </c>
      <c r="N1402" s="70" t="str">
        <f>IF($A$3=" "," ", IFERROR( VLOOKUP($A1402,'SUPPLIER DATA BASE'!$A$2:$O$936,11,0),""))</f>
        <v>-</v>
      </c>
      <c r="O1402" s="70" t="str">
        <f>IF($A$3=" "," ", IFERROR( VLOOKUP($A1402,'SUPPLIER DATA BASE'!$A$2:$O$936,12,0),""))</f>
        <v>-</v>
      </c>
      <c r="P1402" s="70" t="str">
        <f>IF($A$3=" "," ", IFERROR( VLOOKUP($A1402,'SUPPLIER DATA BASE'!$A$2:$O$936,13,0),""))</f>
        <v>-</v>
      </c>
      <c r="Q1402" s="77"/>
      <c r="R1402" s="73"/>
      <c r="S1402" s="77"/>
      <c r="T1402" s="70"/>
      <c r="U1402" s="78"/>
      <c r="V1402" s="70" t="str">
        <f t="shared" si="6"/>
        <v/>
      </c>
      <c r="W1402" s="23"/>
      <c r="X1402" s="23"/>
    </row>
    <row r="1403">
      <c r="A1403" s="70" t="s">
        <v>354</v>
      </c>
      <c r="B1403" s="70" t="str">
        <f>IF($A$3=" "," ", IFERROR( VLOOKUP($A1403,'SUPPLIER DATA BASE'!$A$2:$M$936,3,0),""))</f>
        <v>-</v>
      </c>
      <c r="C1403" s="70" t="str">
        <f>IF($A$3=" "," ", IFERROR( VLOOKUP($A1403,'SUPPLIER DATA BASE'!$A$2:$F$936,6,0),""))</f>
        <v>-</v>
      </c>
      <c r="D1403" s="70" t="str">
        <f>IF($A$3=" "," ", IFERROR( VLOOKUP($A1403,'SUPPLIER DATA BASE'!$A$2:$G$936,4,0),""))</f>
        <v>-</v>
      </c>
      <c r="E1403" s="71" t="str">
        <f>IF($A$3=" "," ", IFERROR( VLOOKUP($A1403,'SUPPLIER DATA BASE'!$A$2:$H$936,5,0),""))</f>
        <v>-</v>
      </c>
      <c r="F1403" s="72" t="s">
        <v>4036</v>
      </c>
      <c r="G1403" s="73"/>
      <c r="H1403" s="74"/>
      <c r="I1403" s="75"/>
      <c r="J1403" s="76" t="s">
        <v>4037</v>
      </c>
      <c r="K1403" s="76" t="s">
        <v>4038</v>
      </c>
      <c r="L1403" s="73"/>
      <c r="M1403" s="70" t="str">
        <f t="shared" si="3"/>
        <v/>
      </c>
      <c r="N1403" s="70" t="str">
        <f>IF($A$3=" "," ", IFERROR( VLOOKUP($A1403,'SUPPLIER DATA BASE'!$A$2:$O$936,11,0),""))</f>
        <v>-</v>
      </c>
      <c r="O1403" s="70" t="str">
        <f>IF($A$3=" "," ", IFERROR( VLOOKUP($A1403,'SUPPLIER DATA BASE'!$A$2:$O$936,12,0),""))</f>
        <v>-</v>
      </c>
      <c r="P1403" s="70" t="str">
        <f>IF($A$3=" "," ", IFERROR( VLOOKUP($A1403,'SUPPLIER DATA BASE'!$A$2:$O$936,13,0),""))</f>
        <v>-</v>
      </c>
      <c r="Q1403" s="77"/>
      <c r="R1403" s="73"/>
      <c r="S1403" s="77"/>
      <c r="T1403" s="70"/>
      <c r="U1403" s="78"/>
      <c r="V1403" s="70" t="str">
        <f t="shared" si="6"/>
        <v/>
      </c>
      <c r="W1403" s="23"/>
      <c r="X1403" s="23"/>
    </row>
    <row r="1404">
      <c r="A1404" s="70" t="s">
        <v>354</v>
      </c>
      <c r="B1404" s="70" t="str">
        <f>IF($A$3=" "," ", IFERROR( VLOOKUP($A1404,'SUPPLIER DATA BASE'!$A$2:$M$936,3,0),""))</f>
        <v>-</v>
      </c>
      <c r="C1404" s="70" t="str">
        <f>IF($A$3=" "," ", IFERROR( VLOOKUP($A1404,'SUPPLIER DATA BASE'!$A$2:$F$936,6,0),""))</f>
        <v>-</v>
      </c>
      <c r="D1404" s="70" t="str">
        <f>IF($A$3=" "," ", IFERROR( VLOOKUP($A1404,'SUPPLIER DATA BASE'!$A$2:$G$936,4,0),""))</f>
        <v>-</v>
      </c>
      <c r="E1404" s="71" t="str">
        <f>IF($A$3=" "," ", IFERROR( VLOOKUP($A1404,'SUPPLIER DATA BASE'!$A$2:$H$936,5,0),""))</f>
        <v>-</v>
      </c>
      <c r="F1404" s="72" t="s">
        <v>4039</v>
      </c>
      <c r="G1404" s="73"/>
      <c r="H1404" s="74"/>
      <c r="I1404" s="75"/>
      <c r="J1404" s="76" t="s">
        <v>4040</v>
      </c>
      <c r="K1404" s="76" t="s">
        <v>4041</v>
      </c>
      <c r="L1404" s="73"/>
      <c r="M1404" s="70" t="str">
        <f t="shared" si="3"/>
        <v/>
      </c>
      <c r="N1404" s="70" t="str">
        <f>IF($A$3=" "," ", IFERROR( VLOOKUP($A1404,'SUPPLIER DATA BASE'!$A$2:$O$936,11,0),""))</f>
        <v>-</v>
      </c>
      <c r="O1404" s="70" t="str">
        <f>IF($A$3=" "," ", IFERROR( VLOOKUP($A1404,'SUPPLIER DATA BASE'!$A$2:$O$936,12,0),""))</f>
        <v>-</v>
      </c>
      <c r="P1404" s="70" t="str">
        <f>IF($A$3=" "," ", IFERROR( VLOOKUP($A1404,'SUPPLIER DATA BASE'!$A$2:$O$936,13,0),""))</f>
        <v>-</v>
      </c>
      <c r="Q1404" s="77"/>
      <c r="R1404" s="73"/>
      <c r="S1404" s="77"/>
      <c r="T1404" s="70"/>
      <c r="U1404" s="78"/>
      <c r="V1404" s="70" t="str">
        <f t="shared" si="6"/>
        <v/>
      </c>
      <c r="W1404" s="23"/>
      <c r="X1404" s="23"/>
    </row>
    <row r="1405">
      <c r="A1405" s="70" t="s">
        <v>354</v>
      </c>
      <c r="B1405" s="70" t="str">
        <f>IF($A$3=" "," ", IFERROR( VLOOKUP($A1405,'SUPPLIER DATA BASE'!$A$2:$M$936,3,0),""))</f>
        <v>-</v>
      </c>
      <c r="C1405" s="70" t="str">
        <f>IF($A$3=" "," ", IFERROR( VLOOKUP($A1405,'SUPPLIER DATA BASE'!$A$2:$F$936,6,0),""))</f>
        <v>-</v>
      </c>
      <c r="D1405" s="70" t="str">
        <f>IF($A$3=" "," ", IFERROR( VLOOKUP($A1405,'SUPPLIER DATA BASE'!$A$2:$G$936,4,0),""))</f>
        <v>-</v>
      </c>
      <c r="E1405" s="71" t="str">
        <f>IF($A$3=" "," ", IFERROR( VLOOKUP($A1405,'SUPPLIER DATA BASE'!$A$2:$H$936,5,0),""))</f>
        <v>-</v>
      </c>
      <c r="F1405" s="72" t="s">
        <v>4042</v>
      </c>
      <c r="G1405" s="73"/>
      <c r="H1405" s="74"/>
      <c r="I1405" s="75"/>
      <c r="J1405" s="76" t="s">
        <v>4043</v>
      </c>
      <c r="K1405" s="76" t="s">
        <v>4044</v>
      </c>
      <c r="L1405" s="73"/>
      <c r="M1405" s="70" t="str">
        <f t="shared" si="3"/>
        <v/>
      </c>
      <c r="N1405" s="70" t="str">
        <f>IF($A$3=" "," ", IFERROR( VLOOKUP($A1405,'SUPPLIER DATA BASE'!$A$2:$O$936,11,0),""))</f>
        <v>-</v>
      </c>
      <c r="O1405" s="70" t="str">
        <f>IF($A$3=" "," ", IFERROR( VLOOKUP($A1405,'SUPPLIER DATA BASE'!$A$2:$O$936,12,0),""))</f>
        <v>-</v>
      </c>
      <c r="P1405" s="70" t="str">
        <f>IF($A$3=" "," ", IFERROR( VLOOKUP($A1405,'SUPPLIER DATA BASE'!$A$2:$O$936,13,0),""))</f>
        <v>-</v>
      </c>
      <c r="Q1405" s="77"/>
      <c r="R1405" s="73"/>
      <c r="S1405" s="77"/>
      <c r="T1405" s="70"/>
      <c r="U1405" s="78"/>
      <c r="V1405" s="70" t="str">
        <f t="shared" si="6"/>
        <v/>
      </c>
      <c r="W1405" s="23"/>
      <c r="X1405" s="23"/>
    </row>
    <row r="1406">
      <c r="A1406" s="70" t="s">
        <v>354</v>
      </c>
      <c r="B1406" s="70" t="str">
        <f>IF($A$3=" "," ", IFERROR( VLOOKUP($A1406,'SUPPLIER DATA BASE'!$A$2:$M$936,3,0),""))</f>
        <v>-</v>
      </c>
      <c r="C1406" s="70" t="str">
        <f>IF($A$3=" "," ", IFERROR( VLOOKUP($A1406,'SUPPLIER DATA BASE'!$A$2:$F$936,6,0),""))</f>
        <v>-</v>
      </c>
      <c r="D1406" s="70" t="str">
        <f>IF($A$3=" "," ", IFERROR( VLOOKUP($A1406,'SUPPLIER DATA BASE'!$A$2:$G$936,4,0),""))</f>
        <v>-</v>
      </c>
      <c r="E1406" s="71" t="str">
        <f>IF($A$3=" "," ", IFERROR( VLOOKUP($A1406,'SUPPLIER DATA BASE'!$A$2:$H$936,5,0),""))</f>
        <v>-</v>
      </c>
      <c r="F1406" s="72" t="s">
        <v>4045</v>
      </c>
      <c r="G1406" s="73"/>
      <c r="H1406" s="74"/>
      <c r="I1406" s="75"/>
      <c r="J1406" s="76" t="s">
        <v>4046</v>
      </c>
      <c r="K1406" s="76" t="s">
        <v>4047</v>
      </c>
      <c r="L1406" s="73"/>
      <c r="M1406" s="70" t="str">
        <f t="shared" si="3"/>
        <v/>
      </c>
      <c r="N1406" s="70" t="str">
        <f>IF($A$3=" "," ", IFERROR( VLOOKUP($A1406,'SUPPLIER DATA BASE'!$A$2:$O$936,11,0),""))</f>
        <v>-</v>
      </c>
      <c r="O1406" s="70" t="str">
        <f>IF($A$3=" "," ", IFERROR( VLOOKUP($A1406,'SUPPLIER DATA BASE'!$A$2:$O$936,12,0),""))</f>
        <v>-</v>
      </c>
      <c r="P1406" s="70" t="str">
        <f>IF($A$3=" "," ", IFERROR( VLOOKUP($A1406,'SUPPLIER DATA BASE'!$A$2:$O$936,13,0),""))</f>
        <v>-</v>
      </c>
      <c r="Q1406" s="77"/>
      <c r="R1406" s="73"/>
      <c r="S1406" s="77"/>
      <c r="T1406" s="70"/>
      <c r="U1406" s="78"/>
      <c r="V1406" s="70" t="str">
        <f t="shared" si="6"/>
        <v/>
      </c>
      <c r="W1406" s="23"/>
      <c r="X1406" s="23"/>
    </row>
    <row r="1407">
      <c r="A1407" s="70" t="s">
        <v>354</v>
      </c>
      <c r="B1407" s="70" t="str">
        <f>IF($A$3=" "," ", IFERROR( VLOOKUP($A1407,'SUPPLIER DATA BASE'!$A$2:$M$936,3,0),""))</f>
        <v>-</v>
      </c>
      <c r="C1407" s="70" t="str">
        <f>IF($A$3=" "," ", IFERROR( VLOOKUP($A1407,'SUPPLIER DATA BASE'!$A$2:$F$936,6,0),""))</f>
        <v>-</v>
      </c>
      <c r="D1407" s="70" t="str">
        <f>IF($A$3=" "," ", IFERROR( VLOOKUP($A1407,'SUPPLIER DATA BASE'!$A$2:$G$936,4,0),""))</f>
        <v>-</v>
      </c>
      <c r="E1407" s="71" t="str">
        <f>IF($A$3=" "," ", IFERROR( VLOOKUP($A1407,'SUPPLIER DATA BASE'!$A$2:$H$936,5,0),""))</f>
        <v>-</v>
      </c>
      <c r="F1407" s="72" t="s">
        <v>4048</v>
      </c>
      <c r="G1407" s="73"/>
      <c r="H1407" s="74"/>
      <c r="I1407" s="75"/>
      <c r="J1407" s="76" t="s">
        <v>4049</v>
      </c>
      <c r="K1407" s="76" t="s">
        <v>4050</v>
      </c>
      <c r="L1407" s="73"/>
      <c r="M1407" s="70" t="str">
        <f t="shared" si="3"/>
        <v/>
      </c>
      <c r="N1407" s="70" t="str">
        <f>IF($A$3=" "," ", IFERROR( VLOOKUP($A1407,'SUPPLIER DATA BASE'!$A$2:$O$936,11,0),""))</f>
        <v>-</v>
      </c>
      <c r="O1407" s="70" t="str">
        <f>IF($A$3=" "," ", IFERROR( VLOOKUP($A1407,'SUPPLIER DATA BASE'!$A$2:$O$936,12,0),""))</f>
        <v>-</v>
      </c>
      <c r="P1407" s="70" t="str">
        <f>IF($A$3=" "," ", IFERROR( VLOOKUP($A1407,'SUPPLIER DATA BASE'!$A$2:$O$936,13,0),""))</f>
        <v>-</v>
      </c>
      <c r="Q1407" s="77"/>
      <c r="R1407" s="73"/>
      <c r="S1407" s="77"/>
      <c r="T1407" s="70"/>
      <c r="U1407" s="78"/>
      <c r="V1407" s="70" t="str">
        <f t="shared" si="6"/>
        <v/>
      </c>
      <c r="W1407" s="23"/>
      <c r="X1407" s="23"/>
    </row>
    <row r="1408">
      <c r="A1408" s="70" t="s">
        <v>354</v>
      </c>
      <c r="B1408" s="70" t="str">
        <f>IF($A$3=" "," ", IFERROR( VLOOKUP($A1408,'SUPPLIER DATA BASE'!$A$2:$M$936,3,0),""))</f>
        <v>-</v>
      </c>
      <c r="C1408" s="70" t="str">
        <f>IF($A$3=" "," ", IFERROR( VLOOKUP($A1408,'SUPPLIER DATA BASE'!$A$2:$F$936,6,0),""))</f>
        <v>-</v>
      </c>
      <c r="D1408" s="70" t="str">
        <f>IF($A$3=" "," ", IFERROR( VLOOKUP($A1408,'SUPPLIER DATA BASE'!$A$2:$G$936,4,0),""))</f>
        <v>-</v>
      </c>
      <c r="E1408" s="71" t="str">
        <f>IF($A$3=" "," ", IFERROR( VLOOKUP($A1408,'SUPPLIER DATA BASE'!$A$2:$H$936,5,0),""))</f>
        <v>-</v>
      </c>
      <c r="F1408" s="72" t="s">
        <v>4051</v>
      </c>
      <c r="G1408" s="73"/>
      <c r="H1408" s="74"/>
      <c r="I1408" s="75"/>
      <c r="J1408" s="76" t="s">
        <v>4052</v>
      </c>
      <c r="K1408" s="76" t="s">
        <v>4053</v>
      </c>
      <c r="L1408" s="73"/>
      <c r="M1408" s="70" t="str">
        <f t="shared" si="3"/>
        <v/>
      </c>
      <c r="N1408" s="70" t="str">
        <f>IF($A$3=" "," ", IFERROR( VLOOKUP($A1408,'SUPPLIER DATA BASE'!$A$2:$O$936,11,0),""))</f>
        <v>-</v>
      </c>
      <c r="O1408" s="70" t="str">
        <f>IF($A$3=" "," ", IFERROR( VLOOKUP($A1408,'SUPPLIER DATA BASE'!$A$2:$O$936,12,0),""))</f>
        <v>-</v>
      </c>
      <c r="P1408" s="70" t="str">
        <f>IF($A$3=" "," ", IFERROR( VLOOKUP($A1408,'SUPPLIER DATA BASE'!$A$2:$O$936,13,0),""))</f>
        <v>-</v>
      </c>
      <c r="Q1408" s="77"/>
      <c r="R1408" s="73"/>
      <c r="S1408" s="77"/>
      <c r="T1408" s="70"/>
      <c r="U1408" s="78"/>
      <c r="V1408" s="70" t="str">
        <f t="shared" si="6"/>
        <v/>
      </c>
      <c r="W1408" s="23"/>
      <c r="X1408" s="23"/>
    </row>
    <row r="1409">
      <c r="A1409" s="70" t="s">
        <v>354</v>
      </c>
      <c r="B1409" s="70" t="str">
        <f>IF($A$3=" "," ", IFERROR( VLOOKUP($A1409,'SUPPLIER DATA BASE'!$A$2:$M$936,3,0),""))</f>
        <v>-</v>
      </c>
      <c r="C1409" s="70" t="str">
        <f>IF($A$3=" "," ", IFERROR( VLOOKUP($A1409,'SUPPLIER DATA BASE'!$A$2:$F$936,6,0),""))</f>
        <v>-</v>
      </c>
      <c r="D1409" s="70" t="str">
        <f>IF($A$3=" "," ", IFERROR( VLOOKUP($A1409,'SUPPLIER DATA BASE'!$A$2:$G$936,4,0),""))</f>
        <v>-</v>
      </c>
      <c r="E1409" s="71" t="str">
        <f>IF($A$3=" "," ", IFERROR( VLOOKUP($A1409,'SUPPLIER DATA BASE'!$A$2:$H$936,5,0),""))</f>
        <v>-</v>
      </c>
      <c r="F1409" s="72" t="s">
        <v>4054</v>
      </c>
      <c r="G1409" s="73"/>
      <c r="H1409" s="74"/>
      <c r="I1409" s="75"/>
      <c r="J1409" s="76" t="s">
        <v>4055</v>
      </c>
      <c r="K1409" s="76" t="s">
        <v>4056</v>
      </c>
      <c r="L1409" s="73"/>
      <c r="M1409" s="70" t="str">
        <f t="shared" si="3"/>
        <v/>
      </c>
      <c r="N1409" s="70" t="str">
        <f>IF($A$3=" "," ", IFERROR( VLOOKUP($A1409,'SUPPLIER DATA BASE'!$A$2:$O$936,11,0),""))</f>
        <v>-</v>
      </c>
      <c r="O1409" s="70" t="str">
        <f>IF($A$3=" "," ", IFERROR( VLOOKUP($A1409,'SUPPLIER DATA BASE'!$A$2:$O$936,12,0),""))</f>
        <v>-</v>
      </c>
      <c r="P1409" s="70" t="str">
        <f>IF($A$3=" "," ", IFERROR( VLOOKUP($A1409,'SUPPLIER DATA BASE'!$A$2:$O$936,13,0),""))</f>
        <v>-</v>
      </c>
      <c r="Q1409" s="77"/>
      <c r="R1409" s="73"/>
      <c r="S1409" s="77"/>
      <c r="T1409" s="70"/>
      <c r="U1409" s="78"/>
      <c r="V1409" s="70" t="str">
        <f t="shared" si="6"/>
        <v/>
      </c>
      <c r="W1409" s="23"/>
      <c r="X1409" s="23"/>
    </row>
    <row r="1410">
      <c r="A1410" s="70" t="s">
        <v>354</v>
      </c>
      <c r="B1410" s="70" t="str">
        <f>IF($A$3=" "," ", IFERROR( VLOOKUP($A1410,'SUPPLIER DATA BASE'!$A$2:$M$936,3,0),""))</f>
        <v>-</v>
      </c>
      <c r="C1410" s="70" t="str">
        <f>IF($A$3=" "," ", IFERROR( VLOOKUP($A1410,'SUPPLIER DATA BASE'!$A$2:$F$936,6,0),""))</f>
        <v>-</v>
      </c>
      <c r="D1410" s="70" t="str">
        <f>IF($A$3=" "," ", IFERROR( VLOOKUP($A1410,'SUPPLIER DATA BASE'!$A$2:$G$936,4,0),""))</f>
        <v>-</v>
      </c>
      <c r="E1410" s="71" t="str">
        <f>IF($A$3=" "," ", IFERROR( VLOOKUP($A1410,'SUPPLIER DATA BASE'!$A$2:$H$936,5,0),""))</f>
        <v>-</v>
      </c>
      <c r="F1410" s="72" t="s">
        <v>4057</v>
      </c>
      <c r="G1410" s="73"/>
      <c r="H1410" s="74"/>
      <c r="I1410" s="75"/>
      <c r="J1410" s="76" t="s">
        <v>4058</v>
      </c>
      <c r="K1410" s="76" t="s">
        <v>4059</v>
      </c>
      <c r="L1410" s="73"/>
      <c r="M1410" s="70" t="str">
        <f t="shared" si="3"/>
        <v/>
      </c>
      <c r="N1410" s="70" t="str">
        <f>IF($A$3=" "," ", IFERROR( VLOOKUP($A1410,'SUPPLIER DATA BASE'!$A$2:$O$936,11,0),""))</f>
        <v>-</v>
      </c>
      <c r="O1410" s="70" t="str">
        <f>IF($A$3=" "," ", IFERROR( VLOOKUP($A1410,'SUPPLIER DATA BASE'!$A$2:$O$936,12,0),""))</f>
        <v>-</v>
      </c>
      <c r="P1410" s="70" t="str">
        <f>IF($A$3=" "," ", IFERROR( VLOOKUP($A1410,'SUPPLIER DATA BASE'!$A$2:$O$936,13,0),""))</f>
        <v>-</v>
      </c>
      <c r="Q1410" s="77"/>
      <c r="R1410" s="73"/>
      <c r="S1410" s="77"/>
      <c r="T1410" s="70"/>
      <c r="U1410" s="78"/>
      <c r="V1410" s="70" t="str">
        <f t="shared" si="6"/>
        <v/>
      </c>
      <c r="W1410" s="23"/>
      <c r="X1410" s="23"/>
    </row>
    <row r="1411">
      <c r="A1411" s="70" t="s">
        <v>354</v>
      </c>
      <c r="B1411" s="70" t="str">
        <f>IF($A$3=" "," ", IFERROR( VLOOKUP($A1411,'SUPPLIER DATA BASE'!$A$2:$M$936,3,0),""))</f>
        <v>-</v>
      </c>
      <c r="C1411" s="70" t="str">
        <f>IF($A$3=" "," ", IFERROR( VLOOKUP($A1411,'SUPPLIER DATA BASE'!$A$2:$F$936,6,0),""))</f>
        <v>-</v>
      </c>
      <c r="D1411" s="70" t="str">
        <f>IF($A$3=" "," ", IFERROR( VLOOKUP($A1411,'SUPPLIER DATA BASE'!$A$2:$G$936,4,0),""))</f>
        <v>-</v>
      </c>
      <c r="E1411" s="71" t="str">
        <f>IF($A$3=" "," ", IFERROR( VLOOKUP($A1411,'SUPPLIER DATA BASE'!$A$2:$H$936,5,0),""))</f>
        <v>-</v>
      </c>
      <c r="F1411" s="72" t="s">
        <v>4060</v>
      </c>
      <c r="G1411" s="73"/>
      <c r="H1411" s="74"/>
      <c r="I1411" s="75"/>
      <c r="J1411" s="76" t="s">
        <v>4061</v>
      </c>
      <c r="K1411" s="76" t="s">
        <v>4062</v>
      </c>
      <c r="L1411" s="73"/>
      <c r="M1411" s="70" t="str">
        <f t="shared" si="3"/>
        <v/>
      </c>
      <c r="N1411" s="70" t="str">
        <f>IF($A$3=" "," ", IFERROR( VLOOKUP($A1411,'SUPPLIER DATA BASE'!$A$2:$O$936,11,0),""))</f>
        <v>-</v>
      </c>
      <c r="O1411" s="70" t="str">
        <f>IF($A$3=" "," ", IFERROR( VLOOKUP($A1411,'SUPPLIER DATA BASE'!$A$2:$O$936,12,0),""))</f>
        <v>-</v>
      </c>
      <c r="P1411" s="70" t="str">
        <f>IF($A$3=" "," ", IFERROR( VLOOKUP($A1411,'SUPPLIER DATA BASE'!$A$2:$O$936,13,0),""))</f>
        <v>-</v>
      </c>
      <c r="Q1411" s="77"/>
      <c r="R1411" s="73"/>
      <c r="S1411" s="77"/>
      <c r="T1411" s="70"/>
      <c r="U1411" s="78"/>
      <c r="V1411" s="70" t="str">
        <f t="shared" si="6"/>
        <v/>
      </c>
      <c r="W1411" s="23"/>
      <c r="X1411" s="23"/>
    </row>
    <row r="1412">
      <c r="A1412" s="70" t="s">
        <v>354</v>
      </c>
      <c r="B1412" s="70" t="str">
        <f>IF($A$3=" "," ", IFERROR( VLOOKUP($A1412,'SUPPLIER DATA BASE'!$A$2:$M$936,3,0),""))</f>
        <v>-</v>
      </c>
      <c r="C1412" s="70" t="str">
        <f>IF($A$3=" "," ", IFERROR( VLOOKUP($A1412,'SUPPLIER DATA BASE'!$A$2:$F$936,6,0),""))</f>
        <v>-</v>
      </c>
      <c r="D1412" s="70" t="str">
        <f>IF($A$3=" "," ", IFERROR( VLOOKUP($A1412,'SUPPLIER DATA BASE'!$A$2:$G$936,4,0),""))</f>
        <v>-</v>
      </c>
      <c r="E1412" s="71" t="str">
        <f>IF($A$3=" "," ", IFERROR( VLOOKUP($A1412,'SUPPLIER DATA BASE'!$A$2:$H$936,5,0),""))</f>
        <v>-</v>
      </c>
      <c r="F1412" s="72" t="s">
        <v>4063</v>
      </c>
      <c r="G1412" s="73"/>
      <c r="H1412" s="74"/>
      <c r="I1412" s="75"/>
      <c r="J1412" s="76" t="s">
        <v>4064</v>
      </c>
      <c r="K1412" s="76" t="s">
        <v>4065</v>
      </c>
      <c r="L1412" s="73"/>
      <c r="M1412" s="70" t="str">
        <f t="shared" si="3"/>
        <v/>
      </c>
      <c r="N1412" s="70" t="str">
        <f>IF($A$3=" "," ", IFERROR( VLOOKUP($A1412,'SUPPLIER DATA BASE'!$A$2:$O$936,11,0),""))</f>
        <v>-</v>
      </c>
      <c r="O1412" s="70" t="str">
        <f>IF($A$3=" "," ", IFERROR( VLOOKUP($A1412,'SUPPLIER DATA BASE'!$A$2:$O$936,12,0),""))</f>
        <v>-</v>
      </c>
      <c r="P1412" s="70" t="str">
        <f>IF($A$3=" "," ", IFERROR( VLOOKUP($A1412,'SUPPLIER DATA BASE'!$A$2:$O$936,13,0),""))</f>
        <v>-</v>
      </c>
      <c r="Q1412" s="77"/>
      <c r="R1412" s="73"/>
      <c r="S1412" s="77"/>
      <c r="T1412" s="70"/>
      <c r="U1412" s="78"/>
      <c r="V1412" s="70" t="str">
        <f t="shared" si="6"/>
        <v/>
      </c>
      <c r="W1412" s="23"/>
      <c r="X1412" s="23"/>
    </row>
    <row r="1413">
      <c r="A1413" s="70" t="s">
        <v>354</v>
      </c>
      <c r="B1413" s="70" t="str">
        <f>IF($A$3=" "," ", IFERROR( VLOOKUP($A1413,'SUPPLIER DATA BASE'!$A$2:$M$936,3,0),""))</f>
        <v>-</v>
      </c>
      <c r="C1413" s="70" t="str">
        <f>IF($A$3=" "," ", IFERROR( VLOOKUP($A1413,'SUPPLIER DATA BASE'!$A$2:$F$936,6,0),""))</f>
        <v>-</v>
      </c>
      <c r="D1413" s="70" t="str">
        <f>IF($A$3=" "," ", IFERROR( VLOOKUP($A1413,'SUPPLIER DATA BASE'!$A$2:$G$936,4,0),""))</f>
        <v>-</v>
      </c>
      <c r="E1413" s="71" t="str">
        <f>IF($A$3=" "," ", IFERROR( VLOOKUP($A1413,'SUPPLIER DATA BASE'!$A$2:$H$936,5,0),""))</f>
        <v>-</v>
      </c>
      <c r="F1413" s="72" t="s">
        <v>4066</v>
      </c>
      <c r="G1413" s="73"/>
      <c r="H1413" s="74"/>
      <c r="I1413" s="75"/>
      <c r="J1413" s="76" t="s">
        <v>4067</v>
      </c>
      <c r="K1413" s="76" t="s">
        <v>4068</v>
      </c>
      <c r="L1413" s="73"/>
      <c r="M1413" s="70" t="str">
        <f t="shared" si="3"/>
        <v/>
      </c>
      <c r="N1413" s="70" t="str">
        <f>IF($A$3=" "," ", IFERROR( VLOOKUP($A1413,'SUPPLIER DATA BASE'!$A$2:$O$936,11,0),""))</f>
        <v>-</v>
      </c>
      <c r="O1413" s="70" t="str">
        <f>IF($A$3=" "," ", IFERROR( VLOOKUP($A1413,'SUPPLIER DATA BASE'!$A$2:$O$936,12,0),""))</f>
        <v>-</v>
      </c>
      <c r="P1413" s="70" t="str">
        <f>IF($A$3=" "," ", IFERROR( VLOOKUP($A1413,'SUPPLIER DATA BASE'!$A$2:$O$936,13,0),""))</f>
        <v>-</v>
      </c>
      <c r="Q1413" s="77"/>
      <c r="R1413" s="73"/>
      <c r="S1413" s="77"/>
      <c r="T1413" s="70"/>
      <c r="U1413" s="78"/>
      <c r="V1413" s="70" t="str">
        <f t="shared" si="6"/>
        <v/>
      </c>
      <c r="W1413" s="23"/>
      <c r="X1413" s="23"/>
    </row>
    <row r="1414">
      <c r="A1414" s="70" t="s">
        <v>354</v>
      </c>
      <c r="B1414" s="70" t="str">
        <f>IF($A$3=" "," ", IFERROR( VLOOKUP($A1414,'SUPPLIER DATA BASE'!$A$2:$M$936,3,0),""))</f>
        <v>-</v>
      </c>
      <c r="C1414" s="70" t="str">
        <f>IF($A$3=" "," ", IFERROR( VLOOKUP($A1414,'SUPPLIER DATA BASE'!$A$2:$F$936,6,0),""))</f>
        <v>-</v>
      </c>
      <c r="D1414" s="70" t="str">
        <f>IF($A$3=" "," ", IFERROR( VLOOKUP($A1414,'SUPPLIER DATA BASE'!$A$2:$G$936,4,0),""))</f>
        <v>-</v>
      </c>
      <c r="E1414" s="71" t="str">
        <f>IF($A$3=" "," ", IFERROR( VLOOKUP($A1414,'SUPPLIER DATA BASE'!$A$2:$H$936,5,0),""))</f>
        <v>-</v>
      </c>
      <c r="F1414" s="72" t="s">
        <v>4069</v>
      </c>
      <c r="G1414" s="73"/>
      <c r="H1414" s="74"/>
      <c r="I1414" s="75"/>
      <c r="J1414" s="76" t="s">
        <v>4070</v>
      </c>
      <c r="K1414" s="76" t="s">
        <v>4071</v>
      </c>
      <c r="L1414" s="73"/>
      <c r="M1414" s="70" t="str">
        <f t="shared" si="3"/>
        <v/>
      </c>
      <c r="N1414" s="70" t="str">
        <f>IF($A$3=" "," ", IFERROR( VLOOKUP($A1414,'SUPPLIER DATA BASE'!$A$2:$O$936,11,0),""))</f>
        <v>-</v>
      </c>
      <c r="O1414" s="70" t="str">
        <f>IF($A$3=" "," ", IFERROR( VLOOKUP($A1414,'SUPPLIER DATA BASE'!$A$2:$O$936,12,0),""))</f>
        <v>-</v>
      </c>
      <c r="P1414" s="70" t="str">
        <f>IF($A$3=" "," ", IFERROR( VLOOKUP($A1414,'SUPPLIER DATA BASE'!$A$2:$O$936,13,0),""))</f>
        <v>-</v>
      </c>
      <c r="Q1414" s="77"/>
      <c r="R1414" s="73"/>
      <c r="S1414" s="77"/>
      <c r="T1414" s="70"/>
      <c r="U1414" s="78"/>
      <c r="V1414" s="70" t="str">
        <f t="shared" si="6"/>
        <v/>
      </c>
      <c r="W1414" s="23"/>
      <c r="X1414" s="23"/>
    </row>
    <row r="1415">
      <c r="A1415" s="70" t="s">
        <v>354</v>
      </c>
      <c r="B1415" s="70" t="str">
        <f>IF($A$3=" "," ", IFERROR( VLOOKUP($A1415,'SUPPLIER DATA BASE'!$A$2:$M$936,3,0),""))</f>
        <v>-</v>
      </c>
      <c r="C1415" s="70" t="str">
        <f>IF($A$3=" "," ", IFERROR( VLOOKUP($A1415,'SUPPLIER DATA BASE'!$A$2:$F$936,6,0),""))</f>
        <v>-</v>
      </c>
      <c r="D1415" s="70" t="str">
        <f>IF($A$3=" "," ", IFERROR( VLOOKUP($A1415,'SUPPLIER DATA BASE'!$A$2:$G$936,4,0),""))</f>
        <v>-</v>
      </c>
      <c r="E1415" s="71" t="str">
        <f>IF($A$3=" "," ", IFERROR( VLOOKUP($A1415,'SUPPLIER DATA BASE'!$A$2:$H$936,5,0),""))</f>
        <v>-</v>
      </c>
      <c r="F1415" s="72" t="s">
        <v>4072</v>
      </c>
      <c r="G1415" s="73"/>
      <c r="H1415" s="74"/>
      <c r="I1415" s="75"/>
      <c r="J1415" s="76" t="s">
        <v>4073</v>
      </c>
      <c r="K1415" s="76" t="s">
        <v>4074</v>
      </c>
      <c r="L1415" s="73"/>
      <c r="M1415" s="70" t="str">
        <f t="shared" si="3"/>
        <v/>
      </c>
      <c r="N1415" s="70" t="str">
        <f>IF($A$3=" "," ", IFERROR( VLOOKUP($A1415,'SUPPLIER DATA BASE'!$A$2:$O$936,11,0),""))</f>
        <v>-</v>
      </c>
      <c r="O1415" s="70" t="str">
        <f>IF($A$3=" "," ", IFERROR( VLOOKUP($A1415,'SUPPLIER DATA BASE'!$A$2:$O$936,12,0),""))</f>
        <v>-</v>
      </c>
      <c r="P1415" s="70" t="str">
        <f>IF($A$3=" "," ", IFERROR( VLOOKUP($A1415,'SUPPLIER DATA BASE'!$A$2:$O$936,13,0),""))</f>
        <v>-</v>
      </c>
      <c r="Q1415" s="77"/>
      <c r="R1415" s="73"/>
      <c r="S1415" s="77"/>
      <c r="T1415" s="70"/>
      <c r="U1415" s="78"/>
      <c r="V1415" s="70" t="str">
        <f t="shared" si="6"/>
        <v/>
      </c>
      <c r="W1415" s="23"/>
      <c r="X1415" s="23"/>
    </row>
    <row r="1416">
      <c r="A1416" s="70" t="s">
        <v>354</v>
      </c>
      <c r="B1416" s="70" t="str">
        <f>IF($A$3=" "," ", IFERROR( VLOOKUP($A1416,'SUPPLIER DATA BASE'!$A$2:$M$936,3,0),""))</f>
        <v>-</v>
      </c>
      <c r="C1416" s="70" t="str">
        <f>IF($A$3=" "," ", IFERROR( VLOOKUP($A1416,'SUPPLIER DATA BASE'!$A$2:$F$936,6,0),""))</f>
        <v>-</v>
      </c>
      <c r="D1416" s="70" t="str">
        <f>IF($A$3=" "," ", IFERROR( VLOOKUP($A1416,'SUPPLIER DATA BASE'!$A$2:$G$936,4,0),""))</f>
        <v>-</v>
      </c>
      <c r="E1416" s="71" t="str">
        <f>IF($A$3=" "," ", IFERROR( VLOOKUP($A1416,'SUPPLIER DATA BASE'!$A$2:$H$936,5,0),""))</f>
        <v>-</v>
      </c>
      <c r="F1416" s="72" t="s">
        <v>4075</v>
      </c>
      <c r="G1416" s="73"/>
      <c r="H1416" s="74"/>
      <c r="I1416" s="75"/>
      <c r="J1416" s="76" t="s">
        <v>4076</v>
      </c>
      <c r="K1416" s="76" t="s">
        <v>4077</v>
      </c>
      <c r="L1416" s="73"/>
      <c r="M1416" s="70" t="str">
        <f t="shared" si="3"/>
        <v/>
      </c>
      <c r="N1416" s="70" t="str">
        <f>IF($A$3=" "," ", IFERROR( VLOOKUP($A1416,'SUPPLIER DATA BASE'!$A$2:$O$936,11,0),""))</f>
        <v>-</v>
      </c>
      <c r="O1416" s="70" t="str">
        <f>IF($A$3=" "," ", IFERROR( VLOOKUP($A1416,'SUPPLIER DATA BASE'!$A$2:$O$936,12,0),""))</f>
        <v>-</v>
      </c>
      <c r="P1416" s="70" t="str">
        <f>IF($A$3=" "," ", IFERROR( VLOOKUP($A1416,'SUPPLIER DATA BASE'!$A$2:$O$936,13,0),""))</f>
        <v>-</v>
      </c>
      <c r="Q1416" s="77"/>
      <c r="R1416" s="73"/>
      <c r="S1416" s="77"/>
      <c r="T1416" s="70"/>
      <c r="U1416" s="78"/>
      <c r="V1416" s="70" t="str">
        <f t="shared" si="6"/>
        <v/>
      </c>
      <c r="W1416" s="23"/>
      <c r="X1416" s="23"/>
    </row>
    <row r="1417">
      <c r="A1417" s="70" t="s">
        <v>354</v>
      </c>
      <c r="B1417" s="70" t="str">
        <f>IF($A$3=" "," ", IFERROR( VLOOKUP($A1417,'SUPPLIER DATA BASE'!$A$2:$M$936,3,0),""))</f>
        <v>-</v>
      </c>
      <c r="C1417" s="70" t="str">
        <f>IF($A$3=" "," ", IFERROR( VLOOKUP($A1417,'SUPPLIER DATA BASE'!$A$2:$F$936,6,0),""))</f>
        <v>-</v>
      </c>
      <c r="D1417" s="70" t="str">
        <f>IF($A$3=" "," ", IFERROR( VLOOKUP($A1417,'SUPPLIER DATA BASE'!$A$2:$G$936,4,0),""))</f>
        <v>-</v>
      </c>
      <c r="E1417" s="71" t="str">
        <f>IF($A$3=" "," ", IFERROR( VLOOKUP($A1417,'SUPPLIER DATA BASE'!$A$2:$H$936,5,0),""))</f>
        <v>-</v>
      </c>
      <c r="F1417" s="72" t="s">
        <v>4078</v>
      </c>
      <c r="G1417" s="73"/>
      <c r="H1417" s="74"/>
      <c r="I1417" s="75"/>
      <c r="J1417" s="76" t="s">
        <v>4079</v>
      </c>
      <c r="K1417" s="76" t="s">
        <v>4080</v>
      </c>
      <c r="L1417" s="73"/>
      <c r="M1417" s="70" t="str">
        <f t="shared" si="3"/>
        <v/>
      </c>
      <c r="N1417" s="70" t="str">
        <f>IF($A$3=" "," ", IFERROR( VLOOKUP($A1417,'SUPPLIER DATA BASE'!$A$2:$O$936,11,0),""))</f>
        <v>-</v>
      </c>
      <c r="O1417" s="70" t="str">
        <f>IF($A$3=" "," ", IFERROR( VLOOKUP($A1417,'SUPPLIER DATA BASE'!$A$2:$O$936,12,0),""))</f>
        <v>-</v>
      </c>
      <c r="P1417" s="70" t="str">
        <f>IF($A$3=" "," ", IFERROR( VLOOKUP($A1417,'SUPPLIER DATA BASE'!$A$2:$O$936,13,0),""))</f>
        <v>-</v>
      </c>
      <c r="Q1417" s="77"/>
      <c r="R1417" s="73"/>
      <c r="S1417" s="77"/>
      <c r="T1417" s="70"/>
      <c r="U1417" s="78"/>
      <c r="V1417" s="70" t="str">
        <f t="shared" si="6"/>
        <v/>
      </c>
      <c r="W1417" s="23"/>
      <c r="X1417" s="23"/>
    </row>
    <row r="1418">
      <c r="A1418" s="70" t="s">
        <v>354</v>
      </c>
      <c r="B1418" s="70" t="str">
        <f>IF($A$3=" "," ", IFERROR( VLOOKUP($A1418,'SUPPLIER DATA BASE'!$A$2:$M$936,3,0),""))</f>
        <v>-</v>
      </c>
      <c r="C1418" s="70" t="str">
        <f>IF($A$3=" "," ", IFERROR( VLOOKUP($A1418,'SUPPLIER DATA BASE'!$A$2:$F$936,6,0),""))</f>
        <v>-</v>
      </c>
      <c r="D1418" s="70" t="str">
        <f>IF($A$3=" "," ", IFERROR( VLOOKUP($A1418,'SUPPLIER DATA BASE'!$A$2:$G$936,4,0),""))</f>
        <v>-</v>
      </c>
      <c r="E1418" s="71" t="str">
        <f>IF($A$3=" "," ", IFERROR( VLOOKUP($A1418,'SUPPLIER DATA BASE'!$A$2:$H$936,5,0),""))</f>
        <v>-</v>
      </c>
      <c r="F1418" s="72" t="s">
        <v>4081</v>
      </c>
      <c r="G1418" s="73"/>
      <c r="H1418" s="74"/>
      <c r="I1418" s="75"/>
      <c r="J1418" s="76" t="s">
        <v>4082</v>
      </c>
      <c r="K1418" s="76" t="s">
        <v>4083</v>
      </c>
      <c r="L1418" s="73"/>
      <c r="M1418" s="70" t="str">
        <f t="shared" si="3"/>
        <v/>
      </c>
      <c r="N1418" s="70" t="str">
        <f>IF($A$3=" "," ", IFERROR( VLOOKUP($A1418,'SUPPLIER DATA BASE'!$A$2:$O$936,11,0),""))</f>
        <v>-</v>
      </c>
      <c r="O1418" s="70" t="str">
        <f>IF($A$3=" "," ", IFERROR( VLOOKUP($A1418,'SUPPLIER DATA BASE'!$A$2:$O$936,12,0),""))</f>
        <v>-</v>
      </c>
      <c r="P1418" s="70" t="str">
        <f>IF($A$3=" "," ", IFERROR( VLOOKUP($A1418,'SUPPLIER DATA BASE'!$A$2:$O$936,13,0),""))</f>
        <v>-</v>
      </c>
      <c r="Q1418" s="77"/>
      <c r="R1418" s="73"/>
      <c r="S1418" s="77"/>
      <c r="T1418" s="70"/>
      <c r="U1418" s="78"/>
      <c r="V1418" s="70" t="str">
        <f t="shared" si="6"/>
        <v/>
      </c>
      <c r="W1418" s="23"/>
      <c r="X1418" s="23"/>
    </row>
    <row r="1419">
      <c r="A1419" s="70" t="s">
        <v>354</v>
      </c>
      <c r="B1419" s="70" t="str">
        <f>IF($A$3=" "," ", IFERROR( VLOOKUP($A1419,'SUPPLIER DATA BASE'!$A$2:$M$936,3,0),""))</f>
        <v>-</v>
      </c>
      <c r="C1419" s="70" t="str">
        <f>IF($A$3=" "," ", IFERROR( VLOOKUP($A1419,'SUPPLIER DATA BASE'!$A$2:$F$936,6,0),""))</f>
        <v>-</v>
      </c>
      <c r="D1419" s="70" t="str">
        <f>IF($A$3=" "," ", IFERROR( VLOOKUP($A1419,'SUPPLIER DATA BASE'!$A$2:$G$936,4,0),""))</f>
        <v>-</v>
      </c>
      <c r="E1419" s="71" t="str">
        <f>IF($A$3=" "," ", IFERROR( VLOOKUP($A1419,'SUPPLIER DATA BASE'!$A$2:$H$936,5,0),""))</f>
        <v>-</v>
      </c>
      <c r="F1419" s="72" t="s">
        <v>4084</v>
      </c>
      <c r="G1419" s="73"/>
      <c r="H1419" s="74"/>
      <c r="I1419" s="75"/>
      <c r="J1419" s="76" t="s">
        <v>4085</v>
      </c>
      <c r="K1419" s="76" t="s">
        <v>4086</v>
      </c>
      <c r="L1419" s="73"/>
      <c r="M1419" s="70" t="str">
        <f t="shared" si="3"/>
        <v/>
      </c>
      <c r="N1419" s="70" t="str">
        <f>IF($A$3=" "," ", IFERROR( VLOOKUP($A1419,'SUPPLIER DATA BASE'!$A$2:$O$936,11,0),""))</f>
        <v>-</v>
      </c>
      <c r="O1419" s="70" t="str">
        <f>IF($A$3=" "," ", IFERROR( VLOOKUP($A1419,'SUPPLIER DATA BASE'!$A$2:$O$936,12,0),""))</f>
        <v>-</v>
      </c>
      <c r="P1419" s="70" t="str">
        <f>IF($A$3=" "," ", IFERROR( VLOOKUP($A1419,'SUPPLIER DATA BASE'!$A$2:$O$936,13,0),""))</f>
        <v>-</v>
      </c>
      <c r="Q1419" s="77"/>
      <c r="R1419" s="73"/>
      <c r="S1419" s="77"/>
      <c r="T1419" s="70"/>
      <c r="U1419" s="78"/>
      <c r="V1419" s="70" t="str">
        <f t="shared" si="6"/>
        <v/>
      </c>
      <c r="W1419" s="23"/>
      <c r="X1419" s="23"/>
    </row>
    <row r="1420">
      <c r="A1420" s="70" t="s">
        <v>658</v>
      </c>
      <c r="B1420" s="70" t="str">
        <f>IF($A$3=" "," ", IFERROR( VLOOKUP($A1420,'SUPPLIER DATA BASE'!$A$2:$M$936,3,0),""))</f>
        <v>-</v>
      </c>
      <c r="C1420" s="70" t="str">
        <f>IF($A$3=" "," ", IFERROR( VLOOKUP($A1420,'SUPPLIER DATA BASE'!$A$2:$F$936,6,0),""))</f>
        <v>-</v>
      </c>
      <c r="D1420" s="70" t="str">
        <f>IF($A$3=" "," ", IFERROR( VLOOKUP($A1420,'SUPPLIER DATA BASE'!$A$2:$G$936,4,0),""))</f>
        <v>-</v>
      </c>
      <c r="E1420" s="71" t="str">
        <f>IF($A$3=" "," ", IFERROR( VLOOKUP($A1420,'SUPPLIER DATA BASE'!$A$2:$H$936,5,0),""))</f>
        <v>-</v>
      </c>
      <c r="F1420" s="72"/>
      <c r="G1420" s="73"/>
      <c r="H1420" s="74"/>
      <c r="I1420" s="75"/>
      <c r="J1420" s="76" t="s">
        <v>4087</v>
      </c>
      <c r="K1420" s="76" t="s">
        <v>4088</v>
      </c>
      <c r="L1420" s="73"/>
      <c r="M1420" s="70" t="str">
        <f t="shared" si="3"/>
        <v/>
      </c>
      <c r="N1420" s="70" t="str">
        <f>IF($A$3=" "," ", IFERROR( VLOOKUP($A1420,'SUPPLIER DATA BASE'!$A$2:$O$936,11,0),""))</f>
        <v>-</v>
      </c>
      <c r="O1420" s="70" t="str">
        <f>IF($A$3=" "," ", IFERROR( VLOOKUP($A1420,'SUPPLIER DATA BASE'!$A$2:$O$936,12,0),""))</f>
        <v>-</v>
      </c>
      <c r="P1420" s="70" t="str">
        <f>IF($A$3=" "," ", IFERROR( VLOOKUP($A1420,'SUPPLIER DATA BASE'!$A$2:$O$936,13,0),""))</f>
        <v>-</v>
      </c>
      <c r="Q1420" s="77"/>
      <c r="R1420" s="73"/>
      <c r="S1420" s="77"/>
      <c r="T1420" s="70"/>
      <c r="U1420" s="78"/>
      <c r="V1420" s="70" t="str">
        <f t="shared" si="6"/>
        <v/>
      </c>
      <c r="W1420" s="23"/>
      <c r="X1420" s="23"/>
    </row>
    <row r="1421">
      <c r="A1421" s="70" t="s">
        <v>677</v>
      </c>
      <c r="B1421" s="70" t="str">
        <f>IF($A$3=" "," ", IFERROR( VLOOKUP($A1421,'SUPPLIER DATA BASE'!$A$2:$M$936,3,0),""))</f>
        <v>-</v>
      </c>
      <c r="C1421" s="70" t="str">
        <f>IF($A$3=" "," ", IFERROR( VLOOKUP($A1421,'SUPPLIER DATA BASE'!$A$2:$F$936,6,0),""))</f>
        <v>-</v>
      </c>
      <c r="D1421" s="70" t="str">
        <f>IF($A$3=" "," ", IFERROR( VLOOKUP($A1421,'SUPPLIER DATA BASE'!$A$2:$G$936,4,0),""))</f>
        <v>-</v>
      </c>
      <c r="E1421" s="71" t="str">
        <f>IF($A$3=" "," ", IFERROR( VLOOKUP($A1421,'SUPPLIER DATA BASE'!$A$2:$H$936,5,0),""))</f>
        <v>-</v>
      </c>
      <c r="F1421" s="72"/>
      <c r="G1421" s="73"/>
      <c r="H1421" s="74"/>
      <c r="I1421" s="75"/>
      <c r="J1421" s="76" t="s">
        <v>4089</v>
      </c>
      <c r="K1421" s="76" t="s">
        <v>4090</v>
      </c>
      <c r="L1421" s="73"/>
      <c r="M1421" s="70" t="str">
        <f t="shared" si="3"/>
        <v/>
      </c>
      <c r="N1421" s="70" t="str">
        <f>IF($A$3=" "," ", IFERROR( VLOOKUP($A1421,'SUPPLIER DATA BASE'!$A$2:$O$936,11,0),""))</f>
        <v>SARAOGI SUPER SALES PVT LTD</v>
      </c>
      <c r="O1421" s="70" t="str">
        <f>IF($A$3=" "," ", IFERROR( VLOOKUP($A1421,'SUPPLIER DATA BASE'!$A$2:$O$936,12,0),""))</f>
        <v>SASUSP011006</v>
      </c>
      <c r="P1421" s="70" t="str">
        <f>IF($A$3=" "," ", IFERROR( VLOOKUP($A1421,'SUPPLIER DATA BASE'!$A$2:$O$936,13,0),""))</f>
        <v>ICIC0000106</v>
      </c>
      <c r="Q1421" s="77"/>
      <c r="R1421" s="73"/>
      <c r="S1421" s="77"/>
      <c r="T1421" s="70"/>
      <c r="U1421" s="78"/>
      <c r="V1421" s="70" t="str">
        <f t="shared" si="6"/>
        <v/>
      </c>
      <c r="W1421" s="23"/>
      <c r="X1421" s="23"/>
    </row>
    <row r="1422">
      <c r="A1422" s="70" t="s">
        <v>677</v>
      </c>
      <c r="B1422" s="70" t="str">
        <f>IF($A$3=" "," ", IFERROR( VLOOKUP($A1422,'SUPPLIER DATA BASE'!$A$2:$M$936,3,0),""))</f>
        <v>-</v>
      </c>
      <c r="C1422" s="70" t="str">
        <f>IF($A$3=" "," ", IFERROR( VLOOKUP($A1422,'SUPPLIER DATA BASE'!$A$2:$F$936,6,0),""))</f>
        <v>-</v>
      </c>
      <c r="D1422" s="70" t="str">
        <f>IF($A$3=" "," ", IFERROR( VLOOKUP($A1422,'SUPPLIER DATA BASE'!$A$2:$G$936,4,0),""))</f>
        <v>-</v>
      </c>
      <c r="E1422" s="71" t="str">
        <f>IF($A$3=" "," ", IFERROR( VLOOKUP($A1422,'SUPPLIER DATA BASE'!$A$2:$H$936,5,0),""))</f>
        <v>-</v>
      </c>
      <c r="F1422" s="72"/>
      <c r="G1422" s="73"/>
      <c r="H1422" s="74"/>
      <c r="I1422" s="75"/>
      <c r="J1422" s="76" t="s">
        <v>4091</v>
      </c>
      <c r="K1422" s="76" t="s">
        <v>4092</v>
      </c>
      <c r="L1422" s="73"/>
      <c r="M1422" s="70" t="str">
        <f t="shared" si="3"/>
        <v/>
      </c>
      <c r="N1422" s="70" t="str">
        <f>IF($A$3=" "," ", IFERROR( VLOOKUP($A1422,'SUPPLIER DATA BASE'!$A$2:$O$936,11,0),""))</f>
        <v>SARAOGI SUPER SALES PVT LTD</v>
      </c>
      <c r="O1422" s="70" t="str">
        <f>IF($A$3=" "," ", IFERROR( VLOOKUP($A1422,'SUPPLIER DATA BASE'!$A$2:$O$936,12,0),""))</f>
        <v>SASUSP011006</v>
      </c>
      <c r="P1422" s="70" t="str">
        <f>IF($A$3=" "," ", IFERROR( VLOOKUP($A1422,'SUPPLIER DATA BASE'!$A$2:$O$936,13,0),""))</f>
        <v>ICIC0000106</v>
      </c>
      <c r="Q1422" s="77"/>
      <c r="R1422" s="73"/>
      <c r="S1422" s="77"/>
      <c r="T1422" s="70"/>
      <c r="U1422" s="78"/>
      <c r="V1422" s="70" t="str">
        <f t="shared" si="6"/>
        <v/>
      </c>
      <c r="W1422" s="23"/>
      <c r="X1422" s="23"/>
    </row>
    <row r="1423">
      <c r="A1423" s="70" t="s">
        <v>677</v>
      </c>
      <c r="B1423" s="70" t="str">
        <f>IF($A$3=" "," ", IFERROR( VLOOKUP($A1423,'SUPPLIER DATA BASE'!$A$2:$M$936,3,0),""))</f>
        <v>-</v>
      </c>
      <c r="C1423" s="70" t="str">
        <f>IF($A$3=" "," ", IFERROR( VLOOKUP($A1423,'SUPPLIER DATA BASE'!$A$2:$F$936,6,0),""))</f>
        <v>-</v>
      </c>
      <c r="D1423" s="70" t="str">
        <f>IF($A$3=" "," ", IFERROR( VLOOKUP($A1423,'SUPPLIER DATA BASE'!$A$2:$G$936,4,0),""))</f>
        <v>-</v>
      </c>
      <c r="E1423" s="71" t="str">
        <f>IF($A$3=" "," ", IFERROR( VLOOKUP($A1423,'SUPPLIER DATA BASE'!$A$2:$H$936,5,0),""))</f>
        <v>-</v>
      </c>
      <c r="F1423" s="72"/>
      <c r="G1423" s="73"/>
      <c r="H1423" s="74"/>
      <c r="I1423" s="75"/>
      <c r="J1423" s="76" t="s">
        <v>4093</v>
      </c>
      <c r="K1423" s="76" t="s">
        <v>4094</v>
      </c>
      <c r="L1423" s="73"/>
      <c r="M1423" s="70" t="str">
        <f t="shared" si="3"/>
        <v/>
      </c>
      <c r="N1423" s="70" t="str">
        <f>IF($A$3=" "," ", IFERROR( VLOOKUP($A1423,'SUPPLIER DATA BASE'!$A$2:$O$936,11,0),""))</f>
        <v>SARAOGI SUPER SALES PVT LTD</v>
      </c>
      <c r="O1423" s="70" t="str">
        <f>IF($A$3=" "," ", IFERROR( VLOOKUP($A1423,'SUPPLIER DATA BASE'!$A$2:$O$936,12,0),""))</f>
        <v>SASUSP011006</v>
      </c>
      <c r="P1423" s="70" t="str">
        <f>IF($A$3=" "," ", IFERROR( VLOOKUP($A1423,'SUPPLIER DATA BASE'!$A$2:$O$936,13,0),""))</f>
        <v>ICIC0000106</v>
      </c>
      <c r="Q1423" s="77"/>
      <c r="R1423" s="73"/>
      <c r="S1423" s="77"/>
      <c r="T1423" s="70"/>
      <c r="U1423" s="78"/>
      <c r="V1423" s="70" t="str">
        <f t="shared" si="6"/>
        <v/>
      </c>
      <c r="W1423" s="23"/>
      <c r="X1423" s="23"/>
    </row>
    <row r="1424">
      <c r="A1424" s="70" t="s">
        <v>354</v>
      </c>
      <c r="B1424" s="70" t="str">
        <f>IF($A$3=" "," ", IFERROR( VLOOKUP($A1424,'SUPPLIER DATA BASE'!$A$2:$M$936,3,0),""))</f>
        <v>-</v>
      </c>
      <c r="C1424" s="70" t="str">
        <f>IF($A$3=" "," ", IFERROR( VLOOKUP($A1424,'SUPPLIER DATA BASE'!$A$2:$F$936,6,0),""))</f>
        <v>-</v>
      </c>
      <c r="D1424" s="70" t="str">
        <f>IF($A$3=" "," ", IFERROR( VLOOKUP($A1424,'SUPPLIER DATA BASE'!$A$2:$G$936,4,0),""))</f>
        <v>-</v>
      </c>
      <c r="E1424" s="71" t="str">
        <f>IF($A$3=" "," ", IFERROR( VLOOKUP($A1424,'SUPPLIER DATA BASE'!$A$2:$H$936,5,0),""))</f>
        <v>-</v>
      </c>
      <c r="F1424" s="72" t="s">
        <v>4095</v>
      </c>
      <c r="G1424" s="73"/>
      <c r="H1424" s="74"/>
      <c r="I1424" s="75"/>
      <c r="J1424" s="76" t="s">
        <v>4096</v>
      </c>
      <c r="K1424" s="76" t="s">
        <v>4097</v>
      </c>
      <c r="L1424" s="73"/>
      <c r="M1424" s="70" t="str">
        <f t="shared" si="3"/>
        <v/>
      </c>
      <c r="N1424" s="70" t="str">
        <f>IF($A$3=" "," ", IFERROR( VLOOKUP($A1424,'SUPPLIER DATA BASE'!$A$2:$O$936,11,0),""))</f>
        <v>-</v>
      </c>
      <c r="O1424" s="70" t="str">
        <f>IF($A$3=" "," ", IFERROR( VLOOKUP($A1424,'SUPPLIER DATA BASE'!$A$2:$O$936,12,0),""))</f>
        <v>-</v>
      </c>
      <c r="P1424" s="70" t="str">
        <f>IF($A$3=" "," ", IFERROR( VLOOKUP($A1424,'SUPPLIER DATA BASE'!$A$2:$O$936,13,0),""))</f>
        <v>-</v>
      </c>
      <c r="Q1424" s="77"/>
      <c r="R1424" s="73"/>
      <c r="S1424" s="77"/>
      <c r="T1424" s="70"/>
      <c r="U1424" s="78"/>
      <c r="V1424" s="70" t="str">
        <f t="shared" si="6"/>
        <v/>
      </c>
      <c r="W1424" s="23"/>
      <c r="X1424" s="23"/>
    </row>
    <row r="1425">
      <c r="A1425" s="70" t="s">
        <v>354</v>
      </c>
      <c r="B1425" s="70" t="str">
        <f>IF($A$3=" "," ", IFERROR( VLOOKUP($A1425,'SUPPLIER DATA BASE'!$A$2:$M$936,3,0),""))</f>
        <v>-</v>
      </c>
      <c r="C1425" s="70" t="str">
        <f>IF($A$3=" "," ", IFERROR( VLOOKUP($A1425,'SUPPLIER DATA BASE'!$A$2:$F$936,6,0),""))</f>
        <v>-</v>
      </c>
      <c r="D1425" s="70" t="str">
        <f>IF($A$3=" "," ", IFERROR( VLOOKUP($A1425,'SUPPLIER DATA BASE'!$A$2:$G$936,4,0),""))</f>
        <v>-</v>
      </c>
      <c r="E1425" s="71" t="str">
        <f>IF($A$3=" "," ", IFERROR( VLOOKUP($A1425,'SUPPLIER DATA BASE'!$A$2:$H$936,5,0),""))</f>
        <v>-</v>
      </c>
      <c r="F1425" s="72" t="s">
        <v>4098</v>
      </c>
      <c r="G1425" s="73"/>
      <c r="H1425" s="74"/>
      <c r="I1425" s="75"/>
      <c r="J1425" s="76" t="s">
        <v>4099</v>
      </c>
      <c r="K1425" s="76" t="s">
        <v>4100</v>
      </c>
      <c r="L1425" s="73"/>
      <c r="M1425" s="70" t="str">
        <f t="shared" si="3"/>
        <v/>
      </c>
      <c r="N1425" s="70" t="str">
        <f>IF($A$3=" "," ", IFERROR( VLOOKUP($A1425,'SUPPLIER DATA BASE'!$A$2:$O$936,11,0),""))</f>
        <v>-</v>
      </c>
      <c r="O1425" s="70" t="str">
        <f>IF($A$3=" "," ", IFERROR( VLOOKUP($A1425,'SUPPLIER DATA BASE'!$A$2:$O$936,12,0),""))</f>
        <v>-</v>
      </c>
      <c r="P1425" s="70" t="str">
        <f>IF($A$3=" "," ", IFERROR( VLOOKUP($A1425,'SUPPLIER DATA BASE'!$A$2:$O$936,13,0),""))</f>
        <v>-</v>
      </c>
      <c r="Q1425" s="77"/>
      <c r="R1425" s="73"/>
      <c r="S1425" s="77"/>
      <c r="T1425" s="70"/>
      <c r="U1425" s="78"/>
      <c r="V1425" s="70" t="str">
        <f t="shared" si="6"/>
        <v/>
      </c>
      <c r="W1425" s="23"/>
      <c r="X1425" s="23"/>
    </row>
    <row r="1426">
      <c r="A1426" s="70" t="s">
        <v>558</v>
      </c>
      <c r="B1426" s="70" t="str">
        <f>IF($A$3=" "," ", IFERROR( VLOOKUP($A1426,'SUPPLIER DATA BASE'!$A$2:$M$936,3,0),""))</f>
        <v>-</v>
      </c>
      <c r="C1426" s="70" t="str">
        <f>IF($A$3=" "," ", IFERROR( VLOOKUP($A1426,'SUPPLIER DATA BASE'!$A$2:$F$936,6,0),""))</f>
        <v>SURYAM TEXTILE AGENCY</v>
      </c>
      <c r="D1426" s="70">
        <f>IF($A$3=" "," ", IFERROR( VLOOKUP($A1426,'SUPPLIER DATA BASE'!$A$2:$G$936,4,0),""))</f>
        <v>60</v>
      </c>
      <c r="E1426" s="71">
        <f>IF($A$3=" "," ", IFERROR( VLOOKUP($A1426,'SUPPLIER DATA BASE'!$A$2:$H$936,5,0),""))</f>
        <v>0.03</v>
      </c>
      <c r="F1426" s="72"/>
      <c r="G1426" s="73"/>
      <c r="H1426" s="74"/>
      <c r="I1426" s="75"/>
      <c r="J1426" s="76" t="s">
        <v>4101</v>
      </c>
      <c r="K1426" s="76" t="s">
        <v>4102</v>
      </c>
      <c r="L1426" s="73"/>
      <c r="M1426" s="70" t="str">
        <f t="shared" si="3"/>
        <v/>
      </c>
      <c r="N1426" s="70" t="str">
        <f>IF($A$3=" "," ", IFERROR( VLOOKUP($A1426,'SUPPLIER DATA BASE'!$A$2:$O$936,11,0),""))</f>
        <v>MANOHAR SONS</v>
      </c>
      <c r="O1426" s="70" t="str">
        <f>IF($A$3=" "," ", IFERROR( VLOOKUP($A1426,'SUPPLIER DATA BASE'!$A$2:$O$936,12,0),""))</f>
        <v>50200032851542</v>
      </c>
      <c r="P1426" s="70" t="str">
        <f>IF($A$3=" "," ", IFERROR( VLOOKUP($A1426,'SUPPLIER DATA BASE'!$A$2:$O$936,13,0),""))</f>
        <v>HDFC0001416</v>
      </c>
      <c r="Q1426" s="77"/>
      <c r="R1426" s="73"/>
      <c r="S1426" s="77"/>
      <c r="T1426" s="70"/>
      <c r="U1426" s="78"/>
      <c r="V1426" s="70" t="str">
        <f t="shared" si="6"/>
        <v/>
      </c>
      <c r="W1426" s="23"/>
      <c r="X1426" s="23"/>
    </row>
    <row r="1427">
      <c r="A1427" s="70" t="s">
        <v>575</v>
      </c>
      <c r="B1427" s="70" t="str">
        <f>IF($A$3=" "," ", IFERROR( VLOOKUP($A1427,'SUPPLIER DATA BASE'!$A$2:$M$936,3,0),""))</f>
        <v>BLACKBERRY</v>
      </c>
      <c r="C1427" s="70" t="str">
        <f>IF($A$3=" "," ", IFERROR( VLOOKUP($A1427,'SUPPLIER DATA BASE'!$A$2:$F$936,6,0),""))</f>
        <v>-</v>
      </c>
      <c r="D1427" s="70" t="str">
        <f>IF($A$3=" "," ", IFERROR( VLOOKUP($A1427,'SUPPLIER DATA BASE'!$A$2:$G$936,4,0),""))</f>
        <v>-</v>
      </c>
      <c r="E1427" s="71" t="str">
        <f>IF($A$3=" "," ", IFERROR( VLOOKUP($A1427,'SUPPLIER DATA BASE'!$A$2:$H$936,5,0),""))</f>
        <v>-</v>
      </c>
      <c r="F1427" s="72"/>
      <c r="G1427" s="73"/>
      <c r="H1427" s="74"/>
      <c r="I1427" s="75"/>
      <c r="J1427" s="76" t="s">
        <v>4103</v>
      </c>
      <c r="K1427" s="76" t="s">
        <v>4104</v>
      </c>
      <c r="L1427" s="73"/>
      <c r="M1427" s="70" t="str">
        <f t="shared" si="3"/>
        <v/>
      </c>
      <c r="N1427" s="70" t="str">
        <f>IF($A$3=" "," ", IFERROR( VLOOKUP($A1427,'SUPPLIER DATA BASE'!$A$2:$O$936,11,0),""))</f>
        <v>MOHAN CLOTHING COMPANY PVT LTD</v>
      </c>
      <c r="O1427" s="70" t="str">
        <f>IF($A$3=" "," ", IFERROR( VLOOKUP($A1427,'SUPPLIER DATA BASE'!$A$2:$O$936,12,0),""))</f>
        <v>0710096023</v>
      </c>
      <c r="P1427" s="70" t="str">
        <f>IF($A$3=" "," ", IFERROR( VLOOKUP($A1427,'SUPPLIER DATA BASE'!$A$2:$O$936,13,0),""))</f>
        <v>CITI0000002</v>
      </c>
      <c r="Q1427" s="77"/>
      <c r="R1427" s="73"/>
      <c r="S1427" s="77"/>
      <c r="T1427" s="70"/>
      <c r="U1427" s="78"/>
      <c r="V1427" s="70" t="str">
        <f t="shared" si="6"/>
        <v/>
      </c>
      <c r="W1427" s="23"/>
      <c r="X1427" s="23"/>
    </row>
    <row r="1428">
      <c r="A1428" s="70" t="s">
        <v>575</v>
      </c>
      <c r="B1428" s="70" t="str">
        <f>IF($A$3=" "," ", IFERROR( VLOOKUP($A1428,'SUPPLIER DATA BASE'!$A$2:$M$936,3,0),""))</f>
        <v>BLACKBERRY</v>
      </c>
      <c r="C1428" s="70" t="str">
        <f>IF($A$3=" "," ", IFERROR( VLOOKUP($A1428,'SUPPLIER DATA BASE'!$A$2:$F$936,6,0),""))</f>
        <v>-</v>
      </c>
      <c r="D1428" s="70" t="str">
        <f>IF($A$3=" "," ", IFERROR( VLOOKUP($A1428,'SUPPLIER DATA BASE'!$A$2:$G$936,4,0),""))</f>
        <v>-</v>
      </c>
      <c r="E1428" s="71" t="str">
        <f>IF($A$3=" "," ", IFERROR( VLOOKUP($A1428,'SUPPLIER DATA BASE'!$A$2:$H$936,5,0),""))</f>
        <v>-</v>
      </c>
      <c r="F1428" s="72"/>
      <c r="G1428" s="73"/>
      <c r="H1428" s="74"/>
      <c r="I1428" s="75"/>
      <c r="J1428" s="76" t="s">
        <v>4105</v>
      </c>
      <c r="K1428" s="76" t="s">
        <v>4106</v>
      </c>
      <c r="L1428" s="73"/>
      <c r="M1428" s="70" t="str">
        <f t="shared" si="3"/>
        <v/>
      </c>
      <c r="N1428" s="70" t="str">
        <f>IF($A$3=" "," ", IFERROR( VLOOKUP($A1428,'SUPPLIER DATA BASE'!$A$2:$O$936,11,0),""))</f>
        <v>MOHAN CLOTHING COMPANY PVT LTD</v>
      </c>
      <c r="O1428" s="70" t="str">
        <f>IF($A$3=" "," ", IFERROR( VLOOKUP($A1428,'SUPPLIER DATA BASE'!$A$2:$O$936,12,0),""))</f>
        <v>0710096023</v>
      </c>
      <c r="P1428" s="70" t="str">
        <f>IF($A$3=" "," ", IFERROR( VLOOKUP($A1428,'SUPPLIER DATA BASE'!$A$2:$O$936,13,0),""))</f>
        <v>CITI0000002</v>
      </c>
      <c r="Q1428" s="77"/>
      <c r="R1428" s="73"/>
      <c r="S1428" s="77"/>
      <c r="T1428" s="70"/>
      <c r="U1428" s="78"/>
      <c r="V1428" s="70" t="str">
        <f t="shared" si="6"/>
        <v/>
      </c>
      <c r="W1428" s="23"/>
      <c r="X1428" s="23"/>
    </row>
    <row r="1429">
      <c r="A1429" s="70" t="s">
        <v>354</v>
      </c>
      <c r="B1429" s="70" t="str">
        <f>IF($A$3=" "," ", IFERROR( VLOOKUP($A1429,'SUPPLIER DATA BASE'!$A$2:$M$936,3,0),""))</f>
        <v>-</v>
      </c>
      <c r="C1429" s="70" t="str">
        <f>IF($A$3=" "," ", IFERROR( VLOOKUP($A1429,'SUPPLIER DATA BASE'!$A$2:$F$936,6,0),""))</f>
        <v>-</v>
      </c>
      <c r="D1429" s="70" t="str">
        <f>IF($A$3=" "," ", IFERROR( VLOOKUP($A1429,'SUPPLIER DATA BASE'!$A$2:$G$936,4,0),""))</f>
        <v>-</v>
      </c>
      <c r="E1429" s="71" t="str">
        <f>IF($A$3=" "," ", IFERROR( VLOOKUP($A1429,'SUPPLIER DATA BASE'!$A$2:$H$936,5,0),""))</f>
        <v>-</v>
      </c>
      <c r="F1429" s="72" t="s">
        <v>4107</v>
      </c>
      <c r="G1429" s="73"/>
      <c r="H1429" s="74"/>
      <c r="I1429" s="75"/>
      <c r="J1429" s="76" t="s">
        <v>4108</v>
      </c>
      <c r="K1429" s="76" t="s">
        <v>4109</v>
      </c>
      <c r="L1429" s="73"/>
      <c r="M1429" s="70" t="str">
        <f t="shared" si="3"/>
        <v/>
      </c>
      <c r="N1429" s="70" t="str">
        <f>IF($A$3=" "," ", IFERROR( VLOOKUP($A1429,'SUPPLIER DATA BASE'!$A$2:$O$936,11,0),""))</f>
        <v>-</v>
      </c>
      <c r="O1429" s="70" t="str">
        <f>IF($A$3=" "," ", IFERROR( VLOOKUP($A1429,'SUPPLIER DATA BASE'!$A$2:$O$936,12,0),""))</f>
        <v>-</v>
      </c>
      <c r="P1429" s="70" t="str">
        <f>IF($A$3=" "," ", IFERROR( VLOOKUP($A1429,'SUPPLIER DATA BASE'!$A$2:$O$936,13,0),""))</f>
        <v>-</v>
      </c>
      <c r="Q1429" s="77"/>
      <c r="R1429" s="73"/>
      <c r="S1429" s="77"/>
      <c r="T1429" s="70"/>
      <c r="U1429" s="78"/>
      <c r="V1429" s="70" t="str">
        <f t="shared" si="6"/>
        <v/>
      </c>
      <c r="W1429" s="23"/>
      <c r="X1429" s="23"/>
    </row>
    <row r="1430">
      <c r="A1430" s="70" t="s">
        <v>354</v>
      </c>
      <c r="B1430" s="70" t="str">
        <f>IF($A$3=" "," ", IFERROR( VLOOKUP($A1430,'SUPPLIER DATA BASE'!$A$2:$M$936,3,0),""))</f>
        <v>-</v>
      </c>
      <c r="C1430" s="70" t="str">
        <f>IF($A$3=" "," ", IFERROR( VLOOKUP($A1430,'SUPPLIER DATA BASE'!$A$2:$F$936,6,0),""))</f>
        <v>-</v>
      </c>
      <c r="D1430" s="70" t="str">
        <f>IF($A$3=" "," ", IFERROR( VLOOKUP($A1430,'SUPPLIER DATA BASE'!$A$2:$G$936,4,0),""))</f>
        <v>-</v>
      </c>
      <c r="E1430" s="71" t="str">
        <f>IF($A$3=" "," ", IFERROR( VLOOKUP($A1430,'SUPPLIER DATA BASE'!$A$2:$H$936,5,0),""))</f>
        <v>-</v>
      </c>
      <c r="F1430" s="72" t="s">
        <v>4110</v>
      </c>
      <c r="G1430" s="73"/>
      <c r="H1430" s="74"/>
      <c r="I1430" s="75"/>
      <c r="J1430" s="76" t="s">
        <v>4111</v>
      </c>
      <c r="K1430" s="76" t="s">
        <v>4112</v>
      </c>
      <c r="L1430" s="73"/>
      <c r="M1430" s="70" t="str">
        <f t="shared" si="3"/>
        <v/>
      </c>
      <c r="N1430" s="70" t="str">
        <f>IF($A$3=" "," ", IFERROR( VLOOKUP($A1430,'SUPPLIER DATA BASE'!$A$2:$O$936,11,0),""))</f>
        <v>-</v>
      </c>
      <c r="O1430" s="70" t="str">
        <f>IF($A$3=" "," ", IFERROR( VLOOKUP($A1430,'SUPPLIER DATA BASE'!$A$2:$O$936,12,0),""))</f>
        <v>-</v>
      </c>
      <c r="P1430" s="70" t="str">
        <f>IF($A$3=" "," ", IFERROR( VLOOKUP($A1430,'SUPPLIER DATA BASE'!$A$2:$O$936,13,0),""))</f>
        <v>-</v>
      </c>
      <c r="Q1430" s="77"/>
      <c r="R1430" s="73"/>
      <c r="S1430" s="77"/>
      <c r="T1430" s="70"/>
      <c r="U1430" s="78"/>
      <c r="V1430" s="70" t="str">
        <f t="shared" si="6"/>
        <v/>
      </c>
      <c r="W1430" s="23"/>
      <c r="X1430" s="23"/>
    </row>
    <row r="1431">
      <c r="A1431" s="70" t="s">
        <v>354</v>
      </c>
      <c r="B1431" s="70" t="str">
        <f>IF($A$3=" "," ", IFERROR( VLOOKUP($A1431,'SUPPLIER DATA BASE'!$A$2:$M$936,3,0),""))</f>
        <v>-</v>
      </c>
      <c r="C1431" s="70" t="str">
        <f>IF($A$3=" "," ", IFERROR( VLOOKUP($A1431,'SUPPLIER DATA BASE'!$A$2:$F$936,6,0),""))</f>
        <v>-</v>
      </c>
      <c r="D1431" s="70" t="str">
        <f>IF($A$3=" "," ", IFERROR( VLOOKUP($A1431,'SUPPLIER DATA BASE'!$A$2:$G$936,4,0),""))</f>
        <v>-</v>
      </c>
      <c r="E1431" s="71" t="str">
        <f>IF($A$3=" "," ", IFERROR( VLOOKUP($A1431,'SUPPLIER DATA BASE'!$A$2:$H$936,5,0),""))</f>
        <v>-</v>
      </c>
      <c r="F1431" s="72" t="s">
        <v>4113</v>
      </c>
      <c r="G1431" s="73"/>
      <c r="H1431" s="74"/>
      <c r="I1431" s="75"/>
      <c r="J1431" s="76" t="s">
        <v>4114</v>
      </c>
      <c r="K1431" s="76" t="s">
        <v>4115</v>
      </c>
      <c r="L1431" s="73"/>
      <c r="M1431" s="70" t="str">
        <f t="shared" si="3"/>
        <v/>
      </c>
      <c r="N1431" s="70" t="str">
        <f>IF($A$3=" "," ", IFERROR( VLOOKUP($A1431,'SUPPLIER DATA BASE'!$A$2:$O$936,11,0),""))</f>
        <v>-</v>
      </c>
      <c r="O1431" s="70" t="str">
        <f>IF($A$3=" "," ", IFERROR( VLOOKUP($A1431,'SUPPLIER DATA BASE'!$A$2:$O$936,12,0),""))</f>
        <v>-</v>
      </c>
      <c r="P1431" s="70" t="str">
        <f>IF($A$3=" "," ", IFERROR( VLOOKUP($A1431,'SUPPLIER DATA BASE'!$A$2:$O$936,13,0),""))</f>
        <v>-</v>
      </c>
      <c r="Q1431" s="77"/>
      <c r="R1431" s="73"/>
      <c r="S1431" s="77"/>
      <c r="T1431" s="70"/>
      <c r="U1431" s="78"/>
      <c r="V1431" s="70" t="str">
        <f t="shared" si="6"/>
        <v/>
      </c>
      <c r="W1431" s="23"/>
      <c r="X1431" s="23"/>
    </row>
    <row r="1432">
      <c r="A1432" s="70" t="s">
        <v>354</v>
      </c>
      <c r="B1432" s="70" t="str">
        <f>IF($A$3=" "," ", IFERROR( VLOOKUP($A1432,'SUPPLIER DATA BASE'!$A$2:$M$936,3,0),""))</f>
        <v>-</v>
      </c>
      <c r="C1432" s="70" t="str">
        <f>IF($A$3=" "," ", IFERROR( VLOOKUP($A1432,'SUPPLIER DATA BASE'!$A$2:$F$936,6,0),""))</f>
        <v>-</v>
      </c>
      <c r="D1432" s="70" t="str">
        <f>IF($A$3=" "," ", IFERROR( VLOOKUP($A1432,'SUPPLIER DATA BASE'!$A$2:$G$936,4,0),""))</f>
        <v>-</v>
      </c>
      <c r="E1432" s="71" t="str">
        <f>IF($A$3=" "," ", IFERROR( VLOOKUP($A1432,'SUPPLIER DATA BASE'!$A$2:$H$936,5,0),""))</f>
        <v>-</v>
      </c>
      <c r="F1432" s="72" t="s">
        <v>4116</v>
      </c>
      <c r="G1432" s="73"/>
      <c r="H1432" s="74"/>
      <c r="I1432" s="75"/>
      <c r="J1432" s="76" t="s">
        <v>4117</v>
      </c>
      <c r="K1432" s="76" t="s">
        <v>4118</v>
      </c>
      <c r="L1432" s="73"/>
      <c r="M1432" s="70" t="str">
        <f t="shared" si="3"/>
        <v/>
      </c>
      <c r="N1432" s="70" t="str">
        <f>IF($A$3=" "," ", IFERROR( VLOOKUP($A1432,'SUPPLIER DATA BASE'!$A$2:$O$936,11,0),""))</f>
        <v>-</v>
      </c>
      <c r="O1432" s="70" t="str">
        <f>IF($A$3=" "," ", IFERROR( VLOOKUP($A1432,'SUPPLIER DATA BASE'!$A$2:$O$936,12,0),""))</f>
        <v>-</v>
      </c>
      <c r="P1432" s="70" t="str">
        <f>IF($A$3=" "," ", IFERROR( VLOOKUP($A1432,'SUPPLIER DATA BASE'!$A$2:$O$936,13,0),""))</f>
        <v>-</v>
      </c>
      <c r="Q1432" s="77"/>
      <c r="R1432" s="73"/>
      <c r="S1432" s="77"/>
      <c r="T1432" s="70"/>
      <c r="U1432" s="78"/>
      <c r="V1432" s="70" t="str">
        <f t="shared" si="6"/>
        <v/>
      </c>
      <c r="W1432" s="23"/>
      <c r="X1432" s="23"/>
    </row>
    <row r="1433">
      <c r="A1433" s="70" t="s">
        <v>354</v>
      </c>
      <c r="B1433" s="70" t="str">
        <f>IF($A$3=" "," ", IFERROR( VLOOKUP($A1433,'SUPPLIER DATA BASE'!$A$2:$M$936,3,0),""))</f>
        <v>-</v>
      </c>
      <c r="C1433" s="70" t="str">
        <f>IF($A$3=" "," ", IFERROR( VLOOKUP($A1433,'SUPPLIER DATA BASE'!$A$2:$F$936,6,0),""))</f>
        <v>-</v>
      </c>
      <c r="D1433" s="70" t="str">
        <f>IF($A$3=" "," ", IFERROR( VLOOKUP($A1433,'SUPPLIER DATA BASE'!$A$2:$G$936,4,0),""))</f>
        <v>-</v>
      </c>
      <c r="E1433" s="71" t="str">
        <f>IF($A$3=" "," ", IFERROR( VLOOKUP($A1433,'SUPPLIER DATA BASE'!$A$2:$H$936,5,0),""))</f>
        <v>-</v>
      </c>
      <c r="F1433" s="72" t="s">
        <v>4119</v>
      </c>
      <c r="G1433" s="73"/>
      <c r="H1433" s="74"/>
      <c r="I1433" s="75"/>
      <c r="J1433" s="76" t="s">
        <v>4120</v>
      </c>
      <c r="K1433" s="76" t="s">
        <v>4121</v>
      </c>
      <c r="L1433" s="73"/>
      <c r="M1433" s="70" t="str">
        <f t="shared" si="3"/>
        <v/>
      </c>
      <c r="N1433" s="70" t="str">
        <f>IF($A$3=" "," ", IFERROR( VLOOKUP($A1433,'SUPPLIER DATA BASE'!$A$2:$O$936,11,0),""))</f>
        <v>-</v>
      </c>
      <c r="O1433" s="70" t="str">
        <f>IF($A$3=" "," ", IFERROR( VLOOKUP($A1433,'SUPPLIER DATA BASE'!$A$2:$O$936,12,0),""))</f>
        <v>-</v>
      </c>
      <c r="P1433" s="70" t="str">
        <f>IF($A$3=" "," ", IFERROR( VLOOKUP($A1433,'SUPPLIER DATA BASE'!$A$2:$O$936,13,0),""))</f>
        <v>-</v>
      </c>
      <c r="Q1433" s="77"/>
      <c r="R1433" s="73"/>
      <c r="S1433" s="77"/>
      <c r="T1433" s="70"/>
      <c r="U1433" s="78"/>
      <c r="V1433" s="70" t="str">
        <f t="shared" si="6"/>
        <v/>
      </c>
      <c r="W1433" s="23"/>
      <c r="X1433" s="23"/>
    </row>
    <row r="1434">
      <c r="A1434" s="70" t="s">
        <v>354</v>
      </c>
      <c r="B1434" s="70" t="str">
        <f>IF($A$3=" "," ", IFERROR( VLOOKUP($A1434,'SUPPLIER DATA BASE'!$A$2:$M$936,3,0),""))</f>
        <v>-</v>
      </c>
      <c r="C1434" s="70" t="str">
        <f>IF($A$3=" "," ", IFERROR( VLOOKUP($A1434,'SUPPLIER DATA BASE'!$A$2:$F$936,6,0),""))</f>
        <v>-</v>
      </c>
      <c r="D1434" s="70" t="str">
        <f>IF($A$3=" "," ", IFERROR( VLOOKUP($A1434,'SUPPLIER DATA BASE'!$A$2:$G$936,4,0),""))</f>
        <v>-</v>
      </c>
      <c r="E1434" s="71" t="str">
        <f>IF($A$3=" "," ", IFERROR( VLOOKUP($A1434,'SUPPLIER DATA BASE'!$A$2:$H$936,5,0),""))</f>
        <v>-</v>
      </c>
      <c r="F1434" s="72" t="s">
        <v>4122</v>
      </c>
      <c r="G1434" s="73"/>
      <c r="H1434" s="74"/>
      <c r="I1434" s="75"/>
      <c r="J1434" s="76" t="s">
        <v>4123</v>
      </c>
      <c r="K1434" s="76" t="s">
        <v>4124</v>
      </c>
      <c r="L1434" s="73"/>
      <c r="M1434" s="70" t="str">
        <f t="shared" si="3"/>
        <v/>
      </c>
      <c r="N1434" s="70" t="str">
        <f>IF($A$3=" "," ", IFERROR( VLOOKUP($A1434,'SUPPLIER DATA BASE'!$A$2:$O$936,11,0),""))</f>
        <v>-</v>
      </c>
      <c r="O1434" s="70" t="str">
        <f>IF($A$3=" "," ", IFERROR( VLOOKUP($A1434,'SUPPLIER DATA BASE'!$A$2:$O$936,12,0),""))</f>
        <v>-</v>
      </c>
      <c r="P1434" s="70" t="str">
        <f>IF($A$3=" "," ", IFERROR( VLOOKUP($A1434,'SUPPLIER DATA BASE'!$A$2:$O$936,13,0),""))</f>
        <v>-</v>
      </c>
      <c r="Q1434" s="77"/>
      <c r="R1434" s="73"/>
      <c r="S1434" s="77"/>
      <c r="T1434" s="70"/>
      <c r="U1434" s="78"/>
      <c r="V1434" s="70" t="str">
        <f t="shared" si="6"/>
        <v/>
      </c>
      <c r="W1434" s="23"/>
      <c r="X1434" s="23"/>
    </row>
    <row r="1435">
      <c r="A1435" s="70" t="s">
        <v>354</v>
      </c>
      <c r="B1435" s="70" t="str">
        <f>IF($A$3=" "," ", IFERROR( VLOOKUP($A1435,'SUPPLIER DATA BASE'!$A$2:$M$936,3,0),""))</f>
        <v>-</v>
      </c>
      <c r="C1435" s="70" t="str">
        <f>IF($A$3=" "," ", IFERROR( VLOOKUP($A1435,'SUPPLIER DATA BASE'!$A$2:$F$936,6,0),""))</f>
        <v>-</v>
      </c>
      <c r="D1435" s="70" t="str">
        <f>IF($A$3=" "," ", IFERROR( VLOOKUP($A1435,'SUPPLIER DATA BASE'!$A$2:$G$936,4,0),""))</f>
        <v>-</v>
      </c>
      <c r="E1435" s="71" t="str">
        <f>IF($A$3=" "," ", IFERROR( VLOOKUP($A1435,'SUPPLIER DATA BASE'!$A$2:$H$936,5,0),""))</f>
        <v>-</v>
      </c>
      <c r="F1435" s="72" t="s">
        <v>4125</v>
      </c>
      <c r="G1435" s="73"/>
      <c r="H1435" s="74"/>
      <c r="I1435" s="75"/>
      <c r="J1435" s="76" t="s">
        <v>4126</v>
      </c>
      <c r="K1435" s="76" t="s">
        <v>4127</v>
      </c>
      <c r="L1435" s="73"/>
      <c r="M1435" s="70" t="str">
        <f t="shared" si="3"/>
        <v/>
      </c>
      <c r="N1435" s="70" t="str">
        <f>IF($A$3=" "," ", IFERROR( VLOOKUP($A1435,'SUPPLIER DATA BASE'!$A$2:$O$936,11,0),""))</f>
        <v>-</v>
      </c>
      <c r="O1435" s="70" t="str">
        <f>IF($A$3=" "," ", IFERROR( VLOOKUP($A1435,'SUPPLIER DATA BASE'!$A$2:$O$936,12,0),""))</f>
        <v>-</v>
      </c>
      <c r="P1435" s="70" t="str">
        <f>IF($A$3=" "," ", IFERROR( VLOOKUP($A1435,'SUPPLIER DATA BASE'!$A$2:$O$936,13,0),""))</f>
        <v>-</v>
      </c>
      <c r="Q1435" s="77"/>
      <c r="R1435" s="73"/>
      <c r="S1435" s="77"/>
      <c r="T1435" s="70"/>
      <c r="U1435" s="78"/>
      <c r="V1435" s="70" t="str">
        <f t="shared" si="6"/>
        <v/>
      </c>
      <c r="W1435" s="23"/>
      <c r="X1435" s="23"/>
    </row>
    <row r="1436">
      <c r="A1436" s="70" t="s">
        <v>354</v>
      </c>
      <c r="B1436" s="70" t="str">
        <f>IF($A$3=" "," ", IFERROR( VLOOKUP($A1436,'SUPPLIER DATA BASE'!$A$2:$M$936,3,0),""))</f>
        <v>-</v>
      </c>
      <c r="C1436" s="70" t="str">
        <f>IF($A$3=" "," ", IFERROR( VLOOKUP($A1436,'SUPPLIER DATA BASE'!$A$2:$F$936,6,0),""))</f>
        <v>-</v>
      </c>
      <c r="D1436" s="70" t="str">
        <f>IF($A$3=" "," ", IFERROR( VLOOKUP($A1436,'SUPPLIER DATA BASE'!$A$2:$G$936,4,0),""))</f>
        <v>-</v>
      </c>
      <c r="E1436" s="71" t="str">
        <f>IF($A$3=" "," ", IFERROR( VLOOKUP($A1436,'SUPPLIER DATA BASE'!$A$2:$H$936,5,0),""))</f>
        <v>-</v>
      </c>
      <c r="F1436" s="72" t="s">
        <v>4128</v>
      </c>
      <c r="G1436" s="73"/>
      <c r="H1436" s="74"/>
      <c r="I1436" s="75"/>
      <c r="J1436" s="76" t="s">
        <v>4129</v>
      </c>
      <c r="K1436" s="76" t="s">
        <v>4130</v>
      </c>
      <c r="L1436" s="73"/>
      <c r="M1436" s="70" t="str">
        <f t="shared" si="3"/>
        <v/>
      </c>
      <c r="N1436" s="70" t="str">
        <f>IF($A$3=" "," ", IFERROR( VLOOKUP($A1436,'SUPPLIER DATA BASE'!$A$2:$O$936,11,0),""))</f>
        <v>-</v>
      </c>
      <c r="O1436" s="70" t="str">
        <f>IF($A$3=" "," ", IFERROR( VLOOKUP($A1436,'SUPPLIER DATA BASE'!$A$2:$O$936,12,0),""))</f>
        <v>-</v>
      </c>
      <c r="P1436" s="70" t="str">
        <f>IF($A$3=" "," ", IFERROR( VLOOKUP($A1436,'SUPPLIER DATA BASE'!$A$2:$O$936,13,0),""))</f>
        <v>-</v>
      </c>
      <c r="Q1436" s="77"/>
      <c r="R1436" s="73"/>
      <c r="S1436" s="77"/>
      <c r="T1436" s="70"/>
      <c r="U1436" s="78"/>
      <c r="V1436" s="70" t="str">
        <f t="shared" si="6"/>
        <v/>
      </c>
      <c r="W1436" s="23"/>
      <c r="X1436" s="23"/>
    </row>
    <row r="1437">
      <c r="A1437" s="70" t="s">
        <v>354</v>
      </c>
      <c r="B1437" s="70" t="str">
        <f>IF($A$3=" "," ", IFERROR( VLOOKUP($A1437,'SUPPLIER DATA BASE'!$A$2:$M$936,3,0),""))</f>
        <v>-</v>
      </c>
      <c r="C1437" s="70" t="str">
        <f>IF($A$3=" "," ", IFERROR( VLOOKUP($A1437,'SUPPLIER DATA BASE'!$A$2:$F$936,6,0),""))</f>
        <v>-</v>
      </c>
      <c r="D1437" s="70" t="str">
        <f>IF($A$3=" "," ", IFERROR( VLOOKUP($A1437,'SUPPLIER DATA BASE'!$A$2:$G$936,4,0),""))</f>
        <v>-</v>
      </c>
      <c r="E1437" s="71" t="str">
        <f>IF($A$3=" "," ", IFERROR( VLOOKUP($A1437,'SUPPLIER DATA BASE'!$A$2:$H$936,5,0),""))</f>
        <v>-</v>
      </c>
      <c r="F1437" s="72" t="s">
        <v>4131</v>
      </c>
      <c r="G1437" s="73"/>
      <c r="H1437" s="74"/>
      <c r="I1437" s="75"/>
      <c r="J1437" s="76" t="s">
        <v>4132</v>
      </c>
      <c r="K1437" s="76" t="s">
        <v>4133</v>
      </c>
      <c r="L1437" s="73"/>
      <c r="M1437" s="70" t="str">
        <f t="shared" si="3"/>
        <v/>
      </c>
      <c r="N1437" s="70" t="str">
        <f>IF($A$3=" "," ", IFERROR( VLOOKUP($A1437,'SUPPLIER DATA BASE'!$A$2:$O$936,11,0),""))</f>
        <v>-</v>
      </c>
      <c r="O1437" s="70" t="str">
        <f>IF($A$3=" "," ", IFERROR( VLOOKUP($A1437,'SUPPLIER DATA BASE'!$A$2:$O$936,12,0),""))</f>
        <v>-</v>
      </c>
      <c r="P1437" s="70" t="str">
        <f>IF($A$3=" "," ", IFERROR( VLOOKUP($A1437,'SUPPLIER DATA BASE'!$A$2:$O$936,13,0),""))</f>
        <v>-</v>
      </c>
      <c r="Q1437" s="77"/>
      <c r="R1437" s="73"/>
      <c r="S1437" s="77"/>
      <c r="T1437" s="70"/>
      <c r="U1437" s="78"/>
      <c r="V1437" s="70" t="str">
        <f t="shared" si="6"/>
        <v/>
      </c>
      <c r="W1437" s="23"/>
      <c r="X1437" s="23"/>
    </row>
    <row r="1438">
      <c r="A1438" s="70" t="s">
        <v>354</v>
      </c>
      <c r="B1438" s="70" t="str">
        <f>IF($A$3=" "," ", IFERROR( VLOOKUP($A1438,'SUPPLIER DATA BASE'!$A$2:$M$936,3,0),""))</f>
        <v>-</v>
      </c>
      <c r="C1438" s="70" t="str">
        <f>IF($A$3=" "," ", IFERROR( VLOOKUP($A1438,'SUPPLIER DATA BASE'!$A$2:$F$936,6,0),""))</f>
        <v>-</v>
      </c>
      <c r="D1438" s="70" t="str">
        <f>IF($A$3=" "," ", IFERROR( VLOOKUP($A1438,'SUPPLIER DATA BASE'!$A$2:$G$936,4,0),""))</f>
        <v>-</v>
      </c>
      <c r="E1438" s="71" t="str">
        <f>IF($A$3=" "," ", IFERROR( VLOOKUP($A1438,'SUPPLIER DATA BASE'!$A$2:$H$936,5,0),""))</f>
        <v>-</v>
      </c>
      <c r="F1438" s="72" t="s">
        <v>4134</v>
      </c>
      <c r="G1438" s="73"/>
      <c r="H1438" s="74"/>
      <c r="I1438" s="75"/>
      <c r="J1438" s="76" t="s">
        <v>4135</v>
      </c>
      <c r="K1438" s="76" t="s">
        <v>4136</v>
      </c>
      <c r="L1438" s="73"/>
      <c r="M1438" s="70" t="str">
        <f t="shared" si="3"/>
        <v/>
      </c>
      <c r="N1438" s="70" t="str">
        <f>IF($A$3=" "," ", IFERROR( VLOOKUP($A1438,'SUPPLIER DATA BASE'!$A$2:$O$936,11,0),""))</f>
        <v>-</v>
      </c>
      <c r="O1438" s="70" t="str">
        <f>IF($A$3=" "," ", IFERROR( VLOOKUP($A1438,'SUPPLIER DATA BASE'!$A$2:$O$936,12,0),""))</f>
        <v>-</v>
      </c>
      <c r="P1438" s="70" t="str">
        <f>IF($A$3=" "," ", IFERROR( VLOOKUP($A1438,'SUPPLIER DATA BASE'!$A$2:$O$936,13,0),""))</f>
        <v>-</v>
      </c>
      <c r="Q1438" s="77"/>
      <c r="R1438" s="73"/>
      <c r="S1438" s="77"/>
      <c r="T1438" s="70"/>
      <c r="U1438" s="78"/>
      <c r="V1438" s="70" t="str">
        <f t="shared" si="6"/>
        <v/>
      </c>
      <c r="W1438" s="23"/>
      <c r="X1438" s="23"/>
    </row>
    <row r="1439">
      <c r="A1439" s="70" t="s">
        <v>354</v>
      </c>
      <c r="B1439" s="70" t="str">
        <f>IF($A$3=" "," ", IFERROR( VLOOKUP($A1439,'SUPPLIER DATA BASE'!$A$2:$M$936,3,0),""))</f>
        <v>-</v>
      </c>
      <c r="C1439" s="70" t="str">
        <f>IF($A$3=" "," ", IFERROR( VLOOKUP($A1439,'SUPPLIER DATA BASE'!$A$2:$F$936,6,0),""))</f>
        <v>-</v>
      </c>
      <c r="D1439" s="70" t="str">
        <f>IF($A$3=" "," ", IFERROR( VLOOKUP($A1439,'SUPPLIER DATA BASE'!$A$2:$G$936,4,0),""))</f>
        <v>-</v>
      </c>
      <c r="E1439" s="71" t="str">
        <f>IF($A$3=" "," ", IFERROR( VLOOKUP($A1439,'SUPPLIER DATA BASE'!$A$2:$H$936,5,0),""))</f>
        <v>-</v>
      </c>
      <c r="F1439" s="72" t="s">
        <v>4137</v>
      </c>
      <c r="G1439" s="73"/>
      <c r="H1439" s="74"/>
      <c r="I1439" s="75"/>
      <c r="J1439" s="76" t="s">
        <v>4138</v>
      </c>
      <c r="K1439" s="76" t="s">
        <v>4139</v>
      </c>
      <c r="L1439" s="73"/>
      <c r="M1439" s="70" t="str">
        <f t="shared" si="3"/>
        <v/>
      </c>
      <c r="N1439" s="70" t="str">
        <f>IF($A$3=" "," ", IFERROR( VLOOKUP($A1439,'SUPPLIER DATA BASE'!$A$2:$O$936,11,0),""))</f>
        <v>-</v>
      </c>
      <c r="O1439" s="70" t="str">
        <f>IF($A$3=" "," ", IFERROR( VLOOKUP($A1439,'SUPPLIER DATA BASE'!$A$2:$O$936,12,0),""))</f>
        <v>-</v>
      </c>
      <c r="P1439" s="70" t="str">
        <f>IF($A$3=" "," ", IFERROR( VLOOKUP($A1439,'SUPPLIER DATA BASE'!$A$2:$O$936,13,0),""))</f>
        <v>-</v>
      </c>
      <c r="Q1439" s="77"/>
      <c r="R1439" s="73"/>
      <c r="S1439" s="77"/>
      <c r="T1439" s="70"/>
      <c r="U1439" s="78"/>
      <c r="V1439" s="70" t="str">
        <f t="shared" si="6"/>
        <v/>
      </c>
      <c r="W1439" s="23"/>
      <c r="X1439" s="23"/>
    </row>
    <row r="1440">
      <c r="A1440" s="70" t="s">
        <v>354</v>
      </c>
      <c r="B1440" s="70" t="str">
        <f>IF($A$3=" "," ", IFERROR( VLOOKUP($A1440,'SUPPLIER DATA BASE'!$A$2:$M$936,3,0),""))</f>
        <v>-</v>
      </c>
      <c r="C1440" s="70" t="str">
        <f>IF($A$3=" "," ", IFERROR( VLOOKUP($A1440,'SUPPLIER DATA BASE'!$A$2:$F$936,6,0),""))</f>
        <v>-</v>
      </c>
      <c r="D1440" s="70" t="str">
        <f>IF($A$3=" "," ", IFERROR( VLOOKUP($A1440,'SUPPLIER DATA BASE'!$A$2:$G$936,4,0),""))</f>
        <v>-</v>
      </c>
      <c r="E1440" s="71" t="str">
        <f>IF($A$3=" "," ", IFERROR( VLOOKUP($A1440,'SUPPLIER DATA BASE'!$A$2:$H$936,5,0),""))</f>
        <v>-</v>
      </c>
      <c r="F1440" s="72" t="s">
        <v>4140</v>
      </c>
      <c r="G1440" s="73"/>
      <c r="H1440" s="74"/>
      <c r="I1440" s="75"/>
      <c r="J1440" s="76" t="s">
        <v>4141</v>
      </c>
      <c r="K1440" s="76" t="s">
        <v>4142</v>
      </c>
      <c r="L1440" s="73"/>
      <c r="M1440" s="70" t="str">
        <f t="shared" si="3"/>
        <v/>
      </c>
      <c r="N1440" s="70" t="str">
        <f>IF($A$3=" "," ", IFERROR( VLOOKUP($A1440,'SUPPLIER DATA BASE'!$A$2:$O$936,11,0),""))</f>
        <v>-</v>
      </c>
      <c r="O1440" s="70" t="str">
        <f>IF($A$3=" "," ", IFERROR( VLOOKUP($A1440,'SUPPLIER DATA BASE'!$A$2:$O$936,12,0),""))</f>
        <v>-</v>
      </c>
      <c r="P1440" s="70" t="str">
        <f>IF($A$3=" "," ", IFERROR( VLOOKUP($A1440,'SUPPLIER DATA BASE'!$A$2:$O$936,13,0),""))</f>
        <v>-</v>
      </c>
      <c r="Q1440" s="77"/>
      <c r="R1440" s="73"/>
      <c r="S1440" s="77"/>
      <c r="T1440" s="70"/>
      <c r="U1440" s="78"/>
      <c r="V1440" s="70" t="str">
        <f t="shared" si="6"/>
        <v/>
      </c>
      <c r="W1440" s="23"/>
      <c r="X1440" s="23"/>
    </row>
    <row r="1441">
      <c r="A1441" s="70" t="s">
        <v>354</v>
      </c>
      <c r="B1441" s="70" t="str">
        <f>IF($A$3=" "," ", IFERROR( VLOOKUP($A1441,'SUPPLIER DATA BASE'!$A$2:$M$936,3,0),""))</f>
        <v>-</v>
      </c>
      <c r="C1441" s="70" t="str">
        <f>IF($A$3=" "," ", IFERROR( VLOOKUP($A1441,'SUPPLIER DATA BASE'!$A$2:$F$936,6,0),""))</f>
        <v>-</v>
      </c>
      <c r="D1441" s="70" t="str">
        <f>IF($A$3=" "," ", IFERROR( VLOOKUP($A1441,'SUPPLIER DATA BASE'!$A$2:$G$936,4,0),""))</f>
        <v>-</v>
      </c>
      <c r="E1441" s="71" t="str">
        <f>IF($A$3=" "," ", IFERROR( VLOOKUP($A1441,'SUPPLIER DATA BASE'!$A$2:$H$936,5,0),""))</f>
        <v>-</v>
      </c>
      <c r="F1441" s="72" t="s">
        <v>4143</v>
      </c>
      <c r="G1441" s="73"/>
      <c r="H1441" s="74"/>
      <c r="I1441" s="75"/>
      <c r="J1441" s="76" t="s">
        <v>4144</v>
      </c>
      <c r="K1441" s="76" t="s">
        <v>4145</v>
      </c>
      <c r="L1441" s="73"/>
      <c r="M1441" s="70" t="str">
        <f t="shared" si="3"/>
        <v/>
      </c>
      <c r="N1441" s="70" t="str">
        <f>IF($A$3=" "," ", IFERROR( VLOOKUP($A1441,'SUPPLIER DATA BASE'!$A$2:$O$936,11,0),""))</f>
        <v>-</v>
      </c>
      <c r="O1441" s="70" t="str">
        <f>IF($A$3=" "," ", IFERROR( VLOOKUP($A1441,'SUPPLIER DATA BASE'!$A$2:$O$936,12,0),""))</f>
        <v>-</v>
      </c>
      <c r="P1441" s="70" t="str">
        <f>IF($A$3=" "," ", IFERROR( VLOOKUP($A1441,'SUPPLIER DATA BASE'!$A$2:$O$936,13,0),""))</f>
        <v>-</v>
      </c>
      <c r="Q1441" s="77"/>
      <c r="R1441" s="73"/>
      <c r="S1441" s="77"/>
      <c r="T1441" s="70"/>
      <c r="U1441" s="78"/>
      <c r="V1441" s="70" t="str">
        <f t="shared" si="6"/>
        <v/>
      </c>
      <c r="W1441" s="23"/>
      <c r="X1441" s="23"/>
    </row>
    <row r="1442">
      <c r="A1442" s="70" t="s">
        <v>354</v>
      </c>
      <c r="B1442" s="70" t="str">
        <f>IF($A$3=" "," ", IFERROR( VLOOKUP($A1442,'SUPPLIER DATA BASE'!$A$2:$M$936,3,0),""))</f>
        <v>-</v>
      </c>
      <c r="C1442" s="70" t="str">
        <f>IF($A$3=" "," ", IFERROR( VLOOKUP($A1442,'SUPPLIER DATA BASE'!$A$2:$F$936,6,0),""))</f>
        <v>-</v>
      </c>
      <c r="D1442" s="70" t="str">
        <f>IF($A$3=" "," ", IFERROR( VLOOKUP($A1442,'SUPPLIER DATA BASE'!$A$2:$G$936,4,0),""))</f>
        <v>-</v>
      </c>
      <c r="E1442" s="71" t="str">
        <f>IF($A$3=" "," ", IFERROR( VLOOKUP($A1442,'SUPPLIER DATA BASE'!$A$2:$H$936,5,0),""))</f>
        <v>-</v>
      </c>
      <c r="F1442" s="72" t="s">
        <v>4146</v>
      </c>
      <c r="G1442" s="73"/>
      <c r="H1442" s="74"/>
      <c r="I1442" s="75"/>
      <c r="J1442" s="76" t="s">
        <v>4147</v>
      </c>
      <c r="K1442" s="76" t="s">
        <v>4148</v>
      </c>
      <c r="L1442" s="73"/>
      <c r="M1442" s="70" t="str">
        <f t="shared" si="3"/>
        <v/>
      </c>
      <c r="N1442" s="70" t="str">
        <f>IF($A$3=" "," ", IFERROR( VLOOKUP($A1442,'SUPPLIER DATA BASE'!$A$2:$O$936,11,0),""))</f>
        <v>-</v>
      </c>
      <c r="O1442" s="70" t="str">
        <f>IF($A$3=" "," ", IFERROR( VLOOKUP($A1442,'SUPPLIER DATA BASE'!$A$2:$O$936,12,0),""))</f>
        <v>-</v>
      </c>
      <c r="P1442" s="70" t="str">
        <f>IF($A$3=" "," ", IFERROR( VLOOKUP($A1442,'SUPPLIER DATA BASE'!$A$2:$O$936,13,0),""))</f>
        <v>-</v>
      </c>
      <c r="Q1442" s="77"/>
      <c r="R1442" s="73"/>
      <c r="S1442" s="77"/>
      <c r="T1442" s="70"/>
      <c r="U1442" s="78"/>
      <c r="V1442" s="70" t="str">
        <f t="shared" si="6"/>
        <v/>
      </c>
      <c r="W1442" s="23"/>
      <c r="X1442" s="23"/>
    </row>
    <row r="1443">
      <c r="A1443" s="70" t="s">
        <v>605</v>
      </c>
      <c r="B1443" s="70" t="str">
        <f>IF($A$3=" "," ", IFERROR( VLOOKUP($A1443,'SUPPLIER DATA BASE'!$A$2:$M$936,3,0),""))</f>
        <v>-</v>
      </c>
      <c r="C1443" s="70" t="str">
        <f>IF($A$3=" "," ", IFERROR( VLOOKUP($A1443,'SUPPLIER DATA BASE'!$A$2:$F$936,6,0),""))</f>
        <v>-</v>
      </c>
      <c r="D1443" s="70" t="str">
        <f>IF($A$3=" "," ", IFERROR( VLOOKUP($A1443,'SUPPLIER DATA BASE'!$A$2:$G$936,4,0),""))</f>
        <v>-</v>
      </c>
      <c r="E1443" s="71" t="str">
        <f>IF($A$3=" "," ", IFERROR( VLOOKUP($A1443,'SUPPLIER DATA BASE'!$A$2:$H$936,5,0),""))</f>
        <v>-</v>
      </c>
      <c r="F1443" s="72"/>
      <c r="G1443" s="73"/>
      <c r="H1443" s="74"/>
      <c r="I1443" s="75"/>
      <c r="J1443" s="76" t="s">
        <v>4149</v>
      </c>
      <c r="K1443" s="76" t="s">
        <v>4150</v>
      </c>
      <c r="L1443" s="73"/>
      <c r="M1443" s="70" t="str">
        <f t="shared" si="3"/>
        <v/>
      </c>
      <c r="N1443" s="70" t="str">
        <f>IF($A$3=" "," ", IFERROR( VLOOKUP($A1443,'SUPPLIER DATA BASE'!$A$2:$O$936,11,0),""))</f>
        <v>-</v>
      </c>
      <c r="O1443" s="70" t="str">
        <f>IF($A$3=" "," ", IFERROR( VLOOKUP($A1443,'SUPPLIER DATA BASE'!$A$2:$O$936,12,0),""))</f>
        <v>-</v>
      </c>
      <c r="P1443" s="70" t="str">
        <f>IF($A$3=" "," ", IFERROR( VLOOKUP($A1443,'SUPPLIER DATA BASE'!$A$2:$O$936,13,0),""))</f>
        <v>-</v>
      </c>
      <c r="Q1443" s="77"/>
      <c r="R1443" s="73"/>
      <c r="S1443" s="77"/>
      <c r="T1443" s="70"/>
      <c r="U1443" s="78"/>
      <c r="V1443" s="70" t="str">
        <f t="shared" si="6"/>
        <v/>
      </c>
      <c r="W1443" s="23"/>
      <c r="X1443" s="23"/>
    </row>
    <row r="1444">
      <c r="A1444" s="70"/>
      <c r="B1444" s="70" t="str">
        <f>IF($A$3=" "," ", IFERROR( VLOOKUP($A1444,'SUPPLIER DATA BASE'!$A$2:$M$936,3,0),""))</f>
        <v/>
      </c>
      <c r="C1444" s="70" t="str">
        <f>IF($A$3=" "," ", IFERROR( VLOOKUP($A1444,'SUPPLIER DATA BASE'!$A$2:$F$936,6,0),""))</f>
        <v/>
      </c>
      <c r="D1444" s="70" t="str">
        <f>IF($A$3=" "," ", IFERROR( VLOOKUP($A1444,'SUPPLIER DATA BASE'!$A$2:$G$936,4,0),""))</f>
        <v/>
      </c>
      <c r="E1444" s="71" t="str">
        <f>IF($A$3=" "," ", IFERROR( VLOOKUP($A1444,'SUPPLIER DATA BASE'!$A$2:$H$936,5,0),""))</f>
        <v/>
      </c>
      <c r="F1444" s="72"/>
      <c r="G1444" s="73"/>
      <c r="H1444" s="74"/>
      <c r="I1444" s="75"/>
      <c r="J1444" s="76" t="s">
        <v>4151</v>
      </c>
      <c r="K1444" s="76" t="s">
        <v>4152</v>
      </c>
      <c r="L1444" s="73"/>
      <c r="M1444" s="70" t="str">
        <f t="shared" si="3"/>
        <v/>
      </c>
      <c r="N1444" s="70" t="str">
        <f>IF($A$3=" "," ", IFERROR( VLOOKUP($A1444,'SUPPLIER DATA BASE'!$A$2:$O$936,11,0),""))</f>
        <v/>
      </c>
      <c r="O1444" s="70" t="str">
        <f>IF($A$3=" "," ", IFERROR( VLOOKUP($A1444,'SUPPLIER DATA BASE'!$A$2:$O$936,12,0),""))</f>
        <v/>
      </c>
      <c r="P1444" s="70" t="str">
        <f>IF($A$3=" "," ", IFERROR( VLOOKUP($A1444,'SUPPLIER DATA BASE'!$A$2:$O$936,13,0),""))</f>
        <v/>
      </c>
      <c r="Q1444" s="77"/>
      <c r="R1444" s="73"/>
      <c r="S1444" s="77"/>
      <c r="T1444" s="70"/>
      <c r="U1444" s="78"/>
      <c r="V1444" s="70" t="str">
        <f t="shared" si="6"/>
        <v/>
      </c>
      <c r="W1444" s="23"/>
      <c r="X1444" s="23"/>
    </row>
    <row r="1445">
      <c r="A1445" s="70" t="s">
        <v>354</v>
      </c>
      <c r="B1445" s="70" t="str">
        <f>IF($A$3=" "," ", IFERROR( VLOOKUP($A1445,'SUPPLIER DATA BASE'!$A$2:$M$936,3,0),""))</f>
        <v>-</v>
      </c>
      <c r="C1445" s="70" t="str">
        <f>IF($A$3=" "," ", IFERROR( VLOOKUP($A1445,'SUPPLIER DATA BASE'!$A$2:$F$936,6,0),""))</f>
        <v>-</v>
      </c>
      <c r="D1445" s="70" t="str">
        <f>IF($A$3=" "," ", IFERROR( VLOOKUP($A1445,'SUPPLIER DATA BASE'!$A$2:$G$936,4,0),""))</f>
        <v>-</v>
      </c>
      <c r="E1445" s="71" t="str">
        <f>IF($A$3=" "," ", IFERROR( VLOOKUP($A1445,'SUPPLIER DATA BASE'!$A$2:$H$936,5,0),""))</f>
        <v>-</v>
      </c>
      <c r="F1445" s="72" t="s">
        <v>4153</v>
      </c>
      <c r="G1445" s="73"/>
      <c r="H1445" s="74"/>
      <c r="I1445" s="75"/>
      <c r="J1445" s="76" t="s">
        <v>4154</v>
      </c>
      <c r="K1445" s="76" t="s">
        <v>4155</v>
      </c>
      <c r="L1445" s="73"/>
      <c r="M1445" s="70" t="str">
        <f t="shared" si="3"/>
        <v/>
      </c>
      <c r="N1445" s="70" t="str">
        <f>IF($A$3=" "," ", IFERROR( VLOOKUP($A1445,'SUPPLIER DATA BASE'!$A$2:$O$936,11,0),""))</f>
        <v>-</v>
      </c>
      <c r="O1445" s="70" t="str">
        <f>IF($A$3=" "," ", IFERROR( VLOOKUP($A1445,'SUPPLIER DATA BASE'!$A$2:$O$936,12,0),""))</f>
        <v>-</v>
      </c>
      <c r="P1445" s="70" t="str">
        <f>IF($A$3=" "," ", IFERROR( VLOOKUP($A1445,'SUPPLIER DATA BASE'!$A$2:$O$936,13,0),""))</f>
        <v>-</v>
      </c>
      <c r="Q1445" s="77"/>
      <c r="R1445" s="73"/>
      <c r="S1445" s="77"/>
      <c r="T1445" s="70"/>
      <c r="U1445" s="78"/>
      <c r="V1445" s="70" t="str">
        <f t="shared" si="6"/>
        <v/>
      </c>
      <c r="W1445" s="23"/>
      <c r="X1445" s="23"/>
    </row>
    <row r="1446">
      <c r="A1446" s="70" t="s">
        <v>354</v>
      </c>
      <c r="B1446" s="70" t="str">
        <f>IF($A$3=" "," ", IFERROR( VLOOKUP($A1446,'SUPPLIER DATA BASE'!$A$2:$M$936,3,0),""))</f>
        <v>-</v>
      </c>
      <c r="C1446" s="70" t="str">
        <f>IF($A$3=" "," ", IFERROR( VLOOKUP($A1446,'SUPPLIER DATA BASE'!$A$2:$F$936,6,0),""))</f>
        <v>-</v>
      </c>
      <c r="D1446" s="70" t="str">
        <f>IF($A$3=" "," ", IFERROR( VLOOKUP($A1446,'SUPPLIER DATA BASE'!$A$2:$G$936,4,0),""))</f>
        <v>-</v>
      </c>
      <c r="E1446" s="71" t="str">
        <f>IF($A$3=" "," ", IFERROR( VLOOKUP($A1446,'SUPPLIER DATA BASE'!$A$2:$H$936,5,0),""))</f>
        <v>-</v>
      </c>
      <c r="F1446" s="72" t="s">
        <v>4156</v>
      </c>
      <c r="G1446" s="73"/>
      <c r="H1446" s="74"/>
      <c r="I1446" s="75"/>
      <c r="J1446" s="76" t="s">
        <v>4157</v>
      </c>
      <c r="K1446" s="76" t="s">
        <v>4158</v>
      </c>
      <c r="L1446" s="73"/>
      <c r="M1446" s="70" t="str">
        <f t="shared" si="3"/>
        <v/>
      </c>
      <c r="N1446" s="70" t="str">
        <f>IF($A$3=" "," ", IFERROR( VLOOKUP($A1446,'SUPPLIER DATA BASE'!$A$2:$O$936,11,0),""))</f>
        <v>-</v>
      </c>
      <c r="O1446" s="70" t="str">
        <f>IF($A$3=" "," ", IFERROR( VLOOKUP($A1446,'SUPPLIER DATA BASE'!$A$2:$O$936,12,0),""))</f>
        <v>-</v>
      </c>
      <c r="P1446" s="70" t="str">
        <f>IF($A$3=" "," ", IFERROR( VLOOKUP($A1446,'SUPPLIER DATA BASE'!$A$2:$O$936,13,0),""))</f>
        <v>-</v>
      </c>
      <c r="Q1446" s="77"/>
      <c r="R1446" s="73"/>
      <c r="S1446" s="77"/>
      <c r="T1446" s="70"/>
      <c r="U1446" s="78"/>
      <c r="V1446" s="70" t="str">
        <f t="shared" si="6"/>
        <v/>
      </c>
      <c r="W1446" s="23"/>
      <c r="X1446" s="23"/>
    </row>
    <row r="1447">
      <c r="A1447" s="70" t="s">
        <v>354</v>
      </c>
      <c r="B1447" s="70" t="str">
        <f>IF($A$3=" "," ", IFERROR( VLOOKUP($A1447,'SUPPLIER DATA BASE'!$A$2:$M$936,3,0),""))</f>
        <v>-</v>
      </c>
      <c r="C1447" s="70" t="str">
        <f>IF($A$3=" "," ", IFERROR( VLOOKUP($A1447,'SUPPLIER DATA BASE'!$A$2:$F$936,6,0),""))</f>
        <v>-</v>
      </c>
      <c r="D1447" s="70" t="str">
        <f>IF($A$3=" "," ", IFERROR( VLOOKUP($A1447,'SUPPLIER DATA BASE'!$A$2:$G$936,4,0),""))</f>
        <v>-</v>
      </c>
      <c r="E1447" s="71" t="str">
        <f>IF($A$3=" "," ", IFERROR( VLOOKUP($A1447,'SUPPLIER DATA BASE'!$A$2:$H$936,5,0),""))</f>
        <v>-</v>
      </c>
      <c r="F1447" s="72" t="s">
        <v>4159</v>
      </c>
      <c r="G1447" s="73"/>
      <c r="H1447" s="74"/>
      <c r="I1447" s="75"/>
      <c r="J1447" s="76" t="s">
        <v>4160</v>
      </c>
      <c r="K1447" s="76" t="s">
        <v>4161</v>
      </c>
      <c r="L1447" s="73"/>
      <c r="M1447" s="70" t="str">
        <f t="shared" si="3"/>
        <v/>
      </c>
      <c r="N1447" s="70" t="str">
        <f>IF($A$3=" "," ", IFERROR( VLOOKUP($A1447,'SUPPLIER DATA BASE'!$A$2:$O$936,11,0),""))</f>
        <v>-</v>
      </c>
      <c r="O1447" s="70" t="str">
        <f>IF($A$3=" "," ", IFERROR( VLOOKUP($A1447,'SUPPLIER DATA BASE'!$A$2:$O$936,12,0),""))</f>
        <v>-</v>
      </c>
      <c r="P1447" s="70" t="str">
        <f>IF($A$3=" "," ", IFERROR( VLOOKUP($A1447,'SUPPLIER DATA BASE'!$A$2:$O$936,13,0),""))</f>
        <v>-</v>
      </c>
      <c r="Q1447" s="77"/>
      <c r="R1447" s="73"/>
      <c r="S1447" s="77"/>
      <c r="T1447" s="70"/>
      <c r="U1447" s="78"/>
      <c r="V1447" s="70" t="str">
        <f t="shared" si="6"/>
        <v/>
      </c>
      <c r="W1447" s="23"/>
      <c r="X1447" s="23"/>
    </row>
    <row r="1448">
      <c r="A1448" s="70" t="s">
        <v>354</v>
      </c>
      <c r="B1448" s="70" t="str">
        <f>IF($A$3=" "," ", IFERROR( VLOOKUP($A1448,'SUPPLIER DATA BASE'!$A$2:$M$936,3,0),""))</f>
        <v>-</v>
      </c>
      <c r="C1448" s="70" t="str">
        <f>IF($A$3=" "," ", IFERROR( VLOOKUP($A1448,'SUPPLIER DATA BASE'!$A$2:$F$936,6,0),""))</f>
        <v>-</v>
      </c>
      <c r="D1448" s="70" t="str">
        <f>IF($A$3=" "," ", IFERROR( VLOOKUP($A1448,'SUPPLIER DATA BASE'!$A$2:$G$936,4,0),""))</f>
        <v>-</v>
      </c>
      <c r="E1448" s="71" t="str">
        <f>IF($A$3=" "," ", IFERROR( VLOOKUP($A1448,'SUPPLIER DATA BASE'!$A$2:$H$936,5,0),""))</f>
        <v>-</v>
      </c>
      <c r="F1448" s="72" t="s">
        <v>4162</v>
      </c>
      <c r="G1448" s="73"/>
      <c r="H1448" s="74"/>
      <c r="I1448" s="75"/>
      <c r="J1448" s="76" t="s">
        <v>4163</v>
      </c>
      <c r="K1448" s="76" t="s">
        <v>4164</v>
      </c>
      <c r="L1448" s="73"/>
      <c r="M1448" s="70" t="str">
        <f t="shared" si="3"/>
        <v/>
      </c>
      <c r="N1448" s="70" t="str">
        <f>IF($A$3=" "," ", IFERROR( VLOOKUP($A1448,'SUPPLIER DATA BASE'!$A$2:$O$936,11,0),""))</f>
        <v>-</v>
      </c>
      <c r="O1448" s="70" t="str">
        <f>IF($A$3=" "," ", IFERROR( VLOOKUP($A1448,'SUPPLIER DATA BASE'!$A$2:$O$936,12,0),""))</f>
        <v>-</v>
      </c>
      <c r="P1448" s="70" t="str">
        <f>IF($A$3=" "," ", IFERROR( VLOOKUP($A1448,'SUPPLIER DATA BASE'!$A$2:$O$936,13,0),""))</f>
        <v>-</v>
      </c>
      <c r="Q1448" s="77"/>
      <c r="R1448" s="73"/>
      <c r="S1448" s="77"/>
      <c r="T1448" s="70"/>
      <c r="U1448" s="78"/>
      <c r="V1448" s="70" t="str">
        <f t="shared" si="6"/>
        <v/>
      </c>
      <c r="W1448" s="23"/>
      <c r="X1448" s="23"/>
    </row>
    <row r="1449">
      <c r="A1449" s="70" t="s">
        <v>692</v>
      </c>
      <c r="B1449" s="70" t="str">
        <f>IF($A$3=" "," ", IFERROR( VLOOKUP($A1449,'SUPPLIER DATA BASE'!$A$2:$M$936,3,0),""))</f>
        <v>JOCKEY</v>
      </c>
      <c r="C1449" s="70" t="str">
        <f>IF($A$3=" "," ", IFERROR( VLOOKUP($A1449,'SUPPLIER DATA BASE'!$A$2:$F$936,6,0),""))</f>
        <v>DIRECT</v>
      </c>
      <c r="D1449" s="70">
        <f>IF($A$3=" "," ", IFERROR( VLOOKUP($A1449,'SUPPLIER DATA BASE'!$A$2:$G$936,4,0),""))</f>
        <v>30</v>
      </c>
      <c r="E1449" s="71">
        <f>IF($A$3=" "," ", IFERROR( VLOOKUP($A1449,'SUPPLIER DATA BASE'!$A$2:$H$936,5,0),""))</f>
        <v>2</v>
      </c>
      <c r="F1449" s="72"/>
      <c r="G1449" s="73"/>
      <c r="H1449" s="74"/>
      <c r="I1449" s="75"/>
      <c r="J1449" s="76" t="s">
        <v>4165</v>
      </c>
      <c r="K1449" s="76" t="s">
        <v>4166</v>
      </c>
      <c r="L1449" s="73"/>
      <c r="M1449" s="70" t="str">
        <f t="shared" si="3"/>
        <v/>
      </c>
      <c r="N1449" s="70" t="str">
        <f>IF($A$3=" "," ", IFERROR( VLOOKUP($A1449,'SUPPLIER DATA BASE'!$A$2:$O$936,11,0),""))</f>
        <v>SHREE NARAYANI ENTERPRISE</v>
      </c>
      <c r="O1449" s="70" t="str">
        <f>IF($A$3=" "," ", IFERROR( VLOOKUP($A1449,'SUPPLIER DATA BASE'!$A$2:$O$936,12,0),""))</f>
        <v>29205005382</v>
      </c>
      <c r="P1449" s="70" t="str">
        <f>IF($A$3=" "," ", IFERROR( VLOOKUP($A1449,'SUPPLIER DATA BASE'!$A$2:$O$936,13,0),""))</f>
        <v>ICIC0000292</v>
      </c>
      <c r="Q1449" s="77"/>
      <c r="R1449" s="73"/>
      <c r="S1449" s="77"/>
      <c r="T1449" s="70"/>
      <c r="U1449" s="78"/>
      <c r="V1449" s="70" t="str">
        <f t="shared" si="6"/>
        <v/>
      </c>
      <c r="W1449" s="23"/>
      <c r="X1449" s="23"/>
    </row>
    <row r="1450">
      <c r="A1450" s="70" t="s">
        <v>702</v>
      </c>
      <c r="B1450" s="70" t="str">
        <f>IF($A$3=" "," ", IFERROR( VLOOKUP($A1450,'SUPPLIER DATA BASE'!$A$2:$M$936,3,0),""))</f>
        <v>JOCKEY</v>
      </c>
      <c r="C1450" s="70" t="str">
        <f>IF($A$3=" "," ", IFERROR( VLOOKUP($A1450,'SUPPLIER DATA BASE'!$A$2:$F$936,6,0),""))</f>
        <v>-</v>
      </c>
      <c r="D1450" s="70">
        <f>IF($A$3=" "," ", IFERROR( VLOOKUP($A1450,'SUPPLIER DATA BASE'!$A$2:$G$936,4,0),""))</f>
        <v>15</v>
      </c>
      <c r="E1450" s="71">
        <f>IF($A$3=" "," ", IFERROR( VLOOKUP($A1450,'SUPPLIER DATA BASE'!$A$2:$H$936,5,0),""))</f>
        <v>0.02</v>
      </c>
      <c r="F1450" s="72"/>
      <c r="G1450" s="73"/>
      <c r="H1450" s="74"/>
      <c r="I1450" s="75"/>
      <c r="J1450" s="76" t="s">
        <v>4167</v>
      </c>
      <c r="K1450" s="76" t="s">
        <v>4168</v>
      </c>
      <c r="L1450" s="73"/>
      <c r="M1450" s="70" t="str">
        <f t="shared" si="3"/>
        <v/>
      </c>
      <c r="N1450" s="70" t="str">
        <f>IF($A$3=" "," ", IFERROR( VLOOKUP($A1450,'SUPPLIER DATA BASE'!$A$2:$O$936,11,0),""))</f>
        <v>SHRI MAHAVIR ENTERPRISES</v>
      </c>
      <c r="O1450" s="70" t="str">
        <f>IF($A$3=" "," ", IFERROR( VLOOKUP($A1450,'SUPPLIER DATA BASE'!$A$2:$O$936,12,0),""))</f>
        <v>048905500722</v>
      </c>
      <c r="P1450" s="70" t="str">
        <f>IF($A$3=" "," ", IFERROR( VLOOKUP($A1450,'SUPPLIER DATA BASE'!$A$2:$O$936,13,0),""))</f>
        <v>ICIC0000489</v>
      </c>
      <c r="Q1450" s="77"/>
      <c r="R1450" s="73"/>
      <c r="S1450" s="77"/>
      <c r="T1450" s="70"/>
      <c r="U1450" s="78"/>
      <c r="V1450" s="70" t="str">
        <f t="shared" si="6"/>
        <v/>
      </c>
      <c r="W1450" s="23"/>
      <c r="X1450" s="23"/>
    </row>
    <row r="1451">
      <c r="A1451" s="70" t="s">
        <v>702</v>
      </c>
      <c r="B1451" s="70" t="str">
        <f>IF($A$3=" "," ", IFERROR( VLOOKUP($A1451,'SUPPLIER DATA BASE'!$A$2:$M$936,3,0),""))</f>
        <v>JOCKEY</v>
      </c>
      <c r="C1451" s="70" t="str">
        <f>IF($A$3=" "," ", IFERROR( VLOOKUP($A1451,'SUPPLIER DATA BASE'!$A$2:$F$936,6,0),""))</f>
        <v>-</v>
      </c>
      <c r="D1451" s="70">
        <f>IF($A$3=" "," ", IFERROR( VLOOKUP($A1451,'SUPPLIER DATA BASE'!$A$2:$G$936,4,0),""))</f>
        <v>15</v>
      </c>
      <c r="E1451" s="71">
        <f>IF($A$3=" "," ", IFERROR( VLOOKUP($A1451,'SUPPLIER DATA BASE'!$A$2:$H$936,5,0),""))</f>
        <v>0.02</v>
      </c>
      <c r="F1451" s="72"/>
      <c r="G1451" s="73"/>
      <c r="H1451" s="74"/>
      <c r="I1451" s="75"/>
      <c r="J1451" s="76" t="s">
        <v>4169</v>
      </c>
      <c r="K1451" s="76" t="s">
        <v>4170</v>
      </c>
      <c r="L1451" s="73"/>
      <c r="M1451" s="70" t="str">
        <f t="shared" si="3"/>
        <v/>
      </c>
      <c r="N1451" s="70" t="str">
        <f>IF($A$3=" "," ", IFERROR( VLOOKUP($A1451,'SUPPLIER DATA BASE'!$A$2:$O$936,11,0),""))</f>
        <v>SHRI MAHAVIR ENTERPRISES</v>
      </c>
      <c r="O1451" s="70" t="str">
        <f>IF($A$3=" "," ", IFERROR( VLOOKUP($A1451,'SUPPLIER DATA BASE'!$A$2:$O$936,12,0),""))</f>
        <v>048905500722</v>
      </c>
      <c r="P1451" s="70" t="str">
        <f>IF($A$3=" "," ", IFERROR( VLOOKUP($A1451,'SUPPLIER DATA BASE'!$A$2:$O$936,13,0),""))</f>
        <v>ICIC0000489</v>
      </c>
      <c r="Q1451" s="77"/>
      <c r="R1451" s="73"/>
      <c r="S1451" s="77"/>
      <c r="T1451" s="70"/>
      <c r="U1451" s="78"/>
      <c r="V1451" s="70" t="str">
        <f t="shared" si="6"/>
        <v/>
      </c>
      <c r="W1451" s="23"/>
      <c r="X1451" s="23"/>
    </row>
    <row r="1452">
      <c r="A1452" s="70" t="s">
        <v>702</v>
      </c>
      <c r="B1452" s="70" t="str">
        <f>IF($A$3=" "," ", IFERROR( VLOOKUP($A1452,'SUPPLIER DATA BASE'!$A$2:$M$936,3,0),""))</f>
        <v>JOCKEY</v>
      </c>
      <c r="C1452" s="70" t="str">
        <f>IF($A$3=" "," ", IFERROR( VLOOKUP($A1452,'SUPPLIER DATA BASE'!$A$2:$F$936,6,0),""))</f>
        <v>-</v>
      </c>
      <c r="D1452" s="70">
        <f>IF($A$3=" "," ", IFERROR( VLOOKUP($A1452,'SUPPLIER DATA BASE'!$A$2:$G$936,4,0),""))</f>
        <v>15</v>
      </c>
      <c r="E1452" s="71">
        <f>IF($A$3=" "," ", IFERROR( VLOOKUP($A1452,'SUPPLIER DATA BASE'!$A$2:$H$936,5,0),""))</f>
        <v>0.02</v>
      </c>
      <c r="F1452" s="72"/>
      <c r="G1452" s="73"/>
      <c r="H1452" s="74"/>
      <c r="I1452" s="75"/>
      <c r="J1452" s="76" t="s">
        <v>4171</v>
      </c>
      <c r="K1452" s="76" t="s">
        <v>4172</v>
      </c>
      <c r="L1452" s="73"/>
      <c r="M1452" s="70" t="str">
        <f t="shared" si="3"/>
        <v/>
      </c>
      <c r="N1452" s="70" t="str">
        <f>IF($A$3=" "," ", IFERROR( VLOOKUP($A1452,'SUPPLIER DATA BASE'!$A$2:$O$936,11,0),""))</f>
        <v>SHRI MAHAVIR ENTERPRISES</v>
      </c>
      <c r="O1452" s="70" t="str">
        <f>IF($A$3=" "," ", IFERROR( VLOOKUP($A1452,'SUPPLIER DATA BASE'!$A$2:$O$936,12,0),""))</f>
        <v>048905500722</v>
      </c>
      <c r="P1452" s="70" t="str">
        <f>IF($A$3=" "," ", IFERROR( VLOOKUP($A1452,'SUPPLIER DATA BASE'!$A$2:$O$936,13,0),""))</f>
        <v>ICIC0000489</v>
      </c>
      <c r="Q1452" s="77"/>
      <c r="R1452" s="73"/>
      <c r="S1452" s="77"/>
      <c r="T1452" s="70"/>
      <c r="U1452" s="78"/>
      <c r="V1452" s="70" t="str">
        <f t="shared" si="6"/>
        <v/>
      </c>
      <c r="W1452" s="23"/>
      <c r="X1452" s="23"/>
    </row>
    <row r="1453">
      <c r="A1453" s="70" t="s">
        <v>702</v>
      </c>
      <c r="B1453" s="70" t="str">
        <f>IF($A$3=" "," ", IFERROR( VLOOKUP($A1453,'SUPPLIER DATA BASE'!$A$2:$M$936,3,0),""))</f>
        <v>JOCKEY</v>
      </c>
      <c r="C1453" s="70" t="str">
        <f>IF($A$3=" "," ", IFERROR( VLOOKUP($A1453,'SUPPLIER DATA BASE'!$A$2:$F$936,6,0),""))</f>
        <v>-</v>
      </c>
      <c r="D1453" s="70">
        <f>IF($A$3=" "," ", IFERROR( VLOOKUP($A1453,'SUPPLIER DATA BASE'!$A$2:$G$936,4,0),""))</f>
        <v>15</v>
      </c>
      <c r="E1453" s="71">
        <f>IF($A$3=" "," ", IFERROR( VLOOKUP($A1453,'SUPPLIER DATA BASE'!$A$2:$H$936,5,0),""))</f>
        <v>0.02</v>
      </c>
      <c r="F1453" s="72"/>
      <c r="G1453" s="73"/>
      <c r="H1453" s="74"/>
      <c r="I1453" s="75"/>
      <c r="J1453" s="76" t="s">
        <v>4173</v>
      </c>
      <c r="K1453" s="76" t="s">
        <v>4174</v>
      </c>
      <c r="L1453" s="73"/>
      <c r="M1453" s="70" t="str">
        <f t="shared" si="3"/>
        <v/>
      </c>
      <c r="N1453" s="70" t="str">
        <f>IF($A$3=" "," ", IFERROR( VLOOKUP($A1453,'SUPPLIER DATA BASE'!$A$2:$O$936,11,0),""))</f>
        <v>SHRI MAHAVIR ENTERPRISES</v>
      </c>
      <c r="O1453" s="70" t="str">
        <f>IF($A$3=" "," ", IFERROR( VLOOKUP($A1453,'SUPPLIER DATA BASE'!$A$2:$O$936,12,0),""))</f>
        <v>048905500722</v>
      </c>
      <c r="P1453" s="70" t="str">
        <f>IF($A$3=" "," ", IFERROR( VLOOKUP($A1453,'SUPPLIER DATA BASE'!$A$2:$O$936,13,0),""))</f>
        <v>ICIC0000489</v>
      </c>
      <c r="Q1453" s="77"/>
      <c r="R1453" s="73"/>
      <c r="S1453" s="77"/>
      <c r="T1453" s="70"/>
      <c r="U1453" s="78"/>
      <c r="V1453" s="70" t="str">
        <f t="shared" si="6"/>
        <v/>
      </c>
      <c r="W1453" s="23"/>
      <c r="X1453" s="23"/>
    </row>
    <row r="1454">
      <c r="A1454" s="70" t="s">
        <v>702</v>
      </c>
      <c r="B1454" s="70" t="str">
        <f>IF($A$3=" "," ", IFERROR( VLOOKUP($A1454,'SUPPLIER DATA BASE'!$A$2:$M$936,3,0),""))</f>
        <v>JOCKEY</v>
      </c>
      <c r="C1454" s="70" t="str">
        <f>IF($A$3=" "," ", IFERROR( VLOOKUP($A1454,'SUPPLIER DATA BASE'!$A$2:$F$936,6,0),""))</f>
        <v>-</v>
      </c>
      <c r="D1454" s="70">
        <f>IF($A$3=" "," ", IFERROR( VLOOKUP($A1454,'SUPPLIER DATA BASE'!$A$2:$G$936,4,0),""))</f>
        <v>15</v>
      </c>
      <c r="E1454" s="71">
        <f>IF($A$3=" "," ", IFERROR( VLOOKUP($A1454,'SUPPLIER DATA BASE'!$A$2:$H$936,5,0),""))</f>
        <v>0.02</v>
      </c>
      <c r="F1454" s="72"/>
      <c r="G1454" s="73"/>
      <c r="H1454" s="74"/>
      <c r="I1454" s="75"/>
      <c r="J1454" s="76" t="s">
        <v>4175</v>
      </c>
      <c r="K1454" s="76" t="s">
        <v>4176</v>
      </c>
      <c r="L1454" s="73"/>
      <c r="M1454" s="70" t="str">
        <f t="shared" si="3"/>
        <v/>
      </c>
      <c r="N1454" s="70" t="str">
        <f>IF($A$3=" "," ", IFERROR( VLOOKUP($A1454,'SUPPLIER DATA BASE'!$A$2:$O$936,11,0),""))</f>
        <v>SHRI MAHAVIR ENTERPRISES</v>
      </c>
      <c r="O1454" s="70" t="str">
        <f>IF($A$3=" "," ", IFERROR( VLOOKUP($A1454,'SUPPLIER DATA BASE'!$A$2:$O$936,12,0),""))</f>
        <v>048905500722</v>
      </c>
      <c r="P1454" s="70" t="str">
        <f>IF($A$3=" "," ", IFERROR( VLOOKUP($A1454,'SUPPLIER DATA BASE'!$A$2:$O$936,13,0),""))</f>
        <v>ICIC0000489</v>
      </c>
      <c r="Q1454" s="77"/>
      <c r="R1454" s="73"/>
      <c r="S1454" s="77"/>
      <c r="T1454" s="70"/>
      <c r="U1454" s="78"/>
      <c r="V1454" s="70" t="str">
        <f t="shared" si="6"/>
        <v/>
      </c>
      <c r="W1454" s="23"/>
      <c r="X1454" s="23"/>
    </row>
    <row r="1455">
      <c r="A1455" s="70" t="s">
        <v>795</v>
      </c>
      <c r="B1455" s="70" t="str">
        <f>IF($A$3=" "," ", IFERROR( VLOOKUP($A1455,'SUPPLIER DATA BASE'!$A$2:$M$936,3,0),""))</f>
        <v>BANJARAN</v>
      </c>
      <c r="C1455" s="70" t="str">
        <f>IF($A$3=" "," ", IFERROR( VLOOKUP($A1455,'SUPPLIER DATA BASE'!$A$2:$F$936,6,0),""))</f>
        <v>NEPOLIAN</v>
      </c>
      <c r="D1455" s="70" t="str">
        <f>IF($A$3=" "," ", IFERROR( VLOOKUP($A1455,'SUPPLIER DATA BASE'!$A$2:$G$936,4,0),""))</f>
        <v>-</v>
      </c>
      <c r="E1455" s="71" t="str">
        <f>IF($A$3=" "," ", IFERROR( VLOOKUP($A1455,'SUPPLIER DATA BASE'!$A$2:$H$936,5,0),""))</f>
        <v>-</v>
      </c>
      <c r="F1455" s="72"/>
      <c r="G1455" s="73"/>
      <c r="H1455" s="74"/>
      <c r="I1455" s="75"/>
      <c r="J1455" s="76" t="s">
        <v>4177</v>
      </c>
      <c r="K1455" s="76" t="s">
        <v>4178</v>
      </c>
      <c r="L1455" s="73"/>
      <c r="M1455" s="70" t="str">
        <f t="shared" si="3"/>
        <v/>
      </c>
      <c r="N1455" s="70" t="str">
        <f>IF($A$3=" "," ", IFERROR( VLOOKUP($A1455,'SUPPLIER DATA BASE'!$A$2:$O$936,11,0),""))</f>
        <v>VINAYAK EMPORIUM PVT LIMITED</v>
      </c>
      <c r="O1455" s="70" t="str">
        <f>IF($A$3=" "," ", IFERROR( VLOOKUP($A1455,'SUPPLIER DATA BASE'!$A$2:$O$936,12,0),""))</f>
        <v>2192790001113</v>
      </c>
      <c r="P1455" s="70" t="str">
        <f>IF($A$3=" "," ", IFERROR( VLOOKUP($A1455,'SUPPLIER DATA BASE'!$A$2:$O$936,13,0),""))</f>
        <v>HDFC0000219</v>
      </c>
      <c r="Q1455" s="77"/>
      <c r="R1455" s="73"/>
      <c r="S1455" s="77"/>
      <c r="T1455" s="70"/>
      <c r="U1455" s="78"/>
      <c r="V1455" s="70" t="str">
        <f t="shared" si="6"/>
        <v/>
      </c>
      <c r="W1455" s="23"/>
      <c r="X1455" s="23"/>
    </row>
    <row r="1456">
      <c r="A1456" s="70" t="s">
        <v>799</v>
      </c>
      <c r="B1456" s="70" t="str">
        <f>IF($A$3=" "," ", IFERROR( VLOOKUP($A1456,'SUPPLIER DATA BASE'!$A$2:$M$936,3,0),""))</f>
        <v>-</v>
      </c>
      <c r="C1456" s="70" t="str">
        <f>IF($A$3=" "," ", IFERROR( VLOOKUP($A1456,'SUPPLIER DATA BASE'!$A$2:$F$936,6,0),""))</f>
        <v>-</v>
      </c>
      <c r="D1456" s="70" t="str">
        <f>IF($A$3=" "," ", IFERROR( VLOOKUP($A1456,'SUPPLIER DATA BASE'!$A$2:$G$936,4,0),""))</f>
        <v>-</v>
      </c>
      <c r="E1456" s="71" t="str">
        <f>IF($A$3=" "," ", IFERROR( VLOOKUP($A1456,'SUPPLIER DATA BASE'!$A$2:$H$936,5,0),""))</f>
        <v>-</v>
      </c>
      <c r="F1456" s="72"/>
      <c r="G1456" s="73"/>
      <c r="H1456" s="74"/>
      <c r="I1456" s="75"/>
      <c r="J1456" s="76" t="s">
        <v>4179</v>
      </c>
      <c r="K1456" s="76" t="s">
        <v>4180</v>
      </c>
      <c r="L1456" s="73"/>
      <c r="M1456" s="70" t="str">
        <f t="shared" si="3"/>
        <v/>
      </c>
      <c r="N1456" s="70" t="str">
        <f>IF($A$3=" "," ", IFERROR( VLOOKUP($A1456,'SUPPLIER DATA BASE'!$A$2:$O$936,11,0),""))</f>
        <v>VISHAL MARKETING &amp; CO.</v>
      </c>
      <c r="O1456" s="70" t="str">
        <f>IF($A$3=" "," ", IFERROR( VLOOKUP($A1456,'SUPPLIER DATA BASE'!$A$2:$O$936,12,0),""))</f>
        <v>1091008700001025</v>
      </c>
      <c r="P1456" s="70" t="str">
        <f>IF($A$3=" "," ", IFERROR( VLOOKUP($A1456,'SUPPLIER DATA BASE'!$A$2:$O$936,13,0),""))</f>
        <v>PUNB0109100</v>
      </c>
      <c r="Q1456" s="77"/>
      <c r="R1456" s="73"/>
      <c r="S1456" s="77"/>
      <c r="T1456" s="70"/>
      <c r="U1456" s="78"/>
      <c r="V1456" s="70" t="str">
        <f t="shared" si="6"/>
        <v/>
      </c>
      <c r="W1456" s="23"/>
      <c r="X1456" s="23"/>
    </row>
    <row r="1457">
      <c r="A1457" s="70" t="s">
        <v>749</v>
      </c>
      <c r="B1457" s="70" t="str">
        <f>IF($A$3=" "," ", IFERROR( VLOOKUP($A1457,'SUPPLIER DATA BASE'!$A$2:$M$936,3,0),""))</f>
        <v>VAN HEUSEN</v>
      </c>
      <c r="C1457" s="70" t="str">
        <f>IF($A$3=" "," ", IFERROR( VLOOKUP($A1457,'SUPPLIER DATA BASE'!$A$2:$F$936,6,0),""))</f>
        <v>-</v>
      </c>
      <c r="D1457" s="70" t="str">
        <f>IF($A$3=" "," ", IFERROR( VLOOKUP($A1457,'SUPPLIER DATA BASE'!$A$2:$G$936,4,0),""))</f>
        <v>-</v>
      </c>
      <c r="E1457" s="71" t="str">
        <f>IF($A$3=" "," ", IFERROR( VLOOKUP($A1457,'SUPPLIER DATA BASE'!$A$2:$H$936,5,0),""))</f>
        <v>-</v>
      </c>
      <c r="F1457" s="72"/>
      <c r="G1457" s="73"/>
      <c r="H1457" s="74"/>
      <c r="I1457" s="75"/>
      <c r="J1457" s="76" t="s">
        <v>4181</v>
      </c>
      <c r="K1457" s="76" t="s">
        <v>4182</v>
      </c>
      <c r="L1457" s="73"/>
      <c r="M1457" s="70" t="str">
        <f t="shared" si="3"/>
        <v/>
      </c>
      <c r="N1457" s="70" t="str">
        <f>IF($A$3=" "," ", IFERROR( VLOOKUP($A1457,'SUPPLIER DATA BASE'!$A$2:$O$936,11,0),""))</f>
        <v>SUSHILA ENTERPRISES</v>
      </c>
      <c r="O1457" s="70" t="str">
        <f>IF($A$3=" "," ", IFERROR( VLOOKUP($A1457,'SUPPLIER DATA BASE'!$A$2:$O$936,12,0),""))</f>
        <v>747805000665</v>
      </c>
      <c r="P1457" s="70" t="str">
        <f>IF($A$3=" "," ", IFERROR( VLOOKUP($A1457,'SUPPLIER DATA BASE'!$A$2:$O$936,13,0),""))</f>
        <v>ICIC0007478</v>
      </c>
      <c r="Q1457" s="77"/>
      <c r="R1457" s="73"/>
      <c r="S1457" s="77"/>
      <c r="T1457" s="70"/>
      <c r="U1457" s="78"/>
      <c r="V1457" s="70" t="str">
        <f t="shared" si="6"/>
        <v/>
      </c>
      <c r="W1457" s="23"/>
      <c r="X1457" s="23"/>
    </row>
    <row r="1458">
      <c r="A1458" s="70" t="s">
        <v>354</v>
      </c>
      <c r="B1458" s="70" t="str">
        <f>IF($A$3=" "," ", IFERROR( VLOOKUP($A1458,'SUPPLIER DATA BASE'!$A$2:$M$936,3,0),""))</f>
        <v>-</v>
      </c>
      <c r="C1458" s="70" t="str">
        <f>IF($A$3=" "," ", IFERROR( VLOOKUP($A1458,'SUPPLIER DATA BASE'!$A$2:$F$936,6,0),""))</f>
        <v>-</v>
      </c>
      <c r="D1458" s="70" t="str">
        <f>IF($A$3=" "," ", IFERROR( VLOOKUP($A1458,'SUPPLIER DATA BASE'!$A$2:$G$936,4,0),""))</f>
        <v>-</v>
      </c>
      <c r="E1458" s="71" t="str">
        <f>IF($A$3=" "," ", IFERROR( VLOOKUP($A1458,'SUPPLIER DATA BASE'!$A$2:$H$936,5,0),""))</f>
        <v>-</v>
      </c>
      <c r="F1458" s="72" t="s">
        <v>4183</v>
      </c>
      <c r="G1458" s="73"/>
      <c r="H1458" s="74"/>
      <c r="I1458" s="75"/>
      <c r="J1458" s="76" t="s">
        <v>4184</v>
      </c>
      <c r="K1458" s="76" t="s">
        <v>4185</v>
      </c>
      <c r="L1458" s="73"/>
      <c r="M1458" s="70" t="str">
        <f t="shared" si="3"/>
        <v/>
      </c>
      <c r="N1458" s="70" t="str">
        <f>IF($A$3=" "," ", IFERROR( VLOOKUP($A1458,'SUPPLIER DATA BASE'!$A$2:$O$936,11,0),""))</f>
        <v>-</v>
      </c>
      <c r="O1458" s="70" t="str">
        <f>IF($A$3=" "," ", IFERROR( VLOOKUP($A1458,'SUPPLIER DATA BASE'!$A$2:$O$936,12,0),""))</f>
        <v>-</v>
      </c>
      <c r="P1458" s="70" t="str">
        <f>IF($A$3=" "," ", IFERROR( VLOOKUP($A1458,'SUPPLIER DATA BASE'!$A$2:$O$936,13,0),""))</f>
        <v>-</v>
      </c>
      <c r="Q1458" s="77"/>
      <c r="R1458" s="73"/>
      <c r="S1458" s="77"/>
      <c r="T1458" s="70"/>
      <c r="U1458" s="78"/>
      <c r="V1458" s="70" t="str">
        <f t="shared" si="6"/>
        <v/>
      </c>
      <c r="W1458" s="23"/>
      <c r="X1458" s="23"/>
    </row>
    <row r="1459">
      <c r="A1459" s="70" t="s">
        <v>354</v>
      </c>
      <c r="B1459" s="70" t="str">
        <f>IF($A$3=" "," ", IFERROR( VLOOKUP($A1459,'SUPPLIER DATA BASE'!$A$2:$M$936,3,0),""))</f>
        <v>-</v>
      </c>
      <c r="C1459" s="70" t="str">
        <f>IF($A$3=" "," ", IFERROR( VLOOKUP($A1459,'SUPPLIER DATA BASE'!$A$2:$F$936,6,0),""))</f>
        <v>-</v>
      </c>
      <c r="D1459" s="70" t="str">
        <f>IF($A$3=" "," ", IFERROR( VLOOKUP($A1459,'SUPPLIER DATA BASE'!$A$2:$G$936,4,0),""))</f>
        <v>-</v>
      </c>
      <c r="E1459" s="71" t="str">
        <f>IF($A$3=" "," ", IFERROR( VLOOKUP($A1459,'SUPPLIER DATA BASE'!$A$2:$H$936,5,0),""))</f>
        <v>-</v>
      </c>
      <c r="F1459" s="72" t="s">
        <v>4186</v>
      </c>
      <c r="G1459" s="73"/>
      <c r="H1459" s="74"/>
      <c r="I1459" s="75"/>
      <c r="J1459" s="76" t="s">
        <v>4187</v>
      </c>
      <c r="K1459" s="76" t="s">
        <v>4188</v>
      </c>
      <c r="L1459" s="73"/>
      <c r="M1459" s="70" t="str">
        <f t="shared" si="3"/>
        <v/>
      </c>
      <c r="N1459" s="70" t="str">
        <f>IF($A$3=" "," ", IFERROR( VLOOKUP($A1459,'SUPPLIER DATA BASE'!$A$2:$O$936,11,0),""))</f>
        <v>-</v>
      </c>
      <c r="O1459" s="70" t="str">
        <f>IF($A$3=" "," ", IFERROR( VLOOKUP($A1459,'SUPPLIER DATA BASE'!$A$2:$O$936,12,0),""))</f>
        <v>-</v>
      </c>
      <c r="P1459" s="70" t="str">
        <f>IF($A$3=" "," ", IFERROR( VLOOKUP($A1459,'SUPPLIER DATA BASE'!$A$2:$O$936,13,0),""))</f>
        <v>-</v>
      </c>
      <c r="Q1459" s="77"/>
      <c r="R1459" s="73"/>
      <c r="S1459" s="77"/>
      <c r="T1459" s="70"/>
      <c r="U1459" s="78"/>
      <c r="V1459" s="70" t="str">
        <f t="shared" si="6"/>
        <v/>
      </c>
      <c r="W1459" s="23"/>
      <c r="X1459" s="23"/>
    </row>
    <row r="1460">
      <c r="A1460" s="70" t="s">
        <v>354</v>
      </c>
      <c r="B1460" s="70" t="str">
        <f>IF($A$3=" "," ", IFERROR( VLOOKUP($A1460,'SUPPLIER DATA BASE'!$A$2:$M$936,3,0),""))</f>
        <v>-</v>
      </c>
      <c r="C1460" s="70" t="str">
        <f>IF($A$3=" "," ", IFERROR( VLOOKUP($A1460,'SUPPLIER DATA BASE'!$A$2:$F$936,6,0),""))</f>
        <v>-</v>
      </c>
      <c r="D1460" s="70" t="str">
        <f>IF($A$3=" "," ", IFERROR( VLOOKUP($A1460,'SUPPLIER DATA BASE'!$A$2:$G$936,4,0),""))</f>
        <v>-</v>
      </c>
      <c r="E1460" s="71" t="str">
        <f>IF($A$3=" "," ", IFERROR( VLOOKUP($A1460,'SUPPLIER DATA BASE'!$A$2:$H$936,5,0),""))</f>
        <v>-</v>
      </c>
      <c r="F1460" s="72" t="s">
        <v>4189</v>
      </c>
      <c r="G1460" s="73"/>
      <c r="H1460" s="74"/>
      <c r="I1460" s="75"/>
      <c r="J1460" s="76" t="s">
        <v>4190</v>
      </c>
      <c r="K1460" s="76" t="s">
        <v>4191</v>
      </c>
      <c r="L1460" s="73"/>
      <c r="M1460" s="70" t="str">
        <f t="shared" si="3"/>
        <v/>
      </c>
      <c r="N1460" s="70" t="str">
        <f>IF($A$3=" "," ", IFERROR( VLOOKUP($A1460,'SUPPLIER DATA BASE'!$A$2:$O$936,11,0),""))</f>
        <v>-</v>
      </c>
      <c r="O1460" s="70" t="str">
        <f>IF($A$3=" "," ", IFERROR( VLOOKUP($A1460,'SUPPLIER DATA BASE'!$A$2:$O$936,12,0),""))</f>
        <v>-</v>
      </c>
      <c r="P1460" s="70" t="str">
        <f>IF($A$3=" "," ", IFERROR( VLOOKUP($A1460,'SUPPLIER DATA BASE'!$A$2:$O$936,13,0),""))</f>
        <v>-</v>
      </c>
      <c r="Q1460" s="77"/>
      <c r="R1460" s="73"/>
      <c r="S1460" s="77"/>
      <c r="T1460" s="70"/>
      <c r="U1460" s="78"/>
      <c r="V1460" s="70" t="str">
        <f t="shared" si="6"/>
        <v/>
      </c>
      <c r="W1460" s="23"/>
      <c r="X1460" s="23"/>
    </row>
    <row r="1461">
      <c r="A1461" s="70" t="s">
        <v>354</v>
      </c>
      <c r="B1461" s="70" t="str">
        <f>IF($A$3=" "," ", IFERROR( VLOOKUP($A1461,'SUPPLIER DATA BASE'!$A$2:$M$936,3,0),""))</f>
        <v>-</v>
      </c>
      <c r="C1461" s="70" t="str">
        <f>IF($A$3=" "," ", IFERROR( VLOOKUP($A1461,'SUPPLIER DATA BASE'!$A$2:$F$936,6,0),""))</f>
        <v>-</v>
      </c>
      <c r="D1461" s="70" t="str">
        <f>IF($A$3=" "," ", IFERROR( VLOOKUP($A1461,'SUPPLIER DATA BASE'!$A$2:$G$936,4,0),""))</f>
        <v>-</v>
      </c>
      <c r="E1461" s="71" t="str">
        <f>IF($A$3=" "," ", IFERROR( VLOOKUP($A1461,'SUPPLIER DATA BASE'!$A$2:$H$936,5,0),""))</f>
        <v>-</v>
      </c>
      <c r="F1461" s="72" t="s">
        <v>4192</v>
      </c>
      <c r="G1461" s="73"/>
      <c r="H1461" s="74"/>
      <c r="I1461" s="75"/>
      <c r="J1461" s="76" t="s">
        <v>4193</v>
      </c>
      <c r="K1461" s="76" t="s">
        <v>4194</v>
      </c>
      <c r="L1461" s="73"/>
      <c r="M1461" s="70" t="str">
        <f t="shared" si="3"/>
        <v/>
      </c>
      <c r="N1461" s="70" t="str">
        <f>IF($A$3=" "," ", IFERROR( VLOOKUP($A1461,'SUPPLIER DATA BASE'!$A$2:$O$936,11,0),""))</f>
        <v>-</v>
      </c>
      <c r="O1461" s="70" t="str">
        <f>IF($A$3=" "," ", IFERROR( VLOOKUP($A1461,'SUPPLIER DATA BASE'!$A$2:$O$936,12,0),""))</f>
        <v>-</v>
      </c>
      <c r="P1461" s="70" t="str">
        <f>IF($A$3=" "," ", IFERROR( VLOOKUP($A1461,'SUPPLIER DATA BASE'!$A$2:$O$936,13,0),""))</f>
        <v>-</v>
      </c>
      <c r="Q1461" s="77"/>
      <c r="R1461" s="73"/>
      <c r="S1461" s="77"/>
      <c r="T1461" s="70"/>
      <c r="U1461" s="78"/>
      <c r="V1461" s="70" t="str">
        <f t="shared" si="6"/>
        <v/>
      </c>
      <c r="W1461" s="23"/>
      <c r="X1461" s="23"/>
    </row>
    <row r="1462">
      <c r="A1462" s="70" t="s">
        <v>354</v>
      </c>
      <c r="B1462" s="70" t="str">
        <f>IF($A$3=" "," ", IFERROR( VLOOKUP($A1462,'SUPPLIER DATA BASE'!$A$2:$M$936,3,0),""))</f>
        <v>-</v>
      </c>
      <c r="C1462" s="70" t="str">
        <f>IF($A$3=" "," ", IFERROR( VLOOKUP($A1462,'SUPPLIER DATA BASE'!$A$2:$F$936,6,0),""))</f>
        <v>-</v>
      </c>
      <c r="D1462" s="70" t="str">
        <f>IF($A$3=" "," ", IFERROR( VLOOKUP($A1462,'SUPPLIER DATA BASE'!$A$2:$G$936,4,0),""))</f>
        <v>-</v>
      </c>
      <c r="E1462" s="71" t="str">
        <f>IF($A$3=" "," ", IFERROR( VLOOKUP($A1462,'SUPPLIER DATA BASE'!$A$2:$H$936,5,0),""))</f>
        <v>-</v>
      </c>
      <c r="F1462" s="72" t="s">
        <v>4195</v>
      </c>
      <c r="G1462" s="73"/>
      <c r="H1462" s="74"/>
      <c r="I1462" s="75"/>
      <c r="J1462" s="76" t="s">
        <v>4196</v>
      </c>
      <c r="K1462" s="76" t="s">
        <v>4197</v>
      </c>
      <c r="L1462" s="73"/>
      <c r="M1462" s="70" t="str">
        <f t="shared" si="3"/>
        <v/>
      </c>
      <c r="N1462" s="70" t="str">
        <f>IF($A$3=" "," ", IFERROR( VLOOKUP($A1462,'SUPPLIER DATA BASE'!$A$2:$O$936,11,0),""))</f>
        <v>-</v>
      </c>
      <c r="O1462" s="70" t="str">
        <f>IF($A$3=" "," ", IFERROR( VLOOKUP($A1462,'SUPPLIER DATA BASE'!$A$2:$O$936,12,0),""))</f>
        <v>-</v>
      </c>
      <c r="P1462" s="70" t="str">
        <f>IF($A$3=" "," ", IFERROR( VLOOKUP($A1462,'SUPPLIER DATA BASE'!$A$2:$O$936,13,0),""))</f>
        <v>-</v>
      </c>
      <c r="Q1462" s="77"/>
      <c r="R1462" s="73"/>
      <c r="S1462" s="77"/>
      <c r="T1462" s="70"/>
      <c r="U1462" s="78"/>
      <c r="V1462" s="70" t="str">
        <f t="shared" si="6"/>
        <v/>
      </c>
      <c r="W1462" s="23"/>
      <c r="X1462" s="23"/>
    </row>
    <row r="1463">
      <c r="A1463" s="70" t="s">
        <v>354</v>
      </c>
      <c r="B1463" s="70" t="str">
        <f>IF($A$3=" "," ", IFERROR( VLOOKUP($A1463,'SUPPLIER DATA BASE'!$A$2:$M$936,3,0),""))</f>
        <v>-</v>
      </c>
      <c r="C1463" s="70" t="str">
        <f>IF($A$3=" "," ", IFERROR( VLOOKUP($A1463,'SUPPLIER DATA BASE'!$A$2:$F$936,6,0),""))</f>
        <v>-</v>
      </c>
      <c r="D1463" s="70" t="str">
        <f>IF($A$3=" "," ", IFERROR( VLOOKUP($A1463,'SUPPLIER DATA BASE'!$A$2:$G$936,4,0),""))</f>
        <v>-</v>
      </c>
      <c r="E1463" s="71" t="str">
        <f>IF($A$3=" "," ", IFERROR( VLOOKUP($A1463,'SUPPLIER DATA BASE'!$A$2:$H$936,5,0),""))</f>
        <v>-</v>
      </c>
      <c r="F1463" s="72" t="s">
        <v>4198</v>
      </c>
      <c r="G1463" s="73"/>
      <c r="H1463" s="74"/>
      <c r="I1463" s="75"/>
      <c r="J1463" s="76" t="s">
        <v>4199</v>
      </c>
      <c r="K1463" s="76" t="s">
        <v>4200</v>
      </c>
      <c r="L1463" s="73"/>
      <c r="M1463" s="70" t="str">
        <f t="shared" si="3"/>
        <v/>
      </c>
      <c r="N1463" s="70" t="str">
        <f>IF($A$3=" "," ", IFERROR( VLOOKUP($A1463,'SUPPLIER DATA BASE'!$A$2:$O$936,11,0),""))</f>
        <v>-</v>
      </c>
      <c r="O1463" s="70" t="str">
        <f>IF($A$3=" "," ", IFERROR( VLOOKUP($A1463,'SUPPLIER DATA BASE'!$A$2:$O$936,12,0),""))</f>
        <v>-</v>
      </c>
      <c r="P1463" s="70" t="str">
        <f>IF($A$3=" "," ", IFERROR( VLOOKUP($A1463,'SUPPLIER DATA BASE'!$A$2:$O$936,13,0),""))</f>
        <v>-</v>
      </c>
      <c r="Q1463" s="77"/>
      <c r="R1463" s="73"/>
      <c r="S1463" s="77"/>
      <c r="T1463" s="70"/>
      <c r="U1463" s="78"/>
      <c r="V1463" s="70" t="str">
        <f t="shared" si="6"/>
        <v/>
      </c>
      <c r="W1463" s="23"/>
      <c r="X1463" s="23"/>
    </row>
    <row r="1464">
      <c r="A1464" s="70" t="s">
        <v>848</v>
      </c>
      <c r="B1464" s="70" t="str">
        <f>IF($A$3=" "," ", IFERROR( VLOOKUP($A1464,'SUPPLIER DATA BASE'!$A$2:$M$936,3,0),""))</f>
        <v>-</v>
      </c>
      <c r="C1464" s="70" t="str">
        <f>IF($A$3=" "," ", IFERROR( VLOOKUP($A1464,'SUPPLIER DATA BASE'!$A$2:$F$936,6,0),""))</f>
        <v>-</v>
      </c>
      <c r="D1464" s="70" t="str">
        <f>IF($A$3=" "," ", IFERROR( VLOOKUP($A1464,'SUPPLIER DATA BASE'!$A$2:$G$936,4,0),""))</f>
        <v>-</v>
      </c>
      <c r="E1464" s="71" t="str">
        <f>IF($A$3=" "," ", IFERROR( VLOOKUP($A1464,'SUPPLIER DATA BASE'!$A$2:$H$936,5,0),""))</f>
        <v>-</v>
      </c>
      <c r="F1464" s="72"/>
      <c r="G1464" s="73"/>
      <c r="H1464" s="74"/>
      <c r="I1464" s="75"/>
      <c r="J1464" s="76" t="s">
        <v>4201</v>
      </c>
      <c r="K1464" s="76" t="s">
        <v>4202</v>
      </c>
      <c r="L1464" s="73"/>
      <c r="M1464" s="70" t="str">
        <f t="shared" si="3"/>
        <v/>
      </c>
      <c r="N1464" s="70" t="str">
        <f>IF($A$3=" "," ", IFERROR( VLOOKUP($A1464,'SUPPLIER DATA BASE'!$A$2:$O$936,11,0),""))</f>
        <v>-</v>
      </c>
      <c r="O1464" s="70" t="str">
        <f>IF($A$3=" "," ", IFERROR( VLOOKUP($A1464,'SUPPLIER DATA BASE'!$A$2:$O$936,12,0),""))</f>
        <v>-</v>
      </c>
      <c r="P1464" s="70" t="str">
        <f>IF($A$3=" "," ", IFERROR( VLOOKUP($A1464,'SUPPLIER DATA BASE'!$A$2:$O$936,13,0),""))</f>
        <v>-</v>
      </c>
      <c r="Q1464" s="77"/>
      <c r="R1464" s="73"/>
      <c r="S1464" s="77"/>
      <c r="T1464" s="70"/>
      <c r="U1464" s="78"/>
      <c r="V1464" s="70" t="str">
        <f t="shared" si="6"/>
        <v/>
      </c>
      <c r="W1464" s="23"/>
      <c r="X1464" s="23"/>
    </row>
    <row r="1465">
      <c r="A1465" s="70" t="s">
        <v>848</v>
      </c>
      <c r="B1465" s="70" t="str">
        <f>IF($A$3=" "," ", IFERROR( VLOOKUP($A1465,'SUPPLIER DATA BASE'!$A$2:$M$936,3,0),""))</f>
        <v>-</v>
      </c>
      <c r="C1465" s="70" t="str">
        <f>IF($A$3=" "," ", IFERROR( VLOOKUP($A1465,'SUPPLIER DATA BASE'!$A$2:$F$936,6,0),""))</f>
        <v>-</v>
      </c>
      <c r="D1465" s="70" t="str">
        <f>IF($A$3=" "," ", IFERROR( VLOOKUP($A1465,'SUPPLIER DATA BASE'!$A$2:$G$936,4,0),""))</f>
        <v>-</v>
      </c>
      <c r="E1465" s="71" t="str">
        <f>IF($A$3=" "," ", IFERROR( VLOOKUP($A1465,'SUPPLIER DATA BASE'!$A$2:$H$936,5,0),""))</f>
        <v>-</v>
      </c>
      <c r="F1465" s="72"/>
      <c r="G1465" s="73"/>
      <c r="H1465" s="74"/>
      <c r="I1465" s="75"/>
      <c r="J1465" s="76" t="s">
        <v>4203</v>
      </c>
      <c r="K1465" s="76" t="s">
        <v>4204</v>
      </c>
      <c r="L1465" s="73"/>
      <c r="M1465" s="70" t="str">
        <f t="shared" si="3"/>
        <v/>
      </c>
      <c r="N1465" s="70" t="str">
        <f>IF($A$3=" "," ", IFERROR( VLOOKUP($A1465,'SUPPLIER DATA BASE'!$A$2:$O$936,11,0),""))</f>
        <v>-</v>
      </c>
      <c r="O1465" s="70" t="str">
        <f>IF($A$3=" "," ", IFERROR( VLOOKUP($A1465,'SUPPLIER DATA BASE'!$A$2:$O$936,12,0),""))</f>
        <v>-</v>
      </c>
      <c r="P1465" s="70" t="str">
        <f>IF($A$3=" "," ", IFERROR( VLOOKUP($A1465,'SUPPLIER DATA BASE'!$A$2:$O$936,13,0),""))</f>
        <v>-</v>
      </c>
      <c r="Q1465" s="77"/>
      <c r="R1465" s="73"/>
      <c r="S1465" s="77"/>
      <c r="T1465" s="70"/>
      <c r="U1465" s="78"/>
      <c r="V1465" s="70" t="str">
        <f t="shared" si="6"/>
        <v/>
      </c>
      <c r="W1465" s="23"/>
      <c r="X1465" s="23"/>
    </row>
    <row r="1466">
      <c r="A1466" s="70" t="s">
        <v>848</v>
      </c>
      <c r="B1466" s="70" t="str">
        <f>IF($A$3=" "," ", IFERROR( VLOOKUP($A1466,'SUPPLIER DATA BASE'!$A$2:$M$936,3,0),""))</f>
        <v>-</v>
      </c>
      <c r="C1466" s="70" t="str">
        <f>IF($A$3=" "," ", IFERROR( VLOOKUP($A1466,'SUPPLIER DATA BASE'!$A$2:$F$936,6,0),""))</f>
        <v>-</v>
      </c>
      <c r="D1466" s="70" t="str">
        <f>IF($A$3=" "," ", IFERROR( VLOOKUP($A1466,'SUPPLIER DATA BASE'!$A$2:$G$936,4,0),""))</f>
        <v>-</v>
      </c>
      <c r="E1466" s="71" t="str">
        <f>IF($A$3=" "," ", IFERROR( VLOOKUP($A1466,'SUPPLIER DATA BASE'!$A$2:$H$936,5,0),""))</f>
        <v>-</v>
      </c>
      <c r="F1466" s="72"/>
      <c r="G1466" s="73"/>
      <c r="H1466" s="74"/>
      <c r="I1466" s="75"/>
      <c r="J1466" s="76" t="s">
        <v>4205</v>
      </c>
      <c r="K1466" s="76" t="s">
        <v>4206</v>
      </c>
      <c r="L1466" s="73"/>
      <c r="M1466" s="70" t="str">
        <f t="shared" si="3"/>
        <v/>
      </c>
      <c r="N1466" s="70" t="str">
        <f>IF($A$3=" "," ", IFERROR( VLOOKUP($A1466,'SUPPLIER DATA BASE'!$A$2:$O$936,11,0),""))</f>
        <v>-</v>
      </c>
      <c r="O1466" s="70" t="str">
        <f>IF($A$3=" "," ", IFERROR( VLOOKUP($A1466,'SUPPLIER DATA BASE'!$A$2:$O$936,12,0),""))</f>
        <v>-</v>
      </c>
      <c r="P1466" s="70" t="str">
        <f>IF($A$3=" "," ", IFERROR( VLOOKUP($A1466,'SUPPLIER DATA BASE'!$A$2:$O$936,13,0),""))</f>
        <v>-</v>
      </c>
      <c r="Q1466" s="77"/>
      <c r="R1466" s="73"/>
      <c r="S1466" s="77"/>
      <c r="T1466" s="70"/>
      <c r="U1466" s="78"/>
      <c r="V1466" s="70" t="str">
        <f t="shared" si="6"/>
        <v/>
      </c>
      <c r="W1466" s="23"/>
      <c r="X1466" s="23"/>
    </row>
    <row r="1467">
      <c r="A1467" s="70" t="s">
        <v>848</v>
      </c>
      <c r="B1467" s="70" t="str">
        <f>IF($A$3=" "," ", IFERROR( VLOOKUP($A1467,'SUPPLIER DATA BASE'!$A$2:$M$936,3,0),""))</f>
        <v>-</v>
      </c>
      <c r="C1467" s="70" t="str">
        <f>IF($A$3=" "," ", IFERROR( VLOOKUP($A1467,'SUPPLIER DATA BASE'!$A$2:$F$936,6,0),""))</f>
        <v>-</v>
      </c>
      <c r="D1467" s="70" t="str">
        <f>IF($A$3=" "," ", IFERROR( VLOOKUP($A1467,'SUPPLIER DATA BASE'!$A$2:$G$936,4,0),""))</f>
        <v>-</v>
      </c>
      <c r="E1467" s="71" t="str">
        <f>IF($A$3=" "," ", IFERROR( VLOOKUP($A1467,'SUPPLIER DATA BASE'!$A$2:$H$936,5,0),""))</f>
        <v>-</v>
      </c>
      <c r="F1467" s="72"/>
      <c r="G1467" s="73"/>
      <c r="H1467" s="74"/>
      <c r="I1467" s="75"/>
      <c r="J1467" s="76" t="s">
        <v>4207</v>
      </c>
      <c r="K1467" s="76" t="s">
        <v>4208</v>
      </c>
      <c r="L1467" s="73"/>
      <c r="M1467" s="70" t="str">
        <f t="shared" si="3"/>
        <v/>
      </c>
      <c r="N1467" s="70" t="str">
        <f>IF($A$3=" "," ", IFERROR( VLOOKUP($A1467,'SUPPLIER DATA BASE'!$A$2:$O$936,11,0),""))</f>
        <v>-</v>
      </c>
      <c r="O1467" s="70" t="str">
        <f>IF($A$3=" "," ", IFERROR( VLOOKUP($A1467,'SUPPLIER DATA BASE'!$A$2:$O$936,12,0),""))</f>
        <v>-</v>
      </c>
      <c r="P1467" s="70" t="str">
        <f>IF($A$3=" "," ", IFERROR( VLOOKUP($A1467,'SUPPLIER DATA BASE'!$A$2:$O$936,13,0),""))</f>
        <v>-</v>
      </c>
      <c r="Q1467" s="77"/>
      <c r="R1467" s="73"/>
      <c r="S1467" s="77"/>
      <c r="T1467" s="70"/>
      <c r="U1467" s="78"/>
      <c r="V1467" s="70" t="str">
        <f t="shared" si="6"/>
        <v/>
      </c>
      <c r="W1467" s="23"/>
      <c r="X1467" s="23"/>
    </row>
    <row r="1468">
      <c r="A1468" s="70" t="s">
        <v>848</v>
      </c>
      <c r="B1468" s="70" t="str">
        <f>IF($A$3=" "," ", IFERROR( VLOOKUP($A1468,'SUPPLIER DATA BASE'!$A$2:$M$936,3,0),""))</f>
        <v>-</v>
      </c>
      <c r="C1468" s="70" t="str">
        <f>IF($A$3=" "," ", IFERROR( VLOOKUP($A1468,'SUPPLIER DATA BASE'!$A$2:$F$936,6,0),""))</f>
        <v>-</v>
      </c>
      <c r="D1468" s="70" t="str">
        <f>IF($A$3=" "," ", IFERROR( VLOOKUP($A1468,'SUPPLIER DATA BASE'!$A$2:$G$936,4,0),""))</f>
        <v>-</v>
      </c>
      <c r="E1468" s="71" t="str">
        <f>IF($A$3=" "," ", IFERROR( VLOOKUP($A1468,'SUPPLIER DATA BASE'!$A$2:$H$936,5,0),""))</f>
        <v>-</v>
      </c>
      <c r="F1468" s="72"/>
      <c r="G1468" s="73"/>
      <c r="H1468" s="74"/>
      <c r="I1468" s="75"/>
      <c r="J1468" s="76" t="s">
        <v>4209</v>
      </c>
      <c r="K1468" s="76" t="s">
        <v>4210</v>
      </c>
      <c r="L1468" s="73"/>
      <c r="M1468" s="70" t="str">
        <f t="shared" si="3"/>
        <v/>
      </c>
      <c r="N1468" s="70" t="str">
        <f>IF($A$3=" "," ", IFERROR( VLOOKUP($A1468,'SUPPLIER DATA BASE'!$A$2:$O$936,11,0),""))</f>
        <v>-</v>
      </c>
      <c r="O1468" s="70" t="str">
        <f>IF($A$3=" "," ", IFERROR( VLOOKUP($A1468,'SUPPLIER DATA BASE'!$A$2:$O$936,12,0),""))</f>
        <v>-</v>
      </c>
      <c r="P1468" s="70" t="str">
        <f>IF($A$3=" "," ", IFERROR( VLOOKUP($A1468,'SUPPLIER DATA BASE'!$A$2:$O$936,13,0),""))</f>
        <v>-</v>
      </c>
      <c r="Q1468" s="77"/>
      <c r="R1468" s="73"/>
      <c r="S1468" s="77"/>
      <c r="T1468" s="70"/>
      <c r="U1468" s="78"/>
      <c r="V1468" s="70" t="str">
        <f t="shared" si="6"/>
        <v/>
      </c>
      <c r="W1468" s="23"/>
      <c r="X1468" s="23"/>
    </row>
    <row r="1469">
      <c r="A1469" s="70" t="s">
        <v>848</v>
      </c>
      <c r="B1469" s="70" t="str">
        <f>IF($A$3=" "," ", IFERROR( VLOOKUP($A1469,'SUPPLIER DATA BASE'!$A$2:$M$936,3,0),""))</f>
        <v>-</v>
      </c>
      <c r="C1469" s="70" t="str">
        <f>IF($A$3=" "," ", IFERROR( VLOOKUP($A1469,'SUPPLIER DATA BASE'!$A$2:$F$936,6,0),""))</f>
        <v>-</v>
      </c>
      <c r="D1469" s="70" t="str">
        <f>IF($A$3=" "," ", IFERROR( VLOOKUP($A1469,'SUPPLIER DATA BASE'!$A$2:$G$936,4,0),""))</f>
        <v>-</v>
      </c>
      <c r="E1469" s="71" t="str">
        <f>IF($A$3=" "," ", IFERROR( VLOOKUP($A1469,'SUPPLIER DATA BASE'!$A$2:$H$936,5,0),""))</f>
        <v>-</v>
      </c>
      <c r="F1469" s="72"/>
      <c r="G1469" s="73"/>
      <c r="H1469" s="74"/>
      <c r="I1469" s="75"/>
      <c r="J1469" s="76" t="s">
        <v>4211</v>
      </c>
      <c r="K1469" s="76" t="s">
        <v>4212</v>
      </c>
      <c r="L1469" s="73"/>
      <c r="M1469" s="70" t="str">
        <f t="shared" si="3"/>
        <v/>
      </c>
      <c r="N1469" s="70" t="str">
        <f>IF($A$3=" "," ", IFERROR( VLOOKUP($A1469,'SUPPLIER DATA BASE'!$A$2:$O$936,11,0),""))</f>
        <v>-</v>
      </c>
      <c r="O1469" s="70" t="str">
        <f>IF($A$3=" "," ", IFERROR( VLOOKUP($A1469,'SUPPLIER DATA BASE'!$A$2:$O$936,12,0),""))</f>
        <v>-</v>
      </c>
      <c r="P1469" s="70" t="str">
        <f>IF($A$3=" "," ", IFERROR( VLOOKUP($A1469,'SUPPLIER DATA BASE'!$A$2:$O$936,13,0),""))</f>
        <v>-</v>
      </c>
      <c r="Q1469" s="77"/>
      <c r="R1469" s="73"/>
      <c r="S1469" s="77"/>
      <c r="T1469" s="70"/>
      <c r="U1469" s="78"/>
      <c r="V1469" s="70" t="str">
        <f t="shared" si="6"/>
        <v/>
      </c>
      <c r="W1469" s="23"/>
      <c r="X1469" s="23"/>
    </row>
    <row r="1470">
      <c r="A1470" s="70" t="s">
        <v>848</v>
      </c>
      <c r="B1470" s="70" t="str">
        <f>IF($A$3=" "," ", IFERROR( VLOOKUP($A1470,'SUPPLIER DATA BASE'!$A$2:$M$936,3,0),""))</f>
        <v>-</v>
      </c>
      <c r="C1470" s="70" t="str">
        <f>IF($A$3=" "," ", IFERROR( VLOOKUP($A1470,'SUPPLIER DATA BASE'!$A$2:$F$936,6,0),""))</f>
        <v>-</v>
      </c>
      <c r="D1470" s="70" t="str">
        <f>IF($A$3=" "," ", IFERROR( VLOOKUP($A1470,'SUPPLIER DATA BASE'!$A$2:$G$936,4,0),""))</f>
        <v>-</v>
      </c>
      <c r="E1470" s="71" t="str">
        <f>IF($A$3=" "," ", IFERROR( VLOOKUP($A1470,'SUPPLIER DATA BASE'!$A$2:$H$936,5,0),""))</f>
        <v>-</v>
      </c>
      <c r="F1470" s="72"/>
      <c r="G1470" s="73"/>
      <c r="H1470" s="74"/>
      <c r="I1470" s="75"/>
      <c r="J1470" s="76" t="s">
        <v>4213</v>
      </c>
      <c r="K1470" s="76" t="s">
        <v>4214</v>
      </c>
      <c r="L1470" s="73"/>
      <c r="M1470" s="70" t="str">
        <f t="shared" si="3"/>
        <v/>
      </c>
      <c r="N1470" s="70" t="str">
        <f>IF($A$3=" "," ", IFERROR( VLOOKUP($A1470,'SUPPLIER DATA BASE'!$A$2:$O$936,11,0),""))</f>
        <v>-</v>
      </c>
      <c r="O1470" s="70" t="str">
        <f>IF($A$3=" "," ", IFERROR( VLOOKUP($A1470,'SUPPLIER DATA BASE'!$A$2:$O$936,12,0),""))</f>
        <v>-</v>
      </c>
      <c r="P1470" s="70" t="str">
        <f>IF($A$3=" "," ", IFERROR( VLOOKUP($A1470,'SUPPLIER DATA BASE'!$A$2:$O$936,13,0),""))</f>
        <v>-</v>
      </c>
      <c r="Q1470" s="77"/>
      <c r="R1470" s="73"/>
      <c r="S1470" s="77"/>
      <c r="T1470" s="70"/>
      <c r="U1470" s="78"/>
      <c r="V1470" s="70" t="str">
        <f t="shared" si="6"/>
        <v/>
      </c>
      <c r="W1470" s="23"/>
      <c r="X1470" s="23"/>
    </row>
    <row r="1471">
      <c r="A1471" s="70" t="s">
        <v>452</v>
      </c>
      <c r="B1471" s="70" t="str">
        <f>IF($A$3=" "," ", IFERROR( VLOOKUP($A1471,'SUPPLIER DATA BASE'!$A$2:$M$936,3,0),""))</f>
        <v>-</v>
      </c>
      <c r="C1471" s="70" t="str">
        <f>IF($A$3=" "," ", IFERROR( VLOOKUP($A1471,'SUPPLIER DATA BASE'!$A$2:$F$936,6,0),""))</f>
        <v>-</v>
      </c>
      <c r="D1471" s="70" t="str">
        <f>IF($A$3=" "," ", IFERROR( VLOOKUP($A1471,'SUPPLIER DATA BASE'!$A$2:$G$936,4,0),""))</f>
        <v>-</v>
      </c>
      <c r="E1471" s="71" t="str">
        <f>IF($A$3=" "," ", IFERROR( VLOOKUP($A1471,'SUPPLIER DATA BASE'!$A$2:$H$936,5,0),""))</f>
        <v>-</v>
      </c>
      <c r="F1471" s="72"/>
      <c r="G1471" s="73"/>
      <c r="H1471" s="74"/>
      <c r="I1471" s="75"/>
      <c r="J1471" s="76" t="s">
        <v>4215</v>
      </c>
      <c r="K1471" s="76" t="s">
        <v>4216</v>
      </c>
      <c r="L1471" s="73"/>
      <c r="M1471" s="70" t="str">
        <f t="shared" si="3"/>
        <v/>
      </c>
      <c r="N1471" s="70" t="str">
        <f>IF($A$3=" "," ", IFERROR( VLOOKUP($A1471,'SUPPLIER DATA BASE'!$A$2:$O$936,11,0),""))</f>
        <v>-</v>
      </c>
      <c r="O1471" s="70" t="str">
        <f>IF($A$3=" "," ", IFERROR( VLOOKUP($A1471,'SUPPLIER DATA BASE'!$A$2:$O$936,12,0),""))</f>
        <v>-</v>
      </c>
      <c r="P1471" s="70" t="str">
        <f>IF($A$3=" "," ", IFERROR( VLOOKUP($A1471,'SUPPLIER DATA BASE'!$A$2:$O$936,13,0),""))</f>
        <v>-</v>
      </c>
      <c r="Q1471" s="77"/>
      <c r="R1471" s="73"/>
      <c r="S1471" s="77"/>
      <c r="T1471" s="70"/>
      <c r="U1471" s="78"/>
      <c r="V1471" s="70" t="str">
        <f t="shared" si="6"/>
        <v/>
      </c>
      <c r="W1471" s="23"/>
      <c r="X1471" s="23"/>
    </row>
    <row r="1472">
      <c r="A1472" s="70" t="s">
        <v>845</v>
      </c>
      <c r="B1472" s="70" t="str">
        <f>IF($A$3=" "," ", IFERROR( VLOOKUP($A1472,'SUPPLIER DATA BASE'!$A$2:$M$936,3,0),""))</f>
        <v/>
      </c>
      <c r="C1472" s="70" t="str">
        <f>IF($A$3=" "," ", IFERROR( VLOOKUP($A1472,'SUPPLIER DATA BASE'!$A$2:$F$936,6,0),""))</f>
        <v/>
      </c>
      <c r="D1472" s="70" t="str">
        <f>IF($A$3=" "," ", IFERROR( VLOOKUP($A1472,'SUPPLIER DATA BASE'!$A$2:$G$936,4,0),""))</f>
        <v/>
      </c>
      <c r="E1472" s="71" t="str">
        <f>IF($A$3=" "," ", IFERROR( VLOOKUP($A1472,'SUPPLIER DATA BASE'!$A$2:$H$936,5,0),""))</f>
        <v/>
      </c>
      <c r="F1472" s="72"/>
      <c r="G1472" s="73"/>
      <c r="H1472" s="74"/>
      <c r="I1472" s="75"/>
      <c r="J1472" s="76" t="s">
        <v>4217</v>
      </c>
      <c r="K1472" s="76" t="s">
        <v>4218</v>
      </c>
      <c r="L1472" s="73"/>
      <c r="M1472" s="70" t="str">
        <f t="shared" si="3"/>
        <v/>
      </c>
      <c r="N1472" s="70" t="str">
        <f>IF($A$3=" "," ", IFERROR( VLOOKUP($A1472,'SUPPLIER DATA BASE'!$A$2:$O$936,11,0),""))</f>
        <v/>
      </c>
      <c r="O1472" s="70" t="str">
        <f>IF($A$3=" "," ", IFERROR( VLOOKUP($A1472,'SUPPLIER DATA BASE'!$A$2:$O$936,12,0),""))</f>
        <v/>
      </c>
      <c r="P1472" s="70" t="str">
        <f>IF($A$3=" "," ", IFERROR( VLOOKUP($A1472,'SUPPLIER DATA BASE'!$A$2:$O$936,13,0),""))</f>
        <v/>
      </c>
      <c r="Q1472" s="77"/>
      <c r="R1472" s="73"/>
      <c r="S1472" s="77"/>
      <c r="T1472" s="70"/>
      <c r="U1472" s="78"/>
      <c r="V1472" s="70" t="str">
        <f t="shared" si="6"/>
        <v/>
      </c>
      <c r="W1472" s="23"/>
      <c r="X1472" s="23"/>
    </row>
    <row r="1473">
      <c r="A1473" s="70" t="s">
        <v>848</v>
      </c>
      <c r="B1473" s="70" t="str">
        <f>IF($A$3=" "," ", IFERROR( VLOOKUP($A1473,'SUPPLIER DATA BASE'!$A$2:$M$936,3,0),""))</f>
        <v>-</v>
      </c>
      <c r="C1473" s="70" t="str">
        <f>IF($A$3=" "," ", IFERROR( VLOOKUP($A1473,'SUPPLIER DATA BASE'!$A$2:$F$936,6,0),""))</f>
        <v>-</v>
      </c>
      <c r="D1473" s="70" t="str">
        <f>IF($A$3=" "," ", IFERROR( VLOOKUP($A1473,'SUPPLIER DATA BASE'!$A$2:$G$936,4,0),""))</f>
        <v>-</v>
      </c>
      <c r="E1473" s="71" t="str">
        <f>IF($A$3=" "," ", IFERROR( VLOOKUP($A1473,'SUPPLIER DATA BASE'!$A$2:$H$936,5,0),""))</f>
        <v>-</v>
      </c>
      <c r="F1473" s="72"/>
      <c r="G1473" s="73"/>
      <c r="H1473" s="74"/>
      <c r="I1473" s="75"/>
      <c r="J1473" s="76" t="s">
        <v>4219</v>
      </c>
      <c r="K1473" s="76" t="s">
        <v>4220</v>
      </c>
      <c r="L1473" s="73"/>
      <c r="M1473" s="70" t="str">
        <f t="shared" si="3"/>
        <v/>
      </c>
      <c r="N1473" s="70" t="str">
        <f>IF($A$3=" "," ", IFERROR( VLOOKUP($A1473,'SUPPLIER DATA BASE'!$A$2:$O$936,11,0),""))</f>
        <v>-</v>
      </c>
      <c r="O1473" s="70" t="str">
        <f>IF($A$3=" "," ", IFERROR( VLOOKUP($A1473,'SUPPLIER DATA BASE'!$A$2:$O$936,12,0),""))</f>
        <v>-</v>
      </c>
      <c r="P1473" s="70" t="str">
        <f>IF($A$3=" "," ", IFERROR( VLOOKUP($A1473,'SUPPLIER DATA BASE'!$A$2:$O$936,13,0),""))</f>
        <v>-</v>
      </c>
      <c r="Q1473" s="77"/>
      <c r="R1473" s="73"/>
      <c r="S1473" s="77"/>
      <c r="T1473" s="70"/>
      <c r="U1473" s="78"/>
      <c r="V1473" s="70" t="str">
        <f t="shared" si="6"/>
        <v/>
      </c>
      <c r="W1473" s="23"/>
      <c r="X1473" s="23"/>
    </row>
    <row r="1474">
      <c r="A1474" s="70" t="s">
        <v>848</v>
      </c>
      <c r="B1474" s="70" t="str">
        <f>IF($A$3=" "," ", IFERROR( VLOOKUP($A1474,'SUPPLIER DATA BASE'!$A$2:$M$936,3,0),""))</f>
        <v>-</v>
      </c>
      <c r="C1474" s="70" t="str">
        <f>IF($A$3=" "," ", IFERROR( VLOOKUP($A1474,'SUPPLIER DATA BASE'!$A$2:$F$936,6,0),""))</f>
        <v>-</v>
      </c>
      <c r="D1474" s="70" t="str">
        <f>IF($A$3=" "," ", IFERROR( VLOOKUP($A1474,'SUPPLIER DATA BASE'!$A$2:$G$936,4,0),""))</f>
        <v>-</v>
      </c>
      <c r="E1474" s="71" t="str">
        <f>IF($A$3=" "," ", IFERROR( VLOOKUP($A1474,'SUPPLIER DATA BASE'!$A$2:$H$936,5,0),""))</f>
        <v>-</v>
      </c>
      <c r="F1474" s="72"/>
      <c r="G1474" s="73"/>
      <c r="H1474" s="74"/>
      <c r="I1474" s="75"/>
      <c r="J1474" s="76" t="s">
        <v>4221</v>
      </c>
      <c r="K1474" s="76" t="s">
        <v>4222</v>
      </c>
      <c r="L1474" s="73"/>
      <c r="M1474" s="70" t="str">
        <f t="shared" si="3"/>
        <v/>
      </c>
      <c r="N1474" s="70" t="str">
        <f>IF($A$3=" "," ", IFERROR( VLOOKUP($A1474,'SUPPLIER DATA BASE'!$A$2:$O$936,11,0),""))</f>
        <v>-</v>
      </c>
      <c r="O1474" s="70" t="str">
        <f>IF($A$3=" "," ", IFERROR( VLOOKUP($A1474,'SUPPLIER DATA BASE'!$A$2:$O$936,12,0),""))</f>
        <v>-</v>
      </c>
      <c r="P1474" s="70" t="str">
        <f>IF($A$3=" "," ", IFERROR( VLOOKUP($A1474,'SUPPLIER DATA BASE'!$A$2:$O$936,13,0),""))</f>
        <v>-</v>
      </c>
      <c r="Q1474" s="77"/>
      <c r="R1474" s="73"/>
      <c r="S1474" s="77"/>
      <c r="T1474" s="70"/>
      <c r="U1474" s="78"/>
      <c r="V1474" s="70" t="str">
        <f t="shared" si="6"/>
        <v/>
      </c>
      <c r="W1474" s="23"/>
      <c r="X1474" s="23"/>
    </row>
    <row r="1475">
      <c r="A1475" s="70" t="s">
        <v>848</v>
      </c>
      <c r="B1475" s="70" t="str">
        <f>IF($A$3=" "," ", IFERROR( VLOOKUP($A1475,'SUPPLIER DATA BASE'!$A$2:$M$936,3,0),""))</f>
        <v>-</v>
      </c>
      <c r="C1475" s="70" t="str">
        <f>IF($A$3=" "," ", IFERROR( VLOOKUP($A1475,'SUPPLIER DATA BASE'!$A$2:$F$936,6,0),""))</f>
        <v>-</v>
      </c>
      <c r="D1475" s="70" t="str">
        <f>IF($A$3=" "," ", IFERROR( VLOOKUP($A1475,'SUPPLIER DATA BASE'!$A$2:$G$936,4,0),""))</f>
        <v>-</v>
      </c>
      <c r="E1475" s="71" t="str">
        <f>IF($A$3=" "," ", IFERROR( VLOOKUP($A1475,'SUPPLIER DATA BASE'!$A$2:$H$936,5,0),""))</f>
        <v>-</v>
      </c>
      <c r="F1475" s="72"/>
      <c r="G1475" s="73"/>
      <c r="H1475" s="74"/>
      <c r="I1475" s="75"/>
      <c r="J1475" s="76" t="s">
        <v>4223</v>
      </c>
      <c r="K1475" s="76" t="s">
        <v>4224</v>
      </c>
      <c r="L1475" s="73"/>
      <c r="M1475" s="70" t="str">
        <f t="shared" si="3"/>
        <v/>
      </c>
      <c r="N1475" s="70" t="str">
        <f>IF($A$3=" "," ", IFERROR( VLOOKUP($A1475,'SUPPLIER DATA BASE'!$A$2:$O$936,11,0),""))</f>
        <v>-</v>
      </c>
      <c r="O1475" s="70" t="str">
        <f>IF($A$3=" "," ", IFERROR( VLOOKUP($A1475,'SUPPLIER DATA BASE'!$A$2:$O$936,12,0),""))</f>
        <v>-</v>
      </c>
      <c r="P1475" s="70" t="str">
        <f>IF($A$3=" "," ", IFERROR( VLOOKUP($A1475,'SUPPLIER DATA BASE'!$A$2:$O$936,13,0),""))</f>
        <v>-</v>
      </c>
      <c r="Q1475" s="77"/>
      <c r="R1475" s="73"/>
      <c r="S1475" s="77"/>
      <c r="T1475" s="70"/>
      <c r="U1475" s="78"/>
      <c r="V1475" s="70" t="str">
        <f t="shared" si="6"/>
        <v/>
      </c>
      <c r="W1475" s="23"/>
      <c r="X1475" s="23"/>
    </row>
    <row r="1476">
      <c r="A1476" s="70" t="s">
        <v>354</v>
      </c>
      <c r="B1476" s="70" t="str">
        <f>IF($A$3=" "," ", IFERROR( VLOOKUP($A1476,'SUPPLIER DATA BASE'!$A$2:$M$936,3,0),""))</f>
        <v>-</v>
      </c>
      <c r="C1476" s="70" t="str">
        <f>IF($A$3=" "," ", IFERROR( VLOOKUP($A1476,'SUPPLIER DATA BASE'!$A$2:$F$936,6,0),""))</f>
        <v>-</v>
      </c>
      <c r="D1476" s="70" t="str">
        <f>IF($A$3=" "," ", IFERROR( VLOOKUP($A1476,'SUPPLIER DATA BASE'!$A$2:$G$936,4,0),""))</f>
        <v>-</v>
      </c>
      <c r="E1476" s="71" t="str">
        <f>IF($A$3=" "," ", IFERROR( VLOOKUP($A1476,'SUPPLIER DATA BASE'!$A$2:$H$936,5,0),""))</f>
        <v>-</v>
      </c>
      <c r="F1476" s="72" t="s">
        <v>4225</v>
      </c>
      <c r="G1476" s="73"/>
      <c r="H1476" s="74"/>
      <c r="I1476" s="75"/>
      <c r="J1476" s="76" t="s">
        <v>4226</v>
      </c>
      <c r="K1476" s="76" t="s">
        <v>4227</v>
      </c>
      <c r="L1476" s="73"/>
      <c r="M1476" s="70" t="str">
        <f t="shared" si="3"/>
        <v/>
      </c>
      <c r="N1476" s="70" t="str">
        <f>IF($A$3=" "," ", IFERROR( VLOOKUP($A1476,'SUPPLIER DATA BASE'!$A$2:$O$936,11,0),""))</f>
        <v>-</v>
      </c>
      <c r="O1476" s="70" t="str">
        <f>IF($A$3=" "," ", IFERROR( VLOOKUP($A1476,'SUPPLIER DATA BASE'!$A$2:$O$936,12,0),""))</f>
        <v>-</v>
      </c>
      <c r="P1476" s="70" t="str">
        <f>IF($A$3=" "," ", IFERROR( VLOOKUP($A1476,'SUPPLIER DATA BASE'!$A$2:$O$936,13,0),""))</f>
        <v>-</v>
      </c>
      <c r="Q1476" s="77"/>
      <c r="R1476" s="73"/>
      <c r="S1476" s="77"/>
      <c r="T1476" s="70"/>
      <c r="U1476" s="78"/>
      <c r="V1476" s="70" t="str">
        <f t="shared" si="6"/>
        <v/>
      </c>
      <c r="W1476" s="23"/>
      <c r="X1476" s="23"/>
    </row>
    <row r="1477">
      <c r="A1477" s="70"/>
      <c r="B1477" s="70" t="str">
        <f>IF($A$3=" "," ", IFERROR( VLOOKUP($A1477,'SUPPLIER DATA BASE'!$A$2:$M$936,3,0),""))</f>
        <v/>
      </c>
      <c r="C1477" s="70" t="str">
        <f>IF($A$3=" "," ", IFERROR( VLOOKUP($A1477,'SUPPLIER DATA BASE'!$A$2:$F$936,6,0),""))</f>
        <v/>
      </c>
      <c r="D1477" s="70" t="str">
        <f>IF($A$3=" "," ", IFERROR( VLOOKUP($A1477,'SUPPLIER DATA BASE'!$A$2:$G$936,4,0),""))</f>
        <v/>
      </c>
      <c r="E1477" s="71" t="str">
        <f>IF($A$3=" "," ", IFERROR( VLOOKUP($A1477,'SUPPLIER DATA BASE'!$A$2:$H$936,5,0),""))</f>
        <v/>
      </c>
      <c r="F1477" s="72"/>
      <c r="G1477" s="73"/>
      <c r="H1477" s="74"/>
      <c r="I1477" s="75"/>
      <c r="J1477" s="76" t="s">
        <v>4228</v>
      </c>
      <c r="K1477" s="76" t="s">
        <v>4229</v>
      </c>
      <c r="L1477" s="73"/>
      <c r="M1477" s="70" t="str">
        <f t="shared" si="3"/>
        <v/>
      </c>
      <c r="N1477" s="70" t="str">
        <f>IF($A$3=" "," ", IFERROR( VLOOKUP($A1477,'SUPPLIER DATA BASE'!$A$2:$O$936,11,0),""))</f>
        <v/>
      </c>
      <c r="O1477" s="70" t="str">
        <f>IF($A$3=" "," ", IFERROR( VLOOKUP($A1477,'SUPPLIER DATA BASE'!$A$2:$O$936,12,0),""))</f>
        <v/>
      </c>
      <c r="P1477" s="70" t="str">
        <f>IF($A$3=" "," ", IFERROR( VLOOKUP($A1477,'SUPPLIER DATA BASE'!$A$2:$O$936,13,0),""))</f>
        <v/>
      </c>
      <c r="Q1477" s="77"/>
      <c r="R1477" s="73"/>
      <c r="S1477" s="77"/>
      <c r="T1477" s="70"/>
      <c r="U1477" s="78"/>
      <c r="V1477" s="70" t="str">
        <f t="shared" si="6"/>
        <v/>
      </c>
      <c r="W1477" s="23"/>
      <c r="X1477" s="23"/>
    </row>
    <row r="1478">
      <c r="A1478" s="70"/>
      <c r="B1478" s="70" t="str">
        <f>IF($A$3=" "," ", IFERROR( VLOOKUP($A1478,'SUPPLIER DATA BASE'!$A$2:$M$936,3,0),""))</f>
        <v/>
      </c>
      <c r="C1478" s="70" t="str">
        <f>IF($A$3=" "," ", IFERROR( VLOOKUP($A1478,'SUPPLIER DATA BASE'!$A$2:$F$936,6,0),""))</f>
        <v/>
      </c>
      <c r="D1478" s="70" t="str">
        <f>IF($A$3=" "," ", IFERROR( VLOOKUP($A1478,'SUPPLIER DATA BASE'!$A$2:$G$936,4,0),""))</f>
        <v/>
      </c>
      <c r="E1478" s="71" t="str">
        <f>IF($A$3=" "," ", IFERROR( VLOOKUP($A1478,'SUPPLIER DATA BASE'!$A$2:$H$936,5,0),""))</f>
        <v/>
      </c>
      <c r="F1478" s="72"/>
      <c r="G1478" s="73"/>
      <c r="H1478" s="74"/>
      <c r="I1478" s="75"/>
      <c r="J1478" s="76" t="s">
        <v>4230</v>
      </c>
      <c r="K1478" s="76" t="s">
        <v>4231</v>
      </c>
      <c r="L1478" s="73"/>
      <c r="M1478" s="70" t="str">
        <f t="shared" si="3"/>
        <v/>
      </c>
      <c r="N1478" s="70" t="str">
        <f>IF($A$3=" "," ", IFERROR( VLOOKUP($A1478,'SUPPLIER DATA BASE'!$A$2:$O$936,11,0),""))</f>
        <v/>
      </c>
      <c r="O1478" s="70" t="str">
        <f>IF($A$3=" "," ", IFERROR( VLOOKUP($A1478,'SUPPLIER DATA BASE'!$A$2:$O$936,12,0),""))</f>
        <v/>
      </c>
      <c r="P1478" s="70" t="str">
        <f>IF($A$3=" "," ", IFERROR( VLOOKUP($A1478,'SUPPLIER DATA BASE'!$A$2:$O$936,13,0),""))</f>
        <v/>
      </c>
      <c r="Q1478" s="77"/>
      <c r="R1478" s="73"/>
      <c r="S1478" s="77"/>
      <c r="T1478" s="70"/>
      <c r="U1478" s="78"/>
      <c r="V1478" s="70" t="str">
        <f t="shared" si="6"/>
        <v/>
      </c>
      <c r="W1478" s="23"/>
      <c r="X1478" s="23"/>
    </row>
    <row r="1479">
      <c r="A1479" s="70" t="s">
        <v>702</v>
      </c>
      <c r="B1479" s="70" t="str">
        <f>IF($A$3=" "," ", IFERROR( VLOOKUP($A1479,'SUPPLIER DATA BASE'!$A$2:$M$936,3,0),""))</f>
        <v>JOCKEY</v>
      </c>
      <c r="C1479" s="70" t="str">
        <f>IF($A$3=" "," ", IFERROR( VLOOKUP($A1479,'SUPPLIER DATA BASE'!$A$2:$F$936,6,0),""))</f>
        <v>-</v>
      </c>
      <c r="D1479" s="70">
        <f>IF($A$3=" "," ", IFERROR( VLOOKUP($A1479,'SUPPLIER DATA BASE'!$A$2:$G$936,4,0),""))</f>
        <v>15</v>
      </c>
      <c r="E1479" s="71">
        <f>IF($A$3=" "," ", IFERROR( VLOOKUP($A1479,'SUPPLIER DATA BASE'!$A$2:$H$936,5,0),""))</f>
        <v>0.02</v>
      </c>
      <c r="F1479" s="72"/>
      <c r="G1479" s="73"/>
      <c r="H1479" s="74"/>
      <c r="I1479" s="75"/>
      <c r="J1479" s="76" t="s">
        <v>4232</v>
      </c>
      <c r="K1479" s="76" t="s">
        <v>4233</v>
      </c>
      <c r="L1479" s="73"/>
      <c r="M1479" s="70" t="str">
        <f t="shared" si="3"/>
        <v/>
      </c>
      <c r="N1479" s="70" t="str">
        <f>IF($A$3=" "," ", IFERROR( VLOOKUP($A1479,'SUPPLIER DATA BASE'!$A$2:$O$936,11,0),""))</f>
        <v>SHRI MAHAVIR ENTERPRISES</v>
      </c>
      <c r="O1479" s="70" t="str">
        <f>IF($A$3=" "," ", IFERROR( VLOOKUP($A1479,'SUPPLIER DATA BASE'!$A$2:$O$936,12,0),""))</f>
        <v>048905500722</v>
      </c>
      <c r="P1479" s="70" t="str">
        <f>IF($A$3=" "," ", IFERROR( VLOOKUP($A1479,'SUPPLIER DATA BASE'!$A$2:$O$936,13,0),""))</f>
        <v>ICIC0000489</v>
      </c>
      <c r="Q1479" s="77"/>
      <c r="R1479" s="73"/>
      <c r="S1479" s="77"/>
      <c r="T1479" s="70"/>
      <c r="U1479" s="78"/>
      <c r="V1479" s="70" t="str">
        <f t="shared" si="6"/>
        <v/>
      </c>
      <c r="W1479" s="23"/>
      <c r="X1479" s="23"/>
    </row>
    <row r="1480">
      <c r="A1480" s="70" t="s">
        <v>717</v>
      </c>
      <c r="B1480" s="70" t="str">
        <f>IF($A$3=" "," ", IFERROR( VLOOKUP($A1480,'SUPPLIER DATA BASE'!$A$2:$M$936,3,0),""))</f>
        <v>MINELLI</v>
      </c>
      <c r="C1480" s="70" t="str">
        <f>IF($A$3=" "," ", IFERROR( VLOOKUP($A1480,'SUPPLIER DATA BASE'!$A$2:$F$936,6,0),""))</f>
        <v>-</v>
      </c>
      <c r="D1480" s="70">
        <f>IF($A$3=" "," ", IFERROR( VLOOKUP($A1480,'SUPPLIER DATA BASE'!$A$2:$G$936,4,0),""))</f>
        <v>45</v>
      </c>
      <c r="E1480" s="71">
        <f>IF($A$3=" "," ", IFERROR( VLOOKUP($A1480,'SUPPLIER DATA BASE'!$A$2:$H$936,5,0),""))</f>
        <v>0.1</v>
      </c>
      <c r="F1480" s="72"/>
      <c r="G1480" s="73"/>
      <c r="H1480" s="74"/>
      <c r="I1480" s="75"/>
      <c r="J1480" s="76" t="s">
        <v>4234</v>
      </c>
      <c r="K1480" s="76" t="s">
        <v>4235</v>
      </c>
      <c r="L1480" s="73"/>
      <c r="M1480" s="70" t="str">
        <f t="shared" si="3"/>
        <v/>
      </c>
      <c r="N1480" s="70" t="str">
        <f>IF($A$3=" "," ", IFERROR( VLOOKUP($A1480,'SUPPLIER DATA BASE'!$A$2:$O$936,11,0),""))</f>
        <v>SHUBH SHRI CLOTHING PVT LTD</v>
      </c>
      <c r="O1480" s="70" t="str">
        <f>IF($A$3=" "," ", IFERROR( VLOOKUP($A1480,'SUPPLIER DATA BASE'!$A$2:$O$936,12,0),""))</f>
        <v>002225010000006</v>
      </c>
      <c r="P1480" s="70" t="str">
        <f>IF($A$3=" "," ", IFERROR( VLOOKUP($A1480,'SUPPLIER DATA BASE'!$A$2:$O$936,13,0),""))</f>
        <v>UBIN0900222</v>
      </c>
      <c r="Q1480" s="77"/>
      <c r="R1480" s="73"/>
      <c r="S1480" s="77"/>
      <c r="T1480" s="70"/>
      <c r="U1480" s="78"/>
      <c r="V1480" s="70" t="str">
        <f t="shared" si="6"/>
        <v/>
      </c>
      <c r="W1480" s="23"/>
      <c r="X1480" s="23"/>
    </row>
    <row r="1481">
      <c r="A1481" s="70" t="s">
        <v>749</v>
      </c>
      <c r="B1481" s="70" t="str">
        <f>IF($A$3=" "," ", IFERROR( VLOOKUP($A1481,'SUPPLIER DATA BASE'!$A$2:$M$936,3,0),""))</f>
        <v>VAN HEUSEN</v>
      </c>
      <c r="C1481" s="70" t="str">
        <f>IF($A$3=" "," ", IFERROR( VLOOKUP($A1481,'SUPPLIER DATA BASE'!$A$2:$F$936,6,0),""))</f>
        <v>-</v>
      </c>
      <c r="D1481" s="70" t="str">
        <f>IF($A$3=" "," ", IFERROR( VLOOKUP($A1481,'SUPPLIER DATA BASE'!$A$2:$G$936,4,0),""))</f>
        <v>-</v>
      </c>
      <c r="E1481" s="71" t="str">
        <f>IF($A$3=" "," ", IFERROR( VLOOKUP($A1481,'SUPPLIER DATA BASE'!$A$2:$H$936,5,0),""))</f>
        <v>-</v>
      </c>
      <c r="F1481" s="72"/>
      <c r="G1481" s="73"/>
      <c r="H1481" s="74"/>
      <c r="I1481" s="75"/>
      <c r="J1481" s="76" t="s">
        <v>4236</v>
      </c>
      <c r="K1481" s="76" t="s">
        <v>4237</v>
      </c>
      <c r="L1481" s="73"/>
      <c r="M1481" s="70" t="str">
        <f t="shared" si="3"/>
        <v/>
      </c>
      <c r="N1481" s="70" t="str">
        <f>IF($A$3=" "," ", IFERROR( VLOOKUP($A1481,'SUPPLIER DATA BASE'!$A$2:$O$936,11,0),""))</f>
        <v>SUSHILA ENTERPRISES</v>
      </c>
      <c r="O1481" s="70" t="str">
        <f>IF($A$3=" "," ", IFERROR( VLOOKUP($A1481,'SUPPLIER DATA BASE'!$A$2:$O$936,12,0),""))</f>
        <v>747805000665</v>
      </c>
      <c r="P1481" s="70" t="str">
        <f>IF($A$3=" "," ", IFERROR( VLOOKUP($A1481,'SUPPLIER DATA BASE'!$A$2:$O$936,13,0),""))</f>
        <v>ICIC0007478</v>
      </c>
      <c r="Q1481" s="77"/>
      <c r="R1481" s="73"/>
      <c r="S1481" s="77"/>
      <c r="T1481" s="70"/>
      <c r="U1481" s="78"/>
      <c r="V1481" s="70" t="str">
        <f t="shared" si="6"/>
        <v/>
      </c>
      <c r="W1481" s="23"/>
      <c r="X1481" s="23"/>
    </row>
    <row r="1482">
      <c r="A1482" s="70" t="s">
        <v>848</v>
      </c>
      <c r="B1482" s="70" t="str">
        <f>IF($A$3=" "," ", IFERROR( VLOOKUP($A1482,'SUPPLIER DATA BASE'!$A$2:$M$936,3,0),""))</f>
        <v>-</v>
      </c>
      <c r="C1482" s="70" t="str">
        <f>IF($A$3=" "," ", IFERROR( VLOOKUP($A1482,'SUPPLIER DATA BASE'!$A$2:$F$936,6,0),""))</f>
        <v>-</v>
      </c>
      <c r="D1482" s="70" t="str">
        <f>IF($A$3=" "," ", IFERROR( VLOOKUP($A1482,'SUPPLIER DATA BASE'!$A$2:$G$936,4,0),""))</f>
        <v>-</v>
      </c>
      <c r="E1482" s="71" t="str">
        <f>IF($A$3=" "," ", IFERROR( VLOOKUP($A1482,'SUPPLIER DATA BASE'!$A$2:$H$936,5,0),""))</f>
        <v>-</v>
      </c>
      <c r="F1482" s="72"/>
      <c r="G1482" s="73"/>
      <c r="H1482" s="74"/>
      <c r="I1482" s="75"/>
      <c r="J1482" s="76" t="s">
        <v>4238</v>
      </c>
      <c r="K1482" s="76" t="s">
        <v>4239</v>
      </c>
      <c r="L1482" s="73"/>
      <c r="M1482" s="70" t="str">
        <f t="shared" si="3"/>
        <v/>
      </c>
      <c r="N1482" s="70" t="str">
        <f>IF($A$3=" "," ", IFERROR( VLOOKUP($A1482,'SUPPLIER DATA BASE'!$A$2:$O$936,11,0),""))</f>
        <v>-</v>
      </c>
      <c r="O1482" s="70" t="str">
        <f>IF($A$3=" "," ", IFERROR( VLOOKUP($A1482,'SUPPLIER DATA BASE'!$A$2:$O$936,12,0),""))</f>
        <v>-</v>
      </c>
      <c r="P1482" s="70" t="str">
        <f>IF($A$3=" "," ", IFERROR( VLOOKUP($A1482,'SUPPLIER DATA BASE'!$A$2:$O$936,13,0),""))</f>
        <v>-</v>
      </c>
      <c r="Q1482" s="77"/>
      <c r="R1482" s="73"/>
      <c r="S1482" s="77"/>
      <c r="T1482" s="70"/>
      <c r="U1482" s="78"/>
      <c r="V1482" s="70" t="str">
        <f t="shared" si="6"/>
        <v/>
      </c>
      <c r="W1482" s="23"/>
      <c r="X1482" s="23"/>
    </row>
    <row r="1483">
      <c r="A1483" s="70"/>
      <c r="B1483" s="70" t="str">
        <f>IF($A$3=" "," ", IFERROR( VLOOKUP($A1483,'SUPPLIER DATA BASE'!$A$2:$M$936,3,0),""))</f>
        <v/>
      </c>
      <c r="C1483" s="70" t="str">
        <f>IF($A$3=" "," ", IFERROR( VLOOKUP($A1483,'SUPPLIER DATA BASE'!$A$2:$F$936,6,0),""))</f>
        <v/>
      </c>
      <c r="D1483" s="70" t="str">
        <f>IF($A$3=" "," ", IFERROR( VLOOKUP($A1483,'SUPPLIER DATA BASE'!$A$2:$G$936,4,0),""))</f>
        <v/>
      </c>
      <c r="E1483" s="71" t="str">
        <f>IF($A$3=" "," ", IFERROR( VLOOKUP($A1483,'SUPPLIER DATA BASE'!$A$2:$H$936,5,0),""))</f>
        <v/>
      </c>
      <c r="F1483" s="72"/>
      <c r="G1483" s="73"/>
      <c r="H1483" s="74"/>
      <c r="I1483" s="75"/>
      <c r="J1483" s="70"/>
      <c r="K1483" s="70"/>
      <c r="L1483" s="73"/>
      <c r="M1483" s="70" t="str">
        <f t="shared" si="3"/>
        <v/>
      </c>
      <c r="N1483" s="70" t="str">
        <f>IF($A$3=" "," ", IFERROR( VLOOKUP($A1483,'SUPPLIER DATA BASE'!$A$2:$O$936,11,0),""))</f>
        <v/>
      </c>
      <c r="O1483" s="70" t="str">
        <f>IF($A$3=" "," ", IFERROR( VLOOKUP($A1483,'SUPPLIER DATA BASE'!$A$2:$O$936,12,0),""))</f>
        <v/>
      </c>
      <c r="P1483" s="70" t="str">
        <f>IF($A$3=" "," ", IFERROR( VLOOKUP($A1483,'SUPPLIER DATA BASE'!$A$2:$O$936,13,0),""))</f>
        <v/>
      </c>
      <c r="Q1483" s="77"/>
      <c r="R1483" s="73"/>
      <c r="S1483" s="77"/>
      <c r="T1483" s="70"/>
      <c r="U1483" s="78"/>
      <c r="V1483" s="70" t="str">
        <f t="shared" si="6"/>
        <v/>
      </c>
      <c r="W1483" s="23"/>
      <c r="X1483" s="23"/>
    </row>
    <row r="1484">
      <c r="A1484" s="70"/>
      <c r="B1484" s="70" t="str">
        <f>IF($A$3=" "," ", IFERROR( VLOOKUP($A1484,'SUPPLIER DATA BASE'!$A$2:$M$936,3,0),""))</f>
        <v/>
      </c>
      <c r="C1484" s="70" t="str">
        <f>IF($A$3=" "," ", IFERROR( VLOOKUP($A1484,'SUPPLIER DATA BASE'!$A$2:$F$936,6,0),""))</f>
        <v/>
      </c>
      <c r="D1484" s="70" t="str">
        <f>IF($A$3=" "," ", IFERROR( VLOOKUP($A1484,'SUPPLIER DATA BASE'!$A$2:$G$936,4,0),""))</f>
        <v/>
      </c>
      <c r="E1484" s="71" t="str">
        <f>IF($A$3=" "," ", IFERROR( VLOOKUP($A1484,'SUPPLIER DATA BASE'!$A$2:$H$936,5,0),""))</f>
        <v/>
      </c>
      <c r="F1484" s="72"/>
      <c r="G1484" s="73"/>
      <c r="H1484" s="74"/>
      <c r="I1484" s="75"/>
      <c r="J1484" s="70"/>
      <c r="K1484" s="70"/>
      <c r="L1484" s="73"/>
      <c r="M1484" s="70" t="str">
        <f t="shared" si="3"/>
        <v/>
      </c>
      <c r="N1484" s="70" t="str">
        <f>IF($A$3=" "," ", IFERROR( VLOOKUP($A1484,'SUPPLIER DATA BASE'!$A$2:$O$936,11,0),""))</f>
        <v/>
      </c>
      <c r="O1484" s="70" t="str">
        <f>IF($A$3=" "," ", IFERROR( VLOOKUP($A1484,'SUPPLIER DATA BASE'!$A$2:$O$936,12,0),""))</f>
        <v/>
      </c>
      <c r="P1484" s="70" t="str">
        <f>IF($A$3=" "," ", IFERROR( VLOOKUP($A1484,'SUPPLIER DATA BASE'!$A$2:$O$936,13,0),""))</f>
        <v/>
      </c>
      <c r="Q1484" s="77"/>
      <c r="R1484" s="73"/>
      <c r="S1484" s="77"/>
      <c r="T1484" s="70"/>
      <c r="U1484" s="78"/>
      <c r="V1484" s="70" t="str">
        <f t="shared" si="6"/>
        <v/>
      </c>
      <c r="W1484" s="23"/>
      <c r="X1484" s="23"/>
    </row>
    <row r="1485">
      <c r="A1485" s="70"/>
      <c r="B1485" s="70" t="str">
        <f>IF($A$3=" "," ", IFERROR( VLOOKUP($A1485,'SUPPLIER DATA BASE'!$A$2:$M$936,3,0),""))</f>
        <v/>
      </c>
      <c r="C1485" s="70" t="str">
        <f>IF($A$3=" "," ", IFERROR( VLOOKUP($A1485,'SUPPLIER DATA BASE'!$A$2:$F$936,6,0),""))</f>
        <v/>
      </c>
      <c r="D1485" s="70" t="str">
        <f>IF($A$3=" "," ", IFERROR( VLOOKUP($A1485,'SUPPLIER DATA BASE'!$A$2:$G$936,4,0),""))</f>
        <v/>
      </c>
      <c r="E1485" s="71" t="str">
        <f>IF($A$3=" "," ", IFERROR( VLOOKUP($A1485,'SUPPLIER DATA BASE'!$A$2:$H$936,5,0),""))</f>
        <v/>
      </c>
      <c r="F1485" s="72"/>
      <c r="G1485" s="73"/>
      <c r="H1485" s="74"/>
      <c r="I1485" s="75"/>
      <c r="J1485" s="70"/>
      <c r="K1485" s="70"/>
      <c r="L1485" s="73"/>
      <c r="M1485" s="70" t="str">
        <f t="shared" si="3"/>
        <v/>
      </c>
      <c r="N1485" s="70" t="str">
        <f>IF($A$3=" "," ", IFERROR( VLOOKUP($A1485,'SUPPLIER DATA BASE'!$A$2:$O$936,11,0),""))</f>
        <v/>
      </c>
      <c r="O1485" s="70" t="str">
        <f>IF($A$3=" "," ", IFERROR( VLOOKUP($A1485,'SUPPLIER DATA BASE'!$A$2:$O$936,12,0),""))</f>
        <v/>
      </c>
      <c r="P1485" s="70" t="str">
        <f>IF($A$3=" "," ", IFERROR( VLOOKUP($A1485,'SUPPLIER DATA BASE'!$A$2:$O$936,13,0),""))</f>
        <v/>
      </c>
      <c r="Q1485" s="77"/>
      <c r="R1485" s="73"/>
      <c r="S1485" s="77"/>
      <c r="T1485" s="70"/>
      <c r="U1485" s="78"/>
      <c r="V1485" s="70" t="str">
        <f t="shared" si="6"/>
        <v/>
      </c>
      <c r="W1485" s="23"/>
      <c r="X1485" s="23"/>
    </row>
    <row r="1486">
      <c r="A1486" s="70"/>
      <c r="B1486" s="70" t="str">
        <f>IF($A$3=" "," ", IFERROR( VLOOKUP($A1486,'SUPPLIER DATA BASE'!$A$2:$M$936,3,0),""))</f>
        <v/>
      </c>
      <c r="C1486" s="70" t="str">
        <f>IF($A$3=" "," ", IFERROR( VLOOKUP($A1486,'SUPPLIER DATA BASE'!$A$2:$F$936,6,0),""))</f>
        <v/>
      </c>
      <c r="D1486" s="70" t="str">
        <f>IF($A$3=" "," ", IFERROR( VLOOKUP($A1486,'SUPPLIER DATA BASE'!$A$2:$G$936,4,0),""))</f>
        <v/>
      </c>
      <c r="E1486" s="71" t="str">
        <f>IF($A$3=" "," ", IFERROR( VLOOKUP($A1486,'SUPPLIER DATA BASE'!$A$2:$H$936,5,0),""))</f>
        <v/>
      </c>
      <c r="F1486" s="72"/>
      <c r="G1486" s="73"/>
      <c r="H1486" s="74"/>
      <c r="I1486" s="75"/>
      <c r="J1486" s="70"/>
      <c r="K1486" s="70"/>
      <c r="L1486" s="73"/>
      <c r="M1486" s="70" t="str">
        <f t="shared" si="3"/>
        <v/>
      </c>
      <c r="N1486" s="70" t="str">
        <f>IF($A$3=" "," ", IFERROR( VLOOKUP($A1486,'SUPPLIER DATA BASE'!$A$2:$O$936,11,0),""))</f>
        <v/>
      </c>
      <c r="O1486" s="70" t="str">
        <f>IF($A$3=" "," ", IFERROR( VLOOKUP($A1486,'SUPPLIER DATA BASE'!$A$2:$O$936,12,0),""))</f>
        <v/>
      </c>
      <c r="P1486" s="70" t="str">
        <f>IF($A$3=" "," ", IFERROR( VLOOKUP($A1486,'SUPPLIER DATA BASE'!$A$2:$O$936,13,0),""))</f>
        <v/>
      </c>
      <c r="Q1486" s="77"/>
      <c r="R1486" s="73"/>
      <c r="S1486" s="77"/>
      <c r="T1486" s="70"/>
      <c r="U1486" s="78"/>
      <c r="V1486" s="70" t="str">
        <f t="shared" si="6"/>
        <v/>
      </c>
      <c r="W1486" s="23"/>
      <c r="X1486" s="23"/>
    </row>
    <row r="1487">
      <c r="A1487" s="70"/>
      <c r="B1487" s="70" t="str">
        <f>IF($A$3=" "," ", IFERROR( VLOOKUP($A1487,'SUPPLIER DATA BASE'!$A$2:$M$936,3,0),""))</f>
        <v/>
      </c>
      <c r="C1487" s="70" t="str">
        <f>IF($A$3=" "," ", IFERROR( VLOOKUP($A1487,'SUPPLIER DATA BASE'!$A$2:$F$936,6,0),""))</f>
        <v/>
      </c>
      <c r="D1487" s="70" t="str">
        <f>IF($A$3=" "," ", IFERROR( VLOOKUP($A1487,'SUPPLIER DATA BASE'!$A$2:$G$936,4,0),""))</f>
        <v/>
      </c>
      <c r="E1487" s="71" t="str">
        <f>IF($A$3=" "," ", IFERROR( VLOOKUP($A1487,'SUPPLIER DATA BASE'!$A$2:$H$936,5,0),""))</f>
        <v/>
      </c>
      <c r="F1487" s="72"/>
      <c r="G1487" s="73"/>
      <c r="H1487" s="74"/>
      <c r="I1487" s="75"/>
      <c r="J1487" s="70"/>
      <c r="K1487" s="70"/>
      <c r="L1487" s="73"/>
      <c r="M1487" s="70" t="str">
        <f t="shared" si="3"/>
        <v/>
      </c>
      <c r="N1487" s="70" t="str">
        <f>IF($A$3=" "," ", IFERROR( VLOOKUP($A1487,'SUPPLIER DATA BASE'!$A$2:$O$936,11,0),""))</f>
        <v/>
      </c>
      <c r="O1487" s="70" t="str">
        <f>IF($A$3=" "," ", IFERROR( VLOOKUP($A1487,'SUPPLIER DATA BASE'!$A$2:$O$936,12,0),""))</f>
        <v/>
      </c>
      <c r="P1487" s="70" t="str">
        <f>IF($A$3=" "," ", IFERROR( VLOOKUP($A1487,'SUPPLIER DATA BASE'!$A$2:$O$936,13,0),""))</f>
        <v/>
      </c>
      <c r="Q1487" s="77"/>
      <c r="R1487" s="73"/>
      <c r="S1487" s="77"/>
      <c r="T1487" s="70"/>
      <c r="U1487" s="78"/>
      <c r="V1487" s="70" t="str">
        <f t="shared" si="6"/>
        <v/>
      </c>
      <c r="W1487" s="23"/>
      <c r="X1487" s="23"/>
    </row>
    <row r="1488">
      <c r="A1488" s="70"/>
      <c r="B1488" s="70" t="str">
        <f>IF($A$3=" "," ", IFERROR( VLOOKUP($A1488,'SUPPLIER DATA BASE'!$A$2:$M$936,3,0),""))</f>
        <v/>
      </c>
      <c r="C1488" s="70" t="str">
        <f>IF($A$3=" "," ", IFERROR( VLOOKUP($A1488,'SUPPLIER DATA BASE'!$A$2:$F$936,6,0),""))</f>
        <v/>
      </c>
      <c r="D1488" s="70" t="str">
        <f>IF($A$3=" "," ", IFERROR( VLOOKUP($A1488,'SUPPLIER DATA BASE'!$A$2:$G$936,4,0),""))</f>
        <v/>
      </c>
      <c r="E1488" s="71" t="str">
        <f>IF($A$3=" "," ", IFERROR( VLOOKUP($A1488,'SUPPLIER DATA BASE'!$A$2:$H$936,5,0),""))</f>
        <v/>
      </c>
      <c r="F1488" s="72"/>
      <c r="G1488" s="73"/>
      <c r="H1488" s="74"/>
      <c r="I1488" s="75"/>
      <c r="J1488" s="70"/>
      <c r="K1488" s="70"/>
      <c r="L1488" s="73"/>
      <c r="M1488" s="70" t="str">
        <f t="shared" si="3"/>
        <v/>
      </c>
      <c r="N1488" s="70" t="str">
        <f>IF($A$3=" "," ", IFERROR( VLOOKUP($A1488,'SUPPLIER DATA BASE'!$A$2:$O$936,11,0),""))</f>
        <v/>
      </c>
      <c r="O1488" s="70" t="str">
        <f>IF($A$3=" "," ", IFERROR( VLOOKUP($A1488,'SUPPLIER DATA BASE'!$A$2:$O$936,12,0),""))</f>
        <v/>
      </c>
      <c r="P1488" s="70" t="str">
        <f>IF($A$3=" "," ", IFERROR( VLOOKUP($A1488,'SUPPLIER DATA BASE'!$A$2:$O$936,13,0),""))</f>
        <v/>
      </c>
      <c r="Q1488" s="77"/>
      <c r="R1488" s="73"/>
      <c r="S1488" s="77"/>
      <c r="T1488" s="70"/>
      <c r="U1488" s="78"/>
      <c r="V1488" s="70" t="str">
        <f t="shared" si="6"/>
        <v/>
      </c>
      <c r="W1488" s="23"/>
      <c r="X1488" s="23"/>
    </row>
    <row r="1489">
      <c r="A1489" s="70"/>
      <c r="B1489" s="70" t="str">
        <f>IF($A$3=" "," ", IFERROR( VLOOKUP($A1489,'SUPPLIER DATA BASE'!$A$2:$M$936,3,0),""))</f>
        <v/>
      </c>
      <c r="C1489" s="70" t="str">
        <f>IF($A$3=" "," ", IFERROR( VLOOKUP($A1489,'SUPPLIER DATA BASE'!$A$2:$F$936,6,0),""))</f>
        <v/>
      </c>
      <c r="D1489" s="70" t="str">
        <f>IF($A$3=" "," ", IFERROR( VLOOKUP($A1489,'SUPPLIER DATA BASE'!$A$2:$G$936,4,0),""))</f>
        <v/>
      </c>
      <c r="E1489" s="71" t="str">
        <f>IF($A$3=" "," ", IFERROR( VLOOKUP($A1489,'SUPPLIER DATA BASE'!$A$2:$H$936,5,0),""))</f>
        <v/>
      </c>
      <c r="F1489" s="72"/>
      <c r="G1489" s="73"/>
      <c r="H1489" s="74"/>
      <c r="I1489" s="75"/>
      <c r="J1489" s="70"/>
      <c r="K1489" s="70"/>
      <c r="L1489" s="73"/>
      <c r="M1489" s="70" t="str">
        <f t="shared" si="3"/>
        <v/>
      </c>
      <c r="N1489" s="70" t="str">
        <f>IF($A$3=" "," ", IFERROR( VLOOKUP($A1489,'SUPPLIER DATA BASE'!$A$2:$O$936,11,0),""))</f>
        <v/>
      </c>
      <c r="O1489" s="70" t="str">
        <f>IF($A$3=" "," ", IFERROR( VLOOKUP($A1489,'SUPPLIER DATA BASE'!$A$2:$O$936,12,0),""))</f>
        <v/>
      </c>
      <c r="P1489" s="70" t="str">
        <f>IF($A$3=" "," ", IFERROR( VLOOKUP($A1489,'SUPPLIER DATA BASE'!$A$2:$O$936,13,0),""))</f>
        <v/>
      </c>
      <c r="Q1489" s="77"/>
      <c r="R1489" s="73"/>
      <c r="S1489" s="77"/>
      <c r="T1489" s="70"/>
      <c r="U1489" s="78"/>
      <c r="V1489" s="70" t="str">
        <f t="shared" si="6"/>
        <v/>
      </c>
      <c r="W1489" s="23"/>
      <c r="X1489" s="23"/>
    </row>
    <row r="1490">
      <c r="A1490" s="70"/>
      <c r="B1490" s="70" t="str">
        <f>IF($A$3=" "," ", IFERROR( VLOOKUP($A1490,'SUPPLIER DATA BASE'!$A$2:$M$936,3,0),""))</f>
        <v/>
      </c>
      <c r="C1490" s="70" t="str">
        <f>IF($A$3=" "," ", IFERROR( VLOOKUP($A1490,'SUPPLIER DATA BASE'!$A$2:$F$936,6,0),""))</f>
        <v/>
      </c>
      <c r="D1490" s="70" t="str">
        <f>IF($A$3=" "," ", IFERROR( VLOOKUP($A1490,'SUPPLIER DATA BASE'!$A$2:$G$936,4,0),""))</f>
        <v/>
      </c>
      <c r="E1490" s="71" t="str">
        <f>IF($A$3=" "," ", IFERROR( VLOOKUP($A1490,'SUPPLIER DATA BASE'!$A$2:$H$936,5,0),""))</f>
        <v/>
      </c>
      <c r="F1490" s="72"/>
      <c r="G1490" s="73"/>
      <c r="H1490" s="74"/>
      <c r="I1490" s="75"/>
      <c r="J1490" s="70"/>
      <c r="K1490" s="70"/>
      <c r="L1490" s="73"/>
      <c r="M1490" s="70" t="str">
        <f t="shared" si="3"/>
        <v/>
      </c>
      <c r="N1490" s="70" t="str">
        <f>IF($A$3=" "," ", IFERROR( VLOOKUP($A1490,'SUPPLIER DATA BASE'!$A$2:$O$936,11,0),""))</f>
        <v/>
      </c>
      <c r="O1490" s="70" t="str">
        <f>IF($A$3=" "," ", IFERROR( VLOOKUP($A1490,'SUPPLIER DATA BASE'!$A$2:$O$936,12,0),""))</f>
        <v/>
      </c>
      <c r="P1490" s="70" t="str">
        <f>IF($A$3=" "," ", IFERROR( VLOOKUP($A1490,'SUPPLIER DATA BASE'!$A$2:$O$936,13,0),""))</f>
        <v/>
      </c>
      <c r="Q1490" s="77"/>
      <c r="R1490" s="73"/>
      <c r="S1490" s="77"/>
      <c r="T1490" s="70"/>
      <c r="U1490" s="78"/>
      <c r="V1490" s="70" t="str">
        <f t="shared" si="6"/>
        <v/>
      </c>
      <c r="W1490" s="23"/>
      <c r="X1490" s="23"/>
    </row>
    <row r="1491">
      <c r="A1491" s="70"/>
      <c r="B1491" s="70" t="str">
        <f>IF($A$3=" "," ", IFERROR( VLOOKUP($A1491,'SUPPLIER DATA BASE'!$A$2:$M$936,3,0),""))</f>
        <v/>
      </c>
      <c r="C1491" s="70" t="str">
        <f>IF($A$3=" "," ", IFERROR( VLOOKUP($A1491,'SUPPLIER DATA BASE'!$A$2:$F$936,6,0),""))</f>
        <v/>
      </c>
      <c r="D1491" s="70" t="str">
        <f>IF($A$3=" "," ", IFERROR( VLOOKUP($A1491,'SUPPLIER DATA BASE'!$A$2:$G$936,4,0),""))</f>
        <v/>
      </c>
      <c r="E1491" s="71" t="str">
        <f>IF($A$3=" "," ", IFERROR( VLOOKUP($A1491,'SUPPLIER DATA BASE'!$A$2:$H$936,5,0),""))</f>
        <v/>
      </c>
      <c r="F1491" s="72"/>
      <c r="G1491" s="73"/>
      <c r="H1491" s="74"/>
      <c r="I1491" s="75"/>
      <c r="J1491" s="70"/>
      <c r="K1491" s="70"/>
      <c r="L1491" s="73"/>
      <c r="M1491" s="70" t="str">
        <f t="shared" si="3"/>
        <v/>
      </c>
      <c r="N1491" s="70" t="str">
        <f>IF($A$3=" "," ", IFERROR( VLOOKUP($A1491,'SUPPLIER DATA BASE'!$A$2:$O$936,11,0),""))</f>
        <v/>
      </c>
      <c r="O1491" s="70" t="str">
        <f>IF($A$3=" "," ", IFERROR( VLOOKUP($A1491,'SUPPLIER DATA BASE'!$A$2:$O$936,12,0),""))</f>
        <v/>
      </c>
      <c r="P1491" s="70" t="str">
        <f>IF($A$3=" "," ", IFERROR( VLOOKUP($A1491,'SUPPLIER DATA BASE'!$A$2:$O$936,13,0),""))</f>
        <v/>
      </c>
      <c r="Q1491" s="77"/>
      <c r="R1491" s="73"/>
      <c r="S1491" s="77"/>
      <c r="T1491" s="70"/>
      <c r="U1491" s="78"/>
      <c r="V1491" s="70" t="str">
        <f t="shared" si="6"/>
        <v/>
      </c>
      <c r="W1491" s="23"/>
      <c r="X1491" s="23"/>
    </row>
    <row r="1492">
      <c r="A1492" s="70"/>
      <c r="B1492" s="70" t="str">
        <f>IF($A$3=" "," ", IFERROR( VLOOKUP($A1492,'SUPPLIER DATA BASE'!$A$2:$M$936,3,0),""))</f>
        <v/>
      </c>
      <c r="C1492" s="70" t="str">
        <f>IF($A$3=" "," ", IFERROR( VLOOKUP($A1492,'SUPPLIER DATA BASE'!$A$2:$F$936,6,0),""))</f>
        <v/>
      </c>
      <c r="D1492" s="70" t="str">
        <f>IF($A$3=" "," ", IFERROR( VLOOKUP($A1492,'SUPPLIER DATA BASE'!$A$2:$G$936,4,0),""))</f>
        <v/>
      </c>
      <c r="E1492" s="71" t="str">
        <f>IF($A$3=" "," ", IFERROR( VLOOKUP($A1492,'SUPPLIER DATA BASE'!$A$2:$H$936,5,0),""))</f>
        <v/>
      </c>
      <c r="F1492" s="72"/>
      <c r="G1492" s="73"/>
      <c r="H1492" s="74"/>
      <c r="I1492" s="75"/>
      <c r="J1492" s="70"/>
      <c r="K1492" s="70"/>
      <c r="L1492" s="73"/>
      <c r="M1492" s="70" t="str">
        <f t="shared" si="3"/>
        <v/>
      </c>
      <c r="N1492" s="70" t="str">
        <f>IF($A$3=" "," ", IFERROR( VLOOKUP($A1492,'SUPPLIER DATA BASE'!$A$2:$O$936,11,0),""))</f>
        <v/>
      </c>
      <c r="O1492" s="70" t="str">
        <f>IF($A$3=" "," ", IFERROR( VLOOKUP($A1492,'SUPPLIER DATA BASE'!$A$2:$O$936,12,0),""))</f>
        <v/>
      </c>
      <c r="P1492" s="70" t="str">
        <f>IF($A$3=" "," ", IFERROR( VLOOKUP($A1492,'SUPPLIER DATA BASE'!$A$2:$O$936,13,0),""))</f>
        <v/>
      </c>
      <c r="Q1492" s="77"/>
      <c r="R1492" s="73"/>
      <c r="S1492" s="77"/>
      <c r="T1492" s="70"/>
      <c r="U1492" s="78"/>
      <c r="V1492" s="70" t="str">
        <f t="shared" si="6"/>
        <v/>
      </c>
      <c r="W1492" s="23"/>
      <c r="X1492" s="23"/>
    </row>
    <row r="1493">
      <c r="A1493" s="70"/>
      <c r="B1493" s="70" t="str">
        <f>IF($A$3=" "," ", IFERROR( VLOOKUP($A1493,'SUPPLIER DATA BASE'!$A$2:$M$936,3,0),""))</f>
        <v/>
      </c>
      <c r="C1493" s="70" t="str">
        <f>IF($A$3=" "," ", IFERROR( VLOOKUP($A1493,'SUPPLIER DATA BASE'!$A$2:$F$936,6,0),""))</f>
        <v/>
      </c>
      <c r="D1493" s="70" t="str">
        <f>IF($A$3=" "," ", IFERROR( VLOOKUP($A1493,'SUPPLIER DATA BASE'!$A$2:$G$936,4,0),""))</f>
        <v/>
      </c>
      <c r="E1493" s="71" t="str">
        <f>IF($A$3=" "," ", IFERROR( VLOOKUP($A1493,'SUPPLIER DATA BASE'!$A$2:$H$936,5,0),""))</f>
        <v/>
      </c>
      <c r="F1493" s="72"/>
      <c r="G1493" s="73"/>
      <c r="H1493" s="74"/>
      <c r="I1493" s="75"/>
      <c r="J1493" s="70"/>
      <c r="K1493" s="70"/>
      <c r="L1493" s="73"/>
      <c r="M1493" s="70" t="str">
        <f t="shared" si="3"/>
        <v/>
      </c>
      <c r="N1493" s="70" t="str">
        <f>IF($A$3=" "," ", IFERROR( VLOOKUP($A1493,'SUPPLIER DATA BASE'!$A$2:$O$936,11,0),""))</f>
        <v/>
      </c>
      <c r="O1493" s="70" t="str">
        <f>IF($A$3=" "," ", IFERROR( VLOOKUP($A1493,'SUPPLIER DATA BASE'!$A$2:$O$936,12,0),""))</f>
        <v/>
      </c>
      <c r="P1493" s="70" t="str">
        <f>IF($A$3=" "," ", IFERROR( VLOOKUP($A1493,'SUPPLIER DATA BASE'!$A$2:$O$936,13,0),""))</f>
        <v/>
      </c>
      <c r="Q1493" s="77"/>
      <c r="R1493" s="73"/>
      <c r="S1493" s="77"/>
      <c r="T1493" s="70"/>
      <c r="U1493" s="78"/>
      <c r="V1493" s="70" t="str">
        <f t="shared" si="6"/>
        <v/>
      </c>
      <c r="W1493" s="23"/>
      <c r="X1493" s="23"/>
    </row>
    <row r="1494">
      <c r="A1494" s="70"/>
      <c r="B1494" s="70" t="str">
        <f>IF($A$3=" "," ", IFERROR( VLOOKUP($A1494,'SUPPLIER DATA BASE'!$A$2:$M$936,3,0),""))</f>
        <v/>
      </c>
      <c r="C1494" s="70" t="str">
        <f>IF($A$3=" "," ", IFERROR( VLOOKUP($A1494,'SUPPLIER DATA BASE'!$A$2:$F$936,6,0),""))</f>
        <v/>
      </c>
      <c r="D1494" s="70" t="str">
        <f>IF($A$3=" "," ", IFERROR( VLOOKUP($A1494,'SUPPLIER DATA BASE'!$A$2:$G$936,4,0),""))</f>
        <v/>
      </c>
      <c r="E1494" s="71" t="str">
        <f>IF($A$3=" "," ", IFERROR( VLOOKUP($A1494,'SUPPLIER DATA BASE'!$A$2:$H$936,5,0),""))</f>
        <v/>
      </c>
      <c r="F1494" s="72"/>
      <c r="G1494" s="73"/>
      <c r="H1494" s="74"/>
      <c r="I1494" s="75"/>
      <c r="J1494" s="70"/>
      <c r="K1494" s="70"/>
      <c r="L1494" s="73"/>
      <c r="M1494" s="70" t="str">
        <f t="shared" si="3"/>
        <v/>
      </c>
      <c r="N1494" s="70" t="str">
        <f>IF($A$3=" "," ", IFERROR( VLOOKUP($A1494,'SUPPLIER DATA BASE'!$A$2:$O$936,11,0),""))</f>
        <v/>
      </c>
      <c r="O1494" s="70" t="str">
        <f>IF($A$3=" "," ", IFERROR( VLOOKUP($A1494,'SUPPLIER DATA BASE'!$A$2:$O$936,12,0),""))</f>
        <v/>
      </c>
      <c r="P1494" s="70" t="str">
        <f>IF($A$3=" "," ", IFERROR( VLOOKUP($A1494,'SUPPLIER DATA BASE'!$A$2:$O$936,13,0),""))</f>
        <v/>
      </c>
      <c r="Q1494" s="77"/>
      <c r="R1494" s="73"/>
      <c r="S1494" s="77"/>
      <c r="T1494" s="70"/>
      <c r="U1494" s="78"/>
      <c r="V1494" s="70" t="str">
        <f t="shared" si="6"/>
        <v/>
      </c>
      <c r="W1494" s="23"/>
      <c r="X1494" s="23"/>
    </row>
    <row r="1495">
      <c r="A1495" s="70"/>
      <c r="B1495" s="70" t="str">
        <f>IF($A$3=" "," ", IFERROR( VLOOKUP($A1495,'SUPPLIER DATA BASE'!$A$2:$M$936,3,0),""))</f>
        <v/>
      </c>
      <c r="C1495" s="70" t="str">
        <f>IF($A$3=" "," ", IFERROR( VLOOKUP($A1495,'SUPPLIER DATA BASE'!$A$2:$F$936,6,0),""))</f>
        <v/>
      </c>
      <c r="D1495" s="70" t="str">
        <f>IF($A$3=" "," ", IFERROR( VLOOKUP($A1495,'SUPPLIER DATA BASE'!$A$2:$G$936,4,0),""))</f>
        <v/>
      </c>
      <c r="E1495" s="71" t="str">
        <f>IF($A$3=" "," ", IFERROR( VLOOKUP($A1495,'SUPPLIER DATA BASE'!$A$2:$H$936,5,0),""))</f>
        <v/>
      </c>
      <c r="F1495" s="72"/>
      <c r="G1495" s="73"/>
      <c r="H1495" s="74"/>
      <c r="I1495" s="75"/>
      <c r="J1495" s="70"/>
      <c r="K1495" s="70"/>
      <c r="L1495" s="73"/>
      <c r="M1495" s="70" t="str">
        <f t="shared" si="3"/>
        <v/>
      </c>
      <c r="N1495" s="70" t="str">
        <f>IF($A$3=" "," ", IFERROR( VLOOKUP($A1495,'SUPPLIER DATA BASE'!$A$2:$O$936,11,0),""))</f>
        <v/>
      </c>
      <c r="O1495" s="70" t="str">
        <f>IF($A$3=" "," ", IFERROR( VLOOKUP($A1495,'SUPPLIER DATA BASE'!$A$2:$O$936,12,0),""))</f>
        <v/>
      </c>
      <c r="P1495" s="70" t="str">
        <f>IF($A$3=" "," ", IFERROR( VLOOKUP($A1495,'SUPPLIER DATA BASE'!$A$2:$O$936,13,0),""))</f>
        <v/>
      </c>
      <c r="Q1495" s="77"/>
      <c r="R1495" s="73"/>
      <c r="S1495" s="77"/>
      <c r="T1495" s="70"/>
      <c r="U1495" s="78"/>
      <c r="V1495" s="70" t="str">
        <f t="shared" si="6"/>
        <v/>
      </c>
      <c r="W1495" s="23"/>
      <c r="X1495" s="23"/>
    </row>
    <row r="1496">
      <c r="A1496" s="70"/>
      <c r="B1496" s="70" t="str">
        <f>IF($A$3=" "," ", IFERROR( VLOOKUP($A1496,'SUPPLIER DATA BASE'!$A$2:$M$936,3,0),""))</f>
        <v/>
      </c>
      <c r="C1496" s="70" t="str">
        <f>IF($A$3=" "," ", IFERROR( VLOOKUP($A1496,'SUPPLIER DATA BASE'!$A$2:$F$936,6,0),""))</f>
        <v/>
      </c>
      <c r="D1496" s="70" t="str">
        <f>IF($A$3=" "," ", IFERROR( VLOOKUP($A1496,'SUPPLIER DATA BASE'!$A$2:$G$936,4,0),""))</f>
        <v/>
      </c>
      <c r="E1496" s="71" t="str">
        <f>IF($A$3=" "," ", IFERROR( VLOOKUP($A1496,'SUPPLIER DATA BASE'!$A$2:$H$936,5,0),""))</f>
        <v/>
      </c>
      <c r="F1496" s="72"/>
      <c r="G1496" s="73"/>
      <c r="H1496" s="74"/>
      <c r="I1496" s="75"/>
      <c r="J1496" s="70"/>
      <c r="K1496" s="70"/>
      <c r="L1496" s="73"/>
      <c r="M1496" s="70" t="str">
        <f t="shared" si="3"/>
        <v/>
      </c>
      <c r="N1496" s="70" t="str">
        <f>IF($A$3=" "," ", IFERROR( VLOOKUP($A1496,'SUPPLIER DATA BASE'!$A$2:$O$936,11,0),""))</f>
        <v/>
      </c>
      <c r="O1496" s="70" t="str">
        <f>IF($A$3=" "," ", IFERROR( VLOOKUP($A1496,'SUPPLIER DATA BASE'!$A$2:$O$936,12,0),""))</f>
        <v/>
      </c>
      <c r="P1496" s="70" t="str">
        <f>IF($A$3=" "," ", IFERROR( VLOOKUP($A1496,'SUPPLIER DATA BASE'!$A$2:$O$936,13,0),""))</f>
        <v/>
      </c>
      <c r="Q1496" s="77"/>
      <c r="R1496" s="73"/>
      <c r="S1496" s="77"/>
      <c r="T1496" s="70"/>
      <c r="U1496" s="78"/>
      <c r="V1496" s="70" t="str">
        <f t="shared" si="6"/>
        <v/>
      </c>
      <c r="W1496" s="23"/>
      <c r="X1496" s="23"/>
    </row>
    <row r="1497">
      <c r="A1497" s="70"/>
      <c r="B1497" s="70" t="str">
        <f>IF($A$3=" "," ", IFERROR( VLOOKUP($A1497,'SUPPLIER DATA BASE'!$A$2:$M$936,3,0),""))</f>
        <v/>
      </c>
      <c r="C1497" s="70" t="str">
        <f>IF($A$3=" "," ", IFERROR( VLOOKUP($A1497,'SUPPLIER DATA BASE'!$A$2:$F$936,6,0),""))</f>
        <v/>
      </c>
      <c r="D1497" s="70" t="str">
        <f>IF($A$3=" "," ", IFERROR( VLOOKUP($A1497,'SUPPLIER DATA BASE'!$A$2:$G$936,4,0),""))</f>
        <v/>
      </c>
      <c r="E1497" s="71" t="str">
        <f>IF($A$3=" "," ", IFERROR( VLOOKUP($A1497,'SUPPLIER DATA BASE'!$A$2:$H$936,5,0),""))</f>
        <v/>
      </c>
      <c r="F1497" s="72"/>
      <c r="G1497" s="73"/>
      <c r="H1497" s="74"/>
      <c r="I1497" s="75"/>
      <c r="J1497" s="70"/>
      <c r="K1497" s="70"/>
      <c r="L1497" s="73"/>
      <c r="M1497" s="70" t="str">
        <f t="shared" si="3"/>
        <v/>
      </c>
      <c r="N1497" s="70" t="str">
        <f>IF($A$3=" "," ", IFERROR( VLOOKUP($A1497,'SUPPLIER DATA BASE'!$A$2:$O$936,11,0),""))</f>
        <v/>
      </c>
      <c r="O1497" s="70" t="str">
        <f>IF($A$3=" "," ", IFERROR( VLOOKUP($A1497,'SUPPLIER DATA BASE'!$A$2:$O$936,12,0),""))</f>
        <v/>
      </c>
      <c r="P1497" s="70" t="str">
        <f>IF($A$3=" "," ", IFERROR( VLOOKUP($A1497,'SUPPLIER DATA BASE'!$A$2:$O$936,13,0),""))</f>
        <v/>
      </c>
      <c r="Q1497" s="77"/>
      <c r="R1497" s="73"/>
      <c r="S1497" s="77"/>
      <c r="T1497" s="70"/>
      <c r="U1497" s="78"/>
      <c r="V1497" s="70" t="str">
        <f t="shared" si="6"/>
        <v/>
      </c>
      <c r="W1497" s="23"/>
      <c r="X1497" s="23"/>
    </row>
    <row r="1498">
      <c r="A1498" s="70"/>
      <c r="B1498" s="70" t="str">
        <f>IF($A$3=" "," ", IFERROR( VLOOKUP($A1498,'SUPPLIER DATA BASE'!$A$2:$M$936,3,0),""))</f>
        <v/>
      </c>
      <c r="C1498" s="70" t="str">
        <f>IF($A$3=" "," ", IFERROR( VLOOKUP($A1498,'SUPPLIER DATA BASE'!$A$2:$F$936,6,0),""))</f>
        <v/>
      </c>
      <c r="D1498" s="70" t="str">
        <f>IF($A$3=" "," ", IFERROR( VLOOKUP($A1498,'SUPPLIER DATA BASE'!$A$2:$G$936,4,0),""))</f>
        <v/>
      </c>
      <c r="E1498" s="71" t="str">
        <f>IF($A$3=" "," ", IFERROR( VLOOKUP($A1498,'SUPPLIER DATA BASE'!$A$2:$H$936,5,0),""))</f>
        <v/>
      </c>
      <c r="F1498" s="72"/>
      <c r="G1498" s="73"/>
      <c r="H1498" s="74"/>
      <c r="I1498" s="75"/>
      <c r="J1498" s="70"/>
      <c r="K1498" s="70"/>
      <c r="L1498" s="73"/>
      <c r="M1498" s="70" t="str">
        <f t="shared" si="3"/>
        <v/>
      </c>
      <c r="N1498" s="70" t="str">
        <f>IF($A$3=" "," ", IFERROR( VLOOKUP($A1498,'SUPPLIER DATA BASE'!$A$2:$O$936,11,0),""))</f>
        <v/>
      </c>
      <c r="O1498" s="70" t="str">
        <f>IF($A$3=" "," ", IFERROR( VLOOKUP($A1498,'SUPPLIER DATA BASE'!$A$2:$O$936,12,0),""))</f>
        <v/>
      </c>
      <c r="P1498" s="70" t="str">
        <f>IF($A$3=" "," ", IFERROR( VLOOKUP($A1498,'SUPPLIER DATA BASE'!$A$2:$O$936,13,0),""))</f>
        <v/>
      </c>
      <c r="Q1498" s="77"/>
      <c r="R1498" s="73"/>
      <c r="S1498" s="77"/>
      <c r="T1498" s="70"/>
      <c r="U1498" s="78"/>
      <c r="V1498" s="70" t="str">
        <f t="shared" si="6"/>
        <v/>
      </c>
      <c r="W1498" s="23"/>
      <c r="X1498" s="23"/>
    </row>
    <row r="1499">
      <c r="A1499" s="70"/>
      <c r="B1499" s="70" t="str">
        <f>IF($A$3=" "," ", IFERROR( VLOOKUP($A1499,'SUPPLIER DATA BASE'!$A$2:$M$936,3,0),""))</f>
        <v/>
      </c>
      <c r="C1499" s="70" t="str">
        <f>IF($A$3=" "," ", IFERROR( VLOOKUP($A1499,'SUPPLIER DATA BASE'!$A$2:$F$936,6,0),""))</f>
        <v/>
      </c>
      <c r="D1499" s="70" t="str">
        <f>IF($A$3=" "," ", IFERROR( VLOOKUP($A1499,'SUPPLIER DATA BASE'!$A$2:$G$936,4,0),""))</f>
        <v/>
      </c>
      <c r="E1499" s="71" t="str">
        <f>IF($A$3=" "," ", IFERROR( VLOOKUP($A1499,'SUPPLIER DATA BASE'!$A$2:$H$936,5,0),""))</f>
        <v/>
      </c>
      <c r="F1499" s="72"/>
      <c r="G1499" s="73"/>
      <c r="H1499" s="74"/>
      <c r="I1499" s="75"/>
      <c r="J1499" s="70"/>
      <c r="K1499" s="70"/>
      <c r="L1499" s="73"/>
      <c r="M1499" s="70" t="str">
        <f t="shared" si="3"/>
        <v/>
      </c>
      <c r="N1499" s="70" t="str">
        <f>IF($A$3=" "," ", IFERROR( VLOOKUP($A1499,'SUPPLIER DATA BASE'!$A$2:$O$936,11,0),""))</f>
        <v/>
      </c>
      <c r="O1499" s="70" t="str">
        <f>IF($A$3=" "," ", IFERROR( VLOOKUP($A1499,'SUPPLIER DATA BASE'!$A$2:$O$936,12,0),""))</f>
        <v/>
      </c>
      <c r="P1499" s="70" t="str">
        <f>IF($A$3=" "," ", IFERROR( VLOOKUP($A1499,'SUPPLIER DATA BASE'!$A$2:$O$936,13,0),""))</f>
        <v/>
      </c>
      <c r="Q1499" s="77"/>
      <c r="R1499" s="73"/>
      <c r="S1499" s="77"/>
      <c r="T1499" s="70"/>
      <c r="U1499" s="78"/>
      <c r="V1499" s="70" t="str">
        <f t="shared" si="6"/>
        <v/>
      </c>
      <c r="W1499" s="23"/>
      <c r="X1499" s="23"/>
    </row>
    <row r="1500">
      <c r="A1500" s="70"/>
      <c r="B1500" s="70" t="str">
        <f>IF($A$3=" "," ", IFERROR( VLOOKUP($A1500,'SUPPLIER DATA BASE'!$A$2:$M$936,3,0),""))</f>
        <v/>
      </c>
      <c r="C1500" s="70" t="str">
        <f>IF($A$3=" "," ", IFERROR( VLOOKUP($A1500,'SUPPLIER DATA BASE'!$A$2:$F$936,6,0),""))</f>
        <v/>
      </c>
      <c r="D1500" s="70" t="str">
        <f>IF($A$3=" "," ", IFERROR( VLOOKUP($A1500,'SUPPLIER DATA BASE'!$A$2:$G$936,4,0),""))</f>
        <v/>
      </c>
      <c r="E1500" s="71" t="str">
        <f>IF($A$3=" "," ", IFERROR( VLOOKUP($A1500,'SUPPLIER DATA BASE'!$A$2:$H$936,5,0),""))</f>
        <v/>
      </c>
      <c r="F1500" s="72"/>
      <c r="G1500" s="73"/>
      <c r="H1500" s="74"/>
      <c r="I1500" s="75"/>
      <c r="J1500" s="70"/>
      <c r="K1500" s="70"/>
      <c r="L1500" s="73"/>
      <c r="M1500" s="70" t="str">
        <f t="shared" si="3"/>
        <v/>
      </c>
      <c r="N1500" s="70" t="str">
        <f>IF($A$3=" "," ", IFERROR( VLOOKUP($A1500,'SUPPLIER DATA BASE'!$A$2:$O$936,11,0),""))</f>
        <v/>
      </c>
      <c r="O1500" s="70" t="str">
        <f>IF($A$3=" "," ", IFERROR( VLOOKUP($A1500,'SUPPLIER DATA BASE'!$A$2:$O$936,12,0),""))</f>
        <v/>
      </c>
      <c r="P1500" s="70" t="str">
        <f>IF($A$3=" "," ", IFERROR( VLOOKUP($A1500,'SUPPLIER DATA BASE'!$A$2:$O$936,13,0),""))</f>
        <v/>
      </c>
      <c r="Q1500" s="77"/>
      <c r="R1500" s="73"/>
      <c r="S1500" s="77"/>
      <c r="T1500" s="70"/>
      <c r="U1500" s="78"/>
      <c r="V1500" s="70" t="str">
        <f t="shared" si="6"/>
        <v/>
      </c>
      <c r="W1500" s="23"/>
      <c r="X1500" s="23"/>
    </row>
    <row r="1501">
      <c r="A1501" s="70"/>
      <c r="B1501" s="70" t="str">
        <f>IF($A$3=" "," ", IFERROR( VLOOKUP($A1501,'SUPPLIER DATA BASE'!$A$2:$M$936,3,0),""))</f>
        <v/>
      </c>
      <c r="C1501" s="70" t="str">
        <f>IF($A$3=" "," ", IFERROR( VLOOKUP($A1501,'SUPPLIER DATA BASE'!$A$2:$F$936,6,0),""))</f>
        <v/>
      </c>
      <c r="D1501" s="70" t="str">
        <f>IF($A$3=" "," ", IFERROR( VLOOKUP($A1501,'SUPPLIER DATA BASE'!$A$2:$G$936,4,0),""))</f>
        <v/>
      </c>
      <c r="E1501" s="71" t="str">
        <f>IF($A$3=" "," ", IFERROR( VLOOKUP($A1501,'SUPPLIER DATA BASE'!$A$2:$H$936,5,0),""))</f>
        <v/>
      </c>
      <c r="F1501" s="72"/>
      <c r="G1501" s="73"/>
      <c r="H1501" s="74"/>
      <c r="I1501" s="75"/>
      <c r="J1501" s="70"/>
      <c r="K1501" s="70"/>
      <c r="L1501" s="73"/>
      <c r="M1501" s="70" t="str">
        <f t="shared" si="3"/>
        <v/>
      </c>
      <c r="N1501" s="70" t="str">
        <f>IF($A$3=" "," ", IFERROR( VLOOKUP($A1501,'SUPPLIER DATA BASE'!$A$2:$O$936,11,0),""))</f>
        <v/>
      </c>
      <c r="O1501" s="70" t="str">
        <f>IF($A$3=" "," ", IFERROR( VLOOKUP($A1501,'SUPPLIER DATA BASE'!$A$2:$O$936,12,0),""))</f>
        <v/>
      </c>
      <c r="P1501" s="70" t="str">
        <f>IF($A$3=" "," ", IFERROR( VLOOKUP($A1501,'SUPPLIER DATA BASE'!$A$2:$O$936,13,0),""))</f>
        <v/>
      </c>
      <c r="Q1501" s="77"/>
      <c r="R1501" s="73"/>
      <c r="S1501" s="77"/>
      <c r="T1501" s="70"/>
      <c r="U1501" s="78"/>
      <c r="V1501" s="70" t="str">
        <f t="shared" si="6"/>
        <v/>
      </c>
      <c r="W1501" s="23"/>
      <c r="X1501" s="23"/>
    </row>
    <row r="1502">
      <c r="A1502" s="70"/>
      <c r="B1502" s="70" t="str">
        <f>IF($A$3=" "," ", IFERROR( VLOOKUP($A1502,'SUPPLIER DATA BASE'!$A$2:$M$936,3,0),""))</f>
        <v/>
      </c>
      <c r="C1502" s="70" t="str">
        <f>IF($A$3=" "," ", IFERROR( VLOOKUP($A1502,'SUPPLIER DATA BASE'!$A$2:$F$936,6,0),""))</f>
        <v/>
      </c>
      <c r="D1502" s="70" t="str">
        <f>IF($A$3=" "," ", IFERROR( VLOOKUP($A1502,'SUPPLIER DATA BASE'!$A$2:$G$936,4,0),""))</f>
        <v/>
      </c>
      <c r="E1502" s="71" t="str">
        <f>IF($A$3=" "," ", IFERROR( VLOOKUP($A1502,'SUPPLIER DATA BASE'!$A$2:$H$936,5,0),""))</f>
        <v/>
      </c>
      <c r="F1502" s="72"/>
      <c r="G1502" s="73"/>
      <c r="H1502" s="74"/>
      <c r="I1502" s="75"/>
      <c r="J1502" s="70"/>
      <c r="K1502" s="70"/>
      <c r="L1502" s="73"/>
      <c r="M1502" s="70" t="str">
        <f t="shared" si="3"/>
        <v/>
      </c>
      <c r="N1502" s="70" t="str">
        <f>IF($A$3=" "," ", IFERROR( VLOOKUP($A1502,'SUPPLIER DATA BASE'!$A$2:$O$936,11,0),""))</f>
        <v/>
      </c>
      <c r="O1502" s="70" t="str">
        <f>IF($A$3=" "," ", IFERROR( VLOOKUP($A1502,'SUPPLIER DATA BASE'!$A$2:$O$936,12,0),""))</f>
        <v/>
      </c>
      <c r="P1502" s="70" t="str">
        <f>IF($A$3=" "," ", IFERROR( VLOOKUP($A1502,'SUPPLIER DATA BASE'!$A$2:$O$936,13,0),""))</f>
        <v/>
      </c>
      <c r="Q1502" s="77"/>
      <c r="R1502" s="73"/>
      <c r="S1502" s="77"/>
      <c r="T1502" s="70"/>
      <c r="U1502" s="78"/>
      <c r="V1502" s="70" t="str">
        <f t="shared" si="6"/>
        <v/>
      </c>
      <c r="W1502" s="23"/>
      <c r="X1502" s="23"/>
    </row>
    <row r="1503">
      <c r="A1503" s="70"/>
      <c r="B1503" s="70" t="str">
        <f>IF($A$3=" "," ", IFERROR( VLOOKUP($A1503,'SUPPLIER DATA BASE'!$A$2:$M$936,3,0),""))</f>
        <v/>
      </c>
      <c r="C1503" s="70" t="str">
        <f>IF($A$3=" "," ", IFERROR( VLOOKUP($A1503,'SUPPLIER DATA BASE'!$A$2:$F$936,6,0),""))</f>
        <v/>
      </c>
      <c r="D1503" s="70" t="str">
        <f>IF($A$3=" "," ", IFERROR( VLOOKUP($A1503,'SUPPLIER DATA BASE'!$A$2:$G$936,4,0),""))</f>
        <v/>
      </c>
      <c r="E1503" s="71" t="str">
        <f>IF($A$3=" "," ", IFERROR( VLOOKUP($A1503,'SUPPLIER DATA BASE'!$A$2:$H$936,5,0),""))</f>
        <v/>
      </c>
      <c r="F1503" s="72"/>
      <c r="G1503" s="73"/>
      <c r="H1503" s="74"/>
      <c r="I1503" s="75"/>
      <c r="J1503" s="70"/>
      <c r="K1503" s="70"/>
      <c r="L1503" s="73"/>
      <c r="M1503" s="70" t="str">
        <f t="shared" si="3"/>
        <v/>
      </c>
      <c r="N1503" s="70" t="str">
        <f>IF($A$3=" "," ", IFERROR( VLOOKUP($A1503,'SUPPLIER DATA BASE'!$A$2:$O$936,11,0),""))</f>
        <v/>
      </c>
      <c r="O1503" s="70" t="str">
        <f>IF($A$3=" "," ", IFERROR( VLOOKUP($A1503,'SUPPLIER DATA BASE'!$A$2:$O$936,12,0),""))</f>
        <v/>
      </c>
      <c r="P1503" s="70" t="str">
        <f>IF($A$3=" "," ", IFERROR( VLOOKUP($A1503,'SUPPLIER DATA BASE'!$A$2:$O$936,13,0),""))</f>
        <v/>
      </c>
      <c r="Q1503" s="77"/>
      <c r="R1503" s="73"/>
      <c r="S1503" s="77"/>
      <c r="T1503" s="70"/>
      <c r="U1503" s="78"/>
      <c r="V1503" s="70" t="str">
        <f t="shared" si="6"/>
        <v/>
      </c>
      <c r="W1503" s="23"/>
      <c r="X1503" s="23"/>
    </row>
    <row r="1504">
      <c r="A1504" s="70"/>
      <c r="B1504" s="70" t="str">
        <f>IF($A$3=" "," ", IFERROR( VLOOKUP($A1504,'SUPPLIER DATA BASE'!$A$2:$M$936,3,0),""))</f>
        <v/>
      </c>
      <c r="C1504" s="70" t="str">
        <f>IF($A$3=" "," ", IFERROR( VLOOKUP($A1504,'SUPPLIER DATA BASE'!$A$2:$F$936,6,0),""))</f>
        <v/>
      </c>
      <c r="D1504" s="70" t="str">
        <f>IF($A$3=" "," ", IFERROR( VLOOKUP($A1504,'SUPPLIER DATA BASE'!$A$2:$G$936,4,0),""))</f>
        <v/>
      </c>
      <c r="E1504" s="71" t="str">
        <f>IF($A$3=" "," ", IFERROR( VLOOKUP($A1504,'SUPPLIER DATA BASE'!$A$2:$H$936,5,0),""))</f>
        <v/>
      </c>
      <c r="F1504" s="72"/>
      <c r="G1504" s="73"/>
      <c r="H1504" s="74"/>
      <c r="I1504" s="75"/>
      <c r="J1504" s="70"/>
      <c r="K1504" s="70"/>
      <c r="L1504" s="73"/>
      <c r="M1504" s="70" t="str">
        <f t="shared" si="3"/>
        <v/>
      </c>
      <c r="N1504" s="70" t="str">
        <f>IF($A$3=" "," ", IFERROR( VLOOKUP($A1504,'SUPPLIER DATA BASE'!$A$2:$O$936,11,0),""))</f>
        <v/>
      </c>
      <c r="O1504" s="70" t="str">
        <f>IF($A$3=" "," ", IFERROR( VLOOKUP($A1504,'SUPPLIER DATA BASE'!$A$2:$O$936,12,0),""))</f>
        <v/>
      </c>
      <c r="P1504" s="70" t="str">
        <f>IF($A$3=" "," ", IFERROR( VLOOKUP($A1504,'SUPPLIER DATA BASE'!$A$2:$O$936,13,0),""))</f>
        <v/>
      </c>
      <c r="Q1504" s="77"/>
      <c r="R1504" s="73"/>
      <c r="S1504" s="77"/>
      <c r="T1504" s="70"/>
      <c r="U1504" s="78"/>
      <c r="V1504" s="70" t="str">
        <f t="shared" si="6"/>
        <v/>
      </c>
      <c r="W1504" s="23"/>
      <c r="X1504" s="23"/>
    </row>
    <row r="1505">
      <c r="A1505" s="70"/>
      <c r="B1505" s="70" t="str">
        <f>IF($A$3=" "," ", IFERROR( VLOOKUP($A1505,'SUPPLIER DATA BASE'!$A$2:$M$936,3,0),""))</f>
        <v/>
      </c>
      <c r="C1505" s="70" t="str">
        <f>IF($A$3=" "," ", IFERROR( VLOOKUP($A1505,'SUPPLIER DATA BASE'!$A$2:$F$936,6,0),""))</f>
        <v/>
      </c>
      <c r="D1505" s="70" t="str">
        <f>IF($A$3=" "," ", IFERROR( VLOOKUP($A1505,'SUPPLIER DATA BASE'!$A$2:$G$936,4,0),""))</f>
        <v/>
      </c>
      <c r="E1505" s="71" t="str">
        <f>IF($A$3=" "," ", IFERROR( VLOOKUP($A1505,'SUPPLIER DATA BASE'!$A$2:$H$936,5,0),""))</f>
        <v/>
      </c>
      <c r="F1505" s="72"/>
      <c r="G1505" s="73"/>
      <c r="H1505" s="74"/>
      <c r="I1505" s="75"/>
      <c r="J1505" s="70"/>
      <c r="K1505" s="70"/>
      <c r="L1505" s="73"/>
      <c r="M1505" s="70" t="str">
        <f t="shared" si="3"/>
        <v/>
      </c>
      <c r="N1505" s="70" t="str">
        <f>IF($A$3=" "," ", IFERROR( VLOOKUP($A1505,'SUPPLIER DATA BASE'!$A$2:$O$936,11,0),""))</f>
        <v/>
      </c>
      <c r="O1505" s="70" t="str">
        <f>IF($A$3=" "," ", IFERROR( VLOOKUP($A1505,'SUPPLIER DATA BASE'!$A$2:$O$936,12,0),""))</f>
        <v/>
      </c>
      <c r="P1505" s="70" t="str">
        <f>IF($A$3=" "," ", IFERROR( VLOOKUP($A1505,'SUPPLIER DATA BASE'!$A$2:$O$936,13,0),""))</f>
        <v/>
      </c>
      <c r="Q1505" s="77"/>
      <c r="R1505" s="73"/>
      <c r="S1505" s="77"/>
      <c r="T1505" s="70"/>
      <c r="U1505" s="78"/>
      <c r="V1505" s="70" t="str">
        <f t="shared" si="6"/>
        <v/>
      </c>
      <c r="W1505" s="23"/>
      <c r="X1505" s="23"/>
    </row>
    <row r="1506">
      <c r="A1506" s="70"/>
      <c r="B1506" s="70" t="str">
        <f>IF($A$3=" "," ", IFERROR( VLOOKUP($A1506,'SUPPLIER DATA BASE'!$A$2:$M$936,3,0),""))</f>
        <v/>
      </c>
      <c r="C1506" s="70" t="str">
        <f>IF($A$3=" "," ", IFERROR( VLOOKUP($A1506,'SUPPLIER DATA BASE'!$A$2:$F$936,6,0),""))</f>
        <v/>
      </c>
      <c r="D1506" s="70" t="str">
        <f>IF($A$3=" "," ", IFERROR( VLOOKUP($A1506,'SUPPLIER DATA BASE'!$A$2:$G$936,4,0),""))</f>
        <v/>
      </c>
      <c r="E1506" s="71" t="str">
        <f>IF($A$3=" "," ", IFERROR( VLOOKUP($A1506,'SUPPLIER DATA BASE'!$A$2:$H$936,5,0),""))</f>
        <v/>
      </c>
      <c r="F1506" s="72"/>
      <c r="G1506" s="73"/>
      <c r="H1506" s="74"/>
      <c r="I1506" s="75"/>
      <c r="J1506" s="70"/>
      <c r="K1506" s="70"/>
      <c r="L1506" s="73"/>
      <c r="M1506" s="70" t="str">
        <f t="shared" si="3"/>
        <v/>
      </c>
      <c r="N1506" s="70" t="str">
        <f>IF($A$3=" "," ", IFERROR( VLOOKUP($A1506,'SUPPLIER DATA BASE'!$A$2:$O$936,11,0),""))</f>
        <v/>
      </c>
      <c r="O1506" s="70" t="str">
        <f>IF($A$3=" "," ", IFERROR( VLOOKUP($A1506,'SUPPLIER DATA BASE'!$A$2:$O$936,12,0),""))</f>
        <v/>
      </c>
      <c r="P1506" s="70" t="str">
        <f>IF($A$3=" "," ", IFERROR( VLOOKUP($A1506,'SUPPLIER DATA BASE'!$A$2:$O$936,13,0),""))</f>
        <v/>
      </c>
      <c r="Q1506" s="77"/>
      <c r="R1506" s="73"/>
      <c r="S1506" s="77"/>
      <c r="T1506" s="70"/>
      <c r="U1506" s="78"/>
      <c r="V1506" s="70" t="str">
        <f t="shared" si="6"/>
        <v/>
      </c>
      <c r="W1506" s="23"/>
      <c r="X1506" s="23"/>
    </row>
    <row r="1507">
      <c r="A1507" s="70"/>
      <c r="B1507" s="70" t="str">
        <f>IF($A$3=" "," ", IFERROR( VLOOKUP($A1507,'SUPPLIER DATA BASE'!$A$2:$M$936,3,0),""))</f>
        <v/>
      </c>
      <c r="C1507" s="70" t="str">
        <f>IF($A$3=" "," ", IFERROR( VLOOKUP($A1507,'SUPPLIER DATA BASE'!$A$2:$F$936,6,0),""))</f>
        <v/>
      </c>
      <c r="D1507" s="70" t="str">
        <f>IF($A$3=" "," ", IFERROR( VLOOKUP($A1507,'SUPPLIER DATA BASE'!$A$2:$G$936,4,0),""))</f>
        <v/>
      </c>
      <c r="E1507" s="71" t="str">
        <f>IF($A$3=" "," ", IFERROR( VLOOKUP($A1507,'SUPPLIER DATA BASE'!$A$2:$H$936,5,0),""))</f>
        <v/>
      </c>
      <c r="F1507" s="72"/>
      <c r="G1507" s="73"/>
      <c r="H1507" s="74"/>
      <c r="I1507" s="75"/>
      <c r="J1507" s="70"/>
      <c r="K1507" s="70"/>
      <c r="L1507" s="73"/>
      <c r="M1507" s="70" t="str">
        <f t="shared" si="3"/>
        <v/>
      </c>
      <c r="N1507" s="70" t="str">
        <f>IF($A$3=" "," ", IFERROR( VLOOKUP($A1507,'SUPPLIER DATA BASE'!$A$2:$O$936,11,0),""))</f>
        <v/>
      </c>
      <c r="O1507" s="70" t="str">
        <f>IF($A$3=" "," ", IFERROR( VLOOKUP($A1507,'SUPPLIER DATA BASE'!$A$2:$O$936,12,0),""))</f>
        <v/>
      </c>
      <c r="P1507" s="70" t="str">
        <f>IF($A$3=" "," ", IFERROR( VLOOKUP($A1507,'SUPPLIER DATA BASE'!$A$2:$O$936,13,0),""))</f>
        <v/>
      </c>
      <c r="Q1507" s="77"/>
      <c r="R1507" s="73"/>
      <c r="S1507" s="77"/>
      <c r="T1507" s="70"/>
      <c r="U1507" s="78"/>
      <c r="V1507" s="70" t="str">
        <f t="shared" si="6"/>
        <v/>
      </c>
      <c r="W1507" s="23"/>
      <c r="X1507" s="23"/>
    </row>
    <row r="1508">
      <c r="A1508" s="70"/>
      <c r="B1508" s="70" t="str">
        <f>IF($A$3=" "," ", IFERROR( VLOOKUP($A1508,'SUPPLIER DATA BASE'!$A$2:$M$936,3,0),""))</f>
        <v/>
      </c>
      <c r="C1508" s="70" t="str">
        <f>IF($A$3=" "," ", IFERROR( VLOOKUP($A1508,'SUPPLIER DATA BASE'!$A$2:$F$936,6,0),""))</f>
        <v/>
      </c>
      <c r="D1508" s="70" t="str">
        <f>IF($A$3=" "," ", IFERROR( VLOOKUP($A1508,'SUPPLIER DATA BASE'!$A$2:$G$936,4,0),""))</f>
        <v/>
      </c>
      <c r="E1508" s="71" t="str">
        <f>IF($A$3=" "," ", IFERROR( VLOOKUP($A1508,'SUPPLIER DATA BASE'!$A$2:$H$936,5,0),""))</f>
        <v/>
      </c>
      <c r="F1508" s="72"/>
      <c r="G1508" s="73"/>
      <c r="H1508" s="74"/>
      <c r="I1508" s="75"/>
      <c r="J1508" s="70"/>
      <c r="K1508" s="70"/>
      <c r="L1508" s="73"/>
      <c r="M1508" s="70" t="str">
        <f t="shared" si="3"/>
        <v/>
      </c>
      <c r="N1508" s="70" t="str">
        <f>IF($A$3=" "," ", IFERROR( VLOOKUP($A1508,'SUPPLIER DATA BASE'!$A$2:$O$936,11,0),""))</f>
        <v/>
      </c>
      <c r="O1508" s="70" t="str">
        <f>IF($A$3=" "," ", IFERROR( VLOOKUP($A1508,'SUPPLIER DATA BASE'!$A$2:$O$936,12,0),""))</f>
        <v/>
      </c>
      <c r="P1508" s="70" t="str">
        <f>IF($A$3=" "," ", IFERROR( VLOOKUP($A1508,'SUPPLIER DATA BASE'!$A$2:$O$936,13,0),""))</f>
        <v/>
      </c>
      <c r="Q1508" s="77"/>
      <c r="R1508" s="73"/>
      <c r="S1508" s="77"/>
      <c r="T1508" s="70"/>
      <c r="U1508" s="78"/>
      <c r="V1508" s="70" t="str">
        <f t="shared" si="6"/>
        <v/>
      </c>
      <c r="W1508" s="23"/>
      <c r="X1508" s="23"/>
    </row>
    <row r="1509">
      <c r="A1509" s="70"/>
      <c r="B1509" s="70" t="str">
        <f>IF($A$3=" "," ", IFERROR( VLOOKUP($A1509,'SUPPLIER DATA BASE'!$A$2:$M$936,3,0),""))</f>
        <v/>
      </c>
      <c r="C1509" s="70" t="str">
        <f>IF($A$3=" "," ", IFERROR( VLOOKUP($A1509,'SUPPLIER DATA BASE'!$A$2:$F$936,6,0),""))</f>
        <v/>
      </c>
      <c r="D1509" s="70" t="str">
        <f>IF($A$3=" "," ", IFERROR( VLOOKUP($A1509,'SUPPLIER DATA BASE'!$A$2:$G$936,4,0),""))</f>
        <v/>
      </c>
      <c r="E1509" s="71" t="str">
        <f>IF($A$3=" "," ", IFERROR( VLOOKUP($A1509,'SUPPLIER DATA BASE'!$A$2:$H$936,5,0),""))</f>
        <v/>
      </c>
      <c r="F1509" s="72"/>
      <c r="G1509" s="73"/>
      <c r="H1509" s="74"/>
      <c r="I1509" s="75"/>
      <c r="J1509" s="70"/>
      <c r="K1509" s="70"/>
      <c r="L1509" s="73"/>
      <c r="M1509" s="70" t="str">
        <f t="shared" si="3"/>
        <v/>
      </c>
      <c r="N1509" s="70" t="str">
        <f>IF($A$3=" "," ", IFERROR( VLOOKUP($A1509,'SUPPLIER DATA BASE'!$A$2:$O$936,11,0),""))</f>
        <v/>
      </c>
      <c r="O1509" s="70" t="str">
        <f>IF($A$3=" "," ", IFERROR( VLOOKUP($A1509,'SUPPLIER DATA BASE'!$A$2:$O$936,12,0),""))</f>
        <v/>
      </c>
      <c r="P1509" s="70" t="str">
        <f>IF($A$3=" "," ", IFERROR( VLOOKUP($A1509,'SUPPLIER DATA BASE'!$A$2:$O$936,13,0),""))</f>
        <v/>
      </c>
      <c r="Q1509" s="77"/>
      <c r="R1509" s="73"/>
      <c r="S1509" s="77"/>
      <c r="T1509" s="70"/>
      <c r="U1509" s="78"/>
      <c r="V1509" s="70" t="str">
        <f t="shared" si="6"/>
        <v/>
      </c>
      <c r="W1509" s="23"/>
      <c r="X1509" s="23"/>
    </row>
    <row r="1510">
      <c r="A1510" s="70"/>
      <c r="B1510" s="70" t="str">
        <f>IF($A$3=" "," ", IFERROR( VLOOKUP($A1510,'SUPPLIER DATA BASE'!$A$2:$M$936,3,0),""))</f>
        <v/>
      </c>
      <c r="C1510" s="70" t="str">
        <f>IF($A$3=" "," ", IFERROR( VLOOKUP($A1510,'SUPPLIER DATA BASE'!$A$2:$F$936,6,0),""))</f>
        <v/>
      </c>
      <c r="D1510" s="70" t="str">
        <f>IF($A$3=" "," ", IFERROR( VLOOKUP($A1510,'SUPPLIER DATA BASE'!$A$2:$G$936,4,0),""))</f>
        <v/>
      </c>
      <c r="E1510" s="71" t="str">
        <f>IF($A$3=" "," ", IFERROR( VLOOKUP($A1510,'SUPPLIER DATA BASE'!$A$2:$H$936,5,0),""))</f>
        <v/>
      </c>
      <c r="F1510" s="72"/>
      <c r="G1510" s="73"/>
      <c r="H1510" s="74"/>
      <c r="I1510" s="75"/>
      <c r="J1510" s="70"/>
      <c r="K1510" s="70"/>
      <c r="L1510" s="73"/>
      <c r="M1510" s="70" t="str">
        <f t="shared" si="3"/>
        <v/>
      </c>
      <c r="N1510" s="70" t="str">
        <f>IF($A$3=" "," ", IFERROR( VLOOKUP($A1510,'SUPPLIER DATA BASE'!$A$2:$O$936,11,0),""))</f>
        <v/>
      </c>
      <c r="O1510" s="70" t="str">
        <f>IF($A$3=" "," ", IFERROR( VLOOKUP($A1510,'SUPPLIER DATA BASE'!$A$2:$O$936,12,0),""))</f>
        <v/>
      </c>
      <c r="P1510" s="70" t="str">
        <f>IF($A$3=" "," ", IFERROR( VLOOKUP($A1510,'SUPPLIER DATA BASE'!$A$2:$O$936,13,0),""))</f>
        <v/>
      </c>
      <c r="Q1510" s="77"/>
      <c r="R1510" s="73"/>
      <c r="S1510" s="77"/>
      <c r="T1510" s="70"/>
      <c r="U1510" s="78"/>
      <c r="V1510" s="70" t="str">
        <f t="shared" si="6"/>
        <v/>
      </c>
      <c r="W1510" s="23"/>
      <c r="X1510" s="23"/>
    </row>
    <row r="1511">
      <c r="A1511" s="70"/>
      <c r="B1511" s="70" t="str">
        <f>IF($A$3=" "," ", IFERROR( VLOOKUP($A1511,'SUPPLIER DATA BASE'!$A$2:$M$936,3,0),""))</f>
        <v/>
      </c>
      <c r="C1511" s="70" t="str">
        <f>IF($A$3=" "," ", IFERROR( VLOOKUP($A1511,'SUPPLIER DATA BASE'!$A$2:$F$936,6,0),""))</f>
        <v/>
      </c>
      <c r="D1511" s="70" t="str">
        <f>IF($A$3=" "," ", IFERROR( VLOOKUP($A1511,'SUPPLIER DATA BASE'!$A$2:$G$936,4,0),""))</f>
        <v/>
      </c>
      <c r="E1511" s="71" t="str">
        <f>IF($A$3=" "," ", IFERROR( VLOOKUP($A1511,'SUPPLIER DATA BASE'!$A$2:$H$936,5,0),""))</f>
        <v/>
      </c>
      <c r="F1511" s="72"/>
      <c r="G1511" s="73"/>
      <c r="H1511" s="74"/>
      <c r="I1511" s="75"/>
      <c r="J1511" s="70"/>
      <c r="K1511" s="70"/>
      <c r="L1511" s="73"/>
      <c r="M1511" s="70" t="str">
        <f t="shared" si="3"/>
        <v/>
      </c>
      <c r="N1511" s="70" t="str">
        <f>IF($A$3=" "," ", IFERROR( VLOOKUP($A1511,'SUPPLIER DATA BASE'!$A$2:$O$936,11,0),""))</f>
        <v/>
      </c>
      <c r="O1511" s="70" t="str">
        <f>IF($A$3=" "," ", IFERROR( VLOOKUP($A1511,'SUPPLIER DATA BASE'!$A$2:$O$936,12,0),""))</f>
        <v/>
      </c>
      <c r="P1511" s="70" t="str">
        <f>IF($A$3=" "," ", IFERROR( VLOOKUP($A1511,'SUPPLIER DATA BASE'!$A$2:$O$936,13,0),""))</f>
        <v/>
      </c>
      <c r="Q1511" s="77"/>
      <c r="R1511" s="73"/>
      <c r="S1511" s="77"/>
      <c r="T1511" s="70"/>
      <c r="U1511" s="78"/>
      <c r="V1511" s="70" t="str">
        <f t="shared" si="6"/>
        <v/>
      </c>
      <c r="W1511" s="23"/>
      <c r="X1511" s="23"/>
    </row>
    <row r="1512">
      <c r="A1512" s="70"/>
      <c r="B1512" s="70" t="str">
        <f>IF($A$3=" "," ", IFERROR( VLOOKUP($A1512,'SUPPLIER DATA BASE'!$A$2:$M$936,3,0),""))</f>
        <v/>
      </c>
      <c r="C1512" s="70" t="str">
        <f>IF($A$3=" "," ", IFERROR( VLOOKUP($A1512,'SUPPLIER DATA BASE'!$A$2:$F$936,6,0),""))</f>
        <v/>
      </c>
      <c r="D1512" s="70" t="str">
        <f>IF($A$3=" "," ", IFERROR( VLOOKUP($A1512,'SUPPLIER DATA BASE'!$A$2:$G$936,4,0),""))</f>
        <v/>
      </c>
      <c r="E1512" s="71" t="str">
        <f>IF($A$3=" "," ", IFERROR( VLOOKUP($A1512,'SUPPLIER DATA BASE'!$A$2:$H$936,5,0),""))</f>
        <v/>
      </c>
      <c r="F1512" s="72"/>
      <c r="G1512" s="73"/>
      <c r="H1512" s="74"/>
      <c r="I1512" s="75"/>
      <c r="J1512" s="70"/>
      <c r="K1512" s="70"/>
      <c r="L1512" s="73"/>
      <c r="M1512" s="70" t="str">
        <f t="shared" si="3"/>
        <v/>
      </c>
      <c r="N1512" s="70" t="str">
        <f>IF($A$3=" "," ", IFERROR( VLOOKUP($A1512,'SUPPLIER DATA BASE'!$A$2:$O$936,11,0),""))</f>
        <v/>
      </c>
      <c r="O1512" s="70" t="str">
        <f>IF($A$3=" "," ", IFERROR( VLOOKUP($A1512,'SUPPLIER DATA BASE'!$A$2:$O$936,12,0),""))</f>
        <v/>
      </c>
      <c r="P1512" s="70" t="str">
        <f>IF($A$3=" "," ", IFERROR( VLOOKUP($A1512,'SUPPLIER DATA BASE'!$A$2:$O$936,13,0),""))</f>
        <v/>
      </c>
      <c r="Q1512" s="77"/>
      <c r="R1512" s="73"/>
      <c r="S1512" s="77"/>
      <c r="T1512" s="70"/>
      <c r="U1512" s="78"/>
      <c r="V1512" s="70" t="str">
        <f t="shared" si="6"/>
        <v/>
      </c>
      <c r="W1512" s="23"/>
      <c r="X1512" s="23"/>
    </row>
    <row r="1513">
      <c r="A1513" s="70"/>
      <c r="B1513" s="70" t="str">
        <f>IF($A$3=" "," ", IFERROR( VLOOKUP($A1513,'SUPPLIER DATA BASE'!$A$2:$M$936,3,0),""))</f>
        <v/>
      </c>
      <c r="C1513" s="70" t="str">
        <f>IF($A$3=" "," ", IFERROR( VLOOKUP($A1513,'SUPPLIER DATA BASE'!$A$2:$F$936,6,0),""))</f>
        <v/>
      </c>
      <c r="D1513" s="70" t="str">
        <f>IF($A$3=" "," ", IFERROR( VLOOKUP($A1513,'SUPPLIER DATA BASE'!$A$2:$G$936,4,0),""))</f>
        <v/>
      </c>
      <c r="E1513" s="71" t="str">
        <f>IF($A$3=" "," ", IFERROR( VLOOKUP($A1513,'SUPPLIER DATA BASE'!$A$2:$H$936,5,0),""))</f>
        <v/>
      </c>
      <c r="F1513" s="72"/>
      <c r="G1513" s="73"/>
      <c r="H1513" s="74"/>
      <c r="I1513" s="75"/>
      <c r="J1513" s="70"/>
      <c r="K1513" s="70"/>
      <c r="L1513" s="73"/>
      <c r="M1513" s="70" t="str">
        <f t="shared" si="3"/>
        <v/>
      </c>
      <c r="N1513" s="70" t="str">
        <f>IF($A$3=" "," ", IFERROR( VLOOKUP($A1513,'SUPPLIER DATA BASE'!$A$2:$O$936,11,0),""))</f>
        <v/>
      </c>
      <c r="O1513" s="70" t="str">
        <f>IF($A$3=" "," ", IFERROR( VLOOKUP($A1513,'SUPPLIER DATA BASE'!$A$2:$O$936,12,0),""))</f>
        <v/>
      </c>
      <c r="P1513" s="70" t="str">
        <f>IF($A$3=" "," ", IFERROR( VLOOKUP($A1513,'SUPPLIER DATA BASE'!$A$2:$O$936,13,0),""))</f>
        <v/>
      </c>
      <c r="Q1513" s="77"/>
      <c r="R1513" s="73"/>
      <c r="S1513" s="77"/>
      <c r="T1513" s="70"/>
      <c r="U1513" s="78"/>
      <c r="V1513" s="70" t="str">
        <f t="shared" si="6"/>
        <v/>
      </c>
      <c r="W1513" s="23"/>
      <c r="X1513" s="23"/>
    </row>
    <row r="1514">
      <c r="A1514" s="70"/>
      <c r="B1514" s="70" t="str">
        <f>IF($A$3=" "," ", IFERROR( VLOOKUP($A1514,'SUPPLIER DATA BASE'!$A$2:$M$936,3,0),""))</f>
        <v/>
      </c>
      <c r="C1514" s="70" t="str">
        <f>IF($A$3=" "," ", IFERROR( VLOOKUP($A1514,'SUPPLIER DATA BASE'!$A$2:$F$936,6,0),""))</f>
        <v/>
      </c>
      <c r="D1514" s="70" t="str">
        <f>IF($A$3=" "," ", IFERROR( VLOOKUP($A1514,'SUPPLIER DATA BASE'!$A$2:$G$936,4,0),""))</f>
        <v/>
      </c>
      <c r="E1514" s="71" t="str">
        <f>IF($A$3=" "," ", IFERROR( VLOOKUP($A1514,'SUPPLIER DATA BASE'!$A$2:$H$936,5,0),""))</f>
        <v/>
      </c>
      <c r="F1514" s="72"/>
      <c r="G1514" s="73"/>
      <c r="H1514" s="74"/>
      <c r="I1514" s="75"/>
      <c r="J1514" s="70"/>
      <c r="K1514" s="70"/>
      <c r="L1514" s="73"/>
      <c r="M1514" s="70" t="str">
        <f t="shared" si="3"/>
        <v/>
      </c>
      <c r="N1514" s="70" t="str">
        <f>IF($A$3=" "," ", IFERROR( VLOOKUP($A1514,'SUPPLIER DATA BASE'!$A$2:$O$936,11,0),""))</f>
        <v/>
      </c>
      <c r="O1514" s="70" t="str">
        <f>IF($A$3=" "," ", IFERROR( VLOOKUP($A1514,'SUPPLIER DATA BASE'!$A$2:$O$936,12,0),""))</f>
        <v/>
      </c>
      <c r="P1514" s="70" t="str">
        <f>IF($A$3=" "," ", IFERROR( VLOOKUP($A1514,'SUPPLIER DATA BASE'!$A$2:$O$936,13,0),""))</f>
        <v/>
      </c>
      <c r="Q1514" s="77"/>
      <c r="R1514" s="73"/>
      <c r="S1514" s="77"/>
      <c r="T1514" s="70"/>
      <c r="U1514" s="78"/>
      <c r="V1514" s="70" t="str">
        <f t="shared" si="6"/>
        <v/>
      </c>
      <c r="W1514" s="23"/>
      <c r="X1514" s="23"/>
    </row>
    <row r="1515">
      <c r="A1515" s="70"/>
      <c r="B1515" s="70" t="str">
        <f>IF($A$3=" "," ", IFERROR( VLOOKUP($A1515,'SUPPLIER DATA BASE'!$A$2:$M$936,3,0),""))</f>
        <v/>
      </c>
      <c r="C1515" s="70" t="str">
        <f>IF($A$3=" "," ", IFERROR( VLOOKUP($A1515,'SUPPLIER DATA BASE'!$A$2:$F$936,6,0),""))</f>
        <v/>
      </c>
      <c r="D1515" s="70" t="str">
        <f>IF($A$3=" "," ", IFERROR( VLOOKUP($A1515,'SUPPLIER DATA BASE'!$A$2:$G$936,4,0),""))</f>
        <v/>
      </c>
      <c r="E1515" s="71" t="str">
        <f>IF($A$3=" "," ", IFERROR( VLOOKUP($A1515,'SUPPLIER DATA BASE'!$A$2:$H$936,5,0),""))</f>
        <v/>
      </c>
      <c r="F1515" s="72"/>
      <c r="G1515" s="73"/>
      <c r="H1515" s="74"/>
      <c r="I1515" s="75"/>
      <c r="J1515" s="70"/>
      <c r="K1515" s="70"/>
      <c r="L1515" s="73"/>
      <c r="M1515" s="70" t="str">
        <f t="shared" si="3"/>
        <v/>
      </c>
      <c r="N1515" s="70" t="str">
        <f>IF($A$3=" "," ", IFERROR( VLOOKUP($A1515,'SUPPLIER DATA BASE'!$A$2:$O$936,11,0),""))</f>
        <v/>
      </c>
      <c r="O1515" s="70" t="str">
        <f>IF($A$3=" "," ", IFERROR( VLOOKUP($A1515,'SUPPLIER DATA BASE'!$A$2:$O$936,12,0),""))</f>
        <v/>
      </c>
      <c r="P1515" s="70" t="str">
        <f>IF($A$3=" "," ", IFERROR( VLOOKUP($A1515,'SUPPLIER DATA BASE'!$A$2:$O$936,13,0),""))</f>
        <v/>
      </c>
      <c r="Q1515" s="77"/>
      <c r="R1515" s="73"/>
      <c r="S1515" s="77"/>
      <c r="T1515" s="70"/>
      <c r="U1515" s="78"/>
      <c r="V1515" s="70" t="str">
        <f t="shared" si="6"/>
        <v/>
      </c>
      <c r="W1515" s="23"/>
      <c r="X1515" s="23"/>
    </row>
    <row r="1516">
      <c r="A1516" s="70"/>
      <c r="B1516" s="70" t="str">
        <f>IF($A$3=" "," ", IFERROR( VLOOKUP($A1516,'SUPPLIER DATA BASE'!$A$2:$M$936,3,0),""))</f>
        <v/>
      </c>
      <c r="C1516" s="70" t="str">
        <f>IF($A$3=" "," ", IFERROR( VLOOKUP($A1516,'SUPPLIER DATA BASE'!$A$2:$F$936,6,0),""))</f>
        <v/>
      </c>
      <c r="D1516" s="70" t="str">
        <f>IF($A$3=" "," ", IFERROR( VLOOKUP($A1516,'SUPPLIER DATA BASE'!$A$2:$G$936,4,0),""))</f>
        <v/>
      </c>
      <c r="E1516" s="71" t="str">
        <f>IF($A$3=" "," ", IFERROR( VLOOKUP($A1516,'SUPPLIER DATA BASE'!$A$2:$H$936,5,0),""))</f>
        <v/>
      </c>
      <c r="F1516" s="72"/>
      <c r="G1516" s="73"/>
      <c r="H1516" s="74"/>
      <c r="I1516" s="75"/>
      <c r="J1516" s="70"/>
      <c r="K1516" s="70"/>
      <c r="L1516" s="73"/>
      <c r="M1516" s="70" t="str">
        <f t="shared" si="3"/>
        <v/>
      </c>
      <c r="N1516" s="70" t="str">
        <f>IF($A$3=" "," ", IFERROR( VLOOKUP($A1516,'SUPPLIER DATA BASE'!$A$2:$O$936,11,0),""))</f>
        <v/>
      </c>
      <c r="O1516" s="70" t="str">
        <f>IF($A$3=" "," ", IFERROR( VLOOKUP($A1516,'SUPPLIER DATA BASE'!$A$2:$O$936,12,0),""))</f>
        <v/>
      </c>
      <c r="P1516" s="70" t="str">
        <f>IF($A$3=" "," ", IFERROR( VLOOKUP($A1516,'SUPPLIER DATA BASE'!$A$2:$O$936,13,0),""))</f>
        <v/>
      </c>
      <c r="Q1516" s="77"/>
      <c r="R1516" s="73"/>
      <c r="S1516" s="77"/>
      <c r="T1516" s="70"/>
      <c r="U1516" s="78"/>
      <c r="V1516" s="70" t="str">
        <f t="shared" si="6"/>
        <v/>
      </c>
      <c r="W1516" s="23"/>
      <c r="X1516" s="23"/>
    </row>
    <row r="1517">
      <c r="A1517" s="70"/>
      <c r="B1517" s="70" t="str">
        <f>IF($A$3=" "," ", IFERROR( VLOOKUP($A1517,'SUPPLIER DATA BASE'!$A$2:$M$936,3,0),""))</f>
        <v/>
      </c>
      <c r="C1517" s="70" t="str">
        <f>IF($A$3=" "," ", IFERROR( VLOOKUP($A1517,'SUPPLIER DATA BASE'!$A$2:$F$936,6,0),""))</f>
        <v/>
      </c>
      <c r="D1517" s="70" t="str">
        <f>IF($A$3=" "," ", IFERROR( VLOOKUP($A1517,'SUPPLIER DATA BASE'!$A$2:$G$936,4,0),""))</f>
        <v/>
      </c>
      <c r="E1517" s="71" t="str">
        <f>IF($A$3=" "," ", IFERROR( VLOOKUP($A1517,'SUPPLIER DATA BASE'!$A$2:$H$936,5,0),""))</f>
        <v/>
      </c>
      <c r="F1517" s="72"/>
      <c r="G1517" s="73"/>
      <c r="H1517" s="74"/>
      <c r="I1517" s="75"/>
      <c r="J1517" s="70"/>
      <c r="K1517" s="70"/>
      <c r="L1517" s="73"/>
      <c r="M1517" s="70" t="str">
        <f t="shared" si="3"/>
        <v/>
      </c>
      <c r="N1517" s="70" t="str">
        <f>IF($A$3=" "," ", IFERROR( VLOOKUP($A1517,'SUPPLIER DATA BASE'!$A$2:$O$936,11,0),""))</f>
        <v/>
      </c>
      <c r="O1517" s="70" t="str">
        <f>IF($A$3=" "," ", IFERROR( VLOOKUP($A1517,'SUPPLIER DATA BASE'!$A$2:$O$936,12,0),""))</f>
        <v/>
      </c>
      <c r="P1517" s="70" t="str">
        <f>IF($A$3=" "," ", IFERROR( VLOOKUP($A1517,'SUPPLIER DATA BASE'!$A$2:$O$936,13,0),""))</f>
        <v/>
      </c>
      <c r="Q1517" s="77"/>
      <c r="R1517" s="73"/>
      <c r="S1517" s="77"/>
      <c r="T1517" s="70"/>
      <c r="U1517" s="78"/>
      <c r="V1517" s="70" t="str">
        <f t="shared" si="6"/>
        <v/>
      </c>
      <c r="W1517" s="23"/>
      <c r="X1517" s="23"/>
    </row>
    <row r="1518">
      <c r="A1518" s="70"/>
      <c r="B1518" s="70" t="str">
        <f>IF($A$3=" "," ", IFERROR( VLOOKUP($A1518,'SUPPLIER DATA BASE'!$A$2:$M$936,3,0),""))</f>
        <v/>
      </c>
      <c r="C1518" s="70" t="str">
        <f>IF($A$3=" "," ", IFERROR( VLOOKUP($A1518,'SUPPLIER DATA BASE'!$A$2:$F$936,6,0),""))</f>
        <v/>
      </c>
      <c r="D1518" s="70" t="str">
        <f>IF($A$3=" "," ", IFERROR( VLOOKUP($A1518,'SUPPLIER DATA BASE'!$A$2:$G$936,4,0),""))</f>
        <v/>
      </c>
      <c r="E1518" s="71" t="str">
        <f>IF($A$3=" "," ", IFERROR( VLOOKUP($A1518,'SUPPLIER DATA BASE'!$A$2:$H$936,5,0),""))</f>
        <v/>
      </c>
      <c r="F1518" s="72"/>
      <c r="G1518" s="73"/>
      <c r="H1518" s="74"/>
      <c r="I1518" s="75"/>
      <c r="J1518" s="70"/>
      <c r="K1518" s="70"/>
      <c r="L1518" s="73"/>
      <c r="M1518" s="70" t="str">
        <f t="shared" si="3"/>
        <v/>
      </c>
      <c r="N1518" s="70" t="str">
        <f>IF($A$3=" "," ", IFERROR( VLOOKUP($A1518,'SUPPLIER DATA BASE'!$A$2:$O$936,11,0),""))</f>
        <v/>
      </c>
      <c r="O1518" s="70" t="str">
        <f>IF($A$3=" "," ", IFERROR( VLOOKUP($A1518,'SUPPLIER DATA BASE'!$A$2:$O$936,12,0),""))</f>
        <v/>
      </c>
      <c r="P1518" s="70" t="str">
        <f>IF($A$3=" "," ", IFERROR( VLOOKUP($A1518,'SUPPLIER DATA BASE'!$A$2:$O$936,13,0),""))</f>
        <v/>
      </c>
      <c r="Q1518" s="77"/>
      <c r="R1518" s="73"/>
      <c r="S1518" s="77"/>
      <c r="T1518" s="70"/>
      <c r="U1518" s="78"/>
      <c r="V1518" s="70" t="str">
        <f t="shared" si="6"/>
        <v/>
      </c>
      <c r="W1518" s="23"/>
      <c r="X1518" s="23"/>
    </row>
    <row r="1519">
      <c r="A1519" s="70"/>
      <c r="B1519" s="70" t="str">
        <f>IF($A$3=" "," ", IFERROR( VLOOKUP($A1519,'SUPPLIER DATA BASE'!$A$2:$M$936,3,0),""))</f>
        <v/>
      </c>
      <c r="C1519" s="70" t="str">
        <f>IF($A$3=" "," ", IFERROR( VLOOKUP($A1519,'SUPPLIER DATA BASE'!$A$2:$F$936,6,0),""))</f>
        <v/>
      </c>
      <c r="D1519" s="70" t="str">
        <f>IF($A$3=" "," ", IFERROR( VLOOKUP($A1519,'SUPPLIER DATA BASE'!$A$2:$G$936,4,0),""))</f>
        <v/>
      </c>
      <c r="E1519" s="71" t="str">
        <f>IF($A$3=" "," ", IFERROR( VLOOKUP($A1519,'SUPPLIER DATA BASE'!$A$2:$H$936,5,0),""))</f>
        <v/>
      </c>
      <c r="F1519" s="72"/>
      <c r="G1519" s="73"/>
      <c r="H1519" s="74"/>
      <c r="I1519" s="75"/>
      <c r="J1519" s="70"/>
      <c r="K1519" s="70"/>
      <c r="L1519" s="73"/>
      <c r="M1519" s="70" t="str">
        <f t="shared" si="3"/>
        <v/>
      </c>
      <c r="N1519" s="70" t="str">
        <f>IF($A$3=" "," ", IFERROR( VLOOKUP($A1519,'SUPPLIER DATA BASE'!$A$2:$O$936,11,0),""))</f>
        <v/>
      </c>
      <c r="O1519" s="70" t="str">
        <f>IF($A$3=" "," ", IFERROR( VLOOKUP($A1519,'SUPPLIER DATA BASE'!$A$2:$O$936,12,0),""))</f>
        <v/>
      </c>
      <c r="P1519" s="70" t="str">
        <f>IF($A$3=" "," ", IFERROR( VLOOKUP($A1519,'SUPPLIER DATA BASE'!$A$2:$O$936,13,0),""))</f>
        <v/>
      </c>
      <c r="Q1519" s="77"/>
      <c r="R1519" s="73"/>
      <c r="S1519" s="77"/>
      <c r="T1519" s="70"/>
      <c r="U1519" s="78"/>
      <c r="V1519" s="70" t="str">
        <f t="shared" si="6"/>
        <v/>
      </c>
      <c r="W1519" s="23"/>
      <c r="X1519" s="23"/>
    </row>
    <row r="1520">
      <c r="A1520" s="70"/>
      <c r="B1520" s="70" t="str">
        <f>IF($A$3=" "," ", IFERROR( VLOOKUP($A1520,'SUPPLIER DATA BASE'!$A$2:$M$936,3,0),""))</f>
        <v/>
      </c>
      <c r="C1520" s="70" t="str">
        <f>IF($A$3=" "," ", IFERROR( VLOOKUP($A1520,'SUPPLIER DATA BASE'!$A$2:$F$936,6,0),""))</f>
        <v/>
      </c>
      <c r="D1520" s="70" t="str">
        <f>IF($A$3=" "," ", IFERROR( VLOOKUP($A1520,'SUPPLIER DATA BASE'!$A$2:$G$936,4,0),""))</f>
        <v/>
      </c>
      <c r="E1520" s="71" t="str">
        <f>IF($A$3=" "," ", IFERROR( VLOOKUP($A1520,'SUPPLIER DATA BASE'!$A$2:$H$936,5,0),""))</f>
        <v/>
      </c>
      <c r="F1520" s="72"/>
      <c r="G1520" s="73"/>
      <c r="H1520" s="74"/>
      <c r="I1520" s="75"/>
      <c r="J1520" s="70"/>
      <c r="K1520" s="70"/>
      <c r="L1520" s="73"/>
      <c r="M1520" s="70" t="str">
        <f t="shared" si="3"/>
        <v/>
      </c>
      <c r="N1520" s="70" t="str">
        <f>IF($A$3=" "," ", IFERROR( VLOOKUP($A1520,'SUPPLIER DATA BASE'!$A$2:$O$936,11,0),""))</f>
        <v/>
      </c>
      <c r="O1520" s="70" t="str">
        <f>IF($A$3=" "," ", IFERROR( VLOOKUP($A1520,'SUPPLIER DATA BASE'!$A$2:$O$936,12,0),""))</f>
        <v/>
      </c>
      <c r="P1520" s="70" t="str">
        <f>IF($A$3=" "," ", IFERROR( VLOOKUP($A1520,'SUPPLIER DATA BASE'!$A$2:$O$936,13,0),""))</f>
        <v/>
      </c>
      <c r="Q1520" s="77"/>
      <c r="R1520" s="73"/>
      <c r="S1520" s="77"/>
      <c r="T1520" s="70"/>
      <c r="U1520" s="78"/>
      <c r="V1520" s="70" t="str">
        <f t="shared" si="6"/>
        <v/>
      </c>
      <c r="W1520" s="23"/>
      <c r="X1520" s="23"/>
    </row>
    <row r="1521">
      <c r="A1521" s="70"/>
      <c r="B1521" s="70" t="str">
        <f>IF($A$3=" "," ", IFERROR( VLOOKUP($A1521,'SUPPLIER DATA BASE'!$A$2:$M$936,3,0),""))</f>
        <v/>
      </c>
      <c r="C1521" s="70" t="str">
        <f>IF($A$3=" "," ", IFERROR( VLOOKUP($A1521,'SUPPLIER DATA BASE'!$A$2:$F$936,6,0),""))</f>
        <v/>
      </c>
      <c r="D1521" s="70" t="str">
        <f>IF($A$3=" "," ", IFERROR( VLOOKUP($A1521,'SUPPLIER DATA BASE'!$A$2:$G$936,4,0),""))</f>
        <v/>
      </c>
      <c r="E1521" s="71" t="str">
        <f>IF($A$3=" "," ", IFERROR( VLOOKUP($A1521,'SUPPLIER DATA BASE'!$A$2:$H$936,5,0),""))</f>
        <v/>
      </c>
      <c r="F1521" s="72"/>
      <c r="G1521" s="73"/>
      <c r="H1521" s="74"/>
      <c r="I1521" s="75"/>
      <c r="J1521" s="70"/>
      <c r="K1521" s="70"/>
      <c r="L1521" s="73"/>
      <c r="M1521" s="70" t="str">
        <f t="shared" si="3"/>
        <v/>
      </c>
      <c r="N1521" s="70" t="str">
        <f>IF($A$3=" "," ", IFERROR( VLOOKUP($A1521,'SUPPLIER DATA BASE'!$A$2:$O$936,11,0),""))</f>
        <v/>
      </c>
      <c r="O1521" s="70" t="str">
        <f>IF($A$3=" "," ", IFERROR( VLOOKUP($A1521,'SUPPLIER DATA BASE'!$A$2:$O$936,12,0),""))</f>
        <v/>
      </c>
      <c r="P1521" s="70" t="str">
        <f>IF($A$3=" "," ", IFERROR( VLOOKUP($A1521,'SUPPLIER DATA BASE'!$A$2:$O$936,13,0),""))</f>
        <v/>
      </c>
      <c r="Q1521" s="77"/>
      <c r="R1521" s="73"/>
      <c r="S1521" s="77"/>
      <c r="T1521" s="70"/>
      <c r="U1521" s="78"/>
      <c r="V1521" s="70" t="str">
        <f t="shared" si="6"/>
        <v/>
      </c>
      <c r="W1521" s="23"/>
      <c r="X1521" s="23"/>
    </row>
    <row r="1522">
      <c r="A1522" s="70"/>
      <c r="B1522" s="70" t="str">
        <f>IF($A$3=" "," ", IFERROR( VLOOKUP($A1522,'SUPPLIER DATA BASE'!$A$2:$M$936,3,0),""))</f>
        <v/>
      </c>
      <c r="C1522" s="70" t="str">
        <f>IF($A$3=" "," ", IFERROR( VLOOKUP($A1522,'SUPPLIER DATA BASE'!$A$2:$F$936,6,0),""))</f>
        <v/>
      </c>
      <c r="D1522" s="70" t="str">
        <f>IF($A$3=" "," ", IFERROR( VLOOKUP($A1522,'SUPPLIER DATA BASE'!$A$2:$G$936,4,0),""))</f>
        <v/>
      </c>
      <c r="E1522" s="71" t="str">
        <f>IF($A$3=" "," ", IFERROR( VLOOKUP($A1522,'SUPPLIER DATA BASE'!$A$2:$H$936,5,0),""))</f>
        <v/>
      </c>
      <c r="F1522" s="72"/>
      <c r="G1522" s="73"/>
      <c r="H1522" s="74"/>
      <c r="I1522" s="75"/>
      <c r="J1522" s="70"/>
      <c r="K1522" s="70"/>
      <c r="L1522" s="73"/>
      <c r="M1522" s="70" t="str">
        <f t="shared" si="3"/>
        <v/>
      </c>
      <c r="N1522" s="70" t="str">
        <f>IF($A$3=" "," ", IFERROR( VLOOKUP($A1522,'SUPPLIER DATA BASE'!$A$2:$O$936,11,0),""))</f>
        <v/>
      </c>
      <c r="O1522" s="70" t="str">
        <f>IF($A$3=" "," ", IFERROR( VLOOKUP($A1522,'SUPPLIER DATA BASE'!$A$2:$O$936,12,0),""))</f>
        <v/>
      </c>
      <c r="P1522" s="70" t="str">
        <f>IF($A$3=" "," ", IFERROR( VLOOKUP($A1522,'SUPPLIER DATA BASE'!$A$2:$O$936,13,0),""))</f>
        <v/>
      </c>
      <c r="Q1522" s="77"/>
      <c r="R1522" s="73"/>
      <c r="S1522" s="77"/>
      <c r="T1522" s="70"/>
      <c r="U1522" s="78"/>
      <c r="V1522" s="70" t="str">
        <f t="shared" si="6"/>
        <v/>
      </c>
      <c r="W1522" s="23"/>
      <c r="X1522" s="23"/>
    </row>
    <row r="1523">
      <c r="A1523" s="70"/>
      <c r="B1523" s="70" t="str">
        <f>IF($A$3=" "," ", IFERROR( VLOOKUP($A1523,'SUPPLIER DATA BASE'!$A$2:$M$936,3,0),""))</f>
        <v/>
      </c>
      <c r="C1523" s="70" t="str">
        <f>IF($A$3=" "," ", IFERROR( VLOOKUP($A1523,'SUPPLIER DATA BASE'!$A$2:$F$936,6,0),""))</f>
        <v/>
      </c>
      <c r="D1523" s="70" t="str">
        <f>IF($A$3=" "," ", IFERROR( VLOOKUP($A1523,'SUPPLIER DATA BASE'!$A$2:$G$936,4,0),""))</f>
        <v/>
      </c>
      <c r="E1523" s="71" t="str">
        <f>IF($A$3=" "," ", IFERROR( VLOOKUP($A1523,'SUPPLIER DATA BASE'!$A$2:$H$936,5,0),""))</f>
        <v/>
      </c>
      <c r="F1523" s="72"/>
      <c r="G1523" s="73"/>
      <c r="H1523" s="74"/>
      <c r="I1523" s="75"/>
      <c r="J1523" s="70"/>
      <c r="K1523" s="70"/>
      <c r="L1523" s="73"/>
      <c r="M1523" s="70" t="str">
        <f t="shared" si="3"/>
        <v/>
      </c>
      <c r="N1523" s="70" t="str">
        <f>IF($A$3=" "," ", IFERROR( VLOOKUP($A1523,'SUPPLIER DATA BASE'!$A$2:$O$936,11,0),""))</f>
        <v/>
      </c>
      <c r="O1523" s="70" t="str">
        <f>IF($A$3=" "," ", IFERROR( VLOOKUP($A1523,'SUPPLIER DATA BASE'!$A$2:$O$936,12,0),""))</f>
        <v/>
      </c>
      <c r="P1523" s="70" t="str">
        <f>IF($A$3=" "," ", IFERROR( VLOOKUP($A1523,'SUPPLIER DATA BASE'!$A$2:$O$936,13,0),""))</f>
        <v/>
      </c>
      <c r="Q1523" s="77"/>
      <c r="R1523" s="73"/>
      <c r="S1523" s="77"/>
      <c r="T1523" s="70"/>
      <c r="U1523" s="78"/>
      <c r="V1523" s="70" t="str">
        <f t="shared" si="6"/>
        <v/>
      </c>
      <c r="W1523" s="23"/>
      <c r="X1523" s="23"/>
    </row>
    <row r="1524">
      <c r="A1524" s="70"/>
      <c r="B1524" s="70" t="str">
        <f>IF($A$3=" "," ", IFERROR( VLOOKUP($A1524,'SUPPLIER DATA BASE'!$A$2:$M$936,3,0),""))</f>
        <v/>
      </c>
      <c r="C1524" s="70" t="str">
        <f>IF($A$3=" "," ", IFERROR( VLOOKUP($A1524,'SUPPLIER DATA BASE'!$A$2:$F$936,6,0),""))</f>
        <v/>
      </c>
      <c r="D1524" s="70" t="str">
        <f>IF($A$3=" "," ", IFERROR( VLOOKUP($A1524,'SUPPLIER DATA BASE'!$A$2:$G$936,4,0),""))</f>
        <v/>
      </c>
      <c r="E1524" s="71" t="str">
        <f>IF($A$3=" "," ", IFERROR( VLOOKUP($A1524,'SUPPLIER DATA BASE'!$A$2:$H$936,5,0),""))</f>
        <v/>
      </c>
      <c r="F1524" s="72"/>
      <c r="G1524" s="73"/>
      <c r="H1524" s="74"/>
      <c r="I1524" s="75"/>
      <c r="J1524" s="70"/>
      <c r="K1524" s="70"/>
      <c r="L1524" s="73"/>
      <c r="M1524" s="70" t="str">
        <f t="shared" si="3"/>
        <v/>
      </c>
      <c r="N1524" s="70" t="str">
        <f>IF($A$3=" "," ", IFERROR( VLOOKUP($A1524,'SUPPLIER DATA BASE'!$A$2:$O$936,11,0),""))</f>
        <v/>
      </c>
      <c r="O1524" s="70" t="str">
        <f>IF($A$3=" "," ", IFERROR( VLOOKUP($A1524,'SUPPLIER DATA BASE'!$A$2:$O$936,12,0),""))</f>
        <v/>
      </c>
      <c r="P1524" s="70" t="str">
        <f>IF($A$3=" "," ", IFERROR( VLOOKUP($A1524,'SUPPLIER DATA BASE'!$A$2:$O$936,13,0),""))</f>
        <v/>
      </c>
      <c r="Q1524" s="77"/>
      <c r="R1524" s="73"/>
      <c r="S1524" s="77"/>
      <c r="T1524" s="70"/>
      <c r="U1524" s="78"/>
      <c r="V1524" s="70" t="str">
        <f t="shared" si="6"/>
        <v/>
      </c>
      <c r="W1524" s="23"/>
      <c r="X1524" s="23"/>
    </row>
    <row r="1525">
      <c r="A1525" s="70"/>
      <c r="B1525" s="70" t="str">
        <f>IF($A$3=" "," ", IFERROR( VLOOKUP($A1525,'SUPPLIER DATA BASE'!$A$2:$M$936,3,0),""))</f>
        <v/>
      </c>
      <c r="C1525" s="70" t="str">
        <f>IF($A$3=" "," ", IFERROR( VLOOKUP($A1525,'SUPPLIER DATA BASE'!$A$2:$F$936,6,0),""))</f>
        <v/>
      </c>
      <c r="D1525" s="70" t="str">
        <f>IF($A$3=" "," ", IFERROR( VLOOKUP($A1525,'SUPPLIER DATA BASE'!$A$2:$G$936,4,0),""))</f>
        <v/>
      </c>
      <c r="E1525" s="71" t="str">
        <f>IF($A$3=" "," ", IFERROR( VLOOKUP($A1525,'SUPPLIER DATA BASE'!$A$2:$H$936,5,0),""))</f>
        <v/>
      </c>
      <c r="F1525" s="72"/>
      <c r="G1525" s="73"/>
      <c r="H1525" s="74"/>
      <c r="I1525" s="75"/>
      <c r="J1525" s="70"/>
      <c r="K1525" s="70"/>
      <c r="L1525" s="73"/>
      <c r="M1525" s="70" t="str">
        <f t="shared" si="3"/>
        <v/>
      </c>
      <c r="N1525" s="70" t="str">
        <f>IF($A$3=" "," ", IFERROR( VLOOKUP($A1525,'SUPPLIER DATA BASE'!$A$2:$O$936,11,0),""))</f>
        <v/>
      </c>
      <c r="O1525" s="70" t="str">
        <f>IF($A$3=" "," ", IFERROR( VLOOKUP($A1525,'SUPPLIER DATA BASE'!$A$2:$O$936,12,0),""))</f>
        <v/>
      </c>
      <c r="P1525" s="70" t="str">
        <f>IF($A$3=" "," ", IFERROR( VLOOKUP($A1525,'SUPPLIER DATA BASE'!$A$2:$O$936,13,0),""))</f>
        <v/>
      </c>
      <c r="Q1525" s="77"/>
      <c r="R1525" s="73"/>
      <c r="S1525" s="77"/>
      <c r="T1525" s="70"/>
      <c r="U1525" s="78"/>
      <c r="V1525" s="70" t="str">
        <f t="shared" si="6"/>
        <v/>
      </c>
      <c r="W1525" s="23"/>
      <c r="X1525" s="23"/>
    </row>
    <row r="1526">
      <c r="A1526" s="70"/>
      <c r="B1526" s="70" t="str">
        <f>IF($A$3=" "," ", IFERROR( VLOOKUP($A1526,'SUPPLIER DATA BASE'!$A$2:$M$936,3,0),""))</f>
        <v/>
      </c>
      <c r="C1526" s="70" t="str">
        <f>IF($A$3=" "," ", IFERROR( VLOOKUP($A1526,'SUPPLIER DATA BASE'!$A$2:$F$936,6,0),""))</f>
        <v/>
      </c>
      <c r="D1526" s="70" t="str">
        <f>IF($A$3=" "," ", IFERROR( VLOOKUP($A1526,'SUPPLIER DATA BASE'!$A$2:$G$936,4,0),""))</f>
        <v/>
      </c>
      <c r="E1526" s="71" t="str">
        <f>IF($A$3=" "," ", IFERROR( VLOOKUP($A1526,'SUPPLIER DATA BASE'!$A$2:$H$936,5,0),""))</f>
        <v/>
      </c>
      <c r="F1526" s="72"/>
      <c r="G1526" s="73"/>
      <c r="H1526" s="74"/>
      <c r="I1526" s="75"/>
      <c r="J1526" s="70"/>
      <c r="K1526" s="70"/>
      <c r="L1526" s="73"/>
      <c r="M1526" s="70" t="str">
        <f t="shared" si="3"/>
        <v/>
      </c>
      <c r="N1526" s="70" t="str">
        <f>IF($A$3=" "," ", IFERROR( VLOOKUP($A1526,'SUPPLIER DATA BASE'!$A$2:$O$936,11,0),""))</f>
        <v/>
      </c>
      <c r="O1526" s="70" t="str">
        <f>IF($A$3=" "," ", IFERROR( VLOOKUP($A1526,'SUPPLIER DATA BASE'!$A$2:$O$936,12,0),""))</f>
        <v/>
      </c>
      <c r="P1526" s="70" t="str">
        <f>IF($A$3=" "," ", IFERROR( VLOOKUP($A1526,'SUPPLIER DATA BASE'!$A$2:$O$936,13,0),""))</f>
        <v/>
      </c>
      <c r="Q1526" s="77"/>
      <c r="R1526" s="73"/>
      <c r="S1526" s="77"/>
      <c r="T1526" s="70"/>
      <c r="U1526" s="78"/>
      <c r="V1526" s="70" t="str">
        <f t="shared" si="6"/>
        <v/>
      </c>
      <c r="W1526" s="23"/>
      <c r="X1526" s="23"/>
    </row>
    <row r="1527">
      <c r="A1527" s="70"/>
      <c r="B1527" s="70" t="str">
        <f>IF($A$3=" "," ", IFERROR( VLOOKUP($A1527,'SUPPLIER DATA BASE'!$A$2:$M$936,3,0),""))</f>
        <v/>
      </c>
      <c r="C1527" s="70" t="str">
        <f>IF($A$3=" "," ", IFERROR( VLOOKUP($A1527,'SUPPLIER DATA BASE'!$A$2:$F$936,6,0),""))</f>
        <v/>
      </c>
      <c r="D1527" s="70" t="str">
        <f>IF($A$3=" "," ", IFERROR( VLOOKUP($A1527,'SUPPLIER DATA BASE'!$A$2:$G$936,4,0),""))</f>
        <v/>
      </c>
      <c r="E1527" s="71" t="str">
        <f>IF($A$3=" "," ", IFERROR( VLOOKUP($A1527,'SUPPLIER DATA BASE'!$A$2:$H$936,5,0),""))</f>
        <v/>
      </c>
      <c r="F1527" s="72"/>
      <c r="G1527" s="73"/>
      <c r="H1527" s="74"/>
      <c r="I1527" s="75"/>
      <c r="J1527" s="70"/>
      <c r="K1527" s="70"/>
      <c r="L1527" s="73"/>
      <c r="M1527" s="70" t="str">
        <f t="shared" si="3"/>
        <v/>
      </c>
      <c r="N1527" s="70" t="str">
        <f>IF($A$3=" "," ", IFERROR( VLOOKUP($A1527,'SUPPLIER DATA BASE'!$A$2:$O$936,11,0),""))</f>
        <v/>
      </c>
      <c r="O1527" s="70" t="str">
        <f>IF($A$3=" "," ", IFERROR( VLOOKUP($A1527,'SUPPLIER DATA BASE'!$A$2:$O$936,12,0),""))</f>
        <v/>
      </c>
      <c r="P1527" s="70" t="str">
        <f>IF($A$3=" "," ", IFERROR( VLOOKUP($A1527,'SUPPLIER DATA BASE'!$A$2:$O$936,13,0),""))</f>
        <v/>
      </c>
      <c r="Q1527" s="77"/>
      <c r="R1527" s="73"/>
      <c r="S1527" s="77"/>
      <c r="T1527" s="70"/>
      <c r="U1527" s="78"/>
      <c r="V1527" s="70" t="str">
        <f t="shared" si="6"/>
        <v/>
      </c>
      <c r="W1527" s="23"/>
      <c r="X1527" s="23"/>
    </row>
    <row r="1528">
      <c r="A1528" s="70"/>
      <c r="B1528" s="70" t="str">
        <f>IF($A$3=" "," ", IFERROR( VLOOKUP($A1528,'SUPPLIER DATA BASE'!$A$2:$M$936,3,0),""))</f>
        <v/>
      </c>
      <c r="C1528" s="70" t="str">
        <f>IF($A$3=" "," ", IFERROR( VLOOKUP($A1528,'SUPPLIER DATA BASE'!$A$2:$F$936,6,0),""))</f>
        <v/>
      </c>
      <c r="D1528" s="70" t="str">
        <f>IF($A$3=" "," ", IFERROR( VLOOKUP($A1528,'SUPPLIER DATA BASE'!$A$2:$G$936,4,0),""))</f>
        <v/>
      </c>
      <c r="E1528" s="71" t="str">
        <f>IF($A$3=" "," ", IFERROR( VLOOKUP($A1528,'SUPPLIER DATA BASE'!$A$2:$H$936,5,0),""))</f>
        <v/>
      </c>
      <c r="F1528" s="72"/>
      <c r="G1528" s="73"/>
      <c r="H1528" s="74"/>
      <c r="I1528" s="75"/>
      <c r="J1528" s="70"/>
      <c r="K1528" s="70"/>
      <c r="L1528" s="73"/>
      <c r="M1528" s="70" t="str">
        <f t="shared" si="3"/>
        <v/>
      </c>
      <c r="N1528" s="70" t="str">
        <f>IF($A$3=" "," ", IFERROR( VLOOKUP($A1528,'SUPPLIER DATA BASE'!$A$2:$O$936,11,0),""))</f>
        <v/>
      </c>
      <c r="O1528" s="70" t="str">
        <f>IF($A$3=" "," ", IFERROR( VLOOKUP($A1528,'SUPPLIER DATA BASE'!$A$2:$O$936,12,0),""))</f>
        <v/>
      </c>
      <c r="P1528" s="70" t="str">
        <f>IF($A$3=" "," ", IFERROR( VLOOKUP($A1528,'SUPPLIER DATA BASE'!$A$2:$O$936,13,0),""))</f>
        <v/>
      </c>
      <c r="Q1528" s="77"/>
      <c r="R1528" s="73"/>
      <c r="S1528" s="77"/>
      <c r="T1528" s="70"/>
      <c r="U1528" s="78"/>
      <c r="V1528" s="70" t="str">
        <f t="shared" si="6"/>
        <v/>
      </c>
      <c r="W1528" s="23"/>
      <c r="X1528" s="23"/>
    </row>
    <row r="1529">
      <c r="A1529" s="70"/>
      <c r="B1529" s="70" t="str">
        <f>IF($A$3=" "," ", IFERROR( VLOOKUP($A1529,'SUPPLIER DATA BASE'!$A$2:$M$936,3,0),""))</f>
        <v/>
      </c>
      <c r="C1529" s="70" t="str">
        <f>IF($A$3=" "," ", IFERROR( VLOOKUP($A1529,'SUPPLIER DATA BASE'!$A$2:$F$936,6,0),""))</f>
        <v/>
      </c>
      <c r="D1529" s="70" t="str">
        <f>IF($A$3=" "," ", IFERROR( VLOOKUP($A1529,'SUPPLIER DATA BASE'!$A$2:$G$936,4,0),""))</f>
        <v/>
      </c>
      <c r="E1529" s="71" t="str">
        <f>IF($A$3=" "," ", IFERROR( VLOOKUP($A1529,'SUPPLIER DATA BASE'!$A$2:$H$936,5,0),""))</f>
        <v/>
      </c>
      <c r="F1529" s="72"/>
      <c r="G1529" s="73"/>
      <c r="H1529" s="74"/>
      <c r="I1529" s="75"/>
      <c r="J1529" s="70"/>
      <c r="K1529" s="70"/>
      <c r="L1529" s="73"/>
      <c r="M1529" s="70" t="str">
        <f t="shared" si="3"/>
        <v/>
      </c>
      <c r="N1529" s="70" t="str">
        <f>IF($A$3=" "," ", IFERROR( VLOOKUP($A1529,'SUPPLIER DATA BASE'!$A$2:$O$936,11,0),""))</f>
        <v/>
      </c>
      <c r="O1529" s="70" t="str">
        <f>IF($A$3=" "," ", IFERROR( VLOOKUP($A1529,'SUPPLIER DATA BASE'!$A$2:$O$936,12,0),""))</f>
        <v/>
      </c>
      <c r="P1529" s="70" t="str">
        <f>IF($A$3=" "," ", IFERROR( VLOOKUP($A1529,'SUPPLIER DATA BASE'!$A$2:$O$936,13,0),""))</f>
        <v/>
      </c>
      <c r="Q1529" s="77"/>
      <c r="R1529" s="73"/>
      <c r="S1529" s="77"/>
      <c r="T1529" s="70"/>
      <c r="U1529" s="78"/>
      <c r="V1529" s="70" t="str">
        <f t="shared" si="6"/>
        <v/>
      </c>
      <c r="W1529" s="23"/>
      <c r="X1529" s="23"/>
    </row>
    <row r="1530">
      <c r="A1530" s="70"/>
      <c r="B1530" s="70" t="str">
        <f>IF($A$3=" "," ", IFERROR( VLOOKUP($A1530,'SUPPLIER DATA BASE'!$A$2:$M$936,3,0),""))</f>
        <v/>
      </c>
      <c r="C1530" s="70" t="str">
        <f>IF($A$3=" "," ", IFERROR( VLOOKUP($A1530,'SUPPLIER DATA BASE'!$A$2:$F$936,6,0),""))</f>
        <v/>
      </c>
      <c r="D1530" s="70" t="str">
        <f>IF($A$3=" "," ", IFERROR( VLOOKUP($A1530,'SUPPLIER DATA BASE'!$A$2:$G$936,4,0),""))</f>
        <v/>
      </c>
      <c r="E1530" s="71" t="str">
        <f>IF($A$3=" "," ", IFERROR( VLOOKUP($A1530,'SUPPLIER DATA BASE'!$A$2:$H$936,5,0),""))</f>
        <v/>
      </c>
      <c r="F1530" s="72"/>
      <c r="G1530" s="73"/>
      <c r="H1530" s="74"/>
      <c r="I1530" s="75"/>
      <c r="J1530" s="70"/>
      <c r="K1530" s="70"/>
      <c r="L1530" s="73"/>
      <c r="M1530" s="70" t="str">
        <f t="shared" si="3"/>
        <v/>
      </c>
      <c r="N1530" s="70" t="str">
        <f>IF($A$3=" "," ", IFERROR( VLOOKUP($A1530,'SUPPLIER DATA BASE'!$A$2:$O$936,11,0),""))</f>
        <v/>
      </c>
      <c r="O1530" s="70" t="str">
        <f>IF($A$3=" "," ", IFERROR( VLOOKUP($A1530,'SUPPLIER DATA BASE'!$A$2:$O$936,12,0),""))</f>
        <v/>
      </c>
      <c r="P1530" s="70" t="str">
        <f>IF($A$3=" "," ", IFERROR( VLOOKUP($A1530,'SUPPLIER DATA BASE'!$A$2:$O$936,13,0),""))</f>
        <v/>
      </c>
      <c r="Q1530" s="77"/>
      <c r="R1530" s="73"/>
      <c r="S1530" s="77"/>
      <c r="T1530" s="70"/>
      <c r="U1530" s="78"/>
      <c r="V1530" s="70" t="str">
        <f t="shared" si="6"/>
        <v/>
      </c>
      <c r="W1530" s="23"/>
      <c r="X1530" s="23"/>
    </row>
    <row r="1531">
      <c r="A1531" s="70"/>
      <c r="B1531" s="70" t="str">
        <f>IF($A$3=" "," ", IFERROR( VLOOKUP($A1531,'SUPPLIER DATA BASE'!$A$2:$M$936,3,0),""))</f>
        <v/>
      </c>
      <c r="C1531" s="70" t="str">
        <f>IF($A$3=" "," ", IFERROR( VLOOKUP($A1531,'SUPPLIER DATA BASE'!$A$2:$F$936,6,0),""))</f>
        <v/>
      </c>
      <c r="D1531" s="70" t="str">
        <f>IF($A$3=" "," ", IFERROR( VLOOKUP($A1531,'SUPPLIER DATA BASE'!$A$2:$G$936,4,0),""))</f>
        <v/>
      </c>
      <c r="E1531" s="71" t="str">
        <f>IF($A$3=" "," ", IFERROR( VLOOKUP($A1531,'SUPPLIER DATA BASE'!$A$2:$H$936,5,0),""))</f>
        <v/>
      </c>
      <c r="F1531" s="72"/>
      <c r="G1531" s="73"/>
      <c r="H1531" s="74"/>
      <c r="I1531" s="75"/>
      <c r="J1531" s="70"/>
      <c r="K1531" s="70"/>
      <c r="L1531" s="73"/>
      <c r="M1531" s="70" t="str">
        <f t="shared" si="3"/>
        <v/>
      </c>
      <c r="N1531" s="70" t="str">
        <f>IF($A$3=" "," ", IFERROR( VLOOKUP($A1531,'SUPPLIER DATA BASE'!$A$2:$O$936,11,0),""))</f>
        <v/>
      </c>
      <c r="O1531" s="70" t="str">
        <f>IF($A$3=" "," ", IFERROR( VLOOKUP($A1531,'SUPPLIER DATA BASE'!$A$2:$O$936,12,0),""))</f>
        <v/>
      </c>
      <c r="P1531" s="70" t="str">
        <f>IF($A$3=" "," ", IFERROR( VLOOKUP($A1531,'SUPPLIER DATA BASE'!$A$2:$O$936,13,0),""))</f>
        <v/>
      </c>
      <c r="Q1531" s="77"/>
      <c r="R1531" s="73"/>
      <c r="S1531" s="77"/>
      <c r="T1531" s="70"/>
      <c r="U1531" s="78"/>
      <c r="V1531" s="70" t="str">
        <f t="shared" si="6"/>
        <v/>
      </c>
      <c r="W1531" s="23"/>
      <c r="X1531" s="23"/>
    </row>
    <row r="1532">
      <c r="A1532" s="70"/>
      <c r="B1532" s="70" t="str">
        <f>IF($A$3=" "," ", IFERROR( VLOOKUP($A1532,'SUPPLIER DATA BASE'!$A$2:$M$936,3,0),""))</f>
        <v/>
      </c>
      <c r="C1532" s="70" t="str">
        <f>IF($A$3=" "," ", IFERROR( VLOOKUP($A1532,'SUPPLIER DATA BASE'!$A$2:$F$936,6,0),""))</f>
        <v/>
      </c>
      <c r="D1532" s="70" t="str">
        <f>IF($A$3=" "," ", IFERROR( VLOOKUP($A1532,'SUPPLIER DATA BASE'!$A$2:$G$936,4,0),""))</f>
        <v/>
      </c>
      <c r="E1532" s="71" t="str">
        <f>IF($A$3=" "," ", IFERROR( VLOOKUP($A1532,'SUPPLIER DATA BASE'!$A$2:$H$936,5,0),""))</f>
        <v/>
      </c>
      <c r="F1532" s="72"/>
      <c r="G1532" s="73"/>
      <c r="H1532" s="74"/>
      <c r="I1532" s="75"/>
      <c r="J1532" s="70"/>
      <c r="K1532" s="70"/>
      <c r="L1532" s="73"/>
      <c r="M1532" s="70" t="str">
        <f t="shared" si="3"/>
        <v/>
      </c>
      <c r="N1532" s="70" t="str">
        <f>IF($A$3=" "," ", IFERROR( VLOOKUP($A1532,'SUPPLIER DATA BASE'!$A$2:$O$936,11,0),""))</f>
        <v/>
      </c>
      <c r="O1532" s="70" t="str">
        <f>IF($A$3=" "," ", IFERROR( VLOOKUP($A1532,'SUPPLIER DATA BASE'!$A$2:$O$936,12,0),""))</f>
        <v/>
      </c>
      <c r="P1532" s="70" t="str">
        <f>IF($A$3=" "," ", IFERROR( VLOOKUP($A1532,'SUPPLIER DATA BASE'!$A$2:$O$936,13,0),""))</f>
        <v/>
      </c>
      <c r="Q1532" s="77"/>
      <c r="R1532" s="73"/>
      <c r="S1532" s="77"/>
      <c r="T1532" s="70"/>
      <c r="U1532" s="78"/>
      <c r="V1532" s="70" t="str">
        <f t="shared" si="6"/>
        <v/>
      </c>
      <c r="W1532" s="23"/>
      <c r="X1532" s="23"/>
    </row>
    <row r="1533">
      <c r="A1533" s="70"/>
      <c r="B1533" s="70" t="str">
        <f>IF($A$3=" "," ", IFERROR( VLOOKUP($A1533,'SUPPLIER DATA BASE'!$A$2:$M$936,3,0),""))</f>
        <v/>
      </c>
      <c r="C1533" s="70" t="str">
        <f>IF($A$3=" "," ", IFERROR( VLOOKUP($A1533,'SUPPLIER DATA BASE'!$A$2:$F$936,6,0),""))</f>
        <v/>
      </c>
      <c r="D1533" s="70" t="str">
        <f>IF($A$3=" "," ", IFERROR( VLOOKUP($A1533,'SUPPLIER DATA BASE'!$A$2:$G$936,4,0),""))</f>
        <v/>
      </c>
      <c r="E1533" s="71" t="str">
        <f>IF($A$3=" "," ", IFERROR( VLOOKUP($A1533,'SUPPLIER DATA BASE'!$A$2:$H$936,5,0),""))</f>
        <v/>
      </c>
      <c r="F1533" s="72"/>
      <c r="G1533" s="73"/>
      <c r="H1533" s="74"/>
      <c r="I1533" s="75"/>
      <c r="J1533" s="70"/>
      <c r="K1533" s="70"/>
      <c r="L1533" s="73"/>
      <c r="M1533" s="70" t="str">
        <f t="shared" si="3"/>
        <v/>
      </c>
      <c r="N1533" s="70" t="str">
        <f>IF($A$3=" "," ", IFERROR( VLOOKUP($A1533,'SUPPLIER DATA BASE'!$A$2:$O$936,11,0),""))</f>
        <v/>
      </c>
      <c r="O1533" s="70" t="str">
        <f>IF($A$3=" "," ", IFERROR( VLOOKUP($A1533,'SUPPLIER DATA BASE'!$A$2:$O$936,12,0),""))</f>
        <v/>
      </c>
      <c r="P1533" s="70" t="str">
        <f>IF($A$3=" "," ", IFERROR( VLOOKUP($A1533,'SUPPLIER DATA BASE'!$A$2:$O$936,13,0),""))</f>
        <v/>
      </c>
      <c r="Q1533" s="77"/>
      <c r="R1533" s="73"/>
      <c r="S1533" s="77"/>
      <c r="T1533" s="70"/>
      <c r="U1533" s="78"/>
      <c r="V1533" s="70" t="str">
        <f t="shared" si="6"/>
        <v/>
      </c>
      <c r="W1533" s="23"/>
      <c r="X1533" s="23"/>
    </row>
    <row r="1534">
      <c r="A1534" s="70"/>
      <c r="B1534" s="70" t="str">
        <f>IF($A$3=" "," ", IFERROR( VLOOKUP($A1534,'SUPPLIER DATA BASE'!$A$2:$M$936,3,0),""))</f>
        <v/>
      </c>
      <c r="C1534" s="70" t="str">
        <f>IF($A$3=" "," ", IFERROR( VLOOKUP($A1534,'SUPPLIER DATA BASE'!$A$2:$F$936,6,0),""))</f>
        <v/>
      </c>
      <c r="D1534" s="70" t="str">
        <f>IF($A$3=" "," ", IFERROR( VLOOKUP($A1534,'SUPPLIER DATA BASE'!$A$2:$G$936,4,0),""))</f>
        <v/>
      </c>
      <c r="E1534" s="71" t="str">
        <f>IF($A$3=" "," ", IFERROR( VLOOKUP($A1534,'SUPPLIER DATA BASE'!$A$2:$H$936,5,0),""))</f>
        <v/>
      </c>
      <c r="F1534" s="72"/>
      <c r="G1534" s="73"/>
      <c r="H1534" s="74"/>
      <c r="I1534" s="75"/>
      <c r="J1534" s="70"/>
      <c r="K1534" s="70"/>
      <c r="L1534" s="73"/>
      <c r="M1534" s="70" t="str">
        <f t="shared" si="3"/>
        <v/>
      </c>
      <c r="N1534" s="70" t="str">
        <f>IF($A$3=" "," ", IFERROR( VLOOKUP($A1534,'SUPPLIER DATA BASE'!$A$2:$O$936,11,0),""))</f>
        <v/>
      </c>
      <c r="O1534" s="70" t="str">
        <f>IF($A$3=" "," ", IFERROR( VLOOKUP($A1534,'SUPPLIER DATA BASE'!$A$2:$O$936,12,0),""))</f>
        <v/>
      </c>
      <c r="P1534" s="70" t="str">
        <f>IF($A$3=" "," ", IFERROR( VLOOKUP($A1534,'SUPPLIER DATA BASE'!$A$2:$O$936,13,0),""))</f>
        <v/>
      </c>
      <c r="Q1534" s="77"/>
      <c r="R1534" s="73"/>
      <c r="S1534" s="77"/>
      <c r="T1534" s="70"/>
      <c r="U1534" s="78"/>
      <c r="V1534" s="70" t="str">
        <f t="shared" si="6"/>
        <v/>
      </c>
      <c r="W1534" s="23"/>
      <c r="X1534" s="23"/>
    </row>
    <row r="1535">
      <c r="A1535" s="70"/>
      <c r="B1535" s="70" t="str">
        <f>IF($A$3=" "," ", IFERROR( VLOOKUP($A1535,'SUPPLIER DATA BASE'!$A$2:$M$936,3,0),""))</f>
        <v/>
      </c>
      <c r="C1535" s="70" t="str">
        <f>IF($A$3=" "," ", IFERROR( VLOOKUP($A1535,'SUPPLIER DATA BASE'!$A$2:$F$936,6,0),""))</f>
        <v/>
      </c>
      <c r="D1535" s="70" t="str">
        <f>IF($A$3=" "," ", IFERROR( VLOOKUP($A1535,'SUPPLIER DATA BASE'!$A$2:$G$936,4,0),""))</f>
        <v/>
      </c>
      <c r="E1535" s="71" t="str">
        <f>IF($A$3=" "," ", IFERROR( VLOOKUP($A1535,'SUPPLIER DATA BASE'!$A$2:$H$936,5,0),""))</f>
        <v/>
      </c>
      <c r="F1535" s="72"/>
      <c r="G1535" s="73"/>
      <c r="H1535" s="74"/>
      <c r="I1535" s="75"/>
      <c r="J1535" s="70"/>
      <c r="K1535" s="70"/>
      <c r="L1535" s="73"/>
      <c r="M1535" s="70" t="str">
        <f t="shared" si="3"/>
        <v/>
      </c>
      <c r="N1535" s="70" t="str">
        <f>IF($A$3=" "," ", IFERROR( VLOOKUP($A1535,'SUPPLIER DATA BASE'!$A$2:$O$936,11,0),""))</f>
        <v/>
      </c>
      <c r="O1535" s="70" t="str">
        <f>IF($A$3=" "," ", IFERROR( VLOOKUP($A1535,'SUPPLIER DATA BASE'!$A$2:$O$936,12,0),""))</f>
        <v/>
      </c>
      <c r="P1535" s="70" t="str">
        <f>IF($A$3=" "," ", IFERROR( VLOOKUP($A1535,'SUPPLIER DATA BASE'!$A$2:$O$936,13,0),""))</f>
        <v/>
      </c>
      <c r="Q1535" s="77"/>
      <c r="R1535" s="73"/>
      <c r="S1535" s="77"/>
      <c r="T1535" s="70"/>
      <c r="U1535" s="78"/>
      <c r="V1535" s="70" t="str">
        <f t="shared" si="6"/>
        <v/>
      </c>
      <c r="W1535" s="23"/>
      <c r="X1535" s="23"/>
    </row>
    <row r="1536">
      <c r="A1536" s="70"/>
      <c r="B1536" s="70" t="str">
        <f>IF($A$3=" "," ", IFERROR( VLOOKUP($A1536,'SUPPLIER DATA BASE'!$A$2:$M$936,3,0),""))</f>
        <v/>
      </c>
      <c r="C1536" s="70" t="str">
        <f>IF($A$3=" "," ", IFERROR( VLOOKUP($A1536,'SUPPLIER DATA BASE'!$A$2:$F$936,6,0),""))</f>
        <v/>
      </c>
      <c r="D1536" s="70" t="str">
        <f>IF($A$3=" "," ", IFERROR( VLOOKUP($A1536,'SUPPLIER DATA BASE'!$A$2:$G$936,4,0),""))</f>
        <v/>
      </c>
      <c r="E1536" s="71" t="str">
        <f>IF($A$3=" "," ", IFERROR( VLOOKUP($A1536,'SUPPLIER DATA BASE'!$A$2:$H$936,5,0),""))</f>
        <v/>
      </c>
      <c r="F1536" s="72"/>
      <c r="G1536" s="73"/>
      <c r="H1536" s="74"/>
      <c r="I1536" s="75"/>
      <c r="J1536" s="70"/>
      <c r="K1536" s="70"/>
      <c r="L1536" s="73"/>
      <c r="M1536" s="70" t="str">
        <f t="shared" si="3"/>
        <v/>
      </c>
      <c r="N1536" s="70" t="str">
        <f>IF($A$3=" "," ", IFERROR( VLOOKUP($A1536,'SUPPLIER DATA BASE'!$A$2:$O$936,11,0),""))</f>
        <v/>
      </c>
      <c r="O1536" s="70" t="str">
        <f>IF($A$3=" "," ", IFERROR( VLOOKUP($A1536,'SUPPLIER DATA BASE'!$A$2:$O$936,12,0),""))</f>
        <v/>
      </c>
      <c r="P1536" s="70" t="str">
        <f>IF($A$3=" "," ", IFERROR( VLOOKUP($A1536,'SUPPLIER DATA BASE'!$A$2:$O$936,13,0),""))</f>
        <v/>
      </c>
      <c r="Q1536" s="77"/>
      <c r="R1536" s="73"/>
      <c r="S1536" s="77"/>
      <c r="T1536" s="70"/>
      <c r="U1536" s="78"/>
      <c r="V1536" s="70" t="str">
        <f t="shared" si="6"/>
        <v/>
      </c>
      <c r="W1536" s="23"/>
      <c r="X1536" s="23"/>
    </row>
    <row r="1537">
      <c r="A1537" s="70"/>
      <c r="B1537" s="70" t="str">
        <f>IF($A$3=" "," ", IFERROR( VLOOKUP($A1537,'SUPPLIER DATA BASE'!$A$2:$M$936,3,0),""))</f>
        <v/>
      </c>
      <c r="C1537" s="70" t="str">
        <f>IF($A$3=" "," ", IFERROR( VLOOKUP($A1537,'SUPPLIER DATA BASE'!$A$2:$F$936,6,0),""))</f>
        <v/>
      </c>
      <c r="D1537" s="70" t="str">
        <f>IF($A$3=" "," ", IFERROR( VLOOKUP($A1537,'SUPPLIER DATA BASE'!$A$2:$G$936,4,0),""))</f>
        <v/>
      </c>
      <c r="E1537" s="71" t="str">
        <f>IF($A$3=" "," ", IFERROR( VLOOKUP($A1537,'SUPPLIER DATA BASE'!$A$2:$H$936,5,0),""))</f>
        <v/>
      </c>
      <c r="F1537" s="72"/>
      <c r="G1537" s="73"/>
      <c r="H1537" s="74"/>
      <c r="I1537" s="75"/>
      <c r="J1537" s="70"/>
      <c r="K1537" s="70"/>
      <c r="L1537" s="73"/>
      <c r="M1537" s="70" t="str">
        <f t="shared" si="3"/>
        <v/>
      </c>
      <c r="N1537" s="70" t="str">
        <f>IF($A$3=" "," ", IFERROR( VLOOKUP($A1537,'SUPPLIER DATA BASE'!$A$2:$O$936,11,0),""))</f>
        <v/>
      </c>
      <c r="O1537" s="70" t="str">
        <f>IF($A$3=" "," ", IFERROR( VLOOKUP($A1537,'SUPPLIER DATA BASE'!$A$2:$O$936,12,0),""))</f>
        <v/>
      </c>
      <c r="P1537" s="70" t="str">
        <f>IF($A$3=" "," ", IFERROR( VLOOKUP($A1537,'SUPPLIER DATA BASE'!$A$2:$O$936,13,0),""))</f>
        <v/>
      </c>
      <c r="Q1537" s="77"/>
      <c r="R1537" s="73"/>
      <c r="S1537" s="77"/>
      <c r="T1537" s="70"/>
      <c r="U1537" s="78"/>
      <c r="V1537" s="70" t="str">
        <f t="shared" si="6"/>
        <v/>
      </c>
      <c r="W1537" s="23"/>
      <c r="X1537" s="23"/>
    </row>
    <row r="1538">
      <c r="A1538" s="70"/>
      <c r="B1538" s="70" t="str">
        <f>IF($A$3=" "," ", IFERROR( VLOOKUP($A1538,'SUPPLIER DATA BASE'!$A$2:$M$936,3,0),""))</f>
        <v/>
      </c>
      <c r="C1538" s="70" t="str">
        <f>IF($A$3=" "," ", IFERROR( VLOOKUP($A1538,'SUPPLIER DATA BASE'!$A$2:$F$936,6,0),""))</f>
        <v/>
      </c>
      <c r="D1538" s="70" t="str">
        <f>IF($A$3=" "," ", IFERROR( VLOOKUP($A1538,'SUPPLIER DATA BASE'!$A$2:$G$936,4,0),""))</f>
        <v/>
      </c>
      <c r="E1538" s="71" t="str">
        <f>IF($A$3=" "," ", IFERROR( VLOOKUP($A1538,'SUPPLIER DATA BASE'!$A$2:$H$936,5,0),""))</f>
        <v/>
      </c>
      <c r="F1538" s="72"/>
      <c r="G1538" s="73"/>
      <c r="H1538" s="74"/>
      <c r="I1538" s="75"/>
      <c r="J1538" s="70"/>
      <c r="K1538" s="70"/>
      <c r="L1538" s="73"/>
      <c r="M1538" s="70" t="str">
        <f t="shared" si="3"/>
        <v/>
      </c>
      <c r="N1538" s="70" t="str">
        <f>IF($A$3=" "," ", IFERROR( VLOOKUP($A1538,'SUPPLIER DATA BASE'!$A$2:$O$936,11,0),""))</f>
        <v/>
      </c>
      <c r="O1538" s="70" t="str">
        <f>IF($A$3=" "," ", IFERROR( VLOOKUP($A1538,'SUPPLIER DATA BASE'!$A$2:$O$936,12,0),""))</f>
        <v/>
      </c>
      <c r="P1538" s="70" t="str">
        <f>IF($A$3=" "," ", IFERROR( VLOOKUP($A1538,'SUPPLIER DATA BASE'!$A$2:$O$936,13,0),""))</f>
        <v/>
      </c>
      <c r="Q1538" s="77"/>
      <c r="R1538" s="73"/>
      <c r="S1538" s="77"/>
      <c r="T1538" s="70"/>
      <c r="U1538" s="78"/>
      <c r="V1538" s="70" t="str">
        <f t="shared" si="6"/>
        <v/>
      </c>
      <c r="W1538" s="23"/>
      <c r="X1538" s="23"/>
    </row>
    <row r="1539">
      <c r="A1539" s="70"/>
      <c r="B1539" s="70" t="str">
        <f>IF($A$3=" "," ", IFERROR( VLOOKUP($A1539,'SUPPLIER DATA BASE'!$A$2:$M$936,3,0),""))</f>
        <v/>
      </c>
      <c r="C1539" s="70" t="str">
        <f>IF($A$3=" "," ", IFERROR( VLOOKUP($A1539,'SUPPLIER DATA BASE'!$A$2:$F$936,6,0),""))</f>
        <v/>
      </c>
      <c r="D1539" s="70" t="str">
        <f>IF($A$3=" "," ", IFERROR( VLOOKUP($A1539,'SUPPLIER DATA BASE'!$A$2:$G$936,4,0),""))</f>
        <v/>
      </c>
      <c r="E1539" s="71" t="str">
        <f>IF($A$3=" "," ", IFERROR( VLOOKUP($A1539,'SUPPLIER DATA BASE'!$A$2:$H$936,5,0),""))</f>
        <v/>
      </c>
      <c r="F1539" s="72"/>
      <c r="G1539" s="73"/>
      <c r="H1539" s="74"/>
      <c r="I1539" s="75"/>
      <c r="J1539" s="70"/>
      <c r="K1539" s="70"/>
      <c r="L1539" s="73"/>
      <c r="M1539" s="70" t="str">
        <f t="shared" si="3"/>
        <v/>
      </c>
      <c r="N1539" s="70" t="str">
        <f>IF($A$3=" "," ", IFERROR( VLOOKUP($A1539,'SUPPLIER DATA BASE'!$A$2:$O$936,11,0),""))</f>
        <v/>
      </c>
      <c r="O1539" s="70" t="str">
        <f>IF($A$3=" "," ", IFERROR( VLOOKUP($A1539,'SUPPLIER DATA BASE'!$A$2:$O$936,12,0),""))</f>
        <v/>
      </c>
      <c r="P1539" s="70" t="str">
        <f>IF($A$3=" "," ", IFERROR( VLOOKUP($A1539,'SUPPLIER DATA BASE'!$A$2:$O$936,13,0),""))</f>
        <v/>
      </c>
      <c r="Q1539" s="77"/>
      <c r="R1539" s="73"/>
      <c r="S1539" s="77"/>
      <c r="T1539" s="70"/>
      <c r="U1539" s="78"/>
      <c r="V1539" s="70" t="str">
        <f t="shared" si="6"/>
        <v/>
      </c>
      <c r="W1539" s="23"/>
      <c r="X1539" s="23"/>
    </row>
    <row r="1540">
      <c r="A1540" s="70"/>
      <c r="B1540" s="70" t="str">
        <f>IF($A$3=" "," ", IFERROR( VLOOKUP($A1540,'SUPPLIER DATA BASE'!$A$2:$M$936,3,0),""))</f>
        <v/>
      </c>
      <c r="C1540" s="70" t="str">
        <f>IF($A$3=" "," ", IFERROR( VLOOKUP($A1540,'SUPPLIER DATA BASE'!$A$2:$F$936,6,0),""))</f>
        <v/>
      </c>
      <c r="D1540" s="70" t="str">
        <f>IF($A$3=" "," ", IFERROR( VLOOKUP($A1540,'SUPPLIER DATA BASE'!$A$2:$G$936,4,0),""))</f>
        <v/>
      </c>
      <c r="E1540" s="71" t="str">
        <f>IF($A$3=" "," ", IFERROR( VLOOKUP($A1540,'SUPPLIER DATA BASE'!$A$2:$H$936,5,0),""))</f>
        <v/>
      </c>
      <c r="F1540" s="72"/>
      <c r="G1540" s="73"/>
      <c r="H1540" s="74"/>
      <c r="I1540" s="75"/>
      <c r="J1540" s="70"/>
      <c r="K1540" s="70"/>
      <c r="L1540" s="73"/>
      <c r="M1540" s="70" t="str">
        <f t="shared" si="3"/>
        <v/>
      </c>
      <c r="N1540" s="70" t="str">
        <f>IF($A$3=" "," ", IFERROR( VLOOKUP($A1540,'SUPPLIER DATA BASE'!$A$2:$O$936,11,0),""))</f>
        <v/>
      </c>
      <c r="O1540" s="70" t="str">
        <f>IF($A$3=" "," ", IFERROR( VLOOKUP($A1540,'SUPPLIER DATA BASE'!$A$2:$O$936,12,0),""))</f>
        <v/>
      </c>
      <c r="P1540" s="70" t="str">
        <f>IF($A$3=" "," ", IFERROR( VLOOKUP($A1540,'SUPPLIER DATA BASE'!$A$2:$O$936,13,0),""))</f>
        <v/>
      </c>
      <c r="Q1540" s="77"/>
      <c r="R1540" s="73"/>
      <c r="S1540" s="77"/>
      <c r="T1540" s="70"/>
      <c r="U1540" s="78"/>
      <c r="V1540" s="70" t="str">
        <f t="shared" si="6"/>
        <v/>
      </c>
      <c r="W1540" s="23"/>
      <c r="X1540" s="23"/>
    </row>
    <row r="1541">
      <c r="A1541" s="70"/>
      <c r="B1541" s="70" t="str">
        <f>IF($A$3=" "," ", IFERROR( VLOOKUP($A1541,'SUPPLIER DATA BASE'!$A$2:$M$936,3,0),""))</f>
        <v/>
      </c>
      <c r="C1541" s="70" t="str">
        <f>IF($A$3=" "," ", IFERROR( VLOOKUP($A1541,'SUPPLIER DATA BASE'!$A$2:$F$936,6,0),""))</f>
        <v/>
      </c>
      <c r="D1541" s="70" t="str">
        <f>IF($A$3=" "," ", IFERROR( VLOOKUP($A1541,'SUPPLIER DATA BASE'!$A$2:$G$936,4,0),""))</f>
        <v/>
      </c>
      <c r="E1541" s="71" t="str">
        <f>IF($A$3=" "," ", IFERROR( VLOOKUP($A1541,'SUPPLIER DATA BASE'!$A$2:$H$936,5,0),""))</f>
        <v/>
      </c>
      <c r="F1541" s="72"/>
      <c r="G1541" s="73"/>
      <c r="H1541" s="74"/>
      <c r="I1541" s="75"/>
      <c r="J1541" s="70"/>
      <c r="K1541" s="70"/>
      <c r="L1541" s="73"/>
      <c r="M1541" s="70" t="str">
        <f t="shared" si="3"/>
        <v/>
      </c>
      <c r="N1541" s="70" t="str">
        <f>IF($A$3=" "," ", IFERROR( VLOOKUP($A1541,'SUPPLIER DATA BASE'!$A$2:$O$936,11,0),""))</f>
        <v/>
      </c>
      <c r="O1541" s="70" t="str">
        <f>IF($A$3=" "," ", IFERROR( VLOOKUP($A1541,'SUPPLIER DATA BASE'!$A$2:$O$936,12,0),""))</f>
        <v/>
      </c>
      <c r="P1541" s="70" t="str">
        <f>IF($A$3=" "," ", IFERROR( VLOOKUP($A1541,'SUPPLIER DATA BASE'!$A$2:$O$936,13,0),""))</f>
        <v/>
      </c>
      <c r="Q1541" s="77"/>
      <c r="R1541" s="73"/>
      <c r="S1541" s="77"/>
      <c r="T1541" s="70"/>
      <c r="U1541" s="78"/>
      <c r="V1541" s="70" t="str">
        <f t="shared" si="6"/>
        <v/>
      </c>
      <c r="W1541" s="23"/>
      <c r="X1541" s="23"/>
    </row>
    <row r="1542">
      <c r="A1542" s="70"/>
      <c r="B1542" s="70" t="str">
        <f>IF($A$3=" "," ", IFERROR( VLOOKUP($A1542,'SUPPLIER DATA BASE'!$A$2:$M$936,3,0),""))</f>
        <v/>
      </c>
      <c r="C1542" s="70" t="str">
        <f>IF($A$3=" "," ", IFERROR( VLOOKUP($A1542,'SUPPLIER DATA BASE'!$A$2:$F$936,6,0),""))</f>
        <v/>
      </c>
      <c r="D1542" s="70" t="str">
        <f>IF($A$3=" "," ", IFERROR( VLOOKUP($A1542,'SUPPLIER DATA BASE'!$A$2:$G$936,4,0),""))</f>
        <v/>
      </c>
      <c r="E1542" s="71" t="str">
        <f>IF($A$3=" "," ", IFERROR( VLOOKUP($A1542,'SUPPLIER DATA BASE'!$A$2:$H$936,5,0),""))</f>
        <v/>
      </c>
      <c r="F1542" s="72"/>
      <c r="G1542" s="73"/>
      <c r="H1542" s="74"/>
      <c r="I1542" s="75"/>
      <c r="J1542" s="70"/>
      <c r="K1542" s="70"/>
      <c r="L1542" s="73"/>
      <c r="M1542" s="70" t="str">
        <f t="shared" si="3"/>
        <v/>
      </c>
      <c r="N1542" s="70" t="str">
        <f>IF($A$3=" "," ", IFERROR( VLOOKUP($A1542,'SUPPLIER DATA BASE'!$A$2:$O$936,11,0),""))</f>
        <v/>
      </c>
      <c r="O1542" s="70" t="str">
        <f>IF($A$3=" "," ", IFERROR( VLOOKUP($A1542,'SUPPLIER DATA BASE'!$A$2:$O$936,12,0),""))</f>
        <v/>
      </c>
      <c r="P1542" s="70" t="str">
        <f>IF($A$3=" "," ", IFERROR( VLOOKUP($A1542,'SUPPLIER DATA BASE'!$A$2:$O$936,13,0),""))</f>
        <v/>
      </c>
      <c r="Q1542" s="77"/>
      <c r="R1542" s="73"/>
      <c r="S1542" s="77"/>
      <c r="T1542" s="70"/>
      <c r="U1542" s="78"/>
      <c r="V1542" s="70" t="str">
        <f t="shared" si="6"/>
        <v/>
      </c>
      <c r="W1542" s="23"/>
      <c r="X1542" s="23"/>
    </row>
    <row r="1543">
      <c r="A1543" s="70"/>
      <c r="B1543" s="70" t="str">
        <f>IF($A$3=" "," ", IFERROR( VLOOKUP($A1543,'SUPPLIER DATA BASE'!$A$2:$M$936,3,0),""))</f>
        <v/>
      </c>
      <c r="C1543" s="70" t="str">
        <f>IF($A$3=" "," ", IFERROR( VLOOKUP($A1543,'SUPPLIER DATA BASE'!$A$2:$F$936,6,0),""))</f>
        <v/>
      </c>
      <c r="D1543" s="70" t="str">
        <f>IF($A$3=" "," ", IFERROR( VLOOKUP($A1543,'SUPPLIER DATA BASE'!$A$2:$G$936,4,0),""))</f>
        <v/>
      </c>
      <c r="E1543" s="71" t="str">
        <f>IF($A$3=" "," ", IFERROR( VLOOKUP($A1543,'SUPPLIER DATA BASE'!$A$2:$H$936,5,0),""))</f>
        <v/>
      </c>
      <c r="F1543" s="72"/>
      <c r="G1543" s="73"/>
      <c r="H1543" s="74"/>
      <c r="I1543" s="75"/>
      <c r="J1543" s="70"/>
      <c r="K1543" s="70"/>
      <c r="L1543" s="73"/>
      <c r="M1543" s="70" t="str">
        <f t="shared" si="3"/>
        <v/>
      </c>
      <c r="N1543" s="70" t="str">
        <f>IF($A$3=" "," ", IFERROR( VLOOKUP($A1543,'SUPPLIER DATA BASE'!$A$2:$O$936,11,0),""))</f>
        <v/>
      </c>
      <c r="O1543" s="70" t="str">
        <f>IF($A$3=" "," ", IFERROR( VLOOKUP($A1543,'SUPPLIER DATA BASE'!$A$2:$O$936,12,0),""))</f>
        <v/>
      </c>
      <c r="P1543" s="70" t="str">
        <f>IF($A$3=" "," ", IFERROR( VLOOKUP($A1543,'SUPPLIER DATA BASE'!$A$2:$O$936,13,0),""))</f>
        <v/>
      </c>
      <c r="Q1543" s="77"/>
      <c r="R1543" s="73"/>
      <c r="S1543" s="77"/>
      <c r="T1543" s="70"/>
      <c r="U1543" s="78"/>
      <c r="V1543" s="70" t="str">
        <f t="shared" si="6"/>
        <v/>
      </c>
      <c r="W1543" s="23"/>
      <c r="X1543" s="23"/>
    </row>
    <row r="1544">
      <c r="A1544" s="70"/>
      <c r="B1544" s="70" t="str">
        <f>IF($A$3=" "," ", IFERROR( VLOOKUP($A1544,'SUPPLIER DATA BASE'!$A$2:$M$936,3,0),""))</f>
        <v/>
      </c>
      <c r="C1544" s="70" t="str">
        <f>IF($A$3=" "," ", IFERROR( VLOOKUP($A1544,'SUPPLIER DATA BASE'!$A$2:$F$936,6,0),""))</f>
        <v/>
      </c>
      <c r="D1544" s="70" t="str">
        <f>IF($A$3=" "," ", IFERROR( VLOOKUP($A1544,'SUPPLIER DATA BASE'!$A$2:$G$936,4,0),""))</f>
        <v/>
      </c>
      <c r="E1544" s="71" t="str">
        <f>IF($A$3=" "," ", IFERROR( VLOOKUP($A1544,'SUPPLIER DATA BASE'!$A$2:$H$936,5,0),""))</f>
        <v/>
      </c>
      <c r="F1544" s="72"/>
      <c r="G1544" s="73"/>
      <c r="H1544" s="74"/>
      <c r="I1544" s="75"/>
      <c r="J1544" s="70"/>
      <c r="K1544" s="70"/>
      <c r="L1544" s="73"/>
      <c r="M1544" s="70" t="str">
        <f t="shared" si="3"/>
        <v/>
      </c>
      <c r="N1544" s="70" t="str">
        <f>IF($A$3=" "," ", IFERROR( VLOOKUP($A1544,'SUPPLIER DATA BASE'!$A$2:$O$936,11,0),""))</f>
        <v/>
      </c>
      <c r="O1544" s="70" t="str">
        <f>IF($A$3=" "," ", IFERROR( VLOOKUP($A1544,'SUPPLIER DATA BASE'!$A$2:$O$936,12,0),""))</f>
        <v/>
      </c>
      <c r="P1544" s="70" t="str">
        <f>IF($A$3=" "," ", IFERROR( VLOOKUP($A1544,'SUPPLIER DATA BASE'!$A$2:$O$936,13,0),""))</f>
        <v/>
      </c>
      <c r="Q1544" s="77"/>
      <c r="R1544" s="73"/>
      <c r="S1544" s="77"/>
      <c r="T1544" s="70"/>
      <c r="U1544" s="78"/>
      <c r="V1544" s="70" t="str">
        <f t="shared" si="6"/>
        <v/>
      </c>
      <c r="W1544" s="23"/>
      <c r="X1544" s="23"/>
    </row>
    <row r="1545">
      <c r="A1545" s="70"/>
      <c r="B1545" s="70" t="str">
        <f>IF($A$3=" "," ", IFERROR( VLOOKUP($A1545,'SUPPLIER DATA BASE'!$A$2:$M$936,3,0),""))</f>
        <v/>
      </c>
      <c r="C1545" s="70" t="str">
        <f>IF($A$3=" "," ", IFERROR( VLOOKUP($A1545,'SUPPLIER DATA BASE'!$A$2:$F$936,6,0),""))</f>
        <v/>
      </c>
      <c r="D1545" s="70" t="str">
        <f>IF($A$3=" "," ", IFERROR( VLOOKUP($A1545,'SUPPLIER DATA BASE'!$A$2:$G$936,4,0),""))</f>
        <v/>
      </c>
      <c r="E1545" s="71" t="str">
        <f>IF($A$3=" "," ", IFERROR( VLOOKUP($A1545,'SUPPLIER DATA BASE'!$A$2:$H$936,5,0),""))</f>
        <v/>
      </c>
      <c r="F1545" s="72"/>
      <c r="G1545" s="73"/>
      <c r="H1545" s="74"/>
      <c r="I1545" s="75"/>
      <c r="J1545" s="70"/>
      <c r="K1545" s="70"/>
      <c r="L1545" s="73"/>
      <c r="M1545" s="70" t="str">
        <f t="shared" si="3"/>
        <v/>
      </c>
      <c r="N1545" s="70" t="str">
        <f>IF($A$3=" "," ", IFERROR( VLOOKUP($A1545,'SUPPLIER DATA BASE'!$A$2:$O$936,11,0),""))</f>
        <v/>
      </c>
      <c r="O1545" s="70" t="str">
        <f>IF($A$3=" "," ", IFERROR( VLOOKUP($A1545,'SUPPLIER DATA BASE'!$A$2:$O$936,12,0),""))</f>
        <v/>
      </c>
      <c r="P1545" s="70" t="str">
        <f>IF($A$3=" "," ", IFERROR( VLOOKUP($A1545,'SUPPLIER DATA BASE'!$A$2:$O$936,13,0),""))</f>
        <v/>
      </c>
      <c r="Q1545" s="77"/>
      <c r="R1545" s="73"/>
      <c r="S1545" s="77"/>
      <c r="T1545" s="70"/>
      <c r="U1545" s="78"/>
      <c r="V1545" s="70" t="str">
        <f t="shared" si="6"/>
        <v/>
      </c>
      <c r="W1545" s="23"/>
      <c r="X1545" s="23"/>
    </row>
    <row r="1546">
      <c r="A1546" s="70"/>
      <c r="B1546" s="70" t="str">
        <f>IF($A$3=" "," ", IFERROR( VLOOKUP($A1546,'SUPPLIER DATA BASE'!$A$2:$M$936,3,0),""))</f>
        <v/>
      </c>
      <c r="C1546" s="70" t="str">
        <f>IF($A$3=" "," ", IFERROR( VLOOKUP($A1546,'SUPPLIER DATA BASE'!$A$2:$F$936,6,0),""))</f>
        <v/>
      </c>
      <c r="D1546" s="70" t="str">
        <f>IF($A$3=" "," ", IFERROR( VLOOKUP($A1546,'SUPPLIER DATA BASE'!$A$2:$G$936,4,0),""))</f>
        <v/>
      </c>
      <c r="E1546" s="71" t="str">
        <f>IF($A$3=" "," ", IFERROR( VLOOKUP($A1546,'SUPPLIER DATA BASE'!$A$2:$H$936,5,0),""))</f>
        <v/>
      </c>
      <c r="F1546" s="72"/>
      <c r="G1546" s="73"/>
      <c r="H1546" s="74"/>
      <c r="I1546" s="75"/>
      <c r="J1546" s="70"/>
      <c r="K1546" s="70"/>
      <c r="L1546" s="73"/>
      <c r="M1546" s="70" t="str">
        <f t="shared" si="3"/>
        <v/>
      </c>
      <c r="N1546" s="70" t="str">
        <f>IF($A$3=" "," ", IFERROR( VLOOKUP($A1546,'SUPPLIER DATA BASE'!$A$2:$O$936,11,0),""))</f>
        <v/>
      </c>
      <c r="O1546" s="70" t="str">
        <f>IF($A$3=" "," ", IFERROR( VLOOKUP($A1546,'SUPPLIER DATA BASE'!$A$2:$O$936,12,0),""))</f>
        <v/>
      </c>
      <c r="P1546" s="70" t="str">
        <f>IF($A$3=" "," ", IFERROR( VLOOKUP($A1546,'SUPPLIER DATA BASE'!$A$2:$O$936,13,0),""))</f>
        <v/>
      </c>
      <c r="Q1546" s="77"/>
      <c r="R1546" s="73"/>
      <c r="S1546" s="77"/>
      <c r="T1546" s="70"/>
      <c r="U1546" s="78"/>
      <c r="V1546" s="70" t="str">
        <f t="shared" si="6"/>
        <v/>
      </c>
      <c r="W1546" s="23"/>
      <c r="X1546" s="23"/>
    </row>
    <row r="1547">
      <c r="A1547" s="70"/>
      <c r="B1547" s="70" t="str">
        <f>IF($A$3=" "," ", IFERROR( VLOOKUP($A1547,'SUPPLIER DATA BASE'!$A$2:$M$936,3,0),""))</f>
        <v/>
      </c>
      <c r="C1547" s="70" t="str">
        <f>IF($A$3=" "," ", IFERROR( VLOOKUP($A1547,'SUPPLIER DATA BASE'!$A$2:$F$936,6,0),""))</f>
        <v/>
      </c>
      <c r="D1547" s="70" t="str">
        <f>IF($A$3=" "," ", IFERROR( VLOOKUP($A1547,'SUPPLIER DATA BASE'!$A$2:$G$936,4,0),""))</f>
        <v/>
      </c>
      <c r="E1547" s="71" t="str">
        <f>IF($A$3=" "," ", IFERROR( VLOOKUP($A1547,'SUPPLIER DATA BASE'!$A$2:$H$936,5,0),""))</f>
        <v/>
      </c>
      <c r="F1547" s="72"/>
      <c r="G1547" s="73"/>
      <c r="H1547" s="74"/>
      <c r="I1547" s="75"/>
      <c r="J1547" s="70"/>
      <c r="K1547" s="70"/>
      <c r="L1547" s="73"/>
      <c r="M1547" s="70" t="str">
        <f t="shared" si="3"/>
        <v/>
      </c>
      <c r="N1547" s="70" t="str">
        <f>IF($A$3=" "," ", IFERROR( VLOOKUP($A1547,'SUPPLIER DATA BASE'!$A$2:$O$936,11,0),""))</f>
        <v/>
      </c>
      <c r="O1547" s="70" t="str">
        <f>IF($A$3=" "," ", IFERROR( VLOOKUP($A1547,'SUPPLIER DATA BASE'!$A$2:$O$936,12,0),""))</f>
        <v/>
      </c>
      <c r="P1547" s="70" t="str">
        <f>IF($A$3=" "," ", IFERROR( VLOOKUP($A1547,'SUPPLIER DATA BASE'!$A$2:$O$936,13,0),""))</f>
        <v/>
      </c>
      <c r="Q1547" s="77"/>
      <c r="R1547" s="73"/>
      <c r="S1547" s="77"/>
      <c r="T1547" s="70"/>
      <c r="U1547" s="78"/>
      <c r="V1547" s="70" t="str">
        <f t="shared" si="6"/>
        <v/>
      </c>
      <c r="W1547" s="23"/>
      <c r="X1547" s="23"/>
    </row>
    <row r="1548">
      <c r="A1548" s="70"/>
      <c r="B1548" s="70" t="str">
        <f>IF($A$3=" "," ", IFERROR( VLOOKUP($A1548,'SUPPLIER DATA BASE'!$A$2:$M$936,3,0),""))</f>
        <v/>
      </c>
      <c r="C1548" s="70" t="str">
        <f>IF($A$3=" "," ", IFERROR( VLOOKUP($A1548,'SUPPLIER DATA BASE'!$A$2:$F$936,6,0),""))</f>
        <v/>
      </c>
      <c r="D1548" s="70" t="str">
        <f>IF($A$3=" "," ", IFERROR( VLOOKUP($A1548,'SUPPLIER DATA BASE'!$A$2:$G$936,4,0),""))</f>
        <v/>
      </c>
      <c r="E1548" s="71" t="str">
        <f>IF($A$3=" "," ", IFERROR( VLOOKUP($A1548,'SUPPLIER DATA BASE'!$A$2:$H$936,5,0),""))</f>
        <v/>
      </c>
      <c r="F1548" s="72"/>
      <c r="G1548" s="73"/>
      <c r="H1548" s="74"/>
      <c r="I1548" s="75"/>
      <c r="J1548" s="70"/>
      <c r="K1548" s="70"/>
      <c r="L1548" s="73"/>
      <c r="M1548" s="70" t="str">
        <f t="shared" si="3"/>
        <v/>
      </c>
      <c r="N1548" s="70" t="str">
        <f>IF($A$3=" "," ", IFERROR( VLOOKUP($A1548,'SUPPLIER DATA BASE'!$A$2:$O$936,11,0),""))</f>
        <v/>
      </c>
      <c r="O1548" s="70" t="str">
        <f>IF($A$3=" "," ", IFERROR( VLOOKUP($A1548,'SUPPLIER DATA BASE'!$A$2:$O$936,12,0),""))</f>
        <v/>
      </c>
      <c r="P1548" s="70" t="str">
        <f>IF($A$3=" "," ", IFERROR( VLOOKUP($A1548,'SUPPLIER DATA BASE'!$A$2:$O$936,13,0),""))</f>
        <v/>
      </c>
      <c r="Q1548" s="77"/>
      <c r="R1548" s="73"/>
      <c r="S1548" s="77"/>
      <c r="T1548" s="70"/>
      <c r="U1548" s="78"/>
      <c r="V1548" s="70" t="str">
        <f t="shared" si="6"/>
        <v/>
      </c>
      <c r="W1548" s="23"/>
      <c r="X1548" s="23"/>
    </row>
    <row r="1549">
      <c r="A1549" s="70"/>
      <c r="B1549" s="70" t="str">
        <f>IF($A$3=" "," ", IFERROR( VLOOKUP($A1549,'SUPPLIER DATA BASE'!$A$2:$M$936,3,0),""))</f>
        <v/>
      </c>
      <c r="C1549" s="70" t="str">
        <f>IF($A$3=" "," ", IFERROR( VLOOKUP($A1549,'SUPPLIER DATA BASE'!$A$2:$F$936,6,0),""))</f>
        <v/>
      </c>
      <c r="D1549" s="70" t="str">
        <f>IF($A$3=" "," ", IFERROR( VLOOKUP($A1549,'SUPPLIER DATA BASE'!$A$2:$G$936,4,0),""))</f>
        <v/>
      </c>
      <c r="E1549" s="71" t="str">
        <f>IF($A$3=" "," ", IFERROR( VLOOKUP($A1549,'SUPPLIER DATA BASE'!$A$2:$H$936,5,0),""))</f>
        <v/>
      </c>
      <c r="F1549" s="72"/>
      <c r="G1549" s="73"/>
      <c r="H1549" s="74"/>
      <c r="I1549" s="75"/>
      <c r="J1549" s="70"/>
      <c r="K1549" s="70"/>
      <c r="L1549" s="73"/>
      <c r="M1549" s="70" t="str">
        <f t="shared" si="3"/>
        <v/>
      </c>
      <c r="N1549" s="70" t="str">
        <f>IF($A$3=" "," ", IFERROR( VLOOKUP($A1549,'SUPPLIER DATA BASE'!$A$2:$O$936,11,0),""))</f>
        <v/>
      </c>
      <c r="O1549" s="70" t="str">
        <f>IF($A$3=" "," ", IFERROR( VLOOKUP($A1549,'SUPPLIER DATA BASE'!$A$2:$O$936,12,0),""))</f>
        <v/>
      </c>
      <c r="P1549" s="70" t="str">
        <f>IF($A$3=" "," ", IFERROR( VLOOKUP($A1549,'SUPPLIER DATA BASE'!$A$2:$O$936,13,0),""))</f>
        <v/>
      </c>
      <c r="Q1549" s="77"/>
      <c r="R1549" s="73"/>
      <c r="S1549" s="77"/>
      <c r="T1549" s="70"/>
      <c r="U1549" s="78"/>
      <c r="V1549" s="70" t="str">
        <f t="shared" si="6"/>
        <v/>
      </c>
      <c r="W1549" s="23"/>
      <c r="X1549" s="23"/>
    </row>
    <row r="1550">
      <c r="A1550" s="70"/>
      <c r="B1550" s="70" t="str">
        <f>IF($A$3=" "," ", IFERROR( VLOOKUP($A1550,'SUPPLIER DATA BASE'!$A$2:$M$936,3,0),""))</f>
        <v/>
      </c>
      <c r="C1550" s="70" t="str">
        <f>IF($A$3=" "," ", IFERROR( VLOOKUP($A1550,'SUPPLIER DATA BASE'!$A$2:$F$936,6,0),""))</f>
        <v/>
      </c>
      <c r="D1550" s="70" t="str">
        <f>IF($A$3=" "," ", IFERROR( VLOOKUP($A1550,'SUPPLIER DATA BASE'!$A$2:$G$936,4,0),""))</f>
        <v/>
      </c>
      <c r="E1550" s="71" t="str">
        <f>IF($A$3=" "," ", IFERROR( VLOOKUP($A1550,'SUPPLIER DATA BASE'!$A$2:$H$936,5,0),""))</f>
        <v/>
      </c>
      <c r="F1550" s="72"/>
      <c r="G1550" s="73"/>
      <c r="H1550" s="74"/>
      <c r="I1550" s="75"/>
      <c r="J1550" s="70"/>
      <c r="K1550" s="70"/>
      <c r="L1550" s="73"/>
      <c r="M1550" s="70" t="str">
        <f t="shared" si="3"/>
        <v/>
      </c>
      <c r="N1550" s="70" t="str">
        <f>IF($A$3=" "," ", IFERROR( VLOOKUP($A1550,'SUPPLIER DATA BASE'!$A$2:$O$936,11,0),""))</f>
        <v/>
      </c>
      <c r="O1550" s="70" t="str">
        <f>IF($A$3=" "," ", IFERROR( VLOOKUP($A1550,'SUPPLIER DATA BASE'!$A$2:$O$936,12,0),""))</f>
        <v/>
      </c>
      <c r="P1550" s="70" t="str">
        <f>IF($A$3=" "," ", IFERROR( VLOOKUP($A1550,'SUPPLIER DATA BASE'!$A$2:$O$936,13,0),""))</f>
        <v/>
      </c>
      <c r="Q1550" s="77"/>
      <c r="R1550" s="73"/>
      <c r="S1550" s="77"/>
      <c r="T1550" s="70"/>
      <c r="U1550" s="78"/>
      <c r="V1550" s="70" t="str">
        <f t="shared" si="6"/>
        <v/>
      </c>
      <c r="W1550" s="23"/>
      <c r="X1550" s="23"/>
    </row>
    <row r="1551">
      <c r="A1551" s="70"/>
      <c r="B1551" s="70" t="str">
        <f>IF($A$3=" "," ", IFERROR( VLOOKUP($A1551,'SUPPLIER DATA BASE'!$A$2:$M$936,3,0),""))</f>
        <v/>
      </c>
      <c r="C1551" s="70" t="str">
        <f>IF($A$3=" "," ", IFERROR( VLOOKUP($A1551,'SUPPLIER DATA BASE'!$A$2:$F$936,6,0),""))</f>
        <v/>
      </c>
      <c r="D1551" s="70" t="str">
        <f>IF($A$3=" "," ", IFERROR( VLOOKUP($A1551,'SUPPLIER DATA BASE'!$A$2:$G$936,4,0),""))</f>
        <v/>
      </c>
      <c r="E1551" s="71" t="str">
        <f>IF($A$3=" "," ", IFERROR( VLOOKUP($A1551,'SUPPLIER DATA BASE'!$A$2:$H$936,5,0),""))</f>
        <v/>
      </c>
      <c r="F1551" s="72"/>
      <c r="G1551" s="73"/>
      <c r="H1551" s="74"/>
      <c r="I1551" s="75"/>
      <c r="J1551" s="70"/>
      <c r="K1551" s="70"/>
      <c r="L1551" s="73"/>
      <c r="M1551" s="70" t="str">
        <f t="shared" si="3"/>
        <v/>
      </c>
      <c r="N1551" s="70" t="str">
        <f>IF($A$3=" "," ", IFERROR( VLOOKUP($A1551,'SUPPLIER DATA BASE'!$A$2:$O$936,11,0),""))</f>
        <v/>
      </c>
      <c r="O1551" s="70" t="str">
        <f>IF($A$3=" "," ", IFERROR( VLOOKUP($A1551,'SUPPLIER DATA BASE'!$A$2:$O$936,12,0),""))</f>
        <v/>
      </c>
      <c r="P1551" s="70" t="str">
        <f>IF($A$3=" "," ", IFERROR( VLOOKUP($A1551,'SUPPLIER DATA BASE'!$A$2:$O$936,13,0),""))</f>
        <v/>
      </c>
      <c r="Q1551" s="77"/>
      <c r="R1551" s="73"/>
      <c r="S1551" s="77"/>
      <c r="T1551" s="70"/>
      <c r="U1551" s="78"/>
      <c r="V1551" s="70" t="str">
        <f t="shared" si="6"/>
        <v/>
      </c>
      <c r="W1551" s="23"/>
      <c r="X1551" s="23"/>
    </row>
    <row r="1552">
      <c r="A1552" s="70"/>
      <c r="B1552" s="70" t="str">
        <f>IF($A$3=" "," ", IFERROR( VLOOKUP($A1552,'SUPPLIER DATA BASE'!$A$2:$M$936,3,0),""))</f>
        <v/>
      </c>
      <c r="C1552" s="70" t="str">
        <f>IF($A$3=" "," ", IFERROR( VLOOKUP($A1552,'SUPPLIER DATA BASE'!$A$2:$F$936,6,0),""))</f>
        <v/>
      </c>
      <c r="D1552" s="70" t="str">
        <f>IF($A$3=" "," ", IFERROR( VLOOKUP($A1552,'SUPPLIER DATA BASE'!$A$2:$G$936,4,0),""))</f>
        <v/>
      </c>
      <c r="E1552" s="71" t="str">
        <f>IF($A$3=" "," ", IFERROR( VLOOKUP($A1552,'SUPPLIER DATA BASE'!$A$2:$H$936,5,0),""))</f>
        <v/>
      </c>
      <c r="F1552" s="72"/>
      <c r="G1552" s="73"/>
      <c r="H1552" s="74"/>
      <c r="I1552" s="75"/>
      <c r="J1552" s="70"/>
      <c r="K1552" s="70"/>
      <c r="L1552" s="73"/>
      <c r="M1552" s="70" t="str">
        <f t="shared" si="3"/>
        <v/>
      </c>
      <c r="N1552" s="70" t="str">
        <f>IF($A$3=" "," ", IFERROR( VLOOKUP($A1552,'SUPPLIER DATA BASE'!$A$2:$O$936,11,0),""))</f>
        <v/>
      </c>
      <c r="O1552" s="70" t="str">
        <f>IF($A$3=" "," ", IFERROR( VLOOKUP($A1552,'SUPPLIER DATA BASE'!$A$2:$O$936,12,0),""))</f>
        <v/>
      </c>
      <c r="P1552" s="70" t="str">
        <f>IF($A$3=" "," ", IFERROR( VLOOKUP($A1552,'SUPPLIER DATA BASE'!$A$2:$O$936,13,0),""))</f>
        <v/>
      </c>
      <c r="Q1552" s="77"/>
      <c r="R1552" s="73"/>
      <c r="S1552" s="77"/>
      <c r="T1552" s="70"/>
      <c r="U1552" s="78"/>
      <c r="V1552" s="70" t="str">
        <f t="shared" si="6"/>
        <v/>
      </c>
      <c r="W1552" s="23"/>
      <c r="X1552" s="23"/>
    </row>
    <row r="1553">
      <c r="A1553" s="70"/>
      <c r="B1553" s="70" t="str">
        <f>IF($A$3=" "," ", IFERROR( VLOOKUP($A1553,'SUPPLIER DATA BASE'!$A$2:$M$936,3,0),""))</f>
        <v/>
      </c>
      <c r="C1553" s="70" t="str">
        <f>IF($A$3=" "," ", IFERROR( VLOOKUP($A1553,'SUPPLIER DATA BASE'!$A$2:$F$936,6,0),""))</f>
        <v/>
      </c>
      <c r="D1553" s="70" t="str">
        <f>IF($A$3=" "," ", IFERROR( VLOOKUP($A1553,'SUPPLIER DATA BASE'!$A$2:$G$936,4,0),""))</f>
        <v/>
      </c>
      <c r="E1553" s="71" t="str">
        <f>IF($A$3=" "," ", IFERROR( VLOOKUP($A1553,'SUPPLIER DATA BASE'!$A$2:$H$936,5,0),""))</f>
        <v/>
      </c>
      <c r="F1553" s="72"/>
      <c r="G1553" s="73"/>
      <c r="H1553" s="74"/>
      <c r="I1553" s="75"/>
      <c r="J1553" s="70"/>
      <c r="K1553" s="70"/>
      <c r="L1553" s="73"/>
      <c r="M1553" s="70" t="str">
        <f t="shared" si="3"/>
        <v/>
      </c>
      <c r="N1553" s="70" t="str">
        <f>IF($A$3=" "," ", IFERROR( VLOOKUP($A1553,'SUPPLIER DATA BASE'!$A$2:$O$936,11,0),""))</f>
        <v/>
      </c>
      <c r="O1553" s="70" t="str">
        <f>IF($A$3=" "," ", IFERROR( VLOOKUP($A1553,'SUPPLIER DATA BASE'!$A$2:$O$936,12,0),""))</f>
        <v/>
      </c>
      <c r="P1553" s="70" t="str">
        <f>IF($A$3=" "," ", IFERROR( VLOOKUP($A1553,'SUPPLIER DATA BASE'!$A$2:$O$936,13,0),""))</f>
        <v/>
      </c>
      <c r="Q1553" s="77"/>
      <c r="R1553" s="73"/>
      <c r="S1553" s="77"/>
      <c r="T1553" s="70"/>
      <c r="U1553" s="78"/>
      <c r="V1553" s="70" t="str">
        <f t="shared" si="6"/>
        <v/>
      </c>
      <c r="W1553" s="23"/>
      <c r="X1553" s="23"/>
    </row>
    <row r="1554">
      <c r="A1554" s="70"/>
      <c r="B1554" s="70" t="str">
        <f>IF($A$3=" "," ", IFERROR( VLOOKUP($A1554,'SUPPLIER DATA BASE'!$A$2:$M$936,3,0),""))</f>
        <v/>
      </c>
      <c r="C1554" s="70" t="str">
        <f>IF($A$3=" "," ", IFERROR( VLOOKUP($A1554,'SUPPLIER DATA BASE'!$A$2:$F$936,6,0),""))</f>
        <v/>
      </c>
      <c r="D1554" s="70" t="str">
        <f>IF($A$3=" "," ", IFERROR( VLOOKUP($A1554,'SUPPLIER DATA BASE'!$A$2:$G$936,4,0),""))</f>
        <v/>
      </c>
      <c r="E1554" s="71" t="str">
        <f>IF($A$3=" "," ", IFERROR( VLOOKUP($A1554,'SUPPLIER DATA BASE'!$A$2:$H$936,5,0),""))</f>
        <v/>
      </c>
      <c r="F1554" s="72"/>
      <c r="G1554" s="73"/>
      <c r="H1554" s="74"/>
      <c r="I1554" s="75"/>
      <c r="J1554" s="70"/>
      <c r="K1554" s="70"/>
      <c r="L1554" s="73"/>
      <c r="M1554" s="70" t="str">
        <f t="shared" si="3"/>
        <v/>
      </c>
      <c r="N1554" s="70" t="str">
        <f>IF($A$3=" "," ", IFERROR( VLOOKUP($A1554,'SUPPLIER DATA BASE'!$A$2:$O$936,11,0),""))</f>
        <v/>
      </c>
      <c r="O1554" s="70" t="str">
        <f>IF($A$3=" "," ", IFERROR( VLOOKUP($A1554,'SUPPLIER DATA BASE'!$A$2:$O$936,12,0),""))</f>
        <v/>
      </c>
      <c r="P1554" s="70" t="str">
        <f>IF($A$3=" "," ", IFERROR( VLOOKUP($A1554,'SUPPLIER DATA BASE'!$A$2:$O$936,13,0),""))</f>
        <v/>
      </c>
      <c r="Q1554" s="77"/>
      <c r="R1554" s="73"/>
      <c r="S1554" s="77"/>
      <c r="T1554" s="70"/>
      <c r="U1554" s="78"/>
      <c r="V1554" s="70" t="str">
        <f t="shared" si="6"/>
        <v/>
      </c>
      <c r="W1554" s="23"/>
      <c r="X1554" s="23"/>
    </row>
    <row r="1555">
      <c r="A1555" s="70"/>
      <c r="B1555" s="70" t="str">
        <f>IF($A$3=" "," ", IFERROR( VLOOKUP($A1555,'SUPPLIER DATA BASE'!$A$2:$M$936,3,0),""))</f>
        <v/>
      </c>
      <c r="C1555" s="70" t="str">
        <f>IF($A$3=" "," ", IFERROR( VLOOKUP($A1555,'SUPPLIER DATA BASE'!$A$2:$F$936,6,0),""))</f>
        <v/>
      </c>
      <c r="D1555" s="70" t="str">
        <f>IF($A$3=" "," ", IFERROR( VLOOKUP($A1555,'SUPPLIER DATA BASE'!$A$2:$G$936,4,0),""))</f>
        <v/>
      </c>
      <c r="E1555" s="71" t="str">
        <f>IF($A$3=" "," ", IFERROR( VLOOKUP($A1555,'SUPPLIER DATA BASE'!$A$2:$H$936,5,0),""))</f>
        <v/>
      </c>
      <c r="F1555" s="72"/>
      <c r="G1555" s="73"/>
      <c r="H1555" s="74"/>
      <c r="I1555" s="75"/>
      <c r="J1555" s="70"/>
      <c r="K1555" s="70"/>
      <c r="L1555" s="73"/>
      <c r="M1555" s="70" t="str">
        <f t="shared" si="3"/>
        <v/>
      </c>
      <c r="N1555" s="70" t="str">
        <f>IF($A$3=" "," ", IFERROR( VLOOKUP($A1555,'SUPPLIER DATA BASE'!$A$2:$O$936,11,0),""))</f>
        <v/>
      </c>
      <c r="O1555" s="70" t="str">
        <f>IF($A$3=" "," ", IFERROR( VLOOKUP($A1555,'SUPPLIER DATA BASE'!$A$2:$O$936,12,0),""))</f>
        <v/>
      </c>
      <c r="P1555" s="70" t="str">
        <f>IF($A$3=" "," ", IFERROR( VLOOKUP($A1555,'SUPPLIER DATA BASE'!$A$2:$O$936,13,0),""))</f>
        <v/>
      </c>
      <c r="Q1555" s="77"/>
      <c r="R1555" s="73"/>
      <c r="S1555" s="77"/>
      <c r="T1555" s="70"/>
      <c r="U1555" s="78"/>
      <c r="V1555" s="70" t="str">
        <f t="shared" si="6"/>
        <v/>
      </c>
      <c r="W1555" s="23"/>
      <c r="X1555" s="23"/>
    </row>
    <row r="1556">
      <c r="A1556" s="70"/>
      <c r="B1556" s="70" t="str">
        <f>IF($A$3=" "," ", IFERROR( VLOOKUP($A1556,'SUPPLIER DATA BASE'!$A$2:$M$936,3,0),""))</f>
        <v/>
      </c>
      <c r="C1556" s="70" t="str">
        <f>IF($A$3=" "," ", IFERROR( VLOOKUP($A1556,'SUPPLIER DATA BASE'!$A$2:$F$936,6,0),""))</f>
        <v/>
      </c>
      <c r="D1556" s="70" t="str">
        <f>IF($A$3=" "," ", IFERROR( VLOOKUP($A1556,'SUPPLIER DATA BASE'!$A$2:$G$936,4,0),""))</f>
        <v/>
      </c>
      <c r="E1556" s="71" t="str">
        <f>IF($A$3=" "," ", IFERROR( VLOOKUP($A1556,'SUPPLIER DATA BASE'!$A$2:$H$936,5,0),""))</f>
        <v/>
      </c>
      <c r="F1556" s="72"/>
      <c r="G1556" s="73"/>
      <c r="H1556" s="74"/>
      <c r="I1556" s="75"/>
      <c r="J1556" s="70"/>
      <c r="K1556" s="70"/>
      <c r="L1556" s="73"/>
      <c r="M1556" s="70" t="str">
        <f t="shared" si="3"/>
        <v/>
      </c>
      <c r="N1556" s="70" t="str">
        <f>IF($A$3=" "," ", IFERROR( VLOOKUP($A1556,'SUPPLIER DATA BASE'!$A$2:$O$936,11,0),""))</f>
        <v/>
      </c>
      <c r="O1556" s="70" t="str">
        <f>IF($A$3=" "," ", IFERROR( VLOOKUP($A1556,'SUPPLIER DATA BASE'!$A$2:$O$936,12,0),""))</f>
        <v/>
      </c>
      <c r="P1556" s="70" t="str">
        <f>IF($A$3=" "," ", IFERROR( VLOOKUP($A1556,'SUPPLIER DATA BASE'!$A$2:$O$936,13,0),""))</f>
        <v/>
      </c>
      <c r="Q1556" s="77"/>
      <c r="R1556" s="73"/>
      <c r="S1556" s="77"/>
      <c r="T1556" s="70"/>
      <c r="U1556" s="78"/>
      <c r="V1556" s="70" t="str">
        <f t="shared" si="6"/>
        <v/>
      </c>
      <c r="W1556" s="23"/>
      <c r="X1556" s="23"/>
    </row>
    <row r="1557">
      <c r="A1557" s="70"/>
      <c r="B1557" s="70" t="str">
        <f>IF($A$3=" "," ", IFERROR( VLOOKUP($A1557,'SUPPLIER DATA BASE'!$A$2:$M$936,3,0),""))</f>
        <v/>
      </c>
      <c r="C1557" s="70" t="str">
        <f>IF($A$3=" "," ", IFERROR( VLOOKUP($A1557,'SUPPLIER DATA BASE'!$A$2:$F$936,6,0),""))</f>
        <v/>
      </c>
      <c r="D1557" s="70" t="str">
        <f>IF($A$3=" "," ", IFERROR( VLOOKUP($A1557,'SUPPLIER DATA BASE'!$A$2:$G$936,4,0),""))</f>
        <v/>
      </c>
      <c r="E1557" s="71" t="str">
        <f>IF($A$3=" "," ", IFERROR( VLOOKUP($A1557,'SUPPLIER DATA BASE'!$A$2:$H$936,5,0),""))</f>
        <v/>
      </c>
      <c r="F1557" s="72"/>
      <c r="G1557" s="73"/>
      <c r="H1557" s="74"/>
      <c r="I1557" s="75"/>
      <c r="J1557" s="70"/>
      <c r="K1557" s="70"/>
      <c r="L1557" s="73"/>
      <c r="M1557" s="70" t="str">
        <f t="shared" si="3"/>
        <v/>
      </c>
      <c r="N1557" s="70" t="str">
        <f>IF($A$3=" "," ", IFERROR( VLOOKUP($A1557,'SUPPLIER DATA BASE'!$A$2:$O$936,11,0),""))</f>
        <v/>
      </c>
      <c r="O1557" s="70" t="str">
        <f>IF($A$3=" "," ", IFERROR( VLOOKUP($A1557,'SUPPLIER DATA BASE'!$A$2:$O$936,12,0),""))</f>
        <v/>
      </c>
      <c r="P1557" s="70" t="str">
        <f>IF($A$3=" "," ", IFERROR( VLOOKUP($A1557,'SUPPLIER DATA BASE'!$A$2:$O$936,13,0),""))</f>
        <v/>
      </c>
      <c r="Q1557" s="77"/>
      <c r="R1557" s="73"/>
      <c r="S1557" s="77"/>
      <c r="T1557" s="70"/>
      <c r="U1557" s="78"/>
      <c r="V1557" s="70" t="str">
        <f t="shared" si="6"/>
        <v/>
      </c>
      <c r="W1557" s="23"/>
      <c r="X1557" s="23"/>
    </row>
    <row r="1558">
      <c r="A1558" s="70"/>
      <c r="B1558" s="70" t="str">
        <f>IF($A$3=" "," ", IFERROR( VLOOKUP($A1558,'SUPPLIER DATA BASE'!$A$2:$M$936,3,0),""))</f>
        <v/>
      </c>
      <c r="C1558" s="70" t="str">
        <f>IF($A$3=" "," ", IFERROR( VLOOKUP($A1558,'SUPPLIER DATA BASE'!$A$2:$F$936,6,0),""))</f>
        <v/>
      </c>
      <c r="D1558" s="70" t="str">
        <f>IF($A$3=" "," ", IFERROR( VLOOKUP($A1558,'SUPPLIER DATA BASE'!$A$2:$G$936,4,0),""))</f>
        <v/>
      </c>
      <c r="E1558" s="71" t="str">
        <f>IF($A$3=" "," ", IFERROR( VLOOKUP($A1558,'SUPPLIER DATA BASE'!$A$2:$H$936,5,0),""))</f>
        <v/>
      </c>
      <c r="F1558" s="72"/>
      <c r="G1558" s="73"/>
      <c r="H1558" s="74"/>
      <c r="I1558" s="75"/>
      <c r="J1558" s="70"/>
      <c r="K1558" s="70"/>
      <c r="L1558" s="73"/>
      <c r="M1558" s="70" t="str">
        <f t="shared" si="3"/>
        <v/>
      </c>
      <c r="N1558" s="70" t="str">
        <f>IF($A$3=" "," ", IFERROR( VLOOKUP($A1558,'SUPPLIER DATA BASE'!$A$2:$O$936,11,0),""))</f>
        <v/>
      </c>
      <c r="O1558" s="70" t="str">
        <f>IF($A$3=" "," ", IFERROR( VLOOKUP($A1558,'SUPPLIER DATA BASE'!$A$2:$O$936,12,0),""))</f>
        <v/>
      </c>
      <c r="P1558" s="70" t="str">
        <f>IF($A$3=" "," ", IFERROR( VLOOKUP($A1558,'SUPPLIER DATA BASE'!$A$2:$O$936,13,0),""))</f>
        <v/>
      </c>
      <c r="Q1558" s="77"/>
      <c r="R1558" s="73"/>
      <c r="S1558" s="77"/>
      <c r="T1558" s="70"/>
      <c r="U1558" s="78"/>
      <c r="V1558" s="70" t="str">
        <f t="shared" si="6"/>
        <v/>
      </c>
      <c r="W1558" s="23"/>
      <c r="X1558" s="23"/>
    </row>
    <row r="1559">
      <c r="A1559" s="70"/>
      <c r="B1559" s="70" t="str">
        <f>IF($A$3=" "," ", IFERROR( VLOOKUP($A1559,'SUPPLIER DATA BASE'!$A$2:$M$936,3,0),""))</f>
        <v/>
      </c>
      <c r="C1559" s="70" t="str">
        <f>IF($A$3=" "," ", IFERROR( VLOOKUP($A1559,'SUPPLIER DATA BASE'!$A$2:$F$936,6,0),""))</f>
        <v/>
      </c>
      <c r="D1559" s="70" t="str">
        <f>IF($A$3=" "," ", IFERROR( VLOOKUP($A1559,'SUPPLIER DATA BASE'!$A$2:$G$936,4,0),""))</f>
        <v/>
      </c>
      <c r="E1559" s="71" t="str">
        <f>IF($A$3=" "," ", IFERROR( VLOOKUP($A1559,'SUPPLIER DATA BASE'!$A$2:$H$936,5,0),""))</f>
        <v/>
      </c>
      <c r="F1559" s="72"/>
      <c r="G1559" s="73"/>
      <c r="H1559" s="74"/>
      <c r="I1559" s="75"/>
      <c r="J1559" s="70"/>
      <c r="K1559" s="70"/>
      <c r="L1559" s="73"/>
      <c r="M1559" s="70" t="str">
        <f t="shared" si="3"/>
        <v/>
      </c>
      <c r="N1559" s="70" t="str">
        <f>IF($A$3=" "," ", IFERROR( VLOOKUP($A1559,'SUPPLIER DATA BASE'!$A$2:$O$936,11,0),""))</f>
        <v/>
      </c>
      <c r="O1559" s="70" t="str">
        <f>IF($A$3=" "," ", IFERROR( VLOOKUP($A1559,'SUPPLIER DATA BASE'!$A$2:$O$936,12,0),""))</f>
        <v/>
      </c>
      <c r="P1559" s="70" t="str">
        <f>IF($A$3=" "," ", IFERROR( VLOOKUP($A1559,'SUPPLIER DATA BASE'!$A$2:$O$936,13,0),""))</f>
        <v/>
      </c>
      <c r="Q1559" s="77"/>
      <c r="R1559" s="73"/>
      <c r="S1559" s="77"/>
      <c r="T1559" s="70"/>
      <c r="U1559" s="78"/>
      <c r="V1559" s="70" t="str">
        <f t="shared" si="6"/>
        <v/>
      </c>
      <c r="W1559" s="23"/>
      <c r="X1559" s="23"/>
    </row>
    <row r="1560">
      <c r="A1560" s="70"/>
      <c r="B1560" s="70" t="str">
        <f>IF($A$3=" "," ", IFERROR( VLOOKUP($A1560,'SUPPLIER DATA BASE'!$A$2:$M$936,3,0),""))</f>
        <v/>
      </c>
      <c r="C1560" s="70" t="str">
        <f>IF($A$3=" "," ", IFERROR( VLOOKUP($A1560,'SUPPLIER DATA BASE'!$A$2:$F$936,6,0),""))</f>
        <v/>
      </c>
      <c r="D1560" s="70" t="str">
        <f>IF($A$3=" "," ", IFERROR( VLOOKUP($A1560,'SUPPLIER DATA BASE'!$A$2:$G$936,4,0),""))</f>
        <v/>
      </c>
      <c r="E1560" s="71" t="str">
        <f>IF($A$3=" "," ", IFERROR( VLOOKUP($A1560,'SUPPLIER DATA BASE'!$A$2:$H$936,5,0),""))</f>
        <v/>
      </c>
      <c r="F1560" s="72"/>
      <c r="G1560" s="73"/>
      <c r="H1560" s="74"/>
      <c r="I1560" s="75"/>
      <c r="J1560" s="70"/>
      <c r="K1560" s="70"/>
      <c r="L1560" s="73"/>
      <c r="M1560" s="70" t="str">
        <f t="shared" si="3"/>
        <v/>
      </c>
      <c r="N1560" s="70" t="str">
        <f>IF($A$3=" "," ", IFERROR( VLOOKUP($A1560,'SUPPLIER DATA BASE'!$A$2:$O$936,11,0),""))</f>
        <v/>
      </c>
      <c r="O1560" s="70" t="str">
        <f>IF($A$3=" "," ", IFERROR( VLOOKUP($A1560,'SUPPLIER DATA BASE'!$A$2:$O$936,12,0),""))</f>
        <v/>
      </c>
      <c r="P1560" s="70" t="str">
        <f>IF($A$3=" "," ", IFERROR( VLOOKUP($A1560,'SUPPLIER DATA BASE'!$A$2:$O$936,13,0),""))</f>
        <v/>
      </c>
      <c r="Q1560" s="77"/>
      <c r="R1560" s="73"/>
      <c r="S1560" s="77"/>
      <c r="T1560" s="70"/>
      <c r="U1560" s="78"/>
      <c r="V1560" s="70" t="str">
        <f t="shared" si="6"/>
        <v/>
      </c>
      <c r="W1560" s="23"/>
      <c r="X1560" s="23"/>
    </row>
    <row r="1561">
      <c r="A1561" s="70"/>
      <c r="B1561" s="70" t="str">
        <f>IF($A$3=" "," ", IFERROR( VLOOKUP($A1561,'SUPPLIER DATA BASE'!$A$2:$M$936,3,0),""))</f>
        <v/>
      </c>
      <c r="C1561" s="70" t="str">
        <f>IF($A$3=" "," ", IFERROR( VLOOKUP($A1561,'SUPPLIER DATA BASE'!$A$2:$F$936,6,0),""))</f>
        <v/>
      </c>
      <c r="D1561" s="70" t="str">
        <f>IF($A$3=" "," ", IFERROR( VLOOKUP($A1561,'SUPPLIER DATA BASE'!$A$2:$G$936,4,0),""))</f>
        <v/>
      </c>
      <c r="E1561" s="71" t="str">
        <f>IF($A$3=" "," ", IFERROR( VLOOKUP($A1561,'SUPPLIER DATA BASE'!$A$2:$H$936,5,0),""))</f>
        <v/>
      </c>
      <c r="F1561" s="72"/>
      <c r="G1561" s="73"/>
      <c r="H1561" s="74"/>
      <c r="I1561" s="75"/>
      <c r="J1561" s="70"/>
      <c r="K1561" s="70"/>
      <c r="L1561" s="73"/>
      <c r="M1561" s="70" t="str">
        <f t="shared" si="3"/>
        <v/>
      </c>
      <c r="N1561" s="70" t="str">
        <f>IF($A$3=" "," ", IFERROR( VLOOKUP($A1561,'SUPPLIER DATA BASE'!$A$2:$O$936,11,0),""))</f>
        <v/>
      </c>
      <c r="O1561" s="70" t="str">
        <f>IF($A$3=" "," ", IFERROR( VLOOKUP($A1561,'SUPPLIER DATA BASE'!$A$2:$O$936,12,0),""))</f>
        <v/>
      </c>
      <c r="P1561" s="70" t="str">
        <f>IF($A$3=" "," ", IFERROR( VLOOKUP($A1561,'SUPPLIER DATA BASE'!$A$2:$O$936,13,0),""))</f>
        <v/>
      </c>
      <c r="Q1561" s="77"/>
      <c r="R1561" s="73"/>
      <c r="S1561" s="77"/>
      <c r="T1561" s="70"/>
      <c r="U1561" s="78"/>
      <c r="V1561" s="70" t="str">
        <f t="shared" si="6"/>
        <v/>
      </c>
      <c r="W1561" s="23"/>
      <c r="X1561" s="23"/>
    </row>
    <row r="1562">
      <c r="A1562" s="70"/>
      <c r="B1562" s="70" t="str">
        <f>IF($A$3=" "," ", IFERROR( VLOOKUP($A1562,'SUPPLIER DATA BASE'!$A$2:$M$936,3,0),""))</f>
        <v/>
      </c>
      <c r="C1562" s="70" t="str">
        <f>IF($A$3=" "," ", IFERROR( VLOOKUP($A1562,'SUPPLIER DATA BASE'!$A$2:$F$936,6,0),""))</f>
        <v/>
      </c>
      <c r="D1562" s="70" t="str">
        <f>IF($A$3=" "," ", IFERROR( VLOOKUP($A1562,'SUPPLIER DATA BASE'!$A$2:$G$936,4,0),""))</f>
        <v/>
      </c>
      <c r="E1562" s="71" t="str">
        <f>IF($A$3=" "," ", IFERROR( VLOOKUP($A1562,'SUPPLIER DATA BASE'!$A$2:$H$936,5,0),""))</f>
        <v/>
      </c>
      <c r="F1562" s="72"/>
      <c r="G1562" s="73"/>
      <c r="H1562" s="74"/>
      <c r="I1562" s="75"/>
      <c r="J1562" s="70"/>
      <c r="K1562" s="70"/>
      <c r="L1562" s="73"/>
      <c r="M1562" s="70" t="str">
        <f t="shared" si="3"/>
        <v/>
      </c>
      <c r="N1562" s="70" t="str">
        <f>IF($A$3=" "," ", IFERROR( VLOOKUP($A1562,'SUPPLIER DATA BASE'!$A$2:$O$936,11,0),""))</f>
        <v/>
      </c>
      <c r="O1562" s="70" t="str">
        <f>IF($A$3=" "," ", IFERROR( VLOOKUP($A1562,'SUPPLIER DATA BASE'!$A$2:$O$936,12,0),""))</f>
        <v/>
      </c>
      <c r="P1562" s="70" t="str">
        <f>IF($A$3=" "," ", IFERROR( VLOOKUP($A1562,'SUPPLIER DATA BASE'!$A$2:$O$936,13,0),""))</f>
        <v/>
      </c>
      <c r="Q1562" s="77"/>
      <c r="R1562" s="73"/>
      <c r="S1562" s="77"/>
      <c r="T1562" s="70"/>
      <c r="U1562" s="78"/>
      <c r="V1562" s="70" t="str">
        <f t="shared" si="6"/>
        <v/>
      </c>
      <c r="W1562" s="23"/>
      <c r="X1562" s="23"/>
    </row>
    <row r="1563">
      <c r="A1563" s="70"/>
      <c r="B1563" s="70" t="str">
        <f>IF($A$3=" "," ", IFERROR( VLOOKUP($A1563,'SUPPLIER DATA BASE'!$A$2:$M$936,3,0),""))</f>
        <v/>
      </c>
      <c r="C1563" s="70" t="str">
        <f>IF($A$3=" "," ", IFERROR( VLOOKUP($A1563,'SUPPLIER DATA BASE'!$A$2:$F$936,6,0),""))</f>
        <v/>
      </c>
      <c r="D1563" s="70" t="str">
        <f>IF($A$3=" "," ", IFERROR( VLOOKUP($A1563,'SUPPLIER DATA BASE'!$A$2:$G$936,4,0),""))</f>
        <v/>
      </c>
      <c r="E1563" s="71" t="str">
        <f>IF($A$3=" "," ", IFERROR( VLOOKUP($A1563,'SUPPLIER DATA BASE'!$A$2:$H$936,5,0),""))</f>
        <v/>
      </c>
      <c r="F1563" s="72"/>
      <c r="G1563" s="73"/>
      <c r="H1563" s="74"/>
      <c r="I1563" s="75"/>
      <c r="J1563" s="70"/>
      <c r="K1563" s="70"/>
      <c r="L1563" s="73"/>
      <c r="M1563" s="70" t="str">
        <f t="shared" si="3"/>
        <v/>
      </c>
      <c r="N1563" s="70" t="str">
        <f>IF($A$3=" "," ", IFERROR( VLOOKUP($A1563,'SUPPLIER DATA BASE'!$A$2:$O$936,11,0),""))</f>
        <v/>
      </c>
      <c r="O1563" s="70" t="str">
        <f>IF($A$3=" "," ", IFERROR( VLOOKUP($A1563,'SUPPLIER DATA BASE'!$A$2:$O$936,12,0),""))</f>
        <v/>
      </c>
      <c r="P1563" s="70" t="str">
        <f>IF($A$3=" "," ", IFERROR( VLOOKUP($A1563,'SUPPLIER DATA BASE'!$A$2:$O$936,13,0),""))</f>
        <v/>
      </c>
      <c r="Q1563" s="77"/>
      <c r="R1563" s="73"/>
      <c r="S1563" s="77"/>
      <c r="T1563" s="70"/>
      <c r="U1563" s="78"/>
      <c r="V1563" s="70" t="str">
        <f t="shared" si="6"/>
        <v/>
      </c>
      <c r="W1563" s="23"/>
      <c r="X1563" s="23"/>
    </row>
    <row r="1564">
      <c r="A1564" s="70"/>
      <c r="B1564" s="70" t="str">
        <f>IF($A$3=" "," ", IFERROR( VLOOKUP($A1564,'SUPPLIER DATA BASE'!$A$2:$M$936,3,0),""))</f>
        <v/>
      </c>
      <c r="C1564" s="70" t="str">
        <f>IF($A$3=" "," ", IFERROR( VLOOKUP($A1564,'SUPPLIER DATA BASE'!$A$2:$F$936,6,0),""))</f>
        <v/>
      </c>
      <c r="D1564" s="70" t="str">
        <f>IF($A$3=" "," ", IFERROR( VLOOKUP($A1564,'SUPPLIER DATA BASE'!$A$2:$G$936,4,0),""))</f>
        <v/>
      </c>
      <c r="E1564" s="71" t="str">
        <f>IF($A$3=" "," ", IFERROR( VLOOKUP($A1564,'SUPPLIER DATA BASE'!$A$2:$H$936,5,0),""))</f>
        <v/>
      </c>
      <c r="F1564" s="72"/>
      <c r="G1564" s="73"/>
      <c r="H1564" s="74"/>
      <c r="I1564" s="75"/>
      <c r="J1564" s="70"/>
      <c r="K1564" s="70"/>
      <c r="L1564" s="73"/>
      <c r="M1564" s="70" t="str">
        <f t="shared" si="3"/>
        <v/>
      </c>
      <c r="N1564" s="70" t="str">
        <f>IF($A$3=" "," ", IFERROR( VLOOKUP($A1564,'SUPPLIER DATA BASE'!$A$2:$O$936,11,0),""))</f>
        <v/>
      </c>
      <c r="O1564" s="70" t="str">
        <f>IF($A$3=" "," ", IFERROR( VLOOKUP($A1564,'SUPPLIER DATA BASE'!$A$2:$O$936,12,0),""))</f>
        <v/>
      </c>
      <c r="P1564" s="70" t="str">
        <f>IF($A$3=" "," ", IFERROR( VLOOKUP($A1564,'SUPPLIER DATA BASE'!$A$2:$O$936,13,0),""))</f>
        <v/>
      </c>
      <c r="Q1564" s="77"/>
      <c r="R1564" s="73"/>
      <c r="S1564" s="77"/>
      <c r="T1564" s="70"/>
      <c r="U1564" s="78"/>
      <c r="V1564" s="70" t="str">
        <f t="shared" si="6"/>
        <v/>
      </c>
      <c r="W1564" s="23"/>
      <c r="X1564" s="23"/>
    </row>
    <row r="1565">
      <c r="A1565" s="70"/>
      <c r="B1565" s="70" t="str">
        <f>IF($A$3=" "," ", IFERROR( VLOOKUP($A1565,'SUPPLIER DATA BASE'!$A$2:$M$936,3,0),""))</f>
        <v/>
      </c>
      <c r="C1565" s="70" t="str">
        <f>IF($A$3=" "," ", IFERROR( VLOOKUP($A1565,'SUPPLIER DATA BASE'!$A$2:$F$936,6,0),""))</f>
        <v/>
      </c>
      <c r="D1565" s="70" t="str">
        <f>IF($A$3=" "," ", IFERROR( VLOOKUP($A1565,'SUPPLIER DATA BASE'!$A$2:$G$936,4,0),""))</f>
        <v/>
      </c>
      <c r="E1565" s="71" t="str">
        <f>IF($A$3=" "," ", IFERROR( VLOOKUP($A1565,'SUPPLIER DATA BASE'!$A$2:$H$936,5,0),""))</f>
        <v/>
      </c>
      <c r="F1565" s="72"/>
      <c r="G1565" s="73"/>
      <c r="H1565" s="74"/>
      <c r="I1565" s="75"/>
      <c r="J1565" s="70"/>
      <c r="K1565" s="70"/>
      <c r="L1565" s="73"/>
      <c r="M1565" s="70" t="str">
        <f t="shared" si="3"/>
        <v/>
      </c>
      <c r="N1565" s="70" t="str">
        <f>IF($A$3=" "," ", IFERROR( VLOOKUP($A1565,'SUPPLIER DATA BASE'!$A$2:$O$936,11,0),""))</f>
        <v/>
      </c>
      <c r="O1565" s="70" t="str">
        <f>IF($A$3=" "," ", IFERROR( VLOOKUP($A1565,'SUPPLIER DATA BASE'!$A$2:$O$936,12,0),""))</f>
        <v/>
      </c>
      <c r="P1565" s="70" t="str">
        <f>IF($A$3=" "," ", IFERROR( VLOOKUP($A1565,'SUPPLIER DATA BASE'!$A$2:$O$936,13,0),""))</f>
        <v/>
      </c>
      <c r="Q1565" s="77"/>
      <c r="R1565" s="73"/>
      <c r="S1565" s="77"/>
      <c r="T1565" s="70"/>
      <c r="U1565" s="78"/>
      <c r="V1565" s="70" t="str">
        <f t="shared" si="6"/>
        <v/>
      </c>
      <c r="W1565" s="23"/>
      <c r="X1565" s="23"/>
    </row>
    <row r="1566">
      <c r="A1566" s="70"/>
      <c r="B1566" s="70" t="str">
        <f>IF($A$3=" "," ", IFERROR( VLOOKUP($A1566,'SUPPLIER DATA BASE'!$A$2:$M$936,3,0),""))</f>
        <v/>
      </c>
      <c r="C1566" s="70" t="str">
        <f>IF($A$3=" "," ", IFERROR( VLOOKUP($A1566,'SUPPLIER DATA BASE'!$A$2:$F$936,6,0),""))</f>
        <v/>
      </c>
      <c r="D1566" s="70" t="str">
        <f>IF($A$3=" "," ", IFERROR( VLOOKUP($A1566,'SUPPLIER DATA BASE'!$A$2:$G$936,4,0),""))</f>
        <v/>
      </c>
      <c r="E1566" s="71" t="str">
        <f>IF($A$3=" "," ", IFERROR( VLOOKUP($A1566,'SUPPLIER DATA BASE'!$A$2:$H$936,5,0),""))</f>
        <v/>
      </c>
      <c r="F1566" s="72"/>
      <c r="G1566" s="73"/>
      <c r="H1566" s="74"/>
      <c r="I1566" s="75"/>
      <c r="J1566" s="70"/>
      <c r="K1566" s="70"/>
      <c r="L1566" s="73"/>
      <c r="M1566" s="70" t="str">
        <f t="shared" si="3"/>
        <v/>
      </c>
      <c r="N1566" s="70" t="str">
        <f>IF($A$3=" "," ", IFERROR( VLOOKUP($A1566,'SUPPLIER DATA BASE'!$A$2:$O$936,11,0),""))</f>
        <v/>
      </c>
      <c r="O1566" s="70" t="str">
        <f>IF($A$3=" "," ", IFERROR( VLOOKUP($A1566,'SUPPLIER DATA BASE'!$A$2:$O$936,12,0),""))</f>
        <v/>
      </c>
      <c r="P1566" s="70" t="str">
        <f>IF($A$3=" "," ", IFERROR( VLOOKUP($A1566,'SUPPLIER DATA BASE'!$A$2:$O$936,13,0),""))</f>
        <v/>
      </c>
      <c r="Q1566" s="77"/>
      <c r="R1566" s="73"/>
      <c r="S1566" s="77"/>
      <c r="T1566" s="70"/>
      <c r="U1566" s="78"/>
      <c r="V1566" s="70" t="str">
        <f t="shared" si="6"/>
        <v/>
      </c>
      <c r="W1566" s="23"/>
      <c r="X1566" s="23"/>
    </row>
    <row r="1567">
      <c r="A1567" s="70"/>
      <c r="B1567" s="70" t="str">
        <f>IF($A$3=" "," ", IFERROR( VLOOKUP($A1567,'SUPPLIER DATA BASE'!$A$2:$M$936,3,0),""))</f>
        <v/>
      </c>
      <c r="C1567" s="70" t="str">
        <f>IF($A$3=" "," ", IFERROR( VLOOKUP($A1567,'SUPPLIER DATA BASE'!$A$2:$F$936,6,0),""))</f>
        <v/>
      </c>
      <c r="D1567" s="70" t="str">
        <f>IF($A$3=" "," ", IFERROR( VLOOKUP($A1567,'SUPPLIER DATA BASE'!$A$2:$G$936,4,0),""))</f>
        <v/>
      </c>
      <c r="E1567" s="71" t="str">
        <f>IF($A$3=" "," ", IFERROR( VLOOKUP($A1567,'SUPPLIER DATA BASE'!$A$2:$H$936,5,0),""))</f>
        <v/>
      </c>
      <c r="F1567" s="72"/>
      <c r="G1567" s="73"/>
      <c r="H1567" s="74"/>
      <c r="I1567" s="75"/>
      <c r="J1567" s="70"/>
      <c r="K1567" s="70"/>
      <c r="L1567" s="73"/>
      <c r="M1567" s="70" t="str">
        <f t="shared" si="3"/>
        <v/>
      </c>
      <c r="N1567" s="70" t="str">
        <f>IF($A$3=" "," ", IFERROR( VLOOKUP($A1567,'SUPPLIER DATA BASE'!$A$2:$O$936,11,0),""))</f>
        <v/>
      </c>
      <c r="O1567" s="70" t="str">
        <f>IF($A$3=" "," ", IFERROR( VLOOKUP($A1567,'SUPPLIER DATA BASE'!$A$2:$O$936,12,0),""))</f>
        <v/>
      </c>
      <c r="P1567" s="70" t="str">
        <f>IF($A$3=" "," ", IFERROR( VLOOKUP($A1567,'SUPPLIER DATA BASE'!$A$2:$O$936,13,0),""))</f>
        <v/>
      </c>
      <c r="Q1567" s="77"/>
      <c r="R1567" s="73"/>
      <c r="S1567" s="77"/>
      <c r="T1567" s="70"/>
      <c r="U1567" s="78"/>
      <c r="V1567" s="70" t="str">
        <f t="shared" si="6"/>
        <v/>
      </c>
      <c r="W1567" s="23"/>
      <c r="X1567" s="23"/>
    </row>
    <row r="1568">
      <c r="A1568" s="70"/>
      <c r="B1568" s="70" t="str">
        <f>IF($A$3=" "," ", IFERROR( VLOOKUP($A1568,'SUPPLIER DATA BASE'!$A$2:$M$936,3,0),""))</f>
        <v/>
      </c>
      <c r="C1568" s="70" t="str">
        <f>IF($A$3=" "," ", IFERROR( VLOOKUP($A1568,'SUPPLIER DATA BASE'!$A$2:$F$936,6,0),""))</f>
        <v/>
      </c>
      <c r="D1568" s="70" t="str">
        <f>IF($A$3=" "," ", IFERROR( VLOOKUP($A1568,'SUPPLIER DATA BASE'!$A$2:$G$936,4,0),""))</f>
        <v/>
      </c>
      <c r="E1568" s="71" t="str">
        <f>IF($A$3=" "," ", IFERROR( VLOOKUP($A1568,'SUPPLIER DATA BASE'!$A$2:$H$936,5,0),""))</f>
        <v/>
      </c>
      <c r="F1568" s="72"/>
      <c r="G1568" s="73"/>
      <c r="H1568" s="74"/>
      <c r="I1568" s="75"/>
      <c r="J1568" s="70"/>
      <c r="K1568" s="70"/>
      <c r="L1568" s="73"/>
      <c r="M1568" s="70" t="str">
        <f t="shared" si="3"/>
        <v/>
      </c>
      <c r="N1568" s="70" t="str">
        <f>IF($A$3=" "," ", IFERROR( VLOOKUP($A1568,'SUPPLIER DATA BASE'!$A$2:$O$936,11,0),""))</f>
        <v/>
      </c>
      <c r="O1568" s="70" t="str">
        <f>IF($A$3=" "," ", IFERROR( VLOOKUP($A1568,'SUPPLIER DATA BASE'!$A$2:$O$936,12,0),""))</f>
        <v/>
      </c>
      <c r="P1568" s="70" t="str">
        <f>IF($A$3=" "," ", IFERROR( VLOOKUP($A1568,'SUPPLIER DATA BASE'!$A$2:$O$936,13,0),""))</f>
        <v/>
      </c>
      <c r="Q1568" s="77"/>
      <c r="R1568" s="73"/>
      <c r="S1568" s="77"/>
      <c r="T1568" s="70"/>
      <c r="U1568" s="78"/>
      <c r="V1568" s="70" t="str">
        <f t="shared" si="6"/>
        <v/>
      </c>
      <c r="W1568" s="23"/>
      <c r="X1568" s="23"/>
    </row>
    <row r="1569">
      <c r="A1569" s="70"/>
      <c r="B1569" s="70" t="str">
        <f>IF($A$3=" "," ", IFERROR( VLOOKUP($A1569,'SUPPLIER DATA BASE'!$A$2:$M$936,3,0),""))</f>
        <v/>
      </c>
      <c r="C1569" s="70" t="str">
        <f>IF($A$3=" "," ", IFERROR( VLOOKUP($A1569,'SUPPLIER DATA BASE'!$A$2:$F$936,6,0),""))</f>
        <v/>
      </c>
      <c r="D1569" s="70" t="str">
        <f>IF($A$3=" "," ", IFERROR( VLOOKUP($A1569,'SUPPLIER DATA BASE'!$A$2:$G$936,4,0),""))</f>
        <v/>
      </c>
      <c r="E1569" s="71" t="str">
        <f>IF($A$3=" "," ", IFERROR( VLOOKUP($A1569,'SUPPLIER DATA BASE'!$A$2:$H$936,5,0),""))</f>
        <v/>
      </c>
      <c r="F1569" s="72"/>
      <c r="G1569" s="73"/>
      <c r="H1569" s="74"/>
      <c r="I1569" s="75"/>
      <c r="J1569" s="70"/>
      <c r="K1569" s="70"/>
      <c r="L1569" s="73"/>
      <c r="M1569" s="70" t="str">
        <f t="shared" si="3"/>
        <v/>
      </c>
      <c r="N1569" s="70" t="str">
        <f>IF($A$3=" "," ", IFERROR( VLOOKUP($A1569,'SUPPLIER DATA BASE'!$A$2:$O$936,11,0),""))</f>
        <v/>
      </c>
      <c r="O1569" s="70" t="str">
        <f>IF($A$3=" "," ", IFERROR( VLOOKUP($A1569,'SUPPLIER DATA BASE'!$A$2:$O$936,12,0),""))</f>
        <v/>
      </c>
      <c r="P1569" s="70" t="str">
        <f>IF($A$3=" "," ", IFERROR( VLOOKUP($A1569,'SUPPLIER DATA BASE'!$A$2:$O$936,13,0),""))</f>
        <v/>
      </c>
      <c r="Q1569" s="77"/>
      <c r="R1569" s="73"/>
      <c r="S1569" s="77"/>
      <c r="T1569" s="70"/>
      <c r="U1569" s="78"/>
      <c r="V1569" s="70" t="str">
        <f t="shared" si="6"/>
        <v/>
      </c>
      <c r="W1569" s="23"/>
      <c r="X1569" s="23"/>
    </row>
    <row r="1570">
      <c r="A1570" s="70"/>
      <c r="B1570" s="70" t="str">
        <f>IF($A$3=" "," ", IFERROR( VLOOKUP($A1570,'SUPPLIER DATA BASE'!$A$2:$M$936,3,0),""))</f>
        <v/>
      </c>
      <c r="C1570" s="70" t="str">
        <f>IF($A$3=" "," ", IFERROR( VLOOKUP($A1570,'SUPPLIER DATA BASE'!$A$2:$F$936,6,0),""))</f>
        <v/>
      </c>
      <c r="D1570" s="70" t="str">
        <f>IF($A$3=" "," ", IFERROR( VLOOKUP($A1570,'SUPPLIER DATA BASE'!$A$2:$G$936,4,0),""))</f>
        <v/>
      </c>
      <c r="E1570" s="71" t="str">
        <f>IF($A$3=" "," ", IFERROR( VLOOKUP($A1570,'SUPPLIER DATA BASE'!$A$2:$H$936,5,0),""))</f>
        <v/>
      </c>
      <c r="F1570" s="72"/>
      <c r="G1570" s="73"/>
      <c r="H1570" s="74"/>
      <c r="I1570" s="75"/>
      <c r="J1570" s="70"/>
      <c r="K1570" s="70"/>
      <c r="L1570" s="73"/>
      <c r="M1570" s="70" t="str">
        <f t="shared" si="3"/>
        <v/>
      </c>
      <c r="N1570" s="70" t="str">
        <f>IF($A$3=" "," ", IFERROR( VLOOKUP($A1570,'SUPPLIER DATA BASE'!$A$2:$O$936,11,0),""))</f>
        <v/>
      </c>
      <c r="O1570" s="70" t="str">
        <f>IF($A$3=" "," ", IFERROR( VLOOKUP($A1570,'SUPPLIER DATA BASE'!$A$2:$O$936,12,0),""))</f>
        <v/>
      </c>
      <c r="P1570" s="70" t="str">
        <f>IF($A$3=" "," ", IFERROR( VLOOKUP($A1570,'SUPPLIER DATA BASE'!$A$2:$O$936,13,0),""))</f>
        <v/>
      </c>
      <c r="Q1570" s="77"/>
      <c r="R1570" s="73"/>
      <c r="S1570" s="77"/>
      <c r="T1570" s="70"/>
      <c r="U1570" s="78"/>
      <c r="V1570" s="70" t="str">
        <f t="shared" si="6"/>
        <v/>
      </c>
      <c r="W1570" s="23"/>
      <c r="X1570" s="23"/>
    </row>
    <row r="1571">
      <c r="A1571" s="70"/>
      <c r="B1571" s="70" t="str">
        <f>IF($A$3=" "," ", IFERROR( VLOOKUP($A1571,'SUPPLIER DATA BASE'!$A$2:$M$936,3,0),""))</f>
        <v/>
      </c>
      <c r="C1571" s="70" t="str">
        <f>IF($A$3=" "," ", IFERROR( VLOOKUP($A1571,'SUPPLIER DATA BASE'!$A$2:$F$936,6,0),""))</f>
        <v/>
      </c>
      <c r="D1571" s="70" t="str">
        <f>IF($A$3=" "," ", IFERROR( VLOOKUP($A1571,'SUPPLIER DATA BASE'!$A$2:$G$936,4,0),""))</f>
        <v/>
      </c>
      <c r="E1571" s="71" t="str">
        <f>IF($A$3=" "," ", IFERROR( VLOOKUP($A1571,'SUPPLIER DATA BASE'!$A$2:$H$936,5,0),""))</f>
        <v/>
      </c>
      <c r="F1571" s="72"/>
      <c r="G1571" s="73"/>
      <c r="H1571" s="74"/>
      <c r="I1571" s="75"/>
      <c r="J1571" s="70"/>
      <c r="K1571" s="70"/>
      <c r="L1571" s="73"/>
      <c r="M1571" s="70" t="str">
        <f t="shared" si="3"/>
        <v/>
      </c>
      <c r="N1571" s="70" t="str">
        <f>IF($A$3=" "," ", IFERROR( VLOOKUP($A1571,'SUPPLIER DATA BASE'!$A$2:$O$936,11,0),""))</f>
        <v/>
      </c>
      <c r="O1571" s="70" t="str">
        <f>IF($A$3=" "," ", IFERROR( VLOOKUP($A1571,'SUPPLIER DATA BASE'!$A$2:$O$936,12,0),""))</f>
        <v/>
      </c>
      <c r="P1571" s="70" t="str">
        <f>IF($A$3=" "," ", IFERROR( VLOOKUP($A1571,'SUPPLIER DATA BASE'!$A$2:$O$936,13,0),""))</f>
        <v/>
      </c>
      <c r="Q1571" s="77"/>
      <c r="R1571" s="73"/>
      <c r="S1571" s="77"/>
      <c r="T1571" s="70"/>
      <c r="U1571" s="78"/>
      <c r="V1571" s="70" t="str">
        <f t="shared" si="6"/>
        <v/>
      </c>
      <c r="W1571" s="23"/>
      <c r="X1571" s="23"/>
    </row>
    <row r="1572">
      <c r="A1572" s="70"/>
      <c r="B1572" s="70" t="str">
        <f>IF($A$3=" "," ", IFERROR( VLOOKUP($A1572,'SUPPLIER DATA BASE'!$A$2:$M$936,3,0),""))</f>
        <v/>
      </c>
      <c r="C1572" s="70" t="str">
        <f>IF($A$3=" "," ", IFERROR( VLOOKUP($A1572,'SUPPLIER DATA BASE'!$A$2:$F$936,6,0),""))</f>
        <v/>
      </c>
      <c r="D1572" s="70" t="str">
        <f>IF($A$3=" "," ", IFERROR( VLOOKUP($A1572,'SUPPLIER DATA BASE'!$A$2:$G$936,4,0),""))</f>
        <v/>
      </c>
      <c r="E1572" s="71" t="str">
        <f>IF($A$3=" "," ", IFERROR( VLOOKUP($A1572,'SUPPLIER DATA BASE'!$A$2:$H$936,5,0),""))</f>
        <v/>
      </c>
      <c r="F1572" s="72"/>
      <c r="G1572" s="73"/>
      <c r="H1572" s="74"/>
      <c r="I1572" s="75"/>
      <c r="J1572" s="70"/>
      <c r="K1572" s="70"/>
      <c r="L1572" s="73"/>
      <c r="M1572" s="70" t="str">
        <f t="shared" si="3"/>
        <v/>
      </c>
      <c r="N1572" s="70" t="str">
        <f>IF($A$3=" "," ", IFERROR( VLOOKUP($A1572,'SUPPLIER DATA BASE'!$A$2:$O$936,11,0),""))</f>
        <v/>
      </c>
      <c r="O1572" s="70" t="str">
        <f>IF($A$3=" "," ", IFERROR( VLOOKUP($A1572,'SUPPLIER DATA BASE'!$A$2:$O$936,12,0),""))</f>
        <v/>
      </c>
      <c r="P1572" s="70" t="str">
        <f>IF($A$3=" "," ", IFERROR( VLOOKUP($A1572,'SUPPLIER DATA BASE'!$A$2:$O$936,13,0),""))</f>
        <v/>
      </c>
      <c r="Q1572" s="77"/>
      <c r="R1572" s="73"/>
      <c r="S1572" s="77"/>
      <c r="T1572" s="70"/>
      <c r="U1572" s="78"/>
      <c r="V1572" s="70" t="str">
        <f t="shared" si="6"/>
        <v/>
      </c>
      <c r="W1572" s="23"/>
      <c r="X1572" s="23"/>
    </row>
    <row r="1573">
      <c r="A1573" s="70"/>
      <c r="B1573" s="70" t="str">
        <f>IF($A$3=" "," ", IFERROR( VLOOKUP($A1573,'SUPPLIER DATA BASE'!$A$2:$M$936,3,0),""))</f>
        <v/>
      </c>
      <c r="C1573" s="70" t="str">
        <f>IF($A$3=" "," ", IFERROR( VLOOKUP($A1573,'SUPPLIER DATA BASE'!$A$2:$F$936,6,0),""))</f>
        <v/>
      </c>
      <c r="D1573" s="70" t="str">
        <f>IF($A$3=" "," ", IFERROR( VLOOKUP($A1573,'SUPPLIER DATA BASE'!$A$2:$G$936,4,0),""))</f>
        <v/>
      </c>
      <c r="E1573" s="71" t="str">
        <f>IF($A$3=" "," ", IFERROR( VLOOKUP($A1573,'SUPPLIER DATA BASE'!$A$2:$H$936,5,0),""))</f>
        <v/>
      </c>
      <c r="F1573" s="72"/>
      <c r="G1573" s="73"/>
      <c r="H1573" s="74"/>
      <c r="I1573" s="75"/>
      <c r="J1573" s="70"/>
      <c r="K1573" s="70"/>
      <c r="L1573" s="73"/>
      <c r="M1573" s="70" t="str">
        <f t="shared" si="3"/>
        <v/>
      </c>
      <c r="N1573" s="70" t="str">
        <f>IF($A$3=" "," ", IFERROR( VLOOKUP($A1573,'SUPPLIER DATA BASE'!$A$2:$O$936,11,0),""))</f>
        <v/>
      </c>
      <c r="O1573" s="70" t="str">
        <f>IF($A$3=" "," ", IFERROR( VLOOKUP($A1573,'SUPPLIER DATA BASE'!$A$2:$O$936,12,0),""))</f>
        <v/>
      </c>
      <c r="P1573" s="70" t="str">
        <f>IF($A$3=" "," ", IFERROR( VLOOKUP($A1573,'SUPPLIER DATA BASE'!$A$2:$O$936,13,0),""))</f>
        <v/>
      </c>
      <c r="Q1573" s="77"/>
      <c r="R1573" s="73"/>
      <c r="S1573" s="77"/>
      <c r="T1573" s="70"/>
      <c r="U1573" s="78"/>
      <c r="V1573" s="70" t="str">
        <f t="shared" si="6"/>
        <v/>
      </c>
      <c r="W1573" s="23"/>
      <c r="X1573" s="23"/>
    </row>
    <row r="1574">
      <c r="A1574" s="70"/>
      <c r="B1574" s="70" t="str">
        <f>IF($A$3=" "," ", IFERROR( VLOOKUP($A1574,'SUPPLIER DATA BASE'!$A$2:$M$936,3,0),""))</f>
        <v/>
      </c>
      <c r="C1574" s="70" t="str">
        <f>IF($A$3=" "," ", IFERROR( VLOOKUP($A1574,'SUPPLIER DATA BASE'!$A$2:$F$936,6,0),""))</f>
        <v/>
      </c>
      <c r="D1574" s="70" t="str">
        <f>IF($A$3=" "," ", IFERROR( VLOOKUP($A1574,'SUPPLIER DATA BASE'!$A$2:$G$936,4,0),""))</f>
        <v/>
      </c>
      <c r="E1574" s="71" t="str">
        <f>IF($A$3=" "," ", IFERROR( VLOOKUP($A1574,'SUPPLIER DATA BASE'!$A$2:$H$936,5,0),""))</f>
        <v/>
      </c>
      <c r="F1574" s="72"/>
      <c r="G1574" s="73"/>
      <c r="H1574" s="74"/>
      <c r="I1574" s="75"/>
      <c r="J1574" s="70"/>
      <c r="K1574" s="70"/>
      <c r="L1574" s="73"/>
      <c r="M1574" s="70" t="str">
        <f t="shared" si="3"/>
        <v/>
      </c>
      <c r="N1574" s="70" t="str">
        <f>IF($A$3=" "," ", IFERROR( VLOOKUP($A1574,'SUPPLIER DATA BASE'!$A$2:$O$936,11,0),""))</f>
        <v/>
      </c>
      <c r="O1574" s="70" t="str">
        <f>IF($A$3=" "," ", IFERROR( VLOOKUP($A1574,'SUPPLIER DATA BASE'!$A$2:$O$936,12,0),""))</f>
        <v/>
      </c>
      <c r="P1574" s="70" t="str">
        <f>IF($A$3=" "," ", IFERROR( VLOOKUP($A1574,'SUPPLIER DATA BASE'!$A$2:$O$936,13,0),""))</f>
        <v/>
      </c>
      <c r="Q1574" s="77"/>
      <c r="R1574" s="73"/>
      <c r="S1574" s="77"/>
      <c r="T1574" s="70"/>
      <c r="U1574" s="78"/>
      <c r="V1574" s="70" t="str">
        <f t="shared" si="6"/>
        <v/>
      </c>
      <c r="W1574" s="23"/>
      <c r="X1574" s="23"/>
    </row>
    <row r="1575">
      <c r="A1575" s="70"/>
      <c r="B1575" s="70" t="str">
        <f>IF($A$3=" "," ", IFERROR( VLOOKUP($A1575,'SUPPLIER DATA BASE'!$A$2:$M$936,3,0),""))</f>
        <v/>
      </c>
      <c r="C1575" s="70" t="str">
        <f>IF($A$3=" "," ", IFERROR( VLOOKUP($A1575,'SUPPLIER DATA BASE'!$A$2:$F$936,6,0),""))</f>
        <v/>
      </c>
      <c r="D1575" s="70" t="str">
        <f>IF($A$3=" "," ", IFERROR( VLOOKUP($A1575,'SUPPLIER DATA BASE'!$A$2:$G$936,4,0),""))</f>
        <v/>
      </c>
      <c r="E1575" s="71" t="str">
        <f>IF($A$3=" "," ", IFERROR( VLOOKUP($A1575,'SUPPLIER DATA BASE'!$A$2:$H$936,5,0),""))</f>
        <v/>
      </c>
      <c r="F1575" s="72"/>
      <c r="G1575" s="73"/>
      <c r="H1575" s="74"/>
      <c r="I1575" s="75"/>
      <c r="J1575" s="70"/>
      <c r="K1575" s="70"/>
      <c r="L1575" s="73"/>
      <c r="M1575" s="70" t="str">
        <f t="shared" si="3"/>
        <v/>
      </c>
      <c r="N1575" s="70" t="str">
        <f>IF($A$3=" "," ", IFERROR( VLOOKUP($A1575,'SUPPLIER DATA BASE'!$A$2:$O$936,11,0),""))</f>
        <v/>
      </c>
      <c r="O1575" s="70" t="str">
        <f>IF($A$3=" "," ", IFERROR( VLOOKUP($A1575,'SUPPLIER DATA BASE'!$A$2:$O$936,12,0),""))</f>
        <v/>
      </c>
      <c r="P1575" s="70" t="str">
        <f>IF($A$3=" "," ", IFERROR( VLOOKUP($A1575,'SUPPLIER DATA BASE'!$A$2:$O$936,13,0),""))</f>
        <v/>
      </c>
      <c r="Q1575" s="77"/>
      <c r="R1575" s="73"/>
      <c r="S1575" s="77"/>
      <c r="T1575" s="70"/>
      <c r="U1575" s="78"/>
      <c r="V1575" s="70" t="str">
        <f t="shared" si="6"/>
        <v/>
      </c>
      <c r="W1575" s="23"/>
      <c r="X1575" s="23"/>
    </row>
    <row r="1576">
      <c r="A1576" s="70"/>
      <c r="B1576" s="70" t="str">
        <f>IF($A$3=" "," ", IFERROR( VLOOKUP($A1576,'SUPPLIER DATA BASE'!$A$2:$M$936,3,0),""))</f>
        <v/>
      </c>
      <c r="C1576" s="70" t="str">
        <f>IF($A$3=" "," ", IFERROR( VLOOKUP($A1576,'SUPPLIER DATA BASE'!$A$2:$F$936,6,0),""))</f>
        <v/>
      </c>
      <c r="D1576" s="70" t="str">
        <f>IF($A$3=" "," ", IFERROR( VLOOKUP($A1576,'SUPPLIER DATA BASE'!$A$2:$G$936,4,0),""))</f>
        <v/>
      </c>
      <c r="E1576" s="71" t="str">
        <f>IF($A$3=" "," ", IFERROR( VLOOKUP($A1576,'SUPPLIER DATA BASE'!$A$2:$H$936,5,0),""))</f>
        <v/>
      </c>
      <c r="F1576" s="72"/>
      <c r="G1576" s="73"/>
      <c r="H1576" s="74"/>
      <c r="I1576" s="75"/>
      <c r="J1576" s="70"/>
      <c r="K1576" s="70"/>
      <c r="L1576" s="73"/>
      <c r="M1576" s="70" t="str">
        <f t="shared" si="3"/>
        <v/>
      </c>
      <c r="N1576" s="70" t="str">
        <f>IF($A$3=" "," ", IFERROR( VLOOKUP($A1576,'SUPPLIER DATA BASE'!$A$2:$O$936,11,0),""))</f>
        <v/>
      </c>
      <c r="O1576" s="70" t="str">
        <f>IF($A$3=" "," ", IFERROR( VLOOKUP($A1576,'SUPPLIER DATA BASE'!$A$2:$O$936,12,0),""))</f>
        <v/>
      </c>
      <c r="P1576" s="70" t="str">
        <f>IF($A$3=" "," ", IFERROR( VLOOKUP($A1576,'SUPPLIER DATA BASE'!$A$2:$O$936,13,0),""))</f>
        <v/>
      </c>
      <c r="Q1576" s="77"/>
      <c r="R1576" s="73"/>
      <c r="S1576" s="77"/>
      <c r="T1576" s="70"/>
      <c r="U1576" s="78"/>
      <c r="V1576" s="70" t="str">
        <f t="shared" si="6"/>
        <v/>
      </c>
      <c r="W1576" s="23"/>
      <c r="X1576" s="23"/>
    </row>
    <row r="1577">
      <c r="A1577" s="70"/>
      <c r="B1577" s="70" t="str">
        <f>IF($A$3=" "," ", IFERROR( VLOOKUP($A1577,'SUPPLIER DATA BASE'!$A$2:$M$936,3,0),""))</f>
        <v/>
      </c>
      <c r="C1577" s="70" t="str">
        <f>IF($A$3=" "," ", IFERROR( VLOOKUP($A1577,'SUPPLIER DATA BASE'!$A$2:$F$936,6,0),""))</f>
        <v/>
      </c>
      <c r="D1577" s="70" t="str">
        <f>IF($A$3=" "," ", IFERROR( VLOOKUP($A1577,'SUPPLIER DATA BASE'!$A$2:$G$936,4,0),""))</f>
        <v/>
      </c>
      <c r="E1577" s="71" t="str">
        <f>IF($A$3=" "," ", IFERROR( VLOOKUP($A1577,'SUPPLIER DATA BASE'!$A$2:$H$936,5,0),""))</f>
        <v/>
      </c>
      <c r="F1577" s="72"/>
      <c r="G1577" s="73"/>
      <c r="H1577" s="74"/>
      <c r="I1577" s="75"/>
      <c r="J1577" s="70"/>
      <c r="K1577" s="70"/>
      <c r="L1577" s="73"/>
      <c r="M1577" s="70" t="str">
        <f t="shared" si="3"/>
        <v/>
      </c>
      <c r="N1577" s="70" t="str">
        <f>IF($A$3=" "," ", IFERROR( VLOOKUP($A1577,'SUPPLIER DATA BASE'!$A$2:$O$936,11,0),""))</f>
        <v/>
      </c>
      <c r="O1577" s="70" t="str">
        <f>IF($A$3=" "," ", IFERROR( VLOOKUP($A1577,'SUPPLIER DATA BASE'!$A$2:$O$936,12,0),""))</f>
        <v/>
      </c>
      <c r="P1577" s="70" t="str">
        <f>IF($A$3=" "," ", IFERROR( VLOOKUP($A1577,'SUPPLIER DATA BASE'!$A$2:$O$936,13,0),""))</f>
        <v/>
      </c>
      <c r="Q1577" s="77"/>
      <c r="R1577" s="73"/>
      <c r="S1577" s="77"/>
      <c r="T1577" s="70"/>
      <c r="U1577" s="78"/>
      <c r="V1577" s="70" t="str">
        <f t="shared" si="6"/>
        <v/>
      </c>
      <c r="W1577" s="23"/>
      <c r="X1577" s="23"/>
    </row>
    <row r="1578">
      <c r="A1578" s="70"/>
      <c r="B1578" s="70" t="str">
        <f>IF($A$3=" "," ", IFERROR( VLOOKUP($A1578,'SUPPLIER DATA BASE'!$A$2:$M$936,3,0),""))</f>
        <v/>
      </c>
      <c r="C1578" s="70" t="str">
        <f>IF($A$3=" "," ", IFERROR( VLOOKUP($A1578,'SUPPLIER DATA BASE'!$A$2:$F$936,6,0),""))</f>
        <v/>
      </c>
      <c r="D1578" s="70" t="str">
        <f>IF($A$3=" "," ", IFERROR( VLOOKUP($A1578,'SUPPLIER DATA BASE'!$A$2:$G$936,4,0),""))</f>
        <v/>
      </c>
      <c r="E1578" s="71" t="str">
        <f>IF($A$3=" "," ", IFERROR( VLOOKUP($A1578,'SUPPLIER DATA BASE'!$A$2:$H$936,5,0),""))</f>
        <v/>
      </c>
      <c r="F1578" s="72"/>
      <c r="G1578" s="73"/>
      <c r="H1578" s="74"/>
      <c r="I1578" s="75"/>
      <c r="J1578" s="70"/>
      <c r="K1578" s="70"/>
      <c r="L1578" s="73"/>
      <c r="M1578" s="70" t="str">
        <f t="shared" si="3"/>
        <v/>
      </c>
      <c r="N1578" s="70" t="str">
        <f>IF($A$3=" "," ", IFERROR( VLOOKUP($A1578,'SUPPLIER DATA BASE'!$A$2:$O$936,11,0),""))</f>
        <v/>
      </c>
      <c r="O1578" s="70" t="str">
        <f>IF($A$3=" "," ", IFERROR( VLOOKUP($A1578,'SUPPLIER DATA BASE'!$A$2:$O$936,12,0),""))</f>
        <v/>
      </c>
      <c r="P1578" s="70" t="str">
        <f>IF($A$3=" "," ", IFERROR( VLOOKUP($A1578,'SUPPLIER DATA BASE'!$A$2:$O$936,13,0),""))</f>
        <v/>
      </c>
      <c r="Q1578" s="77"/>
      <c r="R1578" s="73"/>
      <c r="S1578" s="77"/>
      <c r="T1578" s="70"/>
      <c r="U1578" s="78"/>
      <c r="V1578" s="70" t="str">
        <f t="shared" si="6"/>
        <v/>
      </c>
      <c r="W1578" s="23"/>
      <c r="X1578" s="23"/>
    </row>
    <row r="1579">
      <c r="A1579" s="70"/>
      <c r="B1579" s="70" t="str">
        <f>IF($A$3=" "," ", IFERROR( VLOOKUP($A1579,'SUPPLIER DATA BASE'!$A$2:$M$936,3,0),""))</f>
        <v/>
      </c>
      <c r="C1579" s="70" t="str">
        <f>IF($A$3=" "," ", IFERROR( VLOOKUP($A1579,'SUPPLIER DATA BASE'!$A$2:$F$936,6,0),""))</f>
        <v/>
      </c>
      <c r="D1579" s="70" t="str">
        <f>IF($A$3=" "," ", IFERROR( VLOOKUP($A1579,'SUPPLIER DATA BASE'!$A$2:$G$936,4,0),""))</f>
        <v/>
      </c>
      <c r="E1579" s="71" t="str">
        <f>IF($A$3=" "," ", IFERROR( VLOOKUP($A1579,'SUPPLIER DATA BASE'!$A$2:$H$936,5,0),""))</f>
        <v/>
      </c>
      <c r="F1579" s="72"/>
      <c r="G1579" s="73"/>
      <c r="H1579" s="74"/>
      <c r="I1579" s="75"/>
      <c r="J1579" s="70"/>
      <c r="K1579" s="70"/>
      <c r="L1579" s="73"/>
      <c r="M1579" s="70" t="str">
        <f t="shared" si="3"/>
        <v/>
      </c>
      <c r="N1579" s="70" t="str">
        <f>IF($A$3=" "," ", IFERROR( VLOOKUP($A1579,'SUPPLIER DATA BASE'!$A$2:$O$936,11,0),""))</f>
        <v/>
      </c>
      <c r="O1579" s="70" t="str">
        <f>IF($A$3=" "," ", IFERROR( VLOOKUP($A1579,'SUPPLIER DATA BASE'!$A$2:$O$936,12,0),""))</f>
        <v/>
      </c>
      <c r="P1579" s="70" t="str">
        <f>IF($A$3=" "," ", IFERROR( VLOOKUP($A1579,'SUPPLIER DATA BASE'!$A$2:$O$936,13,0),""))</f>
        <v/>
      </c>
      <c r="Q1579" s="77"/>
      <c r="R1579" s="73"/>
      <c r="S1579" s="77"/>
      <c r="T1579" s="70"/>
      <c r="U1579" s="78"/>
      <c r="V1579" s="70" t="str">
        <f t="shared" si="6"/>
        <v/>
      </c>
      <c r="W1579" s="23"/>
      <c r="X1579" s="23"/>
    </row>
    <row r="1580">
      <c r="A1580" s="70"/>
      <c r="B1580" s="70" t="str">
        <f>IF($A$3=" "," ", IFERROR( VLOOKUP($A1580,'SUPPLIER DATA BASE'!$A$2:$M$936,3,0),""))</f>
        <v/>
      </c>
      <c r="C1580" s="70" t="str">
        <f>IF($A$3=" "," ", IFERROR( VLOOKUP($A1580,'SUPPLIER DATA BASE'!$A$2:$F$936,6,0),""))</f>
        <v/>
      </c>
      <c r="D1580" s="70" t="str">
        <f>IF($A$3=" "," ", IFERROR( VLOOKUP($A1580,'SUPPLIER DATA BASE'!$A$2:$G$936,4,0),""))</f>
        <v/>
      </c>
      <c r="E1580" s="71" t="str">
        <f>IF($A$3=" "," ", IFERROR( VLOOKUP($A1580,'SUPPLIER DATA BASE'!$A$2:$H$936,5,0),""))</f>
        <v/>
      </c>
      <c r="F1580" s="72"/>
      <c r="G1580" s="73"/>
      <c r="H1580" s="74"/>
      <c r="I1580" s="75"/>
      <c r="J1580" s="70"/>
      <c r="K1580" s="70"/>
      <c r="L1580" s="73"/>
      <c r="M1580" s="70" t="str">
        <f t="shared" si="3"/>
        <v/>
      </c>
      <c r="N1580" s="70" t="str">
        <f>IF($A$3=" "," ", IFERROR( VLOOKUP($A1580,'SUPPLIER DATA BASE'!$A$2:$O$936,11,0),""))</f>
        <v/>
      </c>
      <c r="O1580" s="70" t="str">
        <f>IF($A$3=" "," ", IFERROR( VLOOKUP($A1580,'SUPPLIER DATA BASE'!$A$2:$O$936,12,0),""))</f>
        <v/>
      </c>
      <c r="P1580" s="70" t="str">
        <f>IF($A$3=" "," ", IFERROR( VLOOKUP($A1580,'SUPPLIER DATA BASE'!$A$2:$O$936,13,0),""))</f>
        <v/>
      </c>
      <c r="Q1580" s="77"/>
      <c r="R1580" s="73"/>
      <c r="S1580" s="77"/>
      <c r="T1580" s="70"/>
      <c r="U1580" s="78"/>
      <c r="V1580" s="70" t="str">
        <f t="shared" si="6"/>
        <v/>
      </c>
      <c r="W1580" s="23"/>
      <c r="X1580" s="23"/>
    </row>
    <row r="1581">
      <c r="A1581" s="70"/>
      <c r="B1581" s="70" t="str">
        <f>IF($A$3=" "," ", IFERROR( VLOOKUP($A1581,'SUPPLIER DATA BASE'!$A$2:$M$936,3,0),""))</f>
        <v/>
      </c>
      <c r="C1581" s="70" t="str">
        <f>IF($A$3=" "," ", IFERROR( VLOOKUP($A1581,'SUPPLIER DATA BASE'!$A$2:$F$936,6,0),""))</f>
        <v/>
      </c>
      <c r="D1581" s="70" t="str">
        <f>IF($A$3=" "," ", IFERROR( VLOOKUP($A1581,'SUPPLIER DATA BASE'!$A$2:$G$936,4,0),""))</f>
        <v/>
      </c>
      <c r="E1581" s="71" t="str">
        <f>IF($A$3=" "," ", IFERROR( VLOOKUP($A1581,'SUPPLIER DATA BASE'!$A$2:$H$936,5,0),""))</f>
        <v/>
      </c>
      <c r="F1581" s="72"/>
      <c r="G1581" s="73"/>
      <c r="H1581" s="74"/>
      <c r="I1581" s="75"/>
      <c r="J1581" s="70"/>
      <c r="K1581" s="70"/>
      <c r="L1581" s="73"/>
      <c r="M1581" s="70" t="str">
        <f t="shared" si="3"/>
        <v/>
      </c>
      <c r="N1581" s="70" t="str">
        <f>IF($A$3=" "," ", IFERROR( VLOOKUP($A1581,'SUPPLIER DATA BASE'!$A$2:$O$936,11,0),""))</f>
        <v/>
      </c>
      <c r="O1581" s="70" t="str">
        <f>IF($A$3=" "," ", IFERROR( VLOOKUP($A1581,'SUPPLIER DATA BASE'!$A$2:$O$936,12,0),""))</f>
        <v/>
      </c>
      <c r="P1581" s="70" t="str">
        <f>IF($A$3=" "," ", IFERROR( VLOOKUP($A1581,'SUPPLIER DATA BASE'!$A$2:$O$936,13,0),""))</f>
        <v/>
      </c>
      <c r="Q1581" s="77"/>
      <c r="R1581" s="73"/>
      <c r="S1581" s="77"/>
      <c r="T1581" s="70"/>
      <c r="U1581" s="78"/>
      <c r="V1581" s="70" t="str">
        <f t="shared" si="6"/>
        <v/>
      </c>
      <c r="W1581" s="23"/>
      <c r="X1581" s="23"/>
    </row>
    <row r="1582">
      <c r="A1582" s="70"/>
      <c r="B1582" s="70" t="str">
        <f>IF($A$3=" "," ", IFERROR( VLOOKUP($A1582,'SUPPLIER DATA BASE'!$A$2:$M$936,3,0),""))</f>
        <v/>
      </c>
      <c r="C1582" s="70" t="str">
        <f>IF($A$3=" "," ", IFERROR( VLOOKUP($A1582,'SUPPLIER DATA BASE'!$A$2:$F$936,6,0),""))</f>
        <v/>
      </c>
      <c r="D1582" s="70" t="str">
        <f>IF($A$3=" "," ", IFERROR( VLOOKUP($A1582,'SUPPLIER DATA BASE'!$A$2:$G$936,4,0),""))</f>
        <v/>
      </c>
      <c r="E1582" s="71" t="str">
        <f>IF($A$3=" "," ", IFERROR( VLOOKUP($A1582,'SUPPLIER DATA BASE'!$A$2:$H$936,5,0),""))</f>
        <v/>
      </c>
      <c r="F1582" s="72"/>
      <c r="G1582" s="73"/>
      <c r="H1582" s="74"/>
      <c r="I1582" s="75"/>
      <c r="J1582" s="70"/>
      <c r="K1582" s="70"/>
      <c r="L1582" s="73"/>
      <c r="M1582" s="70" t="str">
        <f t="shared" si="3"/>
        <v/>
      </c>
      <c r="N1582" s="70" t="str">
        <f>IF($A$3=" "," ", IFERROR( VLOOKUP($A1582,'SUPPLIER DATA BASE'!$A$2:$O$936,11,0),""))</f>
        <v/>
      </c>
      <c r="O1582" s="70" t="str">
        <f>IF($A$3=" "," ", IFERROR( VLOOKUP($A1582,'SUPPLIER DATA BASE'!$A$2:$O$936,12,0),""))</f>
        <v/>
      </c>
      <c r="P1582" s="70" t="str">
        <f>IF($A$3=" "," ", IFERROR( VLOOKUP($A1582,'SUPPLIER DATA BASE'!$A$2:$O$936,13,0),""))</f>
        <v/>
      </c>
      <c r="Q1582" s="77"/>
      <c r="R1582" s="73"/>
      <c r="S1582" s="77"/>
      <c r="T1582" s="70"/>
      <c r="U1582" s="78"/>
      <c r="V1582" s="70" t="str">
        <f t="shared" si="6"/>
        <v/>
      </c>
      <c r="W1582" s="23"/>
      <c r="X1582" s="23"/>
    </row>
    <row r="1583">
      <c r="A1583" s="70"/>
      <c r="B1583" s="70" t="str">
        <f>IF($A$3=" "," ", IFERROR( VLOOKUP($A1583,'SUPPLIER DATA BASE'!$A$2:$M$936,3,0),""))</f>
        <v/>
      </c>
      <c r="C1583" s="70" t="str">
        <f>IF($A$3=" "," ", IFERROR( VLOOKUP($A1583,'SUPPLIER DATA BASE'!$A$2:$F$936,6,0),""))</f>
        <v/>
      </c>
      <c r="D1583" s="70" t="str">
        <f>IF($A$3=" "," ", IFERROR( VLOOKUP($A1583,'SUPPLIER DATA BASE'!$A$2:$G$936,4,0),""))</f>
        <v/>
      </c>
      <c r="E1583" s="71" t="str">
        <f>IF($A$3=" "," ", IFERROR( VLOOKUP($A1583,'SUPPLIER DATA BASE'!$A$2:$H$936,5,0),""))</f>
        <v/>
      </c>
      <c r="F1583" s="72"/>
      <c r="G1583" s="73"/>
      <c r="H1583" s="74"/>
      <c r="I1583" s="75"/>
      <c r="J1583" s="70"/>
      <c r="K1583" s="70"/>
      <c r="L1583" s="73"/>
      <c r="M1583" s="70" t="str">
        <f t="shared" si="3"/>
        <v/>
      </c>
      <c r="N1583" s="70" t="str">
        <f>IF($A$3=" "," ", IFERROR( VLOOKUP($A1583,'SUPPLIER DATA BASE'!$A$2:$O$936,11,0),""))</f>
        <v/>
      </c>
      <c r="O1583" s="70" t="str">
        <f>IF($A$3=" "," ", IFERROR( VLOOKUP($A1583,'SUPPLIER DATA BASE'!$A$2:$O$936,12,0),""))</f>
        <v/>
      </c>
      <c r="P1583" s="70" t="str">
        <f>IF($A$3=" "," ", IFERROR( VLOOKUP($A1583,'SUPPLIER DATA BASE'!$A$2:$O$936,13,0),""))</f>
        <v/>
      </c>
      <c r="Q1583" s="77"/>
      <c r="R1583" s="73"/>
      <c r="S1583" s="77"/>
      <c r="T1583" s="70"/>
      <c r="U1583" s="78"/>
      <c r="V1583" s="70" t="str">
        <f t="shared" si="6"/>
        <v/>
      </c>
      <c r="W1583" s="23"/>
      <c r="X1583" s="23"/>
    </row>
    <row r="1584">
      <c r="A1584" s="70"/>
      <c r="B1584" s="70" t="str">
        <f>IF($A$3=" "," ", IFERROR( VLOOKUP($A1584,'SUPPLIER DATA BASE'!$A$2:$M$936,3,0),""))</f>
        <v/>
      </c>
      <c r="C1584" s="70" t="str">
        <f>IF($A$3=" "," ", IFERROR( VLOOKUP($A1584,'SUPPLIER DATA BASE'!$A$2:$F$936,6,0),""))</f>
        <v/>
      </c>
      <c r="D1584" s="70" t="str">
        <f>IF($A$3=" "," ", IFERROR( VLOOKUP($A1584,'SUPPLIER DATA BASE'!$A$2:$G$936,4,0),""))</f>
        <v/>
      </c>
      <c r="E1584" s="71" t="str">
        <f>IF($A$3=" "," ", IFERROR( VLOOKUP($A1584,'SUPPLIER DATA BASE'!$A$2:$H$936,5,0),""))</f>
        <v/>
      </c>
      <c r="F1584" s="72"/>
      <c r="G1584" s="73"/>
      <c r="H1584" s="74"/>
      <c r="I1584" s="75"/>
      <c r="J1584" s="70"/>
      <c r="K1584" s="70"/>
      <c r="L1584" s="73"/>
      <c r="M1584" s="70" t="str">
        <f t="shared" si="3"/>
        <v/>
      </c>
      <c r="N1584" s="70" t="str">
        <f>IF($A$3=" "," ", IFERROR( VLOOKUP($A1584,'SUPPLIER DATA BASE'!$A$2:$O$936,11,0),""))</f>
        <v/>
      </c>
      <c r="O1584" s="70" t="str">
        <f>IF($A$3=" "," ", IFERROR( VLOOKUP($A1584,'SUPPLIER DATA BASE'!$A$2:$O$936,12,0),""))</f>
        <v/>
      </c>
      <c r="P1584" s="70" t="str">
        <f>IF($A$3=" "," ", IFERROR( VLOOKUP($A1584,'SUPPLIER DATA BASE'!$A$2:$O$936,13,0),""))</f>
        <v/>
      </c>
      <c r="Q1584" s="77"/>
      <c r="R1584" s="73"/>
      <c r="S1584" s="77"/>
      <c r="T1584" s="70"/>
      <c r="U1584" s="78"/>
      <c r="V1584" s="70" t="str">
        <f t="shared" si="6"/>
        <v/>
      </c>
      <c r="W1584" s="23"/>
      <c r="X1584" s="23"/>
    </row>
    <row r="1585">
      <c r="A1585" s="70"/>
      <c r="B1585" s="70" t="str">
        <f>IF($A$3=" "," ", IFERROR( VLOOKUP($A1585,'SUPPLIER DATA BASE'!$A$2:$M$936,3,0),""))</f>
        <v/>
      </c>
      <c r="C1585" s="70" t="str">
        <f>IF($A$3=" "," ", IFERROR( VLOOKUP($A1585,'SUPPLIER DATA BASE'!$A$2:$F$936,6,0),""))</f>
        <v/>
      </c>
      <c r="D1585" s="70" t="str">
        <f>IF($A$3=" "," ", IFERROR( VLOOKUP($A1585,'SUPPLIER DATA BASE'!$A$2:$G$936,4,0),""))</f>
        <v/>
      </c>
      <c r="E1585" s="71" t="str">
        <f>IF($A$3=" "," ", IFERROR( VLOOKUP($A1585,'SUPPLIER DATA BASE'!$A$2:$H$936,5,0),""))</f>
        <v/>
      </c>
      <c r="F1585" s="72"/>
      <c r="G1585" s="73"/>
      <c r="H1585" s="74"/>
      <c r="I1585" s="75"/>
      <c r="J1585" s="70"/>
      <c r="K1585" s="70"/>
      <c r="L1585" s="73"/>
      <c r="M1585" s="70" t="str">
        <f t="shared" si="3"/>
        <v/>
      </c>
      <c r="N1585" s="70" t="str">
        <f>IF($A$3=" "," ", IFERROR( VLOOKUP($A1585,'SUPPLIER DATA BASE'!$A$2:$O$936,11,0),""))</f>
        <v/>
      </c>
      <c r="O1585" s="70" t="str">
        <f>IF($A$3=" "," ", IFERROR( VLOOKUP($A1585,'SUPPLIER DATA BASE'!$A$2:$O$936,12,0),""))</f>
        <v/>
      </c>
      <c r="P1585" s="70" t="str">
        <f>IF($A$3=" "," ", IFERROR( VLOOKUP($A1585,'SUPPLIER DATA BASE'!$A$2:$O$936,13,0),""))</f>
        <v/>
      </c>
      <c r="Q1585" s="77"/>
      <c r="R1585" s="73"/>
      <c r="S1585" s="77"/>
      <c r="T1585" s="70"/>
      <c r="U1585" s="78"/>
      <c r="V1585" s="70" t="str">
        <f t="shared" si="6"/>
        <v/>
      </c>
      <c r="W1585" s="23"/>
      <c r="X1585" s="23"/>
    </row>
    <row r="1586">
      <c r="A1586" s="70"/>
      <c r="B1586" s="70" t="str">
        <f>IF($A$3=" "," ", IFERROR( VLOOKUP($A1586,'SUPPLIER DATA BASE'!$A$2:$M$936,3,0),""))</f>
        <v/>
      </c>
      <c r="C1586" s="70" t="str">
        <f>IF($A$3=" "," ", IFERROR( VLOOKUP($A1586,'SUPPLIER DATA BASE'!$A$2:$F$936,6,0),""))</f>
        <v/>
      </c>
      <c r="D1586" s="70" t="str">
        <f>IF($A$3=" "," ", IFERROR( VLOOKUP($A1586,'SUPPLIER DATA BASE'!$A$2:$G$936,4,0),""))</f>
        <v/>
      </c>
      <c r="E1586" s="71" t="str">
        <f>IF($A$3=" "," ", IFERROR( VLOOKUP($A1586,'SUPPLIER DATA BASE'!$A$2:$H$936,5,0),""))</f>
        <v/>
      </c>
      <c r="F1586" s="72"/>
      <c r="G1586" s="73"/>
      <c r="H1586" s="74"/>
      <c r="I1586" s="75"/>
      <c r="J1586" s="70"/>
      <c r="K1586" s="70"/>
      <c r="L1586" s="73"/>
      <c r="M1586" s="70" t="str">
        <f t="shared" si="3"/>
        <v/>
      </c>
      <c r="N1586" s="70" t="str">
        <f>IF($A$3=" "," ", IFERROR( VLOOKUP($A1586,'SUPPLIER DATA BASE'!$A$2:$O$936,11,0),""))</f>
        <v/>
      </c>
      <c r="O1586" s="70" t="str">
        <f>IF($A$3=" "," ", IFERROR( VLOOKUP($A1586,'SUPPLIER DATA BASE'!$A$2:$O$936,12,0),""))</f>
        <v/>
      </c>
      <c r="P1586" s="70" t="str">
        <f>IF($A$3=" "," ", IFERROR( VLOOKUP($A1586,'SUPPLIER DATA BASE'!$A$2:$O$936,13,0),""))</f>
        <v/>
      </c>
      <c r="Q1586" s="77"/>
      <c r="R1586" s="73"/>
      <c r="S1586" s="77"/>
      <c r="T1586" s="70"/>
      <c r="U1586" s="78"/>
      <c r="V1586" s="70" t="str">
        <f t="shared" si="6"/>
        <v/>
      </c>
      <c r="W1586" s="23"/>
      <c r="X1586" s="23"/>
    </row>
    <row r="1587">
      <c r="A1587" s="70"/>
      <c r="B1587" s="70" t="str">
        <f>IF($A$3=" "," ", IFERROR( VLOOKUP($A1587,'SUPPLIER DATA BASE'!$A$2:$M$936,3,0),""))</f>
        <v/>
      </c>
      <c r="C1587" s="70" t="str">
        <f>IF($A$3=" "," ", IFERROR( VLOOKUP($A1587,'SUPPLIER DATA BASE'!$A$2:$F$936,6,0),""))</f>
        <v/>
      </c>
      <c r="D1587" s="70" t="str">
        <f>IF($A$3=" "," ", IFERROR( VLOOKUP($A1587,'SUPPLIER DATA BASE'!$A$2:$G$936,4,0),""))</f>
        <v/>
      </c>
      <c r="E1587" s="71" t="str">
        <f>IF($A$3=" "," ", IFERROR( VLOOKUP($A1587,'SUPPLIER DATA BASE'!$A$2:$H$936,5,0),""))</f>
        <v/>
      </c>
      <c r="F1587" s="72"/>
      <c r="G1587" s="73"/>
      <c r="H1587" s="74"/>
      <c r="I1587" s="75"/>
      <c r="J1587" s="70"/>
      <c r="K1587" s="70"/>
      <c r="L1587" s="73"/>
      <c r="M1587" s="70" t="str">
        <f t="shared" si="3"/>
        <v/>
      </c>
      <c r="N1587" s="70" t="str">
        <f>IF($A$3=" "," ", IFERROR( VLOOKUP($A1587,'SUPPLIER DATA BASE'!$A$2:$O$936,11,0),""))</f>
        <v/>
      </c>
      <c r="O1587" s="70" t="str">
        <f>IF($A$3=" "," ", IFERROR( VLOOKUP($A1587,'SUPPLIER DATA BASE'!$A$2:$O$936,12,0),""))</f>
        <v/>
      </c>
      <c r="P1587" s="70" t="str">
        <f>IF($A$3=" "," ", IFERROR( VLOOKUP($A1587,'SUPPLIER DATA BASE'!$A$2:$O$936,13,0),""))</f>
        <v/>
      </c>
      <c r="Q1587" s="77"/>
      <c r="R1587" s="73"/>
      <c r="S1587" s="77"/>
      <c r="T1587" s="70"/>
      <c r="U1587" s="78"/>
      <c r="V1587" s="70" t="str">
        <f t="shared" si="6"/>
        <v/>
      </c>
      <c r="W1587" s="23"/>
      <c r="X1587" s="23"/>
    </row>
    <row r="1588">
      <c r="A1588" s="70"/>
      <c r="B1588" s="70" t="str">
        <f>IF($A$3=" "," ", IFERROR( VLOOKUP($A1588,'SUPPLIER DATA BASE'!$A$2:$M$936,3,0),""))</f>
        <v/>
      </c>
      <c r="C1588" s="70" t="str">
        <f>IF($A$3=" "," ", IFERROR( VLOOKUP($A1588,'SUPPLIER DATA BASE'!$A$2:$F$936,6,0),""))</f>
        <v/>
      </c>
      <c r="D1588" s="70" t="str">
        <f>IF($A$3=" "," ", IFERROR( VLOOKUP($A1588,'SUPPLIER DATA BASE'!$A$2:$G$936,4,0),""))</f>
        <v/>
      </c>
      <c r="E1588" s="71" t="str">
        <f>IF($A$3=" "," ", IFERROR( VLOOKUP($A1588,'SUPPLIER DATA BASE'!$A$2:$H$936,5,0),""))</f>
        <v/>
      </c>
      <c r="F1588" s="72"/>
      <c r="G1588" s="73"/>
      <c r="H1588" s="74"/>
      <c r="I1588" s="75"/>
      <c r="J1588" s="70"/>
      <c r="K1588" s="70"/>
      <c r="L1588" s="73"/>
      <c r="M1588" s="70" t="str">
        <f t="shared" si="3"/>
        <v/>
      </c>
      <c r="N1588" s="70" t="str">
        <f>IF($A$3=" "," ", IFERROR( VLOOKUP($A1588,'SUPPLIER DATA BASE'!$A$2:$O$936,11,0),""))</f>
        <v/>
      </c>
      <c r="O1588" s="70" t="str">
        <f>IF($A$3=" "," ", IFERROR( VLOOKUP($A1588,'SUPPLIER DATA BASE'!$A$2:$O$936,12,0),""))</f>
        <v/>
      </c>
      <c r="P1588" s="70" t="str">
        <f>IF($A$3=" "," ", IFERROR( VLOOKUP($A1588,'SUPPLIER DATA BASE'!$A$2:$O$936,13,0),""))</f>
        <v/>
      </c>
      <c r="Q1588" s="77"/>
      <c r="R1588" s="73"/>
      <c r="S1588" s="77"/>
      <c r="T1588" s="70"/>
      <c r="U1588" s="78"/>
      <c r="V1588" s="70" t="str">
        <f t="shared" si="6"/>
        <v/>
      </c>
      <c r="W1588" s="23"/>
      <c r="X1588" s="23"/>
    </row>
    <row r="1589">
      <c r="A1589" s="70"/>
      <c r="B1589" s="70" t="str">
        <f>IF($A$3=" "," ", IFERROR( VLOOKUP($A1589,'SUPPLIER DATA BASE'!$A$2:$M$936,3,0),""))</f>
        <v/>
      </c>
      <c r="C1589" s="70" t="str">
        <f>IF($A$3=" "," ", IFERROR( VLOOKUP($A1589,'SUPPLIER DATA BASE'!$A$2:$F$936,6,0),""))</f>
        <v/>
      </c>
      <c r="D1589" s="70" t="str">
        <f>IF($A$3=" "," ", IFERROR( VLOOKUP($A1589,'SUPPLIER DATA BASE'!$A$2:$G$936,4,0),""))</f>
        <v/>
      </c>
      <c r="E1589" s="71" t="str">
        <f>IF($A$3=" "," ", IFERROR( VLOOKUP($A1589,'SUPPLIER DATA BASE'!$A$2:$H$936,5,0),""))</f>
        <v/>
      </c>
      <c r="F1589" s="72"/>
      <c r="G1589" s="73"/>
      <c r="H1589" s="74"/>
      <c r="I1589" s="75"/>
      <c r="J1589" s="70"/>
      <c r="K1589" s="70"/>
      <c r="L1589" s="73"/>
      <c r="M1589" s="70" t="str">
        <f t="shared" si="3"/>
        <v/>
      </c>
      <c r="N1589" s="70" t="str">
        <f>IF($A$3=" "," ", IFERROR( VLOOKUP($A1589,'SUPPLIER DATA BASE'!$A$2:$O$936,11,0),""))</f>
        <v/>
      </c>
      <c r="O1589" s="70" t="str">
        <f>IF($A$3=" "," ", IFERROR( VLOOKUP($A1589,'SUPPLIER DATA BASE'!$A$2:$O$936,12,0),""))</f>
        <v/>
      </c>
      <c r="P1589" s="70" t="str">
        <f>IF($A$3=" "," ", IFERROR( VLOOKUP($A1589,'SUPPLIER DATA BASE'!$A$2:$O$936,13,0),""))</f>
        <v/>
      </c>
      <c r="Q1589" s="77"/>
      <c r="R1589" s="73"/>
      <c r="S1589" s="77"/>
      <c r="T1589" s="70"/>
      <c r="U1589" s="78"/>
      <c r="V1589" s="70" t="str">
        <f t="shared" si="6"/>
        <v/>
      </c>
      <c r="W1589" s="23"/>
      <c r="X1589" s="23"/>
    </row>
    <row r="1590">
      <c r="A1590" s="70"/>
      <c r="B1590" s="70" t="str">
        <f>IF($A$3=" "," ", IFERROR( VLOOKUP($A1590,'SUPPLIER DATA BASE'!$A$2:$M$936,3,0),""))</f>
        <v/>
      </c>
      <c r="C1590" s="70" t="str">
        <f>IF($A$3=" "," ", IFERROR( VLOOKUP($A1590,'SUPPLIER DATA BASE'!$A$2:$F$936,6,0),""))</f>
        <v/>
      </c>
      <c r="D1590" s="70" t="str">
        <f>IF($A$3=" "," ", IFERROR( VLOOKUP($A1590,'SUPPLIER DATA BASE'!$A$2:$G$936,4,0),""))</f>
        <v/>
      </c>
      <c r="E1590" s="71" t="str">
        <f>IF($A$3=" "," ", IFERROR( VLOOKUP($A1590,'SUPPLIER DATA BASE'!$A$2:$H$936,5,0),""))</f>
        <v/>
      </c>
      <c r="F1590" s="72"/>
      <c r="G1590" s="73"/>
      <c r="H1590" s="74"/>
      <c r="I1590" s="75"/>
      <c r="J1590" s="70"/>
      <c r="K1590" s="70"/>
      <c r="L1590" s="73"/>
      <c r="M1590" s="70" t="str">
        <f t="shared" si="3"/>
        <v/>
      </c>
      <c r="N1590" s="70" t="str">
        <f>IF($A$3=" "," ", IFERROR( VLOOKUP($A1590,'SUPPLIER DATA BASE'!$A$2:$O$936,11,0),""))</f>
        <v/>
      </c>
      <c r="O1590" s="70" t="str">
        <f>IF($A$3=" "," ", IFERROR( VLOOKUP($A1590,'SUPPLIER DATA BASE'!$A$2:$O$936,12,0),""))</f>
        <v/>
      </c>
      <c r="P1590" s="70" t="str">
        <f>IF($A$3=" "," ", IFERROR( VLOOKUP($A1590,'SUPPLIER DATA BASE'!$A$2:$O$936,13,0),""))</f>
        <v/>
      </c>
      <c r="Q1590" s="77"/>
      <c r="R1590" s="73"/>
      <c r="S1590" s="77"/>
      <c r="T1590" s="70"/>
      <c r="U1590" s="78"/>
      <c r="V1590" s="70" t="str">
        <f t="shared" si="6"/>
        <v/>
      </c>
      <c r="W1590" s="23"/>
      <c r="X1590" s="23"/>
    </row>
    <row r="1591">
      <c r="A1591" s="70"/>
      <c r="B1591" s="70" t="str">
        <f>IF($A$3=" "," ", IFERROR( VLOOKUP($A1591,'SUPPLIER DATA BASE'!$A$2:$M$936,3,0),""))</f>
        <v/>
      </c>
      <c r="C1591" s="70" t="str">
        <f>IF($A$3=" "," ", IFERROR( VLOOKUP($A1591,'SUPPLIER DATA BASE'!$A$2:$F$936,6,0),""))</f>
        <v/>
      </c>
      <c r="D1591" s="70" t="str">
        <f>IF($A$3=" "," ", IFERROR( VLOOKUP($A1591,'SUPPLIER DATA BASE'!$A$2:$G$936,4,0),""))</f>
        <v/>
      </c>
      <c r="E1591" s="71" t="str">
        <f>IF($A$3=" "," ", IFERROR( VLOOKUP($A1591,'SUPPLIER DATA BASE'!$A$2:$H$936,5,0),""))</f>
        <v/>
      </c>
      <c r="F1591" s="72"/>
      <c r="G1591" s="73"/>
      <c r="H1591" s="74"/>
      <c r="I1591" s="75"/>
      <c r="J1591" s="70"/>
      <c r="K1591" s="70"/>
      <c r="L1591" s="73"/>
      <c r="M1591" s="70" t="str">
        <f t="shared" si="3"/>
        <v/>
      </c>
      <c r="N1591" s="70" t="str">
        <f>IF($A$3=" "," ", IFERROR( VLOOKUP($A1591,'SUPPLIER DATA BASE'!$A$2:$O$936,11,0),""))</f>
        <v/>
      </c>
      <c r="O1591" s="70" t="str">
        <f>IF($A$3=" "," ", IFERROR( VLOOKUP($A1591,'SUPPLIER DATA BASE'!$A$2:$O$936,12,0),""))</f>
        <v/>
      </c>
      <c r="P1591" s="70" t="str">
        <f>IF($A$3=" "," ", IFERROR( VLOOKUP($A1591,'SUPPLIER DATA BASE'!$A$2:$O$936,13,0),""))</f>
        <v/>
      </c>
      <c r="Q1591" s="77"/>
      <c r="R1591" s="73"/>
      <c r="S1591" s="77"/>
      <c r="T1591" s="70"/>
      <c r="U1591" s="78"/>
      <c r="V1591" s="70" t="str">
        <f t="shared" si="6"/>
        <v/>
      </c>
      <c r="W1591" s="23"/>
      <c r="X1591" s="23"/>
    </row>
    <row r="1592">
      <c r="A1592" s="70"/>
      <c r="B1592" s="70" t="str">
        <f>IF($A$3=" "," ", IFERROR( VLOOKUP($A1592,'SUPPLIER DATA BASE'!$A$2:$M$936,3,0),""))</f>
        <v/>
      </c>
      <c r="C1592" s="70" t="str">
        <f>IF($A$3=" "," ", IFERROR( VLOOKUP($A1592,'SUPPLIER DATA BASE'!$A$2:$F$936,6,0),""))</f>
        <v/>
      </c>
      <c r="D1592" s="70" t="str">
        <f>IF($A$3=" "," ", IFERROR( VLOOKUP($A1592,'SUPPLIER DATA BASE'!$A$2:$G$936,4,0),""))</f>
        <v/>
      </c>
      <c r="E1592" s="71" t="str">
        <f>IF($A$3=" "," ", IFERROR( VLOOKUP($A1592,'SUPPLIER DATA BASE'!$A$2:$H$936,5,0),""))</f>
        <v/>
      </c>
      <c r="F1592" s="72"/>
      <c r="G1592" s="73"/>
      <c r="H1592" s="74"/>
      <c r="I1592" s="75"/>
      <c r="J1592" s="70"/>
      <c r="K1592" s="70"/>
      <c r="L1592" s="73"/>
      <c r="M1592" s="70" t="str">
        <f t="shared" si="3"/>
        <v/>
      </c>
      <c r="N1592" s="70" t="str">
        <f>IF($A$3=" "," ", IFERROR( VLOOKUP($A1592,'SUPPLIER DATA BASE'!$A$2:$O$936,11,0),""))</f>
        <v/>
      </c>
      <c r="O1592" s="70" t="str">
        <f>IF($A$3=" "," ", IFERROR( VLOOKUP($A1592,'SUPPLIER DATA BASE'!$A$2:$O$936,12,0),""))</f>
        <v/>
      </c>
      <c r="P1592" s="70" t="str">
        <f>IF($A$3=" "," ", IFERROR( VLOOKUP($A1592,'SUPPLIER DATA BASE'!$A$2:$O$936,13,0),""))</f>
        <v/>
      </c>
      <c r="Q1592" s="77"/>
      <c r="R1592" s="73"/>
      <c r="S1592" s="77"/>
      <c r="T1592" s="70"/>
      <c r="U1592" s="78"/>
      <c r="V1592" s="70" t="str">
        <f t="shared" si="6"/>
        <v/>
      </c>
      <c r="W1592" s="23"/>
      <c r="X1592" s="23"/>
    </row>
    <row r="1593">
      <c r="A1593" s="70"/>
      <c r="B1593" s="70" t="str">
        <f>IF($A$3=" "," ", IFERROR( VLOOKUP($A1593,'SUPPLIER DATA BASE'!$A$2:$M$936,3,0),""))</f>
        <v/>
      </c>
      <c r="C1593" s="70" t="str">
        <f>IF($A$3=" "," ", IFERROR( VLOOKUP($A1593,'SUPPLIER DATA BASE'!$A$2:$F$936,6,0),""))</f>
        <v/>
      </c>
      <c r="D1593" s="70" t="str">
        <f>IF($A$3=" "," ", IFERROR( VLOOKUP($A1593,'SUPPLIER DATA BASE'!$A$2:$G$936,4,0),""))</f>
        <v/>
      </c>
      <c r="E1593" s="71" t="str">
        <f>IF($A$3=" "," ", IFERROR( VLOOKUP($A1593,'SUPPLIER DATA BASE'!$A$2:$H$936,5,0),""))</f>
        <v/>
      </c>
      <c r="F1593" s="72"/>
      <c r="G1593" s="73"/>
      <c r="H1593" s="74"/>
      <c r="I1593" s="75"/>
      <c r="J1593" s="70"/>
      <c r="K1593" s="70"/>
      <c r="L1593" s="73"/>
      <c r="M1593" s="70" t="str">
        <f t="shared" si="3"/>
        <v/>
      </c>
      <c r="N1593" s="70" t="str">
        <f>IF($A$3=" "," ", IFERROR( VLOOKUP($A1593,'SUPPLIER DATA BASE'!$A$2:$O$936,11,0),""))</f>
        <v/>
      </c>
      <c r="O1593" s="70" t="str">
        <f>IF($A$3=" "," ", IFERROR( VLOOKUP($A1593,'SUPPLIER DATA BASE'!$A$2:$O$936,12,0),""))</f>
        <v/>
      </c>
      <c r="P1593" s="70" t="str">
        <f>IF($A$3=" "," ", IFERROR( VLOOKUP($A1593,'SUPPLIER DATA BASE'!$A$2:$O$936,13,0),""))</f>
        <v/>
      </c>
      <c r="Q1593" s="77"/>
      <c r="R1593" s="73"/>
      <c r="S1593" s="77"/>
      <c r="T1593" s="70"/>
      <c r="U1593" s="78"/>
      <c r="V1593" s="70" t="str">
        <f t="shared" si="6"/>
        <v/>
      </c>
      <c r="W1593" s="23"/>
      <c r="X1593" s="23"/>
    </row>
    <row r="1594">
      <c r="A1594" s="70"/>
      <c r="B1594" s="70" t="str">
        <f>IF($A$3=" "," ", IFERROR( VLOOKUP($A1594,'SUPPLIER DATA BASE'!$A$2:$M$936,3,0),""))</f>
        <v/>
      </c>
      <c r="C1594" s="70" t="str">
        <f>IF($A$3=" "," ", IFERROR( VLOOKUP($A1594,'SUPPLIER DATA BASE'!$A$2:$F$936,6,0),""))</f>
        <v/>
      </c>
      <c r="D1594" s="70" t="str">
        <f>IF($A$3=" "," ", IFERROR( VLOOKUP($A1594,'SUPPLIER DATA BASE'!$A$2:$G$936,4,0),""))</f>
        <v/>
      </c>
      <c r="E1594" s="71" t="str">
        <f>IF($A$3=" "," ", IFERROR( VLOOKUP($A1594,'SUPPLIER DATA BASE'!$A$2:$H$936,5,0),""))</f>
        <v/>
      </c>
      <c r="F1594" s="72"/>
      <c r="G1594" s="73"/>
      <c r="H1594" s="74"/>
      <c r="I1594" s="75"/>
      <c r="J1594" s="70"/>
      <c r="K1594" s="70"/>
      <c r="L1594" s="73"/>
      <c r="M1594" s="70" t="str">
        <f t="shared" si="3"/>
        <v/>
      </c>
      <c r="N1594" s="70" t="str">
        <f>IF($A$3=" "," ", IFERROR( VLOOKUP($A1594,'SUPPLIER DATA BASE'!$A$2:$O$936,11,0),""))</f>
        <v/>
      </c>
      <c r="O1594" s="70" t="str">
        <f>IF($A$3=" "," ", IFERROR( VLOOKUP($A1594,'SUPPLIER DATA BASE'!$A$2:$O$936,12,0),""))</f>
        <v/>
      </c>
      <c r="P1594" s="70" t="str">
        <f>IF($A$3=" "," ", IFERROR( VLOOKUP($A1594,'SUPPLIER DATA BASE'!$A$2:$O$936,13,0),""))</f>
        <v/>
      </c>
      <c r="Q1594" s="77"/>
      <c r="R1594" s="73"/>
      <c r="S1594" s="77"/>
      <c r="T1594" s="70"/>
      <c r="U1594" s="78"/>
      <c r="V1594" s="70" t="str">
        <f t="shared" si="6"/>
        <v/>
      </c>
      <c r="W1594" s="23"/>
      <c r="X1594" s="23"/>
    </row>
    <row r="1595">
      <c r="A1595" s="70"/>
      <c r="B1595" s="70" t="str">
        <f>IF($A$3=" "," ", IFERROR( VLOOKUP($A1595,'SUPPLIER DATA BASE'!$A$2:$M$936,3,0),""))</f>
        <v/>
      </c>
      <c r="C1595" s="70" t="str">
        <f>IF($A$3=" "," ", IFERROR( VLOOKUP($A1595,'SUPPLIER DATA BASE'!$A$2:$F$936,6,0),""))</f>
        <v/>
      </c>
      <c r="D1595" s="70" t="str">
        <f>IF($A$3=" "," ", IFERROR( VLOOKUP($A1595,'SUPPLIER DATA BASE'!$A$2:$G$936,4,0),""))</f>
        <v/>
      </c>
      <c r="E1595" s="71" t="str">
        <f>IF($A$3=" "," ", IFERROR( VLOOKUP($A1595,'SUPPLIER DATA BASE'!$A$2:$H$936,5,0),""))</f>
        <v/>
      </c>
      <c r="F1595" s="72"/>
      <c r="G1595" s="73"/>
      <c r="H1595" s="74"/>
      <c r="I1595" s="75"/>
      <c r="J1595" s="70"/>
      <c r="K1595" s="70"/>
      <c r="L1595" s="73"/>
      <c r="M1595" s="70" t="str">
        <f t="shared" si="3"/>
        <v/>
      </c>
      <c r="N1595" s="70" t="str">
        <f>IF($A$3=" "," ", IFERROR( VLOOKUP($A1595,'SUPPLIER DATA BASE'!$A$2:$O$936,11,0),""))</f>
        <v/>
      </c>
      <c r="O1595" s="70" t="str">
        <f>IF($A$3=" "," ", IFERROR( VLOOKUP($A1595,'SUPPLIER DATA BASE'!$A$2:$O$936,12,0),""))</f>
        <v/>
      </c>
      <c r="P1595" s="70" t="str">
        <f>IF($A$3=" "," ", IFERROR( VLOOKUP($A1595,'SUPPLIER DATA BASE'!$A$2:$O$936,13,0),""))</f>
        <v/>
      </c>
      <c r="Q1595" s="77"/>
      <c r="R1595" s="73"/>
      <c r="S1595" s="77"/>
      <c r="T1595" s="70"/>
      <c r="U1595" s="78"/>
      <c r="V1595" s="70" t="str">
        <f t="shared" si="6"/>
        <v/>
      </c>
      <c r="W1595" s="23"/>
      <c r="X1595" s="23"/>
    </row>
    <row r="1596">
      <c r="A1596" s="70"/>
      <c r="B1596" s="70" t="str">
        <f>IF($A$3=" "," ", IFERROR( VLOOKUP($A1596,'SUPPLIER DATA BASE'!$A$2:$M$936,3,0),""))</f>
        <v/>
      </c>
      <c r="C1596" s="70" t="str">
        <f>IF($A$3=" "," ", IFERROR( VLOOKUP($A1596,'SUPPLIER DATA BASE'!$A$2:$F$936,6,0),""))</f>
        <v/>
      </c>
      <c r="D1596" s="70" t="str">
        <f>IF($A$3=" "," ", IFERROR( VLOOKUP($A1596,'SUPPLIER DATA BASE'!$A$2:$G$936,4,0),""))</f>
        <v/>
      </c>
      <c r="E1596" s="71" t="str">
        <f>IF($A$3=" "," ", IFERROR( VLOOKUP($A1596,'SUPPLIER DATA BASE'!$A$2:$H$936,5,0),""))</f>
        <v/>
      </c>
      <c r="F1596" s="72"/>
      <c r="G1596" s="73"/>
      <c r="H1596" s="74"/>
      <c r="I1596" s="75"/>
      <c r="J1596" s="70"/>
      <c r="K1596" s="70"/>
      <c r="L1596" s="73"/>
      <c r="M1596" s="70" t="str">
        <f t="shared" si="3"/>
        <v/>
      </c>
      <c r="N1596" s="70" t="str">
        <f>IF($A$3=" "," ", IFERROR( VLOOKUP($A1596,'SUPPLIER DATA BASE'!$A$2:$O$936,11,0),""))</f>
        <v/>
      </c>
      <c r="O1596" s="70" t="str">
        <f>IF($A$3=" "," ", IFERROR( VLOOKUP($A1596,'SUPPLIER DATA BASE'!$A$2:$O$936,12,0),""))</f>
        <v/>
      </c>
      <c r="P1596" s="70" t="str">
        <f>IF($A$3=" "," ", IFERROR( VLOOKUP($A1596,'SUPPLIER DATA BASE'!$A$2:$O$936,13,0),""))</f>
        <v/>
      </c>
      <c r="Q1596" s="77"/>
      <c r="R1596" s="73"/>
      <c r="S1596" s="77"/>
      <c r="T1596" s="70"/>
      <c r="U1596" s="78"/>
      <c r="V1596" s="70" t="str">
        <f t="shared" si="6"/>
        <v/>
      </c>
      <c r="W1596" s="23"/>
      <c r="X1596" s="23"/>
    </row>
    <row r="1597">
      <c r="A1597" s="70"/>
      <c r="B1597" s="70" t="str">
        <f>IF($A$3=" "," ", IFERROR( VLOOKUP($A1597,'SUPPLIER DATA BASE'!$A$2:$M$936,3,0),""))</f>
        <v/>
      </c>
      <c r="C1597" s="70" t="str">
        <f>IF($A$3=" "," ", IFERROR( VLOOKUP($A1597,'SUPPLIER DATA BASE'!$A$2:$F$936,6,0),""))</f>
        <v/>
      </c>
      <c r="D1597" s="70" t="str">
        <f>IF($A$3=" "," ", IFERROR( VLOOKUP($A1597,'SUPPLIER DATA BASE'!$A$2:$G$936,4,0),""))</f>
        <v/>
      </c>
      <c r="E1597" s="71" t="str">
        <f>IF($A$3=" "," ", IFERROR( VLOOKUP($A1597,'SUPPLIER DATA BASE'!$A$2:$H$936,5,0),""))</f>
        <v/>
      </c>
      <c r="F1597" s="72"/>
      <c r="G1597" s="73"/>
      <c r="H1597" s="74"/>
      <c r="I1597" s="75"/>
      <c r="J1597" s="70"/>
      <c r="K1597" s="70"/>
      <c r="L1597" s="73"/>
      <c r="M1597" s="70" t="str">
        <f t="shared" si="3"/>
        <v/>
      </c>
      <c r="N1597" s="70" t="str">
        <f>IF($A$3=" "," ", IFERROR( VLOOKUP($A1597,'SUPPLIER DATA BASE'!$A$2:$O$936,11,0),""))</f>
        <v/>
      </c>
      <c r="O1597" s="70" t="str">
        <f>IF($A$3=" "," ", IFERROR( VLOOKUP($A1597,'SUPPLIER DATA BASE'!$A$2:$O$936,12,0),""))</f>
        <v/>
      </c>
      <c r="P1597" s="70" t="str">
        <f>IF($A$3=" "," ", IFERROR( VLOOKUP($A1597,'SUPPLIER DATA BASE'!$A$2:$O$936,13,0),""))</f>
        <v/>
      </c>
      <c r="Q1597" s="77"/>
      <c r="R1597" s="73"/>
      <c r="S1597" s="77"/>
      <c r="T1597" s="70"/>
      <c r="U1597" s="78"/>
      <c r="V1597" s="70" t="str">
        <f t="shared" si="6"/>
        <v/>
      </c>
      <c r="W1597" s="23"/>
      <c r="X1597" s="23"/>
    </row>
    <row r="1598">
      <c r="A1598" s="70"/>
      <c r="B1598" s="70" t="str">
        <f>IF($A$3=" "," ", IFERROR( VLOOKUP($A1598,'SUPPLIER DATA BASE'!$A$2:$M$936,3,0),""))</f>
        <v/>
      </c>
      <c r="C1598" s="70" t="str">
        <f>IF($A$3=" "," ", IFERROR( VLOOKUP($A1598,'SUPPLIER DATA BASE'!$A$2:$F$936,6,0),""))</f>
        <v/>
      </c>
      <c r="D1598" s="70" t="str">
        <f>IF($A$3=" "," ", IFERROR( VLOOKUP($A1598,'SUPPLIER DATA BASE'!$A$2:$G$936,4,0),""))</f>
        <v/>
      </c>
      <c r="E1598" s="71" t="str">
        <f>IF($A$3=" "," ", IFERROR( VLOOKUP($A1598,'SUPPLIER DATA BASE'!$A$2:$H$936,5,0),""))</f>
        <v/>
      </c>
      <c r="F1598" s="72"/>
      <c r="G1598" s="73"/>
      <c r="H1598" s="74"/>
      <c r="I1598" s="75"/>
      <c r="J1598" s="70"/>
      <c r="K1598" s="70"/>
      <c r="L1598" s="73"/>
      <c r="M1598" s="70" t="str">
        <f t="shared" si="3"/>
        <v/>
      </c>
      <c r="N1598" s="70" t="str">
        <f>IF($A$3=" "," ", IFERROR( VLOOKUP($A1598,'SUPPLIER DATA BASE'!$A$2:$O$936,11,0),""))</f>
        <v/>
      </c>
      <c r="O1598" s="70" t="str">
        <f>IF($A$3=" "," ", IFERROR( VLOOKUP($A1598,'SUPPLIER DATA BASE'!$A$2:$O$936,12,0),""))</f>
        <v/>
      </c>
      <c r="P1598" s="70" t="str">
        <f>IF($A$3=" "," ", IFERROR( VLOOKUP($A1598,'SUPPLIER DATA BASE'!$A$2:$O$936,13,0),""))</f>
        <v/>
      </c>
      <c r="Q1598" s="77"/>
      <c r="R1598" s="73"/>
      <c r="S1598" s="77"/>
      <c r="T1598" s="70"/>
      <c r="U1598" s="78"/>
      <c r="V1598" s="70" t="str">
        <f t="shared" si="6"/>
        <v/>
      </c>
      <c r="W1598" s="23"/>
      <c r="X1598" s="23"/>
    </row>
    <row r="1599">
      <c r="A1599" s="70"/>
      <c r="B1599" s="70" t="str">
        <f>IF($A$3=" "," ", IFERROR( VLOOKUP($A1599,'SUPPLIER DATA BASE'!$A$2:$M$936,3,0),""))</f>
        <v/>
      </c>
      <c r="C1599" s="70" t="str">
        <f>IF($A$3=" "," ", IFERROR( VLOOKUP($A1599,'SUPPLIER DATA BASE'!$A$2:$F$936,6,0),""))</f>
        <v/>
      </c>
      <c r="D1599" s="70" t="str">
        <f>IF($A$3=" "," ", IFERROR( VLOOKUP($A1599,'SUPPLIER DATA BASE'!$A$2:$G$936,4,0),""))</f>
        <v/>
      </c>
      <c r="E1599" s="71" t="str">
        <f>IF($A$3=" "," ", IFERROR( VLOOKUP($A1599,'SUPPLIER DATA BASE'!$A$2:$H$936,5,0),""))</f>
        <v/>
      </c>
      <c r="F1599" s="72"/>
      <c r="G1599" s="73"/>
      <c r="H1599" s="74"/>
      <c r="I1599" s="75"/>
      <c r="J1599" s="70"/>
      <c r="K1599" s="70"/>
      <c r="L1599" s="73"/>
      <c r="M1599" s="70" t="str">
        <f t="shared" si="3"/>
        <v/>
      </c>
      <c r="N1599" s="70" t="str">
        <f>IF($A$3=" "," ", IFERROR( VLOOKUP($A1599,'SUPPLIER DATA BASE'!$A$2:$O$936,11,0),""))</f>
        <v/>
      </c>
      <c r="O1599" s="70" t="str">
        <f>IF($A$3=" "," ", IFERROR( VLOOKUP($A1599,'SUPPLIER DATA BASE'!$A$2:$O$936,12,0),""))</f>
        <v/>
      </c>
      <c r="P1599" s="70" t="str">
        <f>IF($A$3=" "," ", IFERROR( VLOOKUP($A1599,'SUPPLIER DATA BASE'!$A$2:$O$936,13,0),""))</f>
        <v/>
      </c>
      <c r="Q1599" s="77"/>
      <c r="R1599" s="73"/>
      <c r="S1599" s="77"/>
      <c r="T1599" s="70"/>
      <c r="U1599" s="78"/>
      <c r="V1599" s="70" t="str">
        <f t="shared" si="6"/>
        <v/>
      </c>
      <c r="W1599" s="23"/>
      <c r="X1599" s="23"/>
    </row>
    <row r="1600">
      <c r="A1600" s="70"/>
      <c r="B1600" s="70" t="str">
        <f>IF($A$3=" "," ", IFERROR( VLOOKUP($A1600,'SUPPLIER DATA BASE'!$A$2:$M$936,3,0),""))</f>
        <v/>
      </c>
      <c r="C1600" s="70" t="str">
        <f>IF($A$3=" "," ", IFERROR( VLOOKUP($A1600,'SUPPLIER DATA BASE'!$A$2:$F$936,6,0),""))</f>
        <v/>
      </c>
      <c r="D1600" s="70" t="str">
        <f>IF($A$3=" "," ", IFERROR( VLOOKUP($A1600,'SUPPLIER DATA BASE'!$A$2:$G$936,4,0),""))</f>
        <v/>
      </c>
      <c r="E1600" s="71" t="str">
        <f>IF($A$3=" "," ", IFERROR( VLOOKUP($A1600,'SUPPLIER DATA BASE'!$A$2:$H$936,5,0),""))</f>
        <v/>
      </c>
      <c r="F1600" s="72"/>
      <c r="G1600" s="73"/>
      <c r="H1600" s="74"/>
      <c r="I1600" s="75"/>
      <c r="J1600" s="70"/>
      <c r="K1600" s="70"/>
      <c r="L1600" s="73"/>
      <c r="M1600" s="70" t="str">
        <f t="shared" si="3"/>
        <v/>
      </c>
      <c r="N1600" s="70" t="str">
        <f>IF($A$3=" "," ", IFERROR( VLOOKUP($A1600,'SUPPLIER DATA BASE'!$A$2:$O$936,11,0),""))</f>
        <v/>
      </c>
      <c r="O1600" s="70" t="str">
        <f>IF($A$3=" "," ", IFERROR( VLOOKUP($A1600,'SUPPLIER DATA BASE'!$A$2:$O$936,12,0),""))</f>
        <v/>
      </c>
      <c r="P1600" s="70" t="str">
        <f>IF($A$3=" "," ", IFERROR( VLOOKUP($A1600,'SUPPLIER DATA BASE'!$A$2:$O$936,13,0),""))</f>
        <v/>
      </c>
      <c r="Q1600" s="77"/>
      <c r="R1600" s="73"/>
      <c r="S1600" s="77"/>
      <c r="T1600" s="70"/>
      <c r="U1600" s="78"/>
      <c r="V1600" s="70" t="str">
        <f t="shared" si="6"/>
        <v/>
      </c>
      <c r="W1600" s="23"/>
      <c r="X1600" s="23"/>
    </row>
    <row r="1601">
      <c r="A1601" s="70"/>
      <c r="B1601" s="70" t="str">
        <f>IF($A$3=" "," ", IFERROR( VLOOKUP($A1601,'SUPPLIER DATA BASE'!$A$2:$M$936,3,0),""))</f>
        <v/>
      </c>
      <c r="C1601" s="70" t="str">
        <f>IF($A$3=" "," ", IFERROR( VLOOKUP($A1601,'SUPPLIER DATA BASE'!$A$2:$F$936,6,0),""))</f>
        <v/>
      </c>
      <c r="D1601" s="70" t="str">
        <f>IF($A$3=" "," ", IFERROR( VLOOKUP($A1601,'SUPPLIER DATA BASE'!$A$2:$G$936,4,0),""))</f>
        <v/>
      </c>
      <c r="E1601" s="71" t="str">
        <f>IF($A$3=" "," ", IFERROR( VLOOKUP($A1601,'SUPPLIER DATA BASE'!$A$2:$H$936,5,0),""))</f>
        <v/>
      </c>
      <c r="F1601" s="72"/>
      <c r="G1601" s="73"/>
      <c r="H1601" s="74"/>
      <c r="I1601" s="75"/>
      <c r="J1601" s="70"/>
      <c r="K1601" s="70"/>
      <c r="L1601" s="73"/>
      <c r="M1601" s="70" t="str">
        <f t="shared" si="3"/>
        <v/>
      </c>
      <c r="N1601" s="70" t="str">
        <f>IF($A$3=" "," ", IFERROR( VLOOKUP($A1601,'SUPPLIER DATA BASE'!$A$2:$O$936,11,0),""))</f>
        <v/>
      </c>
      <c r="O1601" s="70" t="str">
        <f>IF($A$3=" "," ", IFERROR( VLOOKUP($A1601,'SUPPLIER DATA BASE'!$A$2:$O$936,12,0),""))</f>
        <v/>
      </c>
      <c r="P1601" s="70" t="str">
        <f>IF($A$3=" "," ", IFERROR( VLOOKUP($A1601,'SUPPLIER DATA BASE'!$A$2:$O$936,13,0),""))</f>
        <v/>
      </c>
      <c r="Q1601" s="77"/>
      <c r="R1601" s="73"/>
      <c r="S1601" s="77"/>
      <c r="T1601" s="70"/>
      <c r="U1601" s="78"/>
      <c r="V1601" s="70" t="str">
        <f t="shared" si="6"/>
        <v/>
      </c>
      <c r="W1601" s="23"/>
      <c r="X1601" s="23"/>
    </row>
    <row r="1602">
      <c r="A1602" s="70"/>
      <c r="B1602" s="70" t="str">
        <f>IF($A$3=" "," ", IFERROR( VLOOKUP($A1602,'SUPPLIER DATA BASE'!$A$2:$M$936,3,0),""))</f>
        <v/>
      </c>
      <c r="C1602" s="70" t="str">
        <f>IF($A$3=" "," ", IFERROR( VLOOKUP($A1602,'SUPPLIER DATA BASE'!$A$2:$F$936,6,0),""))</f>
        <v/>
      </c>
      <c r="D1602" s="70" t="str">
        <f>IF($A$3=" "," ", IFERROR( VLOOKUP($A1602,'SUPPLIER DATA BASE'!$A$2:$G$936,4,0),""))</f>
        <v/>
      </c>
      <c r="E1602" s="71" t="str">
        <f>IF($A$3=" "," ", IFERROR( VLOOKUP($A1602,'SUPPLIER DATA BASE'!$A$2:$H$936,5,0),""))</f>
        <v/>
      </c>
      <c r="F1602" s="72"/>
      <c r="G1602" s="73"/>
      <c r="H1602" s="74"/>
      <c r="I1602" s="75"/>
      <c r="J1602" s="70"/>
      <c r="K1602" s="70"/>
      <c r="L1602" s="73"/>
      <c r="M1602" s="70" t="str">
        <f t="shared" si="3"/>
        <v/>
      </c>
      <c r="N1602" s="70" t="str">
        <f>IF($A$3=" "," ", IFERROR( VLOOKUP($A1602,'SUPPLIER DATA BASE'!$A$2:$O$936,11,0),""))</f>
        <v/>
      </c>
      <c r="O1602" s="70" t="str">
        <f>IF($A$3=" "," ", IFERROR( VLOOKUP($A1602,'SUPPLIER DATA BASE'!$A$2:$O$936,12,0),""))</f>
        <v/>
      </c>
      <c r="P1602" s="70" t="str">
        <f>IF($A$3=" "," ", IFERROR( VLOOKUP($A1602,'SUPPLIER DATA BASE'!$A$2:$O$936,13,0),""))</f>
        <v/>
      </c>
      <c r="Q1602" s="77"/>
      <c r="R1602" s="73"/>
      <c r="S1602" s="77"/>
      <c r="T1602" s="70"/>
      <c r="U1602" s="78"/>
      <c r="V1602" s="70" t="str">
        <f t="shared" si="6"/>
        <v/>
      </c>
      <c r="W1602" s="23"/>
      <c r="X1602" s="23"/>
    </row>
    <row r="1603">
      <c r="A1603" s="70"/>
      <c r="B1603" s="70" t="str">
        <f>IF($A$3=" "," ", IFERROR( VLOOKUP($A1603,'SUPPLIER DATA BASE'!$A$2:$M$936,3,0),""))</f>
        <v/>
      </c>
      <c r="C1603" s="70" t="str">
        <f>IF($A$3=" "," ", IFERROR( VLOOKUP($A1603,'SUPPLIER DATA BASE'!$A$2:$F$936,6,0),""))</f>
        <v/>
      </c>
      <c r="D1603" s="70" t="str">
        <f>IF($A$3=" "," ", IFERROR( VLOOKUP($A1603,'SUPPLIER DATA BASE'!$A$2:$G$936,4,0),""))</f>
        <v/>
      </c>
      <c r="E1603" s="71" t="str">
        <f>IF($A$3=" "," ", IFERROR( VLOOKUP($A1603,'SUPPLIER DATA BASE'!$A$2:$H$936,5,0),""))</f>
        <v/>
      </c>
      <c r="F1603" s="72"/>
      <c r="G1603" s="73"/>
      <c r="H1603" s="74"/>
      <c r="I1603" s="75"/>
      <c r="J1603" s="70"/>
      <c r="K1603" s="70"/>
      <c r="L1603" s="73"/>
      <c r="M1603" s="70" t="str">
        <f t="shared" si="3"/>
        <v/>
      </c>
      <c r="N1603" s="70" t="str">
        <f>IF($A$3=" "," ", IFERROR( VLOOKUP($A1603,'SUPPLIER DATA BASE'!$A$2:$O$936,11,0),""))</f>
        <v/>
      </c>
      <c r="O1603" s="70" t="str">
        <f>IF($A$3=" "," ", IFERROR( VLOOKUP($A1603,'SUPPLIER DATA BASE'!$A$2:$O$936,12,0),""))</f>
        <v/>
      </c>
      <c r="P1603" s="70" t="str">
        <f>IF($A$3=" "," ", IFERROR( VLOOKUP($A1603,'SUPPLIER DATA BASE'!$A$2:$O$936,13,0),""))</f>
        <v/>
      </c>
      <c r="Q1603" s="77"/>
      <c r="R1603" s="73"/>
      <c r="S1603" s="77"/>
      <c r="T1603" s="70"/>
      <c r="U1603" s="78"/>
      <c r="V1603" s="70" t="str">
        <f t="shared" si="6"/>
        <v/>
      </c>
      <c r="W1603" s="23"/>
      <c r="X1603" s="23"/>
    </row>
    <row r="1604">
      <c r="A1604" s="70"/>
      <c r="B1604" s="70" t="str">
        <f>IF($A$3=" "," ", IFERROR( VLOOKUP($A1604,'SUPPLIER DATA BASE'!$A$2:$M$936,3,0),""))</f>
        <v/>
      </c>
      <c r="C1604" s="70" t="str">
        <f>IF($A$3=" "," ", IFERROR( VLOOKUP($A1604,'SUPPLIER DATA BASE'!$A$2:$F$936,6,0),""))</f>
        <v/>
      </c>
      <c r="D1604" s="70" t="str">
        <f>IF($A$3=" "," ", IFERROR( VLOOKUP($A1604,'SUPPLIER DATA BASE'!$A$2:$G$936,4,0),""))</f>
        <v/>
      </c>
      <c r="E1604" s="71" t="str">
        <f>IF($A$3=" "," ", IFERROR( VLOOKUP($A1604,'SUPPLIER DATA BASE'!$A$2:$H$936,5,0),""))</f>
        <v/>
      </c>
      <c r="F1604" s="72"/>
      <c r="G1604" s="73"/>
      <c r="H1604" s="74"/>
      <c r="I1604" s="75"/>
      <c r="J1604" s="70"/>
      <c r="K1604" s="70"/>
      <c r="L1604" s="73"/>
      <c r="M1604" s="70" t="str">
        <f t="shared" si="3"/>
        <v/>
      </c>
      <c r="N1604" s="70" t="str">
        <f>IF($A$3=" "," ", IFERROR( VLOOKUP($A1604,'SUPPLIER DATA BASE'!$A$2:$O$936,11,0),""))</f>
        <v/>
      </c>
      <c r="O1604" s="70" t="str">
        <f>IF($A$3=" "," ", IFERROR( VLOOKUP($A1604,'SUPPLIER DATA BASE'!$A$2:$O$936,12,0),""))</f>
        <v/>
      </c>
      <c r="P1604" s="70" t="str">
        <f>IF($A$3=" "," ", IFERROR( VLOOKUP($A1604,'SUPPLIER DATA BASE'!$A$2:$O$936,13,0),""))</f>
        <v/>
      </c>
      <c r="Q1604" s="77"/>
      <c r="R1604" s="73"/>
      <c r="S1604" s="77"/>
      <c r="T1604" s="70"/>
      <c r="U1604" s="78"/>
      <c r="V1604" s="70" t="str">
        <f t="shared" si="6"/>
        <v/>
      </c>
      <c r="W1604" s="23"/>
      <c r="X1604" s="23"/>
    </row>
    <row r="1605">
      <c r="A1605" s="70"/>
      <c r="B1605" s="70" t="str">
        <f>IF($A$3=" "," ", IFERROR( VLOOKUP($A1605,'SUPPLIER DATA BASE'!$A$2:$M$936,3,0),""))</f>
        <v/>
      </c>
      <c r="C1605" s="70" t="str">
        <f>IF($A$3=" "," ", IFERROR( VLOOKUP($A1605,'SUPPLIER DATA BASE'!$A$2:$F$936,6,0),""))</f>
        <v/>
      </c>
      <c r="D1605" s="70" t="str">
        <f>IF($A$3=" "," ", IFERROR( VLOOKUP($A1605,'SUPPLIER DATA BASE'!$A$2:$G$936,4,0),""))</f>
        <v/>
      </c>
      <c r="E1605" s="71" t="str">
        <f>IF($A$3=" "," ", IFERROR( VLOOKUP($A1605,'SUPPLIER DATA BASE'!$A$2:$H$936,5,0),""))</f>
        <v/>
      </c>
      <c r="F1605" s="72"/>
      <c r="G1605" s="73"/>
      <c r="H1605" s="74"/>
      <c r="I1605" s="75"/>
      <c r="J1605" s="70"/>
      <c r="K1605" s="70"/>
      <c r="L1605" s="73"/>
      <c r="M1605" s="70" t="str">
        <f t="shared" si="3"/>
        <v/>
      </c>
      <c r="N1605" s="70" t="str">
        <f>IF($A$3=" "," ", IFERROR( VLOOKUP($A1605,'SUPPLIER DATA BASE'!$A$2:$O$936,11,0),""))</f>
        <v/>
      </c>
      <c r="O1605" s="70" t="str">
        <f>IF($A$3=" "," ", IFERROR( VLOOKUP($A1605,'SUPPLIER DATA BASE'!$A$2:$O$936,12,0),""))</f>
        <v/>
      </c>
      <c r="P1605" s="70" t="str">
        <f>IF($A$3=" "," ", IFERROR( VLOOKUP($A1605,'SUPPLIER DATA BASE'!$A$2:$O$936,13,0),""))</f>
        <v/>
      </c>
      <c r="Q1605" s="77"/>
      <c r="R1605" s="73"/>
      <c r="S1605" s="77"/>
      <c r="T1605" s="70"/>
      <c r="U1605" s="78"/>
      <c r="V1605" s="70" t="str">
        <f t="shared" si="6"/>
        <v/>
      </c>
      <c r="W1605" s="23"/>
      <c r="X1605" s="23"/>
    </row>
    <row r="1606">
      <c r="A1606" s="70"/>
      <c r="B1606" s="70" t="str">
        <f>IF($A$3=" "," ", IFERROR( VLOOKUP($A1606,'SUPPLIER DATA BASE'!$A$2:$M$936,3,0),""))</f>
        <v/>
      </c>
      <c r="C1606" s="70" t="str">
        <f>IF($A$3=" "," ", IFERROR( VLOOKUP($A1606,'SUPPLIER DATA BASE'!$A$2:$F$936,6,0),""))</f>
        <v/>
      </c>
      <c r="D1606" s="70" t="str">
        <f>IF($A$3=" "," ", IFERROR( VLOOKUP($A1606,'SUPPLIER DATA BASE'!$A$2:$G$936,4,0),""))</f>
        <v/>
      </c>
      <c r="E1606" s="71" t="str">
        <f>IF($A$3=" "," ", IFERROR( VLOOKUP($A1606,'SUPPLIER DATA BASE'!$A$2:$H$936,5,0),""))</f>
        <v/>
      </c>
      <c r="F1606" s="72"/>
      <c r="G1606" s="73"/>
      <c r="H1606" s="74"/>
      <c r="I1606" s="75"/>
      <c r="J1606" s="70"/>
      <c r="K1606" s="70"/>
      <c r="L1606" s="73"/>
      <c r="M1606" s="70" t="str">
        <f t="shared" si="3"/>
        <v/>
      </c>
      <c r="N1606" s="70" t="str">
        <f>IF($A$3=" "," ", IFERROR( VLOOKUP($A1606,'SUPPLIER DATA BASE'!$A$2:$O$936,11,0),""))</f>
        <v/>
      </c>
      <c r="O1606" s="70" t="str">
        <f>IF($A$3=" "," ", IFERROR( VLOOKUP($A1606,'SUPPLIER DATA BASE'!$A$2:$O$936,12,0),""))</f>
        <v/>
      </c>
      <c r="P1606" s="70" t="str">
        <f>IF($A$3=" "," ", IFERROR( VLOOKUP($A1606,'SUPPLIER DATA BASE'!$A$2:$O$936,13,0),""))</f>
        <v/>
      </c>
      <c r="Q1606" s="77"/>
      <c r="R1606" s="73"/>
      <c r="S1606" s="77"/>
      <c r="T1606" s="70"/>
      <c r="U1606" s="78"/>
      <c r="V1606" s="70" t="str">
        <f t="shared" si="6"/>
        <v/>
      </c>
      <c r="W1606" s="23"/>
      <c r="X1606" s="23"/>
    </row>
    <row r="1607">
      <c r="A1607" s="70"/>
      <c r="B1607" s="70" t="str">
        <f>IF($A$3=" "," ", IFERROR( VLOOKUP($A1607,'SUPPLIER DATA BASE'!$A$2:$M$936,3,0),""))</f>
        <v/>
      </c>
      <c r="C1607" s="70" t="str">
        <f>IF($A$3=" "," ", IFERROR( VLOOKUP($A1607,'SUPPLIER DATA BASE'!$A$2:$F$936,6,0),""))</f>
        <v/>
      </c>
      <c r="D1607" s="70" t="str">
        <f>IF($A$3=" "," ", IFERROR( VLOOKUP($A1607,'SUPPLIER DATA BASE'!$A$2:$G$936,4,0),""))</f>
        <v/>
      </c>
      <c r="E1607" s="71" t="str">
        <f>IF($A$3=" "," ", IFERROR( VLOOKUP($A1607,'SUPPLIER DATA BASE'!$A$2:$H$936,5,0),""))</f>
        <v/>
      </c>
      <c r="F1607" s="72"/>
      <c r="G1607" s="73"/>
      <c r="H1607" s="74"/>
      <c r="I1607" s="75"/>
      <c r="J1607" s="70"/>
      <c r="K1607" s="70"/>
      <c r="L1607" s="73"/>
      <c r="M1607" s="70" t="str">
        <f t="shared" si="3"/>
        <v/>
      </c>
      <c r="N1607" s="70" t="str">
        <f>IF($A$3=" "," ", IFERROR( VLOOKUP($A1607,'SUPPLIER DATA BASE'!$A$2:$O$936,11,0),""))</f>
        <v/>
      </c>
      <c r="O1607" s="70" t="str">
        <f>IF($A$3=" "," ", IFERROR( VLOOKUP($A1607,'SUPPLIER DATA BASE'!$A$2:$O$936,12,0),""))</f>
        <v/>
      </c>
      <c r="P1607" s="70" t="str">
        <f>IF($A$3=" "," ", IFERROR( VLOOKUP($A1607,'SUPPLIER DATA BASE'!$A$2:$O$936,13,0),""))</f>
        <v/>
      </c>
      <c r="Q1607" s="77"/>
      <c r="R1607" s="73"/>
      <c r="S1607" s="77"/>
      <c r="T1607" s="70"/>
      <c r="U1607" s="78"/>
      <c r="V1607" s="70" t="str">
        <f t="shared" si="6"/>
        <v/>
      </c>
      <c r="W1607" s="23"/>
      <c r="X1607" s="23"/>
    </row>
    <row r="1608">
      <c r="A1608" s="70"/>
      <c r="B1608" s="70" t="str">
        <f>IF($A$3=" "," ", IFERROR( VLOOKUP($A1608,'SUPPLIER DATA BASE'!$A$2:$M$936,3,0),""))</f>
        <v/>
      </c>
      <c r="C1608" s="70" t="str">
        <f>IF($A$3=" "," ", IFERROR( VLOOKUP($A1608,'SUPPLIER DATA BASE'!$A$2:$F$936,6,0),""))</f>
        <v/>
      </c>
      <c r="D1608" s="70" t="str">
        <f>IF($A$3=" "," ", IFERROR( VLOOKUP($A1608,'SUPPLIER DATA BASE'!$A$2:$G$936,4,0),""))</f>
        <v/>
      </c>
      <c r="E1608" s="71" t="str">
        <f>IF($A$3=" "," ", IFERROR( VLOOKUP($A1608,'SUPPLIER DATA BASE'!$A$2:$H$936,5,0),""))</f>
        <v/>
      </c>
      <c r="F1608" s="72"/>
      <c r="G1608" s="73"/>
      <c r="H1608" s="74"/>
      <c r="I1608" s="75"/>
      <c r="J1608" s="70"/>
      <c r="K1608" s="70"/>
      <c r="L1608" s="73"/>
      <c r="M1608" s="70" t="str">
        <f t="shared" si="3"/>
        <v/>
      </c>
      <c r="N1608" s="70" t="str">
        <f>IF($A$3=" "," ", IFERROR( VLOOKUP($A1608,'SUPPLIER DATA BASE'!$A$2:$O$936,11,0),""))</f>
        <v/>
      </c>
      <c r="O1608" s="70" t="str">
        <f>IF($A$3=" "," ", IFERROR( VLOOKUP($A1608,'SUPPLIER DATA BASE'!$A$2:$O$936,12,0),""))</f>
        <v/>
      </c>
      <c r="P1608" s="70" t="str">
        <f>IF($A$3=" "," ", IFERROR( VLOOKUP($A1608,'SUPPLIER DATA BASE'!$A$2:$O$936,13,0),""))</f>
        <v/>
      </c>
      <c r="Q1608" s="77"/>
      <c r="R1608" s="73"/>
      <c r="S1608" s="77"/>
      <c r="T1608" s="70"/>
      <c r="U1608" s="78"/>
      <c r="V1608" s="70" t="str">
        <f t="shared" si="6"/>
        <v/>
      </c>
      <c r="W1608" s="23"/>
      <c r="X1608" s="23"/>
    </row>
    <row r="1609">
      <c r="A1609" s="70"/>
      <c r="B1609" s="70" t="str">
        <f>IF($A$3=" "," ", IFERROR( VLOOKUP($A1609,'SUPPLIER DATA BASE'!$A$2:$M$936,3,0),""))</f>
        <v/>
      </c>
      <c r="C1609" s="70" t="str">
        <f>IF($A$3=" "," ", IFERROR( VLOOKUP($A1609,'SUPPLIER DATA BASE'!$A$2:$F$936,6,0),""))</f>
        <v/>
      </c>
      <c r="D1609" s="70" t="str">
        <f>IF($A$3=" "," ", IFERROR( VLOOKUP($A1609,'SUPPLIER DATA BASE'!$A$2:$G$936,4,0),""))</f>
        <v/>
      </c>
      <c r="E1609" s="71" t="str">
        <f>IF($A$3=" "," ", IFERROR( VLOOKUP($A1609,'SUPPLIER DATA BASE'!$A$2:$H$936,5,0),""))</f>
        <v/>
      </c>
      <c r="F1609" s="72"/>
      <c r="G1609" s="73"/>
      <c r="H1609" s="74"/>
      <c r="I1609" s="75"/>
      <c r="J1609" s="70"/>
      <c r="K1609" s="70"/>
      <c r="L1609" s="73"/>
      <c r="M1609" s="70" t="str">
        <f t="shared" si="3"/>
        <v/>
      </c>
      <c r="N1609" s="70" t="str">
        <f>IF($A$3=" "," ", IFERROR( VLOOKUP($A1609,'SUPPLIER DATA BASE'!$A$2:$O$936,11,0),""))</f>
        <v/>
      </c>
      <c r="O1609" s="70" t="str">
        <f>IF($A$3=" "," ", IFERROR( VLOOKUP($A1609,'SUPPLIER DATA BASE'!$A$2:$O$936,12,0),""))</f>
        <v/>
      </c>
      <c r="P1609" s="70" t="str">
        <f>IF($A$3=" "," ", IFERROR( VLOOKUP($A1609,'SUPPLIER DATA BASE'!$A$2:$O$936,13,0),""))</f>
        <v/>
      </c>
      <c r="Q1609" s="77"/>
      <c r="R1609" s="73"/>
      <c r="S1609" s="77"/>
      <c r="T1609" s="70"/>
      <c r="U1609" s="78"/>
      <c r="V1609" s="70" t="str">
        <f t="shared" si="6"/>
        <v/>
      </c>
      <c r="W1609" s="23"/>
      <c r="X1609" s="23"/>
    </row>
    <row r="1610">
      <c r="A1610" s="70"/>
      <c r="B1610" s="70" t="str">
        <f>IF($A$3=" "," ", IFERROR( VLOOKUP($A1610,'SUPPLIER DATA BASE'!$A$2:$M$936,3,0),""))</f>
        <v/>
      </c>
      <c r="C1610" s="70" t="str">
        <f>IF($A$3=" "," ", IFERROR( VLOOKUP($A1610,'SUPPLIER DATA BASE'!$A$2:$F$936,6,0),""))</f>
        <v/>
      </c>
      <c r="D1610" s="70" t="str">
        <f>IF($A$3=" "," ", IFERROR( VLOOKUP($A1610,'SUPPLIER DATA BASE'!$A$2:$G$936,4,0),""))</f>
        <v/>
      </c>
      <c r="E1610" s="71" t="str">
        <f>IF($A$3=" "," ", IFERROR( VLOOKUP($A1610,'SUPPLIER DATA BASE'!$A$2:$H$936,5,0),""))</f>
        <v/>
      </c>
      <c r="F1610" s="72"/>
      <c r="G1610" s="73"/>
      <c r="H1610" s="74"/>
      <c r="I1610" s="75"/>
      <c r="J1610" s="70"/>
      <c r="K1610" s="70"/>
      <c r="L1610" s="73"/>
      <c r="M1610" s="70" t="str">
        <f t="shared" si="3"/>
        <v/>
      </c>
      <c r="N1610" s="70" t="str">
        <f>IF($A$3=" "," ", IFERROR( VLOOKUP($A1610,'SUPPLIER DATA BASE'!$A$2:$O$936,11,0),""))</f>
        <v/>
      </c>
      <c r="O1610" s="70" t="str">
        <f>IF($A$3=" "," ", IFERROR( VLOOKUP($A1610,'SUPPLIER DATA BASE'!$A$2:$O$936,12,0),""))</f>
        <v/>
      </c>
      <c r="P1610" s="70" t="str">
        <f>IF($A$3=" "," ", IFERROR( VLOOKUP($A1610,'SUPPLIER DATA BASE'!$A$2:$O$936,13,0),""))</f>
        <v/>
      </c>
      <c r="Q1610" s="77"/>
      <c r="R1610" s="73"/>
      <c r="S1610" s="77"/>
      <c r="T1610" s="70"/>
      <c r="U1610" s="78"/>
      <c r="V1610" s="70" t="str">
        <f t="shared" si="6"/>
        <v/>
      </c>
      <c r="W1610" s="23"/>
      <c r="X1610" s="23"/>
    </row>
    <row r="1611">
      <c r="A1611" s="70"/>
      <c r="B1611" s="70" t="str">
        <f>IF($A$3=" "," ", IFERROR( VLOOKUP($A1611,'SUPPLIER DATA BASE'!$A$2:$M$936,3,0),""))</f>
        <v/>
      </c>
      <c r="C1611" s="70" t="str">
        <f>IF($A$3=" "," ", IFERROR( VLOOKUP($A1611,'SUPPLIER DATA BASE'!$A$2:$F$936,6,0),""))</f>
        <v/>
      </c>
      <c r="D1611" s="70" t="str">
        <f>IF($A$3=" "," ", IFERROR( VLOOKUP($A1611,'SUPPLIER DATA BASE'!$A$2:$G$936,4,0),""))</f>
        <v/>
      </c>
      <c r="E1611" s="71" t="str">
        <f>IF($A$3=" "," ", IFERROR( VLOOKUP($A1611,'SUPPLIER DATA BASE'!$A$2:$H$936,5,0),""))</f>
        <v/>
      </c>
      <c r="F1611" s="72"/>
      <c r="G1611" s="73"/>
      <c r="H1611" s="74"/>
      <c r="I1611" s="75"/>
      <c r="J1611" s="70"/>
      <c r="K1611" s="70"/>
      <c r="L1611" s="73"/>
      <c r="M1611" s="70" t="str">
        <f t="shared" si="3"/>
        <v/>
      </c>
      <c r="N1611" s="70" t="str">
        <f>IF($A$3=" "," ", IFERROR( VLOOKUP($A1611,'SUPPLIER DATA BASE'!$A$2:$O$936,11,0),""))</f>
        <v/>
      </c>
      <c r="O1611" s="70" t="str">
        <f>IF($A$3=" "," ", IFERROR( VLOOKUP($A1611,'SUPPLIER DATA BASE'!$A$2:$O$936,12,0),""))</f>
        <v/>
      </c>
      <c r="P1611" s="70" t="str">
        <f>IF($A$3=" "," ", IFERROR( VLOOKUP($A1611,'SUPPLIER DATA BASE'!$A$2:$O$936,13,0),""))</f>
        <v/>
      </c>
      <c r="Q1611" s="77"/>
      <c r="R1611" s="73"/>
      <c r="S1611" s="77"/>
      <c r="T1611" s="70"/>
      <c r="U1611" s="78"/>
      <c r="V1611" s="70" t="str">
        <f t="shared" si="6"/>
        <v/>
      </c>
      <c r="W1611" s="23"/>
      <c r="X1611" s="23"/>
    </row>
    <row r="1612">
      <c r="A1612" s="70"/>
      <c r="B1612" s="70" t="str">
        <f>IF($A$3=" "," ", IFERROR( VLOOKUP($A1612,'SUPPLIER DATA BASE'!$A$2:$M$936,3,0),""))</f>
        <v/>
      </c>
      <c r="C1612" s="70" t="str">
        <f>IF($A$3=" "," ", IFERROR( VLOOKUP($A1612,'SUPPLIER DATA BASE'!$A$2:$F$936,6,0),""))</f>
        <v/>
      </c>
      <c r="D1612" s="70" t="str">
        <f>IF($A$3=" "," ", IFERROR( VLOOKUP($A1612,'SUPPLIER DATA BASE'!$A$2:$G$936,4,0),""))</f>
        <v/>
      </c>
      <c r="E1612" s="71" t="str">
        <f>IF($A$3=" "," ", IFERROR( VLOOKUP($A1612,'SUPPLIER DATA BASE'!$A$2:$H$936,5,0),""))</f>
        <v/>
      </c>
      <c r="F1612" s="72"/>
      <c r="G1612" s="73"/>
      <c r="H1612" s="74"/>
      <c r="I1612" s="75"/>
      <c r="J1612" s="70"/>
      <c r="K1612" s="70"/>
      <c r="L1612" s="73"/>
      <c r="M1612" s="70" t="str">
        <f t="shared" si="3"/>
        <v/>
      </c>
      <c r="N1612" s="70" t="str">
        <f>IF($A$3=" "," ", IFERROR( VLOOKUP($A1612,'SUPPLIER DATA BASE'!$A$2:$O$936,11,0),""))</f>
        <v/>
      </c>
      <c r="O1612" s="70" t="str">
        <f>IF($A$3=" "," ", IFERROR( VLOOKUP($A1612,'SUPPLIER DATA BASE'!$A$2:$O$936,12,0),""))</f>
        <v/>
      </c>
      <c r="P1612" s="70" t="str">
        <f>IF($A$3=" "," ", IFERROR( VLOOKUP($A1612,'SUPPLIER DATA BASE'!$A$2:$O$936,13,0),""))</f>
        <v/>
      </c>
      <c r="Q1612" s="77"/>
      <c r="R1612" s="73"/>
      <c r="S1612" s="77"/>
      <c r="T1612" s="70"/>
      <c r="U1612" s="78"/>
      <c r="V1612" s="70" t="str">
        <f t="shared" si="6"/>
        <v/>
      </c>
      <c r="W1612" s="23"/>
      <c r="X1612" s="23"/>
    </row>
    <row r="1613">
      <c r="A1613" s="70"/>
      <c r="B1613" s="70" t="str">
        <f>IF($A$3=" "," ", IFERROR( VLOOKUP($A1613,'SUPPLIER DATA BASE'!$A$2:$M$936,3,0),""))</f>
        <v/>
      </c>
      <c r="C1613" s="70" t="str">
        <f>IF($A$3=" "," ", IFERROR( VLOOKUP($A1613,'SUPPLIER DATA BASE'!$A$2:$F$936,6,0),""))</f>
        <v/>
      </c>
      <c r="D1613" s="70" t="str">
        <f>IF($A$3=" "," ", IFERROR( VLOOKUP($A1613,'SUPPLIER DATA BASE'!$A$2:$G$936,4,0),""))</f>
        <v/>
      </c>
      <c r="E1613" s="71" t="str">
        <f>IF($A$3=" "," ", IFERROR( VLOOKUP($A1613,'SUPPLIER DATA BASE'!$A$2:$H$936,5,0),""))</f>
        <v/>
      </c>
      <c r="F1613" s="72"/>
      <c r="G1613" s="73"/>
      <c r="H1613" s="74"/>
      <c r="I1613" s="75"/>
      <c r="J1613" s="70"/>
      <c r="K1613" s="70"/>
      <c r="L1613" s="73"/>
      <c r="M1613" s="70" t="str">
        <f t="shared" si="3"/>
        <v/>
      </c>
      <c r="N1613" s="70" t="str">
        <f>IF($A$3=" "," ", IFERROR( VLOOKUP($A1613,'SUPPLIER DATA BASE'!$A$2:$O$936,11,0),""))</f>
        <v/>
      </c>
      <c r="O1613" s="70" t="str">
        <f>IF($A$3=" "," ", IFERROR( VLOOKUP($A1613,'SUPPLIER DATA BASE'!$A$2:$O$936,12,0),""))</f>
        <v/>
      </c>
      <c r="P1613" s="70" t="str">
        <f>IF($A$3=" "," ", IFERROR( VLOOKUP($A1613,'SUPPLIER DATA BASE'!$A$2:$O$936,13,0),""))</f>
        <v/>
      </c>
      <c r="Q1613" s="77"/>
      <c r="R1613" s="73"/>
      <c r="S1613" s="77"/>
      <c r="T1613" s="70"/>
      <c r="U1613" s="78"/>
      <c r="V1613" s="70" t="str">
        <f t="shared" si="6"/>
        <v/>
      </c>
      <c r="W1613" s="23"/>
      <c r="X1613" s="23"/>
    </row>
    <row r="1614">
      <c r="A1614" s="70"/>
      <c r="B1614" s="70" t="str">
        <f>IF($A$3=" "," ", IFERROR( VLOOKUP($A1614,'SUPPLIER DATA BASE'!$A$2:$M$936,3,0),""))</f>
        <v/>
      </c>
      <c r="C1614" s="70" t="str">
        <f>IF($A$3=" "," ", IFERROR( VLOOKUP($A1614,'SUPPLIER DATA BASE'!$A$2:$F$936,6,0),""))</f>
        <v/>
      </c>
      <c r="D1614" s="70" t="str">
        <f>IF($A$3=" "," ", IFERROR( VLOOKUP($A1614,'SUPPLIER DATA BASE'!$A$2:$G$936,4,0),""))</f>
        <v/>
      </c>
      <c r="E1614" s="71" t="str">
        <f>IF($A$3=" "," ", IFERROR( VLOOKUP($A1614,'SUPPLIER DATA BASE'!$A$2:$H$936,5,0),""))</f>
        <v/>
      </c>
      <c r="F1614" s="72"/>
      <c r="G1614" s="73"/>
      <c r="H1614" s="74"/>
      <c r="I1614" s="75"/>
      <c r="J1614" s="70"/>
      <c r="K1614" s="70"/>
      <c r="L1614" s="73"/>
      <c r="M1614" s="70" t="str">
        <f t="shared" si="3"/>
        <v/>
      </c>
      <c r="N1614" s="70" t="str">
        <f>IF($A$3=" "," ", IFERROR( VLOOKUP($A1614,'SUPPLIER DATA BASE'!$A$2:$O$936,11,0),""))</f>
        <v/>
      </c>
      <c r="O1614" s="70" t="str">
        <f>IF($A$3=" "," ", IFERROR( VLOOKUP($A1614,'SUPPLIER DATA BASE'!$A$2:$O$936,12,0),""))</f>
        <v/>
      </c>
      <c r="P1614" s="70" t="str">
        <f>IF($A$3=" "," ", IFERROR( VLOOKUP($A1614,'SUPPLIER DATA BASE'!$A$2:$O$936,13,0),""))</f>
        <v/>
      </c>
      <c r="Q1614" s="77"/>
      <c r="R1614" s="73"/>
      <c r="S1614" s="77"/>
      <c r="T1614" s="70"/>
      <c r="U1614" s="78"/>
      <c r="V1614" s="70" t="str">
        <f t="shared" si="6"/>
        <v/>
      </c>
      <c r="W1614" s="23"/>
      <c r="X1614" s="23"/>
    </row>
    <row r="1615">
      <c r="A1615" s="70"/>
      <c r="B1615" s="70" t="str">
        <f>IF($A$3=" "," ", IFERROR( VLOOKUP($A1615,'SUPPLIER DATA BASE'!$A$2:$M$936,3,0),""))</f>
        <v/>
      </c>
      <c r="C1615" s="70" t="str">
        <f>IF($A$3=" "," ", IFERROR( VLOOKUP($A1615,'SUPPLIER DATA BASE'!$A$2:$F$936,6,0),""))</f>
        <v/>
      </c>
      <c r="D1615" s="70" t="str">
        <f>IF($A$3=" "," ", IFERROR( VLOOKUP($A1615,'SUPPLIER DATA BASE'!$A$2:$G$936,4,0),""))</f>
        <v/>
      </c>
      <c r="E1615" s="71" t="str">
        <f>IF($A$3=" "," ", IFERROR( VLOOKUP($A1615,'SUPPLIER DATA BASE'!$A$2:$H$936,5,0),""))</f>
        <v/>
      </c>
      <c r="F1615" s="72"/>
      <c r="G1615" s="73"/>
      <c r="H1615" s="74"/>
      <c r="I1615" s="75"/>
      <c r="J1615" s="70"/>
      <c r="K1615" s="70"/>
      <c r="L1615" s="73"/>
      <c r="M1615" s="70" t="str">
        <f t="shared" si="3"/>
        <v/>
      </c>
      <c r="N1615" s="70" t="str">
        <f>IF($A$3=" "," ", IFERROR( VLOOKUP($A1615,'SUPPLIER DATA BASE'!$A$2:$O$936,11,0),""))</f>
        <v/>
      </c>
      <c r="O1615" s="70" t="str">
        <f>IF($A$3=" "," ", IFERROR( VLOOKUP($A1615,'SUPPLIER DATA BASE'!$A$2:$O$936,12,0),""))</f>
        <v/>
      </c>
      <c r="P1615" s="70" t="str">
        <f>IF($A$3=" "," ", IFERROR( VLOOKUP($A1615,'SUPPLIER DATA BASE'!$A$2:$O$936,13,0),""))</f>
        <v/>
      </c>
      <c r="Q1615" s="77"/>
      <c r="R1615" s="73"/>
      <c r="S1615" s="77"/>
      <c r="T1615" s="70"/>
      <c r="U1615" s="78"/>
      <c r="V1615" s="70" t="str">
        <f t="shared" si="6"/>
        <v/>
      </c>
      <c r="W1615" s="23"/>
      <c r="X1615" s="23"/>
    </row>
    <row r="1616">
      <c r="A1616" s="70"/>
      <c r="B1616" s="70" t="str">
        <f>IF($A$3=" "," ", IFERROR( VLOOKUP($A1616,'SUPPLIER DATA BASE'!$A$2:$M$936,3,0),""))</f>
        <v/>
      </c>
      <c r="C1616" s="70" t="str">
        <f>IF($A$3=" "," ", IFERROR( VLOOKUP($A1616,'SUPPLIER DATA BASE'!$A$2:$F$936,6,0),""))</f>
        <v/>
      </c>
      <c r="D1616" s="70" t="str">
        <f>IF($A$3=" "," ", IFERROR( VLOOKUP($A1616,'SUPPLIER DATA BASE'!$A$2:$G$936,4,0),""))</f>
        <v/>
      </c>
      <c r="E1616" s="71" t="str">
        <f>IF($A$3=" "," ", IFERROR( VLOOKUP($A1616,'SUPPLIER DATA BASE'!$A$2:$H$936,5,0),""))</f>
        <v/>
      </c>
      <c r="F1616" s="72"/>
      <c r="G1616" s="73"/>
      <c r="H1616" s="74"/>
      <c r="I1616" s="75"/>
      <c r="J1616" s="70"/>
      <c r="K1616" s="70"/>
      <c r="L1616" s="73"/>
      <c r="M1616" s="70" t="str">
        <f t="shared" si="3"/>
        <v/>
      </c>
      <c r="N1616" s="70" t="str">
        <f>IF($A$3=" "," ", IFERROR( VLOOKUP($A1616,'SUPPLIER DATA BASE'!$A$2:$O$936,11,0),""))</f>
        <v/>
      </c>
      <c r="O1616" s="70" t="str">
        <f>IF($A$3=" "," ", IFERROR( VLOOKUP($A1616,'SUPPLIER DATA BASE'!$A$2:$O$936,12,0),""))</f>
        <v/>
      </c>
      <c r="P1616" s="70" t="str">
        <f>IF($A$3=" "," ", IFERROR( VLOOKUP($A1616,'SUPPLIER DATA BASE'!$A$2:$O$936,13,0),""))</f>
        <v/>
      </c>
      <c r="Q1616" s="77"/>
      <c r="R1616" s="73"/>
      <c r="S1616" s="77"/>
      <c r="T1616" s="70"/>
      <c r="U1616" s="78"/>
      <c r="V1616" s="70" t="str">
        <f t="shared" si="6"/>
        <v/>
      </c>
      <c r="W1616" s="23"/>
      <c r="X1616" s="23"/>
    </row>
    <row r="1617">
      <c r="A1617" s="70"/>
      <c r="B1617" s="70" t="str">
        <f>IF($A$3=" "," ", IFERROR( VLOOKUP($A1617,'SUPPLIER DATA BASE'!$A$2:$M$936,3,0),""))</f>
        <v/>
      </c>
      <c r="C1617" s="70" t="str">
        <f>IF($A$3=" "," ", IFERROR( VLOOKUP($A1617,'SUPPLIER DATA BASE'!$A$2:$F$936,6,0),""))</f>
        <v/>
      </c>
      <c r="D1617" s="70" t="str">
        <f>IF($A$3=" "," ", IFERROR( VLOOKUP($A1617,'SUPPLIER DATA BASE'!$A$2:$G$936,4,0),""))</f>
        <v/>
      </c>
      <c r="E1617" s="71" t="str">
        <f>IF($A$3=" "," ", IFERROR( VLOOKUP($A1617,'SUPPLIER DATA BASE'!$A$2:$H$936,5,0),""))</f>
        <v/>
      </c>
      <c r="F1617" s="72"/>
      <c r="G1617" s="73"/>
      <c r="H1617" s="74"/>
      <c r="I1617" s="75"/>
      <c r="J1617" s="70"/>
      <c r="K1617" s="70"/>
      <c r="L1617" s="73"/>
      <c r="M1617" s="70" t="str">
        <f t="shared" si="3"/>
        <v/>
      </c>
      <c r="N1617" s="70" t="str">
        <f>IF($A$3=" "," ", IFERROR( VLOOKUP($A1617,'SUPPLIER DATA BASE'!$A$2:$O$936,11,0),""))</f>
        <v/>
      </c>
      <c r="O1617" s="70" t="str">
        <f>IF($A$3=" "," ", IFERROR( VLOOKUP($A1617,'SUPPLIER DATA BASE'!$A$2:$O$936,12,0),""))</f>
        <v/>
      </c>
      <c r="P1617" s="70" t="str">
        <f>IF($A$3=" "," ", IFERROR( VLOOKUP($A1617,'SUPPLIER DATA BASE'!$A$2:$O$936,13,0),""))</f>
        <v/>
      </c>
      <c r="Q1617" s="77"/>
      <c r="R1617" s="73"/>
      <c r="S1617" s="77"/>
      <c r="T1617" s="70"/>
      <c r="U1617" s="78"/>
      <c r="V1617" s="70" t="str">
        <f t="shared" si="6"/>
        <v/>
      </c>
      <c r="W1617" s="23"/>
      <c r="X1617" s="23"/>
    </row>
    <row r="1618">
      <c r="A1618" s="70"/>
      <c r="B1618" s="70" t="str">
        <f>IF($A$3=" "," ", IFERROR( VLOOKUP($A1618,'SUPPLIER DATA BASE'!$A$2:$M$936,3,0),""))</f>
        <v/>
      </c>
      <c r="C1618" s="70" t="str">
        <f>IF($A$3=" "," ", IFERROR( VLOOKUP($A1618,'SUPPLIER DATA BASE'!$A$2:$F$936,6,0),""))</f>
        <v/>
      </c>
      <c r="D1618" s="70" t="str">
        <f>IF($A$3=" "," ", IFERROR( VLOOKUP($A1618,'SUPPLIER DATA BASE'!$A$2:$G$936,4,0),""))</f>
        <v/>
      </c>
      <c r="E1618" s="71" t="str">
        <f>IF($A$3=" "," ", IFERROR( VLOOKUP($A1618,'SUPPLIER DATA BASE'!$A$2:$H$936,5,0),""))</f>
        <v/>
      </c>
      <c r="F1618" s="72"/>
      <c r="G1618" s="73"/>
      <c r="H1618" s="74"/>
      <c r="I1618" s="75"/>
      <c r="J1618" s="70"/>
      <c r="K1618" s="70"/>
      <c r="L1618" s="73"/>
      <c r="M1618" s="70" t="str">
        <f t="shared" si="3"/>
        <v/>
      </c>
      <c r="N1618" s="70" t="str">
        <f>IF($A$3=" "," ", IFERROR( VLOOKUP($A1618,'SUPPLIER DATA BASE'!$A$2:$O$936,11,0),""))</f>
        <v/>
      </c>
      <c r="O1618" s="70" t="str">
        <f>IF($A$3=" "," ", IFERROR( VLOOKUP($A1618,'SUPPLIER DATA BASE'!$A$2:$O$936,12,0),""))</f>
        <v/>
      </c>
      <c r="P1618" s="70" t="str">
        <f>IF($A$3=" "," ", IFERROR( VLOOKUP($A1618,'SUPPLIER DATA BASE'!$A$2:$O$936,13,0),""))</f>
        <v/>
      </c>
      <c r="Q1618" s="77"/>
      <c r="R1618" s="73"/>
      <c r="S1618" s="77"/>
      <c r="T1618" s="70"/>
      <c r="U1618" s="78"/>
      <c r="V1618" s="70" t="str">
        <f t="shared" si="6"/>
        <v/>
      </c>
      <c r="W1618" s="23"/>
      <c r="X1618" s="23"/>
    </row>
    <row r="1619">
      <c r="A1619" s="70"/>
      <c r="B1619" s="70" t="str">
        <f>IF($A$3=" "," ", IFERROR( VLOOKUP($A1619,'SUPPLIER DATA BASE'!$A$2:$M$936,3,0),""))</f>
        <v/>
      </c>
      <c r="C1619" s="70" t="str">
        <f>IF($A$3=" "," ", IFERROR( VLOOKUP($A1619,'SUPPLIER DATA BASE'!$A$2:$F$936,6,0),""))</f>
        <v/>
      </c>
      <c r="D1619" s="70" t="str">
        <f>IF($A$3=" "," ", IFERROR( VLOOKUP($A1619,'SUPPLIER DATA BASE'!$A$2:$G$936,4,0),""))</f>
        <v/>
      </c>
      <c r="E1619" s="71" t="str">
        <f>IF($A$3=" "," ", IFERROR( VLOOKUP($A1619,'SUPPLIER DATA BASE'!$A$2:$H$936,5,0),""))</f>
        <v/>
      </c>
      <c r="F1619" s="72"/>
      <c r="G1619" s="73"/>
      <c r="H1619" s="74"/>
      <c r="I1619" s="75"/>
      <c r="J1619" s="70"/>
      <c r="K1619" s="70"/>
      <c r="L1619" s="73"/>
      <c r="M1619" s="70" t="str">
        <f t="shared" si="3"/>
        <v/>
      </c>
      <c r="N1619" s="70" t="str">
        <f>IF($A$3=" "," ", IFERROR( VLOOKUP($A1619,'SUPPLIER DATA BASE'!$A$2:$O$936,11,0),""))</f>
        <v/>
      </c>
      <c r="O1619" s="70" t="str">
        <f>IF($A$3=" "," ", IFERROR( VLOOKUP($A1619,'SUPPLIER DATA BASE'!$A$2:$O$936,12,0),""))</f>
        <v/>
      </c>
      <c r="P1619" s="70" t="str">
        <f>IF($A$3=" "," ", IFERROR( VLOOKUP($A1619,'SUPPLIER DATA BASE'!$A$2:$O$936,13,0),""))</f>
        <v/>
      </c>
      <c r="Q1619" s="77"/>
      <c r="R1619" s="73"/>
      <c r="S1619" s="77"/>
      <c r="T1619" s="70"/>
      <c r="U1619" s="78"/>
      <c r="V1619" s="70" t="str">
        <f t="shared" si="6"/>
        <v/>
      </c>
      <c r="W1619" s="23"/>
      <c r="X1619" s="23"/>
    </row>
    <row r="1620">
      <c r="A1620" s="70"/>
      <c r="B1620" s="70" t="str">
        <f>IF($A$3=" "," ", IFERROR( VLOOKUP($A1620,'SUPPLIER DATA BASE'!$A$2:$M$936,3,0),""))</f>
        <v/>
      </c>
      <c r="C1620" s="70" t="str">
        <f>IF($A$3=" "," ", IFERROR( VLOOKUP($A1620,'SUPPLIER DATA BASE'!$A$2:$F$936,6,0),""))</f>
        <v/>
      </c>
      <c r="D1620" s="70" t="str">
        <f>IF($A$3=" "," ", IFERROR( VLOOKUP($A1620,'SUPPLIER DATA BASE'!$A$2:$G$936,4,0),""))</f>
        <v/>
      </c>
      <c r="E1620" s="71" t="str">
        <f>IF($A$3=" "," ", IFERROR( VLOOKUP($A1620,'SUPPLIER DATA BASE'!$A$2:$H$936,5,0),""))</f>
        <v/>
      </c>
      <c r="F1620" s="72"/>
      <c r="G1620" s="73"/>
      <c r="H1620" s="74"/>
      <c r="I1620" s="75"/>
      <c r="J1620" s="70"/>
      <c r="K1620" s="70"/>
      <c r="L1620" s="73"/>
      <c r="M1620" s="70" t="str">
        <f t="shared" si="3"/>
        <v/>
      </c>
      <c r="N1620" s="70" t="str">
        <f>IF($A$3=" "," ", IFERROR( VLOOKUP($A1620,'SUPPLIER DATA BASE'!$A$2:$O$936,11,0),""))</f>
        <v/>
      </c>
      <c r="O1620" s="70" t="str">
        <f>IF($A$3=" "," ", IFERROR( VLOOKUP($A1620,'SUPPLIER DATA BASE'!$A$2:$O$936,12,0),""))</f>
        <v/>
      </c>
      <c r="P1620" s="70" t="str">
        <f>IF($A$3=" "," ", IFERROR( VLOOKUP($A1620,'SUPPLIER DATA BASE'!$A$2:$O$936,13,0),""))</f>
        <v/>
      </c>
      <c r="Q1620" s="77"/>
      <c r="R1620" s="73"/>
      <c r="S1620" s="77"/>
      <c r="T1620" s="70"/>
      <c r="U1620" s="78"/>
      <c r="V1620" s="70" t="str">
        <f t="shared" si="6"/>
        <v/>
      </c>
      <c r="W1620" s="23"/>
      <c r="X1620" s="23"/>
    </row>
    <row r="1621">
      <c r="A1621" s="70"/>
      <c r="B1621" s="70" t="str">
        <f>IF($A$3=" "," ", IFERROR( VLOOKUP($A1621,'SUPPLIER DATA BASE'!$A$2:$M$936,3,0),""))</f>
        <v/>
      </c>
      <c r="C1621" s="70" t="str">
        <f>IF($A$3=" "," ", IFERROR( VLOOKUP($A1621,'SUPPLIER DATA BASE'!$A$2:$F$936,6,0),""))</f>
        <v/>
      </c>
      <c r="D1621" s="70" t="str">
        <f>IF($A$3=" "," ", IFERROR( VLOOKUP($A1621,'SUPPLIER DATA BASE'!$A$2:$G$936,4,0),""))</f>
        <v/>
      </c>
      <c r="E1621" s="71" t="str">
        <f>IF($A$3=" "," ", IFERROR( VLOOKUP($A1621,'SUPPLIER DATA BASE'!$A$2:$H$936,5,0),""))</f>
        <v/>
      </c>
      <c r="F1621" s="72"/>
      <c r="G1621" s="73"/>
      <c r="H1621" s="74"/>
      <c r="I1621" s="75"/>
      <c r="J1621" s="70"/>
      <c r="K1621" s="70"/>
      <c r="L1621" s="73"/>
      <c r="M1621" s="70" t="str">
        <f t="shared" si="3"/>
        <v/>
      </c>
      <c r="N1621" s="70" t="str">
        <f>IF($A$3=" "," ", IFERROR( VLOOKUP($A1621,'SUPPLIER DATA BASE'!$A$2:$O$936,11,0),""))</f>
        <v/>
      </c>
      <c r="O1621" s="70" t="str">
        <f>IF($A$3=" "," ", IFERROR( VLOOKUP($A1621,'SUPPLIER DATA BASE'!$A$2:$O$936,12,0),""))</f>
        <v/>
      </c>
      <c r="P1621" s="70" t="str">
        <f>IF($A$3=" "," ", IFERROR( VLOOKUP($A1621,'SUPPLIER DATA BASE'!$A$2:$O$936,13,0),""))</f>
        <v/>
      </c>
      <c r="Q1621" s="77"/>
      <c r="R1621" s="73"/>
      <c r="S1621" s="77"/>
      <c r="T1621" s="70"/>
      <c r="U1621" s="78"/>
      <c r="V1621" s="70" t="str">
        <f t="shared" si="6"/>
        <v/>
      </c>
      <c r="W1621" s="23"/>
      <c r="X1621" s="23"/>
    </row>
    <row r="1622">
      <c r="A1622" s="70"/>
      <c r="B1622" s="70" t="str">
        <f>IF($A$3=" "," ", IFERROR( VLOOKUP($A1622,'SUPPLIER DATA BASE'!$A$2:$M$936,3,0),""))</f>
        <v/>
      </c>
      <c r="C1622" s="70" t="str">
        <f>IF($A$3=" "," ", IFERROR( VLOOKUP($A1622,'SUPPLIER DATA BASE'!$A$2:$F$936,6,0),""))</f>
        <v/>
      </c>
      <c r="D1622" s="70" t="str">
        <f>IF($A$3=" "," ", IFERROR( VLOOKUP($A1622,'SUPPLIER DATA BASE'!$A$2:$G$936,4,0),""))</f>
        <v/>
      </c>
      <c r="E1622" s="71" t="str">
        <f>IF($A$3=" "," ", IFERROR( VLOOKUP($A1622,'SUPPLIER DATA BASE'!$A$2:$H$936,5,0),""))</f>
        <v/>
      </c>
      <c r="F1622" s="72"/>
      <c r="G1622" s="73"/>
      <c r="H1622" s="74"/>
      <c r="I1622" s="75"/>
      <c r="J1622" s="70"/>
      <c r="K1622" s="70"/>
      <c r="L1622" s="73"/>
      <c r="M1622" s="70" t="str">
        <f t="shared" si="3"/>
        <v/>
      </c>
      <c r="N1622" s="70" t="str">
        <f>IF($A$3=" "," ", IFERROR( VLOOKUP($A1622,'SUPPLIER DATA BASE'!$A$2:$O$936,11,0),""))</f>
        <v/>
      </c>
      <c r="O1622" s="70" t="str">
        <f>IF($A$3=" "," ", IFERROR( VLOOKUP($A1622,'SUPPLIER DATA BASE'!$A$2:$O$936,12,0),""))</f>
        <v/>
      </c>
      <c r="P1622" s="70" t="str">
        <f>IF($A$3=" "," ", IFERROR( VLOOKUP($A1622,'SUPPLIER DATA BASE'!$A$2:$O$936,13,0),""))</f>
        <v/>
      </c>
      <c r="Q1622" s="77"/>
      <c r="R1622" s="73"/>
      <c r="S1622" s="77"/>
      <c r="T1622" s="70"/>
      <c r="U1622" s="78"/>
      <c r="V1622" s="70" t="str">
        <f t="shared" si="6"/>
        <v/>
      </c>
      <c r="W1622" s="23"/>
      <c r="X1622" s="23"/>
    </row>
    <row r="1623">
      <c r="A1623" s="70"/>
      <c r="B1623" s="70" t="str">
        <f>IF($A$3=" "," ", IFERROR( VLOOKUP($A1623,'SUPPLIER DATA BASE'!$A$2:$M$936,3,0),""))</f>
        <v/>
      </c>
      <c r="C1623" s="70" t="str">
        <f>IF($A$3=" "," ", IFERROR( VLOOKUP($A1623,'SUPPLIER DATA BASE'!$A$2:$F$936,6,0),""))</f>
        <v/>
      </c>
      <c r="D1623" s="70" t="str">
        <f>IF($A$3=" "," ", IFERROR( VLOOKUP($A1623,'SUPPLIER DATA BASE'!$A$2:$G$936,4,0),""))</f>
        <v/>
      </c>
      <c r="E1623" s="71" t="str">
        <f>IF($A$3=" "," ", IFERROR( VLOOKUP($A1623,'SUPPLIER DATA BASE'!$A$2:$H$936,5,0),""))</f>
        <v/>
      </c>
      <c r="F1623" s="72"/>
      <c r="G1623" s="73"/>
      <c r="H1623" s="74"/>
      <c r="I1623" s="75"/>
      <c r="J1623" s="70"/>
      <c r="K1623" s="70"/>
      <c r="L1623" s="73"/>
      <c r="M1623" s="70" t="str">
        <f t="shared" si="3"/>
        <v/>
      </c>
      <c r="N1623" s="70" t="str">
        <f>IF($A$3=" "," ", IFERROR( VLOOKUP($A1623,'SUPPLIER DATA BASE'!$A$2:$O$936,11,0),""))</f>
        <v/>
      </c>
      <c r="O1623" s="70" t="str">
        <f>IF($A$3=" "," ", IFERROR( VLOOKUP($A1623,'SUPPLIER DATA BASE'!$A$2:$O$936,12,0),""))</f>
        <v/>
      </c>
      <c r="P1623" s="70" t="str">
        <f>IF($A$3=" "," ", IFERROR( VLOOKUP($A1623,'SUPPLIER DATA BASE'!$A$2:$O$936,13,0),""))</f>
        <v/>
      </c>
      <c r="Q1623" s="77"/>
      <c r="R1623" s="73"/>
      <c r="S1623" s="77"/>
      <c r="T1623" s="70"/>
      <c r="U1623" s="78"/>
      <c r="V1623" s="70" t="str">
        <f t="shared" si="6"/>
        <v/>
      </c>
      <c r="W1623" s="23"/>
      <c r="X1623" s="23"/>
    </row>
    <row r="1624">
      <c r="A1624" s="70"/>
      <c r="B1624" s="70" t="str">
        <f>IF($A$3=" "," ", IFERROR( VLOOKUP($A1624,'SUPPLIER DATA BASE'!$A$2:$M$936,3,0),""))</f>
        <v/>
      </c>
      <c r="C1624" s="70" t="str">
        <f>IF($A$3=" "," ", IFERROR( VLOOKUP($A1624,'SUPPLIER DATA BASE'!$A$2:$F$936,6,0),""))</f>
        <v/>
      </c>
      <c r="D1624" s="70" t="str">
        <f>IF($A$3=" "," ", IFERROR( VLOOKUP($A1624,'SUPPLIER DATA BASE'!$A$2:$G$936,4,0),""))</f>
        <v/>
      </c>
      <c r="E1624" s="71" t="str">
        <f>IF($A$3=" "," ", IFERROR( VLOOKUP($A1624,'SUPPLIER DATA BASE'!$A$2:$H$936,5,0),""))</f>
        <v/>
      </c>
      <c r="F1624" s="72"/>
      <c r="G1624" s="73"/>
      <c r="H1624" s="74"/>
      <c r="I1624" s="75"/>
      <c r="J1624" s="70"/>
      <c r="K1624" s="70"/>
      <c r="L1624" s="73"/>
      <c r="M1624" s="70" t="str">
        <f t="shared" si="3"/>
        <v/>
      </c>
      <c r="N1624" s="70" t="str">
        <f>IF($A$3=" "," ", IFERROR( VLOOKUP($A1624,'SUPPLIER DATA BASE'!$A$2:$O$936,11,0),""))</f>
        <v/>
      </c>
      <c r="O1624" s="70" t="str">
        <f>IF($A$3=" "," ", IFERROR( VLOOKUP($A1624,'SUPPLIER DATA BASE'!$A$2:$O$936,12,0),""))</f>
        <v/>
      </c>
      <c r="P1624" s="70" t="str">
        <f>IF($A$3=" "," ", IFERROR( VLOOKUP($A1624,'SUPPLIER DATA BASE'!$A$2:$O$936,13,0),""))</f>
        <v/>
      </c>
      <c r="Q1624" s="77"/>
      <c r="R1624" s="73"/>
      <c r="S1624" s="77"/>
      <c r="T1624" s="70"/>
      <c r="U1624" s="78"/>
      <c r="V1624" s="70" t="str">
        <f t="shared" si="6"/>
        <v/>
      </c>
      <c r="W1624" s="23"/>
      <c r="X1624" s="23"/>
    </row>
    <row r="1625">
      <c r="A1625" s="70"/>
      <c r="B1625" s="70" t="str">
        <f>IF($A$3=" "," ", IFERROR( VLOOKUP($A1625,'SUPPLIER DATA BASE'!$A$2:$M$936,3,0),""))</f>
        <v/>
      </c>
      <c r="C1625" s="70" t="str">
        <f>IF($A$3=" "," ", IFERROR( VLOOKUP($A1625,'SUPPLIER DATA BASE'!$A$2:$F$936,6,0),""))</f>
        <v/>
      </c>
      <c r="D1625" s="70" t="str">
        <f>IF($A$3=" "," ", IFERROR( VLOOKUP($A1625,'SUPPLIER DATA BASE'!$A$2:$G$936,4,0),""))</f>
        <v/>
      </c>
      <c r="E1625" s="71" t="str">
        <f>IF($A$3=" "," ", IFERROR( VLOOKUP($A1625,'SUPPLIER DATA BASE'!$A$2:$H$936,5,0),""))</f>
        <v/>
      </c>
      <c r="F1625" s="72"/>
      <c r="G1625" s="73"/>
      <c r="H1625" s="74"/>
      <c r="I1625" s="75"/>
      <c r="J1625" s="70"/>
      <c r="K1625" s="70"/>
      <c r="L1625" s="73"/>
      <c r="M1625" s="70" t="str">
        <f t="shared" si="3"/>
        <v/>
      </c>
      <c r="N1625" s="70" t="str">
        <f>IF($A$3=" "," ", IFERROR( VLOOKUP($A1625,'SUPPLIER DATA BASE'!$A$2:$O$936,11,0),""))</f>
        <v/>
      </c>
      <c r="O1625" s="70" t="str">
        <f>IF($A$3=" "," ", IFERROR( VLOOKUP($A1625,'SUPPLIER DATA BASE'!$A$2:$O$936,12,0),""))</f>
        <v/>
      </c>
      <c r="P1625" s="70" t="str">
        <f>IF($A$3=" "," ", IFERROR( VLOOKUP($A1625,'SUPPLIER DATA BASE'!$A$2:$O$936,13,0),""))</f>
        <v/>
      </c>
      <c r="Q1625" s="77"/>
      <c r="R1625" s="73"/>
      <c r="S1625" s="77"/>
      <c r="T1625" s="70"/>
      <c r="U1625" s="78"/>
      <c r="V1625" s="70" t="str">
        <f t="shared" si="6"/>
        <v/>
      </c>
      <c r="W1625" s="23"/>
      <c r="X1625" s="23"/>
    </row>
    <row r="1626">
      <c r="A1626" s="70"/>
      <c r="B1626" s="70" t="str">
        <f>IF($A$3=" "," ", IFERROR( VLOOKUP($A1626,'SUPPLIER DATA BASE'!$A$2:$M$936,3,0),""))</f>
        <v/>
      </c>
      <c r="C1626" s="70" t="str">
        <f>IF($A$3=" "," ", IFERROR( VLOOKUP($A1626,'SUPPLIER DATA BASE'!$A$2:$F$936,6,0),""))</f>
        <v/>
      </c>
      <c r="D1626" s="70" t="str">
        <f>IF($A$3=" "," ", IFERROR( VLOOKUP($A1626,'SUPPLIER DATA BASE'!$A$2:$G$936,4,0),""))</f>
        <v/>
      </c>
      <c r="E1626" s="71" t="str">
        <f>IF($A$3=" "," ", IFERROR( VLOOKUP($A1626,'SUPPLIER DATA BASE'!$A$2:$H$936,5,0),""))</f>
        <v/>
      </c>
      <c r="F1626" s="72"/>
      <c r="G1626" s="73"/>
      <c r="H1626" s="74"/>
      <c r="I1626" s="75"/>
      <c r="J1626" s="70"/>
      <c r="K1626" s="70"/>
      <c r="L1626" s="73"/>
      <c r="M1626" s="70" t="str">
        <f t="shared" si="3"/>
        <v/>
      </c>
      <c r="N1626" s="70" t="str">
        <f>IF($A$3=" "," ", IFERROR( VLOOKUP($A1626,'SUPPLIER DATA BASE'!$A$2:$O$936,11,0),""))</f>
        <v/>
      </c>
      <c r="O1626" s="70" t="str">
        <f>IF($A$3=" "," ", IFERROR( VLOOKUP($A1626,'SUPPLIER DATA BASE'!$A$2:$O$936,12,0),""))</f>
        <v/>
      </c>
      <c r="P1626" s="70" t="str">
        <f>IF($A$3=" "," ", IFERROR( VLOOKUP($A1626,'SUPPLIER DATA BASE'!$A$2:$O$936,13,0),""))</f>
        <v/>
      </c>
      <c r="Q1626" s="77"/>
      <c r="R1626" s="73"/>
      <c r="S1626" s="77"/>
      <c r="T1626" s="70"/>
      <c r="U1626" s="78"/>
      <c r="V1626" s="70" t="str">
        <f t="shared" si="6"/>
        <v/>
      </c>
      <c r="W1626" s="23"/>
      <c r="X1626" s="23"/>
    </row>
    <row r="1627">
      <c r="A1627" s="70"/>
      <c r="B1627" s="70" t="str">
        <f>IF($A$3=" "," ", IFERROR( VLOOKUP($A1627,'SUPPLIER DATA BASE'!$A$2:$M$936,3,0),""))</f>
        <v/>
      </c>
      <c r="C1627" s="70" t="str">
        <f>IF($A$3=" "," ", IFERROR( VLOOKUP($A1627,'SUPPLIER DATA BASE'!$A$2:$F$936,6,0),""))</f>
        <v/>
      </c>
      <c r="D1627" s="70" t="str">
        <f>IF($A$3=" "," ", IFERROR( VLOOKUP($A1627,'SUPPLIER DATA BASE'!$A$2:$G$936,4,0),""))</f>
        <v/>
      </c>
      <c r="E1627" s="71" t="str">
        <f>IF($A$3=" "," ", IFERROR( VLOOKUP($A1627,'SUPPLIER DATA BASE'!$A$2:$H$936,5,0),""))</f>
        <v/>
      </c>
      <c r="F1627" s="72"/>
      <c r="G1627" s="73"/>
      <c r="H1627" s="74"/>
      <c r="I1627" s="75"/>
      <c r="J1627" s="70"/>
      <c r="K1627" s="70"/>
      <c r="L1627" s="73"/>
      <c r="M1627" s="70" t="str">
        <f t="shared" si="3"/>
        <v/>
      </c>
      <c r="N1627" s="70" t="str">
        <f>IF($A$3=" "," ", IFERROR( VLOOKUP($A1627,'SUPPLIER DATA BASE'!$A$2:$O$936,11,0),""))</f>
        <v/>
      </c>
      <c r="O1627" s="70" t="str">
        <f>IF($A$3=" "," ", IFERROR( VLOOKUP($A1627,'SUPPLIER DATA BASE'!$A$2:$O$936,12,0),""))</f>
        <v/>
      </c>
      <c r="P1627" s="70" t="str">
        <f>IF($A$3=" "," ", IFERROR( VLOOKUP($A1627,'SUPPLIER DATA BASE'!$A$2:$O$936,13,0),""))</f>
        <v/>
      </c>
      <c r="Q1627" s="77"/>
      <c r="R1627" s="73"/>
      <c r="S1627" s="77"/>
      <c r="T1627" s="70"/>
      <c r="U1627" s="78"/>
      <c r="V1627" s="70" t="str">
        <f t="shared" si="6"/>
        <v/>
      </c>
      <c r="W1627" s="23"/>
      <c r="X1627" s="23"/>
    </row>
    <row r="1628">
      <c r="A1628" s="70"/>
      <c r="B1628" s="70" t="str">
        <f>IF($A$3=" "," ", IFERROR( VLOOKUP($A1628,'SUPPLIER DATA BASE'!$A$2:$M$936,3,0),""))</f>
        <v/>
      </c>
      <c r="C1628" s="70" t="str">
        <f>IF($A$3=" "," ", IFERROR( VLOOKUP($A1628,'SUPPLIER DATA BASE'!$A$2:$F$936,6,0),""))</f>
        <v/>
      </c>
      <c r="D1628" s="70" t="str">
        <f>IF($A$3=" "," ", IFERROR( VLOOKUP($A1628,'SUPPLIER DATA BASE'!$A$2:$G$936,4,0),""))</f>
        <v/>
      </c>
      <c r="E1628" s="71" t="str">
        <f>IF($A$3=" "," ", IFERROR( VLOOKUP($A1628,'SUPPLIER DATA BASE'!$A$2:$H$936,5,0),""))</f>
        <v/>
      </c>
      <c r="F1628" s="72"/>
      <c r="G1628" s="73"/>
      <c r="H1628" s="74"/>
      <c r="I1628" s="75"/>
      <c r="J1628" s="70"/>
      <c r="K1628" s="70"/>
      <c r="L1628" s="73"/>
      <c r="M1628" s="70" t="str">
        <f t="shared" si="3"/>
        <v/>
      </c>
      <c r="N1628" s="70" t="str">
        <f>IF($A$3=" "," ", IFERROR( VLOOKUP($A1628,'SUPPLIER DATA BASE'!$A$2:$O$936,11,0),""))</f>
        <v/>
      </c>
      <c r="O1628" s="70" t="str">
        <f>IF($A$3=" "," ", IFERROR( VLOOKUP($A1628,'SUPPLIER DATA BASE'!$A$2:$O$936,12,0),""))</f>
        <v/>
      </c>
      <c r="P1628" s="70" t="str">
        <f>IF($A$3=" "," ", IFERROR( VLOOKUP($A1628,'SUPPLIER DATA BASE'!$A$2:$O$936,13,0),""))</f>
        <v/>
      </c>
      <c r="Q1628" s="77"/>
      <c r="R1628" s="73"/>
      <c r="S1628" s="77"/>
      <c r="T1628" s="70"/>
      <c r="U1628" s="78"/>
      <c r="V1628" s="70" t="str">
        <f t="shared" si="6"/>
        <v/>
      </c>
      <c r="W1628" s="23"/>
      <c r="X1628" s="23"/>
    </row>
    <row r="1629">
      <c r="A1629" s="70"/>
      <c r="B1629" s="70" t="str">
        <f>IF($A$3=" "," ", IFERROR( VLOOKUP($A1629,'SUPPLIER DATA BASE'!$A$2:$M$936,3,0),""))</f>
        <v/>
      </c>
      <c r="C1629" s="70" t="str">
        <f>IF($A$3=" "," ", IFERROR( VLOOKUP($A1629,'SUPPLIER DATA BASE'!$A$2:$F$936,6,0),""))</f>
        <v/>
      </c>
      <c r="D1629" s="70" t="str">
        <f>IF($A$3=" "," ", IFERROR( VLOOKUP($A1629,'SUPPLIER DATA BASE'!$A$2:$G$936,4,0),""))</f>
        <v/>
      </c>
      <c r="E1629" s="71" t="str">
        <f>IF($A$3=" "," ", IFERROR( VLOOKUP($A1629,'SUPPLIER DATA BASE'!$A$2:$H$936,5,0),""))</f>
        <v/>
      </c>
      <c r="F1629" s="72"/>
      <c r="G1629" s="73"/>
      <c r="H1629" s="74"/>
      <c r="I1629" s="75"/>
      <c r="J1629" s="70"/>
      <c r="K1629" s="70"/>
      <c r="L1629" s="73"/>
      <c r="M1629" s="70" t="str">
        <f t="shared" si="3"/>
        <v/>
      </c>
      <c r="N1629" s="70" t="str">
        <f>IF($A$3=" "," ", IFERROR( VLOOKUP($A1629,'SUPPLIER DATA BASE'!$A$2:$O$936,11,0),""))</f>
        <v/>
      </c>
      <c r="O1629" s="70" t="str">
        <f>IF($A$3=" "," ", IFERROR( VLOOKUP($A1629,'SUPPLIER DATA BASE'!$A$2:$O$936,12,0),""))</f>
        <v/>
      </c>
      <c r="P1629" s="70" t="str">
        <f>IF($A$3=" "," ", IFERROR( VLOOKUP($A1629,'SUPPLIER DATA BASE'!$A$2:$O$936,13,0),""))</f>
        <v/>
      </c>
      <c r="Q1629" s="77"/>
      <c r="R1629" s="73"/>
      <c r="S1629" s="77"/>
      <c r="T1629" s="70"/>
      <c r="U1629" s="78"/>
      <c r="V1629" s="70" t="str">
        <f t="shared" si="6"/>
        <v/>
      </c>
      <c r="W1629" s="23"/>
      <c r="X1629" s="23"/>
    </row>
    <row r="1630">
      <c r="A1630" s="70"/>
      <c r="B1630" s="70" t="str">
        <f>IF($A$3=" "," ", IFERROR( VLOOKUP($A1630,'SUPPLIER DATA BASE'!$A$2:$M$936,3,0),""))</f>
        <v/>
      </c>
      <c r="C1630" s="70" t="str">
        <f>IF($A$3=" "," ", IFERROR( VLOOKUP($A1630,'SUPPLIER DATA BASE'!$A$2:$F$936,6,0),""))</f>
        <v/>
      </c>
      <c r="D1630" s="70" t="str">
        <f>IF($A$3=" "," ", IFERROR( VLOOKUP($A1630,'SUPPLIER DATA BASE'!$A$2:$G$936,4,0),""))</f>
        <v/>
      </c>
      <c r="E1630" s="71" t="str">
        <f>IF($A$3=" "," ", IFERROR( VLOOKUP($A1630,'SUPPLIER DATA BASE'!$A$2:$H$936,5,0),""))</f>
        <v/>
      </c>
      <c r="F1630" s="72"/>
      <c r="G1630" s="73"/>
      <c r="H1630" s="74"/>
      <c r="I1630" s="75"/>
      <c r="J1630" s="70"/>
      <c r="K1630" s="70"/>
      <c r="L1630" s="73"/>
      <c r="M1630" s="70" t="str">
        <f t="shared" si="3"/>
        <v/>
      </c>
      <c r="N1630" s="70" t="str">
        <f>IF($A$3=" "," ", IFERROR( VLOOKUP($A1630,'SUPPLIER DATA BASE'!$A$2:$O$936,11,0),""))</f>
        <v/>
      </c>
      <c r="O1630" s="70" t="str">
        <f>IF($A$3=" "," ", IFERROR( VLOOKUP($A1630,'SUPPLIER DATA BASE'!$A$2:$O$936,12,0),""))</f>
        <v/>
      </c>
      <c r="P1630" s="70" t="str">
        <f>IF($A$3=" "," ", IFERROR( VLOOKUP($A1630,'SUPPLIER DATA BASE'!$A$2:$O$936,13,0),""))</f>
        <v/>
      </c>
      <c r="Q1630" s="77"/>
      <c r="R1630" s="73"/>
      <c r="S1630" s="77"/>
      <c r="T1630" s="70"/>
      <c r="U1630" s="78"/>
      <c r="V1630" s="70" t="str">
        <f t="shared" si="6"/>
        <v/>
      </c>
      <c r="W1630" s="23"/>
      <c r="X1630" s="23"/>
    </row>
    <row r="1631">
      <c r="A1631" s="70"/>
      <c r="B1631" s="70" t="str">
        <f>IF($A$3=" "," ", IFERROR( VLOOKUP($A1631,'SUPPLIER DATA BASE'!$A$2:$M$936,3,0),""))</f>
        <v/>
      </c>
      <c r="C1631" s="70" t="str">
        <f>IF($A$3=" "," ", IFERROR( VLOOKUP($A1631,'SUPPLIER DATA BASE'!$A$2:$F$936,6,0),""))</f>
        <v/>
      </c>
      <c r="D1631" s="70" t="str">
        <f>IF($A$3=" "," ", IFERROR( VLOOKUP($A1631,'SUPPLIER DATA BASE'!$A$2:$G$936,4,0),""))</f>
        <v/>
      </c>
      <c r="E1631" s="71" t="str">
        <f>IF($A$3=" "," ", IFERROR( VLOOKUP($A1631,'SUPPLIER DATA BASE'!$A$2:$H$936,5,0),""))</f>
        <v/>
      </c>
      <c r="F1631" s="72"/>
      <c r="G1631" s="73"/>
      <c r="H1631" s="74"/>
      <c r="I1631" s="75"/>
      <c r="J1631" s="70"/>
      <c r="K1631" s="70"/>
      <c r="L1631" s="73"/>
      <c r="M1631" s="70" t="str">
        <f t="shared" si="3"/>
        <v/>
      </c>
      <c r="N1631" s="70" t="str">
        <f>IF($A$3=" "," ", IFERROR( VLOOKUP($A1631,'SUPPLIER DATA BASE'!$A$2:$O$936,11,0),""))</f>
        <v/>
      </c>
      <c r="O1631" s="70" t="str">
        <f>IF($A$3=" "," ", IFERROR( VLOOKUP($A1631,'SUPPLIER DATA BASE'!$A$2:$O$936,12,0),""))</f>
        <v/>
      </c>
      <c r="P1631" s="70" t="str">
        <f>IF($A$3=" "," ", IFERROR( VLOOKUP($A1631,'SUPPLIER DATA BASE'!$A$2:$O$936,13,0),""))</f>
        <v/>
      </c>
      <c r="Q1631" s="77"/>
      <c r="R1631" s="73"/>
      <c r="S1631" s="77"/>
      <c r="T1631" s="70"/>
      <c r="U1631" s="78"/>
      <c r="V1631" s="70" t="str">
        <f t="shared" si="6"/>
        <v/>
      </c>
      <c r="W1631" s="23"/>
      <c r="X1631" s="23"/>
    </row>
    <row r="1632">
      <c r="A1632" s="70"/>
      <c r="B1632" s="70" t="str">
        <f>IF($A$3=" "," ", IFERROR( VLOOKUP($A1632,'SUPPLIER DATA BASE'!$A$2:$M$936,3,0),""))</f>
        <v/>
      </c>
      <c r="C1632" s="70" t="str">
        <f>IF($A$3=" "," ", IFERROR( VLOOKUP($A1632,'SUPPLIER DATA BASE'!$A$2:$F$936,6,0),""))</f>
        <v/>
      </c>
      <c r="D1632" s="70" t="str">
        <f>IF($A$3=" "," ", IFERROR( VLOOKUP($A1632,'SUPPLIER DATA BASE'!$A$2:$G$936,4,0),""))</f>
        <v/>
      </c>
      <c r="E1632" s="71" t="str">
        <f>IF($A$3=" "," ", IFERROR( VLOOKUP($A1632,'SUPPLIER DATA BASE'!$A$2:$H$936,5,0),""))</f>
        <v/>
      </c>
      <c r="F1632" s="72"/>
      <c r="G1632" s="73"/>
      <c r="H1632" s="74"/>
      <c r="I1632" s="75"/>
      <c r="J1632" s="70"/>
      <c r="K1632" s="70"/>
      <c r="L1632" s="73"/>
      <c r="M1632" s="70" t="str">
        <f t="shared" si="3"/>
        <v/>
      </c>
      <c r="N1632" s="70" t="str">
        <f>IF($A$3=" "," ", IFERROR( VLOOKUP($A1632,'SUPPLIER DATA BASE'!$A$2:$O$936,11,0),""))</f>
        <v/>
      </c>
      <c r="O1632" s="70" t="str">
        <f>IF($A$3=" "," ", IFERROR( VLOOKUP($A1632,'SUPPLIER DATA BASE'!$A$2:$O$936,12,0),""))</f>
        <v/>
      </c>
      <c r="P1632" s="70" t="str">
        <f>IF($A$3=" "," ", IFERROR( VLOOKUP($A1632,'SUPPLIER DATA BASE'!$A$2:$O$936,13,0),""))</f>
        <v/>
      </c>
      <c r="Q1632" s="77"/>
      <c r="R1632" s="73"/>
      <c r="S1632" s="77"/>
      <c r="T1632" s="70"/>
      <c r="U1632" s="78"/>
      <c r="V1632" s="70" t="str">
        <f t="shared" si="6"/>
        <v/>
      </c>
      <c r="W1632" s="23"/>
      <c r="X1632" s="23"/>
    </row>
    <row r="1633">
      <c r="A1633" s="70"/>
      <c r="B1633" s="70" t="str">
        <f>IF($A$3=" "," ", IFERROR( VLOOKUP($A1633,'SUPPLIER DATA BASE'!$A$2:$M$936,3,0),""))</f>
        <v/>
      </c>
      <c r="C1633" s="70" t="str">
        <f>IF($A$3=" "," ", IFERROR( VLOOKUP($A1633,'SUPPLIER DATA BASE'!$A$2:$F$936,6,0),""))</f>
        <v/>
      </c>
      <c r="D1633" s="70" t="str">
        <f>IF($A$3=" "," ", IFERROR( VLOOKUP($A1633,'SUPPLIER DATA BASE'!$A$2:$G$936,4,0),""))</f>
        <v/>
      </c>
      <c r="E1633" s="71" t="str">
        <f>IF($A$3=" "," ", IFERROR( VLOOKUP($A1633,'SUPPLIER DATA BASE'!$A$2:$H$936,5,0),""))</f>
        <v/>
      </c>
      <c r="F1633" s="72"/>
      <c r="G1633" s="73"/>
      <c r="H1633" s="74"/>
      <c r="I1633" s="75"/>
      <c r="J1633" s="70"/>
      <c r="K1633" s="70"/>
      <c r="L1633" s="73"/>
      <c r="M1633" s="70" t="str">
        <f t="shared" si="3"/>
        <v/>
      </c>
      <c r="N1633" s="70" t="str">
        <f>IF($A$3=" "," ", IFERROR( VLOOKUP($A1633,'SUPPLIER DATA BASE'!$A$2:$O$936,11,0),""))</f>
        <v/>
      </c>
      <c r="O1633" s="70" t="str">
        <f>IF($A$3=" "," ", IFERROR( VLOOKUP($A1633,'SUPPLIER DATA BASE'!$A$2:$O$936,12,0),""))</f>
        <v/>
      </c>
      <c r="P1633" s="70" t="str">
        <f>IF($A$3=" "," ", IFERROR( VLOOKUP($A1633,'SUPPLIER DATA BASE'!$A$2:$O$936,13,0),""))</f>
        <v/>
      </c>
      <c r="Q1633" s="77"/>
      <c r="R1633" s="73"/>
      <c r="S1633" s="77"/>
      <c r="T1633" s="70"/>
      <c r="U1633" s="78"/>
      <c r="V1633" s="70" t="str">
        <f t="shared" si="6"/>
        <v/>
      </c>
      <c r="W1633" s="23"/>
      <c r="X1633" s="23"/>
    </row>
    <row r="1634">
      <c r="A1634" s="70"/>
      <c r="B1634" s="70" t="str">
        <f>IF($A$3=" "," ", IFERROR( VLOOKUP($A1634,'SUPPLIER DATA BASE'!$A$2:$M$936,3,0),""))</f>
        <v/>
      </c>
      <c r="C1634" s="70" t="str">
        <f>IF($A$3=" "," ", IFERROR( VLOOKUP($A1634,'SUPPLIER DATA BASE'!$A$2:$F$936,6,0),""))</f>
        <v/>
      </c>
      <c r="D1634" s="70" t="str">
        <f>IF($A$3=" "," ", IFERROR( VLOOKUP($A1634,'SUPPLIER DATA BASE'!$A$2:$G$936,4,0),""))</f>
        <v/>
      </c>
      <c r="E1634" s="71" t="str">
        <f>IF($A$3=" "," ", IFERROR( VLOOKUP($A1634,'SUPPLIER DATA BASE'!$A$2:$H$936,5,0),""))</f>
        <v/>
      </c>
      <c r="F1634" s="72"/>
      <c r="G1634" s="73"/>
      <c r="H1634" s="74"/>
      <c r="I1634" s="75"/>
      <c r="J1634" s="70"/>
      <c r="K1634" s="70"/>
      <c r="L1634" s="73"/>
      <c r="M1634" s="70" t="str">
        <f t="shared" si="3"/>
        <v/>
      </c>
      <c r="N1634" s="70" t="str">
        <f>IF($A$3=" "," ", IFERROR( VLOOKUP($A1634,'SUPPLIER DATA BASE'!$A$2:$O$936,11,0),""))</f>
        <v/>
      </c>
      <c r="O1634" s="70" t="str">
        <f>IF($A$3=" "," ", IFERROR( VLOOKUP($A1634,'SUPPLIER DATA BASE'!$A$2:$O$936,12,0),""))</f>
        <v/>
      </c>
      <c r="P1634" s="70" t="str">
        <f>IF($A$3=" "," ", IFERROR( VLOOKUP($A1634,'SUPPLIER DATA BASE'!$A$2:$O$936,13,0),""))</f>
        <v/>
      </c>
      <c r="Q1634" s="77"/>
      <c r="R1634" s="73"/>
      <c r="S1634" s="77"/>
      <c r="T1634" s="70"/>
      <c r="U1634" s="78"/>
      <c r="V1634" s="70" t="str">
        <f t="shared" si="6"/>
        <v/>
      </c>
      <c r="W1634" s="23"/>
      <c r="X1634" s="23"/>
    </row>
    <row r="1635">
      <c r="A1635" s="70"/>
      <c r="B1635" s="70" t="str">
        <f>IF($A$3=" "," ", IFERROR( VLOOKUP($A1635,'SUPPLIER DATA BASE'!$A$2:$M$936,3,0),""))</f>
        <v/>
      </c>
      <c r="C1635" s="70" t="str">
        <f>IF($A$3=" "," ", IFERROR( VLOOKUP($A1635,'SUPPLIER DATA BASE'!$A$2:$F$936,6,0),""))</f>
        <v/>
      </c>
      <c r="D1635" s="70" t="str">
        <f>IF($A$3=" "," ", IFERROR( VLOOKUP($A1635,'SUPPLIER DATA BASE'!$A$2:$G$936,4,0),""))</f>
        <v/>
      </c>
      <c r="E1635" s="71" t="str">
        <f>IF($A$3=" "," ", IFERROR( VLOOKUP($A1635,'SUPPLIER DATA BASE'!$A$2:$H$936,5,0),""))</f>
        <v/>
      </c>
      <c r="F1635" s="72"/>
      <c r="G1635" s="73"/>
      <c r="H1635" s="74"/>
      <c r="I1635" s="75"/>
      <c r="J1635" s="70"/>
      <c r="K1635" s="70"/>
      <c r="L1635" s="73"/>
      <c r="M1635" s="70" t="str">
        <f t="shared" si="3"/>
        <v/>
      </c>
      <c r="N1635" s="70" t="str">
        <f>IF($A$3=" "," ", IFERROR( VLOOKUP($A1635,'SUPPLIER DATA BASE'!$A$2:$O$936,11,0),""))</f>
        <v/>
      </c>
      <c r="O1635" s="70" t="str">
        <f>IF($A$3=" "," ", IFERROR( VLOOKUP($A1635,'SUPPLIER DATA BASE'!$A$2:$O$936,12,0),""))</f>
        <v/>
      </c>
      <c r="P1635" s="70" t="str">
        <f>IF($A$3=" "," ", IFERROR( VLOOKUP($A1635,'SUPPLIER DATA BASE'!$A$2:$O$936,13,0),""))</f>
        <v/>
      </c>
      <c r="Q1635" s="77"/>
      <c r="R1635" s="73"/>
      <c r="S1635" s="77"/>
      <c r="T1635" s="70"/>
      <c r="U1635" s="78"/>
      <c r="V1635" s="70" t="str">
        <f t="shared" si="6"/>
        <v/>
      </c>
      <c r="W1635" s="23"/>
      <c r="X1635" s="23"/>
    </row>
    <row r="1636">
      <c r="A1636" s="70"/>
      <c r="B1636" s="70" t="str">
        <f>IF($A$3=" "," ", IFERROR( VLOOKUP($A1636,'SUPPLIER DATA BASE'!$A$2:$M$936,3,0),""))</f>
        <v/>
      </c>
      <c r="C1636" s="70" t="str">
        <f>IF($A$3=" "," ", IFERROR( VLOOKUP($A1636,'SUPPLIER DATA BASE'!$A$2:$F$936,6,0),""))</f>
        <v/>
      </c>
      <c r="D1636" s="70" t="str">
        <f>IF($A$3=" "," ", IFERROR( VLOOKUP($A1636,'SUPPLIER DATA BASE'!$A$2:$G$936,4,0),""))</f>
        <v/>
      </c>
      <c r="E1636" s="71" t="str">
        <f>IF($A$3=" "," ", IFERROR( VLOOKUP($A1636,'SUPPLIER DATA BASE'!$A$2:$H$936,5,0),""))</f>
        <v/>
      </c>
      <c r="F1636" s="72"/>
      <c r="G1636" s="73"/>
      <c r="H1636" s="74"/>
      <c r="I1636" s="75"/>
      <c r="J1636" s="70"/>
      <c r="K1636" s="70"/>
      <c r="L1636" s="73"/>
      <c r="M1636" s="70" t="str">
        <f t="shared" si="3"/>
        <v/>
      </c>
      <c r="N1636" s="70" t="str">
        <f>IF($A$3=" "," ", IFERROR( VLOOKUP($A1636,'SUPPLIER DATA BASE'!$A$2:$O$936,11,0),""))</f>
        <v/>
      </c>
      <c r="O1636" s="70" t="str">
        <f>IF($A$3=" "," ", IFERROR( VLOOKUP($A1636,'SUPPLIER DATA BASE'!$A$2:$O$936,12,0),""))</f>
        <v/>
      </c>
      <c r="P1636" s="70" t="str">
        <f>IF($A$3=" "," ", IFERROR( VLOOKUP($A1636,'SUPPLIER DATA BASE'!$A$2:$O$936,13,0),""))</f>
        <v/>
      </c>
      <c r="Q1636" s="77"/>
      <c r="R1636" s="73"/>
      <c r="S1636" s="77"/>
      <c r="T1636" s="70"/>
      <c r="U1636" s="78"/>
      <c r="V1636" s="70" t="str">
        <f t="shared" si="6"/>
        <v/>
      </c>
      <c r="W1636" s="23"/>
      <c r="X1636" s="23"/>
    </row>
    <row r="1637">
      <c r="A1637" s="70"/>
      <c r="B1637" s="70" t="str">
        <f>IF($A$3=" "," ", IFERROR( VLOOKUP($A1637,'SUPPLIER DATA BASE'!$A$2:$M$936,3,0),""))</f>
        <v/>
      </c>
      <c r="C1637" s="70" t="str">
        <f>IF($A$3=" "," ", IFERROR( VLOOKUP($A1637,'SUPPLIER DATA BASE'!$A$2:$F$936,6,0),""))</f>
        <v/>
      </c>
      <c r="D1637" s="70" t="str">
        <f>IF($A$3=" "," ", IFERROR( VLOOKUP($A1637,'SUPPLIER DATA BASE'!$A$2:$G$936,4,0),""))</f>
        <v/>
      </c>
      <c r="E1637" s="71" t="str">
        <f>IF($A$3=" "," ", IFERROR( VLOOKUP($A1637,'SUPPLIER DATA BASE'!$A$2:$H$936,5,0),""))</f>
        <v/>
      </c>
      <c r="F1637" s="72"/>
      <c r="G1637" s="73"/>
      <c r="H1637" s="74"/>
      <c r="I1637" s="75"/>
      <c r="J1637" s="70"/>
      <c r="K1637" s="70"/>
      <c r="L1637" s="73"/>
      <c r="M1637" s="70" t="str">
        <f t="shared" si="3"/>
        <v/>
      </c>
      <c r="N1637" s="70" t="str">
        <f>IF($A$3=" "," ", IFERROR( VLOOKUP($A1637,'SUPPLIER DATA BASE'!$A$2:$O$936,11,0),""))</f>
        <v/>
      </c>
      <c r="O1637" s="70" t="str">
        <f>IF($A$3=" "," ", IFERROR( VLOOKUP($A1637,'SUPPLIER DATA BASE'!$A$2:$O$936,12,0),""))</f>
        <v/>
      </c>
      <c r="P1637" s="70" t="str">
        <f>IF($A$3=" "," ", IFERROR( VLOOKUP($A1637,'SUPPLIER DATA BASE'!$A$2:$O$936,13,0),""))</f>
        <v/>
      </c>
      <c r="Q1637" s="77"/>
      <c r="R1637" s="73"/>
      <c r="S1637" s="77"/>
      <c r="T1637" s="70"/>
      <c r="U1637" s="78"/>
      <c r="V1637" s="70" t="str">
        <f t="shared" si="6"/>
        <v/>
      </c>
      <c r="W1637" s="23"/>
      <c r="X1637" s="23"/>
    </row>
    <row r="1638">
      <c r="A1638" s="70"/>
      <c r="B1638" s="70" t="str">
        <f>IF($A$3=" "," ", IFERROR( VLOOKUP($A1638,'SUPPLIER DATA BASE'!$A$2:$M$936,3,0),""))</f>
        <v/>
      </c>
      <c r="C1638" s="70" t="str">
        <f>IF($A$3=" "," ", IFERROR( VLOOKUP($A1638,'SUPPLIER DATA BASE'!$A$2:$F$936,6,0),""))</f>
        <v/>
      </c>
      <c r="D1638" s="70" t="str">
        <f>IF($A$3=" "," ", IFERROR( VLOOKUP($A1638,'SUPPLIER DATA BASE'!$A$2:$G$936,4,0),""))</f>
        <v/>
      </c>
      <c r="E1638" s="71" t="str">
        <f>IF($A$3=" "," ", IFERROR( VLOOKUP($A1638,'SUPPLIER DATA BASE'!$A$2:$H$936,5,0),""))</f>
        <v/>
      </c>
      <c r="F1638" s="72"/>
      <c r="G1638" s="73"/>
      <c r="H1638" s="74"/>
      <c r="I1638" s="75"/>
      <c r="J1638" s="70"/>
      <c r="K1638" s="70"/>
      <c r="L1638" s="73"/>
      <c r="M1638" s="70" t="str">
        <f t="shared" si="3"/>
        <v/>
      </c>
      <c r="N1638" s="70" t="str">
        <f>IF($A$3=" "," ", IFERROR( VLOOKUP($A1638,'SUPPLIER DATA BASE'!$A$2:$O$936,11,0),""))</f>
        <v/>
      </c>
      <c r="O1638" s="70" t="str">
        <f>IF($A$3=" "," ", IFERROR( VLOOKUP($A1638,'SUPPLIER DATA BASE'!$A$2:$O$936,12,0),""))</f>
        <v/>
      </c>
      <c r="P1638" s="70" t="str">
        <f>IF($A$3=" "," ", IFERROR( VLOOKUP($A1638,'SUPPLIER DATA BASE'!$A$2:$O$936,13,0),""))</f>
        <v/>
      </c>
      <c r="Q1638" s="77"/>
      <c r="R1638" s="73"/>
      <c r="S1638" s="77"/>
      <c r="T1638" s="70"/>
      <c r="U1638" s="78"/>
      <c r="V1638" s="70" t="str">
        <f t="shared" si="6"/>
        <v/>
      </c>
      <c r="W1638" s="23"/>
      <c r="X1638" s="23"/>
    </row>
    <row r="1639">
      <c r="A1639" s="70"/>
      <c r="B1639" s="70" t="str">
        <f>IF($A$3=" "," ", IFERROR( VLOOKUP($A1639,'SUPPLIER DATA BASE'!$A$2:$M$936,3,0),""))</f>
        <v/>
      </c>
      <c r="C1639" s="70" t="str">
        <f>IF($A$3=" "," ", IFERROR( VLOOKUP($A1639,'SUPPLIER DATA BASE'!$A$2:$F$936,6,0),""))</f>
        <v/>
      </c>
      <c r="D1639" s="70" t="str">
        <f>IF($A$3=" "," ", IFERROR( VLOOKUP($A1639,'SUPPLIER DATA BASE'!$A$2:$G$936,4,0),""))</f>
        <v/>
      </c>
      <c r="E1639" s="71" t="str">
        <f>IF($A$3=" "," ", IFERROR( VLOOKUP($A1639,'SUPPLIER DATA BASE'!$A$2:$H$936,5,0),""))</f>
        <v/>
      </c>
      <c r="F1639" s="72"/>
      <c r="G1639" s="73"/>
      <c r="H1639" s="74"/>
      <c r="I1639" s="75"/>
      <c r="J1639" s="70"/>
      <c r="K1639" s="70"/>
      <c r="L1639" s="73"/>
      <c r="M1639" s="70" t="str">
        <f t="shared" si="3"/>
        <v/>
      </c>
      <c r="N1639" s="70" t="str">
        <f>IF($A$3=" "," ", IFERROR( VLOOKUP($A1639,'SUPPLIER DATA BASE'!$A$2:$O$936,11,0),""))</f>
        <v/>
      </c>
      <c r="O1639" s="70" t="str">
        <f>IF($A$3=" "," ", IFERROR( VLOOKUP($A1639,'SUPPLIER DATA BASE'!$A$2:$O$936,12,0),""))</f>
        <v/>
      </c>
      <c r="P1639" s="70" t="str">
        <f>IF($A$3=" "," ", IFERROR( VLOOKUP($A1639,'SUPPLIER DATA BASE'!$A$2:$O$936,13,0),""))</f>
        <v/>
      </c>
      <c r="Q1639" s="77"/>
      <c r="R1639" s="73"/>
      <c r="S1639" s="77"/>
      <c r="T1639" s="70"/>
      <c r="U1639" s="78"/>
      <c r="V1639" s="70" t="str">
        <f t="shared" si="6"/>
        <v/>
      </c>
      <c r="W1639" s="23"/>
      <c r="X1639" s="23"/>
    </row>
    <row r="1640">
      <c r="A1640" s="70"/>
      <c r="B1640" s="70" t="str">
        <f>IF($A$3=" "," ", IFERROR( VLOOKUP($A1640,'SUPPLIER DATA BASE'!$A$2:$M$936,3,0),""))</f>
        <v/>
      </c>
      <c r="C1640" s="70" t="str">
        <f>IF($A$3=" "," ", IFERROR( VLOOKUP($A1640,'SUPPLIER DATA BASE'!$A$2:$F$936,6,0),""))</f>
        <v/>
      </c>
      <c r="D1640" s="70" t="str">
        <f>IF($A$3=" "," ", IFERROR( VLOOKUP($A1640,'SUPPLIER DATA BASE'!$A$2:$G$936,4,0),""))</f>
        <v/>
      </c>
      <c r="E1640" s="71" t="str">
        <f>IF($A$3=" "," ", IFERROR( VLOOKUP($A1640,'SUPPLIER DATA BASE'!$A$2:$H$936,5,0),""))</f>
        <v/>
      </c>
      <c r="F1640" s="72"/>
      <c r="G1640" s="73"/>
      <c r="H1640" s="74"/>
      <c r="I1640" s="75"/>
      <c r="J1640" s="70"/>
      <c r="K1640" s="70"/>
      <c r="L1640" s="73"/>
      <c r="M1640" s="70" t="str">
        <f t="shared" si="3"/>
        <v/>
      </c>
      <c r="N1640" s="70" t="str">
        <f>IF($A$3=" "," ", IFERROR( VLOOKUP($A1640,'SUPPLIER DATA BASE'!$A$2:$O$936,11,0),""))</f>
        <v/>
      </c>
      <c r="O1640" s="70" t="str">
        <f>IF($A$3=" "," ", IFERROR( VLOOKUP($A1640,'SUPPLIER DATA BASE'!$A$2:$O$936,12,0),""))</f>
        <v/>
      </c>
      <c r="P1640" s="70" t="str">
        <f>IF($A$3=" "," ", IFERROR( VLOOKUP($A1640,'SUPPLIER DATA BASE'!$A$2:$O$936,13,0),""))</f>
        <v/>
      </c>
      <c r="Q1640" s="77"/>
      <c r="R1640" s="73"/>
      <c r="S1640" s="77"/>
      <c r="T1640" s="70"/>
      <c r="U1640" s="78"/>
      <c r="V1640" s="70" t="str">
        <f t="shared" si="6"/>
        <v/>
      </c>
      <c r="W1640" s="23"/>
      <c r="X1640" s="23"/>
    </row>
    <row r="1641">
      <c r="A1641" s="70"/>
      <c r="B1641" s="70" t="str">
        <f>IF($A$3=" "," ", IFERROR( VLOOKUP($A1641,'SUPPLIER DATA BASE'!$A$2:$M$936,3,0),""))</f>
        <v/>
      </c>
      <c r="C1641" s="70" t="str">
        <f>IF($A$3=" "," ", IFERROR( VLOOKUP($A1641,'SUPPLIER DATA BASE'!$A$2:$F$936,6,0),""))</f>
        <v/>
      </c>
      <c r="D1641" s="70" t="str">
        <f>IF($A$3=" "," ", IFERROR( VLOOKUP($A1641,'SUPPLIER DATA BASE'!$A$2:$G$936,4,0),""))</f>
        <v/>
      </c>
      <c r="E1641" s="71" t="str">
        <f>IF($A$3=" "," ", IFERROR( VLOOKUP($A1641,'SUPPLIER DATA BASE'!$A$2:$H$936,5,0),""))</f>
        <v/>
      </c>
      <c r="F1641" s="72"/>
      <c r="G1641" s="73"/>
      <c r="H1641" s="74"/>
      <c r="I1641" s="75"/>
      <c r="J1641" s="70"/>
      <c r="K1641" s="70"/>
      <c r="L1641" s="73"/>
      <c r="M1641" s="70" t="str">
        <f t="shared" si="3"/>
        <v/>
      </c>
      <c r="N1641" s="70" t="str">
        <f>IF($A$3=" "," ", IFERROR( VLOOKUP($A1641,'SUPPLIER DATA BASE'!$A$2:$O$936,11,0),""))</f>
        <v/>
      </c>
      <c r="O1641" s="70" t="str">
        <f>IF($A$3=" "," ", IFERROR( VLOOKUP($A1641,'SUPPLIER DATA BASE'!$A$2:$O$936,12,0),""))</f>
        <v/>
      </c>
      <c r="P1641" s="70" t="str">
        <f>IF($A$3=" "," ", IFERROR( VLOOKUP($A1641,'SUPPLIER DATA BASE'!$A$2:$O$936,13,0),""))</f>
        <v/>
      </c>
      <c r="Q1641" s="77"/>
      <c r="R1641" s="73"/>
      <c r="S1641" s="77"/>
      <c r="T1641" s="70"/>
      <c r="U1641" s="78"/>
      <c r="V1641" s="70" t="str">
        <f t="shared" si="6"/>
        <v/>
      </c>
      <c r="W1641" s="23"/>
      <c r="X1641" s="23"/>
    </row>
    <row r="1642">
      <c r="A1642" s="70"/>
      <c r="B1642" s="70" t="str">
        <f>IF($A$3=" "," ", IFERROR( VLOOKUP($A1642,'SUPPLIER DATA BASE'!$A$2:$M$936,3,0),""))</f>
        <v/>
      </c>
      <c r="C1642" s="70" t="str">
        <f>IF($A$3=" "," ", IFERROR( VLOOKUP($A1642,'SUPPLIER DATA BASE'!$A$2:$F$936,6,0),""))</f>
        <v/>
      </c>
      <c r="D1642" s="70" t="str">
        <f>IF($A$3=" "," ", IFERROR( VLOOKUP($A1642,'SUPPLIER DATA BASE'!$A$2:$G$936,4,0),""))</f>
        <v/>
      </c>
      <c r="E1642" s="71" t="str">
        <f>IF($A$3=" "," ", IFERROR( VLOOKUP($A1642,'SUPPLIER DATA BASE'!$A$2:$H$936,5,0),""))</f>
        <v/>
      </c>
      <c r="F1642" s="72"/>
      <c r="G1642" s="73"/>
      <c r="H1642" s="74"/>
      <c r="I1642" s="75"/>
      <c r="J1642" s="70"/>
      <c r="K1642" s="70"/>
      <c r="L1642" s="73"/>
      <c r="M1642" s="70" t="str">
        <f t="shared" si="3"/>
        <v/>
      </c>
      <c r="N1642" s="70" t="str">
        <f>IF($A$3=" "," ", IFERROR( VLOOKUP($A1642,'SUPPLIER DATA BASE'!$A$2:$O$936,11,0),""))</f>
        <v/>
      </c>
      <c r="O1642" s="70" t="str">
        <f>IF($A$3=" "," ", IFERROR( VLOOKUP($A1642,'SUPPLIER DATA BASE'!$A$2:$O$936,12,0),""))</f>
        <v/>
      </c>
      <c r="P1642" s="70" t="str">
        <f>IF($A$3=" "," ", IFERROR( VLOOKUP($A1642,'SUPPLIER DATA BASE'!$A$2:$O$936,13,0),""))</f>
        <v/>
      </c>
      <c r="Q1642" s="77"/>
      <c r="R1642" s="73"/>
      <c r="S1642" s="77"/>
      <c r="T1642" s="70"/>
      <c r="U1642" s="78"/>
      <c r="V1642" s="70" t="str">
        <f t="shared" si="6"/>
        <v/>
      </c>
      <c r="W1642" s="23"/>
      <c r="X1642" s="23"/>
    </row>
    <row r="1643">
      <c r="A1643" s="70"/>
      <c r="B1643" s="70" t="str">
        <f>IF($A$3=" "," ", IFERROR( VLOOKUP($A1643,'SUPPLIER DATA BASE'!$A$2:$M$936,3,0),""))</f>
        <v/>
      </c>
      <c r="C1643" s="70" t="str">
        <f>IF($A$3=" "," ", IFERROR( VLOOKUP($A1643,'SUPPLIER DATA BASE'!$A$2:$F$936,6,0),""))</f>
        <v/>
      </c>
      <c r="D1643" s="70" t="str">
        <f>IF($A$3=" "," ", IFERROR( VLOOKUP($A1643,'SUPPLIER DATA BASE'!$A$2:$G$936,4,0),""))</f>
        <v/>
      </c>
      <c r="E1643" s="71" t="str">
        <f>IF($A$3=" "," ", IFERROR( VLOOKUP($A1643,'SUPPLIER DATA BASE'!$A$2:$H$936,5,0),""))</f>
        <v/>
      </c>
      <c r="F1643" s="72"/>
      <c r="G1643" s="73"/>
      <c r="H1643" s="74"/>
      <c r="I1643" s="75"/>
      <c r="J1643" s="70"/>
      <c r="K1643" s="70"/>
      <c r="L1643" s="73"/>
      <c r="M1643" s="70" t="str">
        <f t="shared" si="3"/>
        <v/>
      </c>
      <c r="N1643" s="70" t="str">
        <f>IF($A$3=" "," ", IFERROR( VLOOKUP($A1643,'SUPPLIER DATA BASE'!$A$2:$O$936,11,0),""))</f>
        <v/>
      </c>
      <c r="O1643" s="70" t="str">
        <f>IF($A$3=" "," ", IFERROR( VLOOKUP($A1643,'SUPPLIER DATA BASE'!$A$2:$O$936,12,0),""))</f>
        <v/>
      </c>
      <c r="P1643" s="70" t="str">
        <f>IF($A$3=" "," ", IFERROR( VLOOKUP($A1643,'SUPPLIER DATA BASE'!$A$2:$O$936,13,0),""))</f>
        <v/>
      </c>
      <c r="Q1643" s="77"/>
      <c r="R1643" s="73"/>
      <c r="S1643" s="77"/>
      <c r="T1643" s="70"/>
      <c r="U1643" s="78"/>
      <c r="V1643" s="70" t="str">
        <f t="shared" si="6"/>
        <v/>
      </c>
      <c r="W1643" s="23"/>
      <c r="X1643" s="23"/>
    </row>
    <row r="1644">
      <c r="A1644" s="70"/>
      <c r="B1644" s="70" t="str">
        <f>IF($A$3=" "," ", IFERROR( VLOOKUP($A1644,'SUPPLIER DATA BASE'!$A$2:$M$936,3,0),""))</f>
        <v/>
      </c>
      <c r="C1644" s="70" t="str">
        <f>IF($A$3=" "," ", IFERROR( VLOOKUP($A1644,'SUPPLIER DATA BASE'!$A$2:$F$936,6,0),""))</f>
        <v/>
      </c>
      <c r="D1644" s="70" t="str">
        <f>IF($A$3=" "," ", IFERROR( VLOOKUP($A1644,'SUPPLIER DATA BASE'!$A$2:$G$936,4,0),""))</f>
        <v/>
      </c>
      <c r="E1644" s="71" t="str">
        <f>IF($A$3=" "," ", IFERROR( VLOOKUP($A1644,'SUPPLIER DATA BASE'!$A$2:$H$936,5,0),""))</f>
        <v/>
      </c>
      <c r="F1644" s="72"/>
      <c r="G1644" s="73"/>
      <c r="H1644" s="74"/>
      <c r="I1644" s="75"/>
      <c r="J1644" s="70"/>
      <c r="K1644" s="70"/>
      <c r="L1644" s="73"/>
      <c r="M1644" s="70" t="str">
        <f t="shared" si="3"/>
        <v/>
      </c>
      <c r="N1644" s="70" t="str">
        <f>IF($A$3=" "," ", IFERROR( VLOOKUP($A1644,'SUPPLIER DATA BASE'!$A$2:$O$936,11,0),""))</f>
        <v/>
      </c>
      <c r="O1644" s="70" t="str">
        <f>IF($A$3=" "," ", IFERROR( VLOOKUP($A1644,'SUPPLIER DATA BASE'!$A$2:$O$936,12,0),""))</f>
        <v/>
      </c>
      <c r="P1644" s="70" t="str">
        <f>IF($A$3=" "," ", IFERROR( VLOOKUP($A1644,'SUPPLIER DATA BASE'!$A$2:$O$936,13,0),""))</f>
        <v/>
      </c>
      <c r="Q1644" s="77"/>
      <c r="R1644" s="73"/>
      <c r="S1644" s="77"/>
      <c r="T1644" s="70"/>
      <c r="U1644" s="78"/>
      <c r="V1644" s="70" t="str">
        <f t="shared" si="6"/>
        <v/>
      </c>
      <c r="W1644" s="23"/>
      <c r="X1644" s="23"/>
    </row>
    <row r="1645">
      <c r="A1645" s="70"/>
      <c r="B1645" s="70" t="str">
        <f>IF($A$3=" "," ", IFERROR( VLOOKUP($A1645,'SUPPLIER DATA BASE'!$A$2:$M$936,3,0),""))</f>
        <v/>
      </c>
      <c r="C1645" s="70" t="str">
        <f>IF($A$3=" "," ", IFERROR( VLOOKUP($A1645,'SUPPLIER DATA BASE'!$A$2:$F$936,6,0),""))</f>
        <v/>
      </c>
      <c r="D1645" s="70" t="str">
        <f>IF($A$3=" "," ", IFERROR( VLOOKUP($A1645,'SUPPLIER DATA BASE'!$A$2:$G$936,4,0),""))</f>
        <v/>
      </c>
      <c r="E1645" s="71" t="str">
        <f>IF($A$3=" "," ", IFERROR( VLOOKUP($A1645,'SUPPLIER DATA BASE'!$A$2:$H$936,5,0),""))</f>
        <v/>
      </c>
      <c r="F1645" s="72"/>
      <c r="G1645" s="73"/>
      <c r="H1645" s="74"/>
      <c r="I1645" s="75"/>
      <c r="J1645" s="70"/>
      <c r="K1645" s="70"/>
      <c r="L1645" s="73"/>
      <c r="M1645" s="70" t="str">
        <f t="shared" si="3"/>
        <v/>
      </c>
      <c r="N1645" s="70" t="str">
        <f>IF($A$3=" "," ", IFERROR( VLOOKUP($A1645,'SUPPLIER DATA BASE'!$A$2:$O$936,11,0),""))</f>
        <v/>
      </c>
      <c r="O1645" s="70" t="str">
        <f>IF($A$3=" "," ", IFERROR( VLOOKUP($A1645,'SUPPLIER DATA BASE'!$A$2:$O$936,12,0),""))</f>
        <v/>
      </c>
      <c r="P1645" s="70" t="str">
        <f>IF($A$3=" "," ", IFERROR( VLOOKUP($A1645,'SUPPLIER DATA BASE'!$A$2:$O$936,13,0),""))</f>
        <v/>
      </c>
      <c r="Q1645" s="77"/>
      <c r="R1645" s="73"/>
      <c r="S1645" s="77"/>
      <c r="T1645" s="70"/>
      <c r="U1645" s="78"/>
      <c r="V1645" s="70" t="str">
        <f t="shared" si="6"/>
        <v/>
      </c>
      <c r="W1645" s="23"/>
      <c r="X1645" s="23"/>
    </row>
    <row r="1646">
      <c r="A1646" s="70"/>
      <c r="B1646" s="70" t="str">
        <f>IF($A$3=" "," ", IFERROR( VLOOKUP($A1646,'SUPPLIER DATA BASE'!$A$2:$M$936,3,0),""))</f>
        <v/>
      </c>
      <c r="C1646" s="70" t="str">
        <f>IF($A$3=" "," ", IFERROR( VLOOKUP($A1646,'SUPPLIER DATA BASE'!$A$2:$F$936,6,0),""))</f>
        <v/>
      </c>
      <c r="D1646" s="70" t="str">
        <f>IF($A$3=" "," ", IFERROR( VLOOKUP($A1646,'SUPPLIER DATA BASE'!$A$2:$G$936,4,0),""))</f>
        <v/>
      </c>
      <c r="E1646" s="71" t="str">
        <f>IF($A$3=" "," ", IFERROR( VLOOKUP($A1646,'SUPPLIER DATA BASE'!$A$2:$H$936,5,0),""))</f>
        <v/>
      </c>
      <c r="F1646" s="72"/>
      <c r="G1646" s="73"/>
      <c r="H1646" s="74"/>
      <c r="I1646" s="75"/>
      <c r="J1646" s="70"/>
      <c r="K1646" s="70"/>
      <c r="L1646" s="73"/>
      <c r="M1646" s="70" t="str">
        <f t="shared" si="3"/>
        <v/>
      </c>
      <c r="N1646" s="70" t="str">
        <f>IF($A$3=" "," ", IFERROR( VLOOKUP($A1646,'SUPPLIER DATA BASE'!$A$2:$O$936,11,0),""))</f>
        <v/>
      </c>
      <c r="O1646" s="70" t="str">
        <f>IF($A$3=" "," ", IFERROR( VLOOKUP($A1646,'SUPPLIER DATA BASE'!$A$2:$O$936,12,0),""))</f>
        <v/>
      </c>
      <c r="P1646" s="70" t="str">
        <f>IF($A$3=" "," ", IFERROR( VLOOKUP($A1646,'SUPPLIER DATA BASE'!$A$2:$O$936,13,0),""))</f>
        <v/>
      </c>
      <c r="Q1646" s="77"/>
      <c r="R1646" s="73"/>
      <c r="S1646" s="77"/>
      <c r="T1646" s="70"/>
      <c r="U1646" s="78"/>
      <c r="V1646" s="70" t="str">
        <f t="shared" si="6"/>
        <v/>
      </c>
      <c r="W1646" s="23"/>
      <c r="X1646" s="23"/>
    </row>
    <row r="1647">
      <c r="A1647" s="70"/>
      <c r="B1647" s="70" t="str">
        <f>IF($A$3=" "," ", IFERROR( VLOOKUP($A1647,'SUPPLIER DATA BASE'!$A$2:$M$936,3,0),""))</f>
        <v/>
      </c>
      <c r="C1647" s="70" t="str">
        <f>IF($A$3=" "," ", IFERROR( VLOOKUP($A1647,'SUPPLIER DATA BASE'!$A$2:$F$936,6,0),""))</f>
        <v/>
      </c>
      <c r="D1647" s="70" t="str">
        <f>IF($A$3=" "," ", IFERROR( VLOOKUP($A1647,'SUPPLIER DATA BASE'!$A$2:$G$936,4,0),""))</f>
        <v/>
      </c>
      <c r="E1647" s="71" t="str">
        <f>IF($A$3=" "," ", IFERROR( VLOOKUP($A1647,'SUPPLIER DATA BASE'!$A$2:$H$936,5,0),""))</f>
        <v/>
      </c>
      <c r="F1647" s="72"/>
      <c r="G1647" s="73"/>
      <c r="H1647" s="74"/>
      <c r="I1647" s="75"/>
      <c r="J1647" s="70"/>
      <c r="K1647" s="70"/>
      <c r="L1647" s="73"/>
      <c r="M1647" s="70" t="str">
        <f t="shared" si="3"/>
        <v/>
      </c>
      <c r="N1647" s="70" t="str">
        <f>IF($A$3=" "," ", IFERROR( VLOOKUP($A1647,'SUPPLIER DATA BASE'!$A$2:$O$936,11,0),""))</f>
        <v/>
      </c>
      <c r="O1647" s="70" t="str">
        <f>IF($A$3=" "," ", IFERROR( VLOOKUP($A1647,'SUPPLIER DATA BASE'!$A$2:$O$936,12,0),""))</f>
        <v/>
      </c>
      <c r="P1647" s="70" t="str">
        <f>IF($A$3=" "," ", IFERROR( VLOOKUP($A1647,'SUPPLIER DATA BASE'!$A$2:$O$936,13,0),""))</f>
        <v/>
      </c>
      <c r="Q1647" s="77"/>
      <c r="R1647" s="73"/>
      <c r="S1647" s="77"/>
      <c r="T1647" s="70"/>
      <c r="U1647" s="78"/>
      <c r="V1647" s="70" t="str">
        <f t="shared" si="6"/>
        <v/>
      </c>
      <c r="W1647" s="23"/>
      <c r="X1647" s="23"/>
    </row>
    <row r="1648">
      <c r="A1648" s="70"/>
      <c r="B1648" s="70" t="str">
        <f>IF($A$3=" "," ", IFERROR( VLOOKUP($A1648,'SUPPLIER DATA BASE'!$A$2:$M$936,3,0),""))</f>
        <v/>
      </c>
      <c r="C1648" s="70" t="str">
        <f>IF($A$3=" "," ", IFERROR( VLOOKUP($A1648,'SUPPLIER DATA BASE'!$A$2:$F$936,6,0),""))</f>
        <v/>
      </c>
      <c r="D1648" s="70" t="str">
        <f>IF($A$3=" "," ", IFERROR( VLOOKUP($A1648,'SUPPLIER DATA BASE'!$A$2:$G$936,4,0),""))</f>
        <v/>
      </c>
      <c r="E1648" s="71" t="str">
        <f>IF($A$3=" "," ", IFERROR( VLOOKUP($A1648,'SUPPLIER DATA BASE'!$A$2:$H$936,5,0),""))</f>
        <v/>
      </c>
      <c r="F1648" s="72"/>
      <c r="G1648" s="73"/>
      <c r="H1648" s="74"/>
      <c r="I1648" s="75"/>
      <c r="J1648" s="70"/>
      <c r="K1648" s="70"/>
      <c r="L1648" s="73"/>
      <c r="M1648" s="70" t="str">
        <f t="shared" si="3"/>
        <v/>
      </c>
      <c r="N1648" s="70" t="str">
        <f>IF($A$3=" "," ", IFERROR( VLOOKUP($A1648,'SUPPLIER DATA BASE'!$A$2:$O$936,11,0),""))</f>
        <v/>
      </c>
      <c r="O1648" s="70" t="str">
        <f>IF($A$3=" "," ", IFERROR( VLOOKUP($A1648,'SUPPLIER DATA BASE'!$A$2:$O$936,12,0),""))</f>
        <v/>
      </c>
      <c r="P1648" s="70" t="str">
        <f>IF($A$3=" "," ", IFERROR( VLOOKUP($A1648,'SUPPLIER DATA BASE'!$A$2:$O$936,13,0),""))</f>
        <v/>
      </c>
      <c r="Q1648" s="77"/>
      <c r="R1648" s="73"/>
      <c r="S1648" s="77"/>
      <c r="T1648" s="70"/>
      <c r="U1648" s="78"/>
      <c r="V1648" s="70" t="str">
        <f t="shared" si="6"/>
        <v/>
      </c>
      <c r="W1648" s="23"/>
      <c r="X1648" s="23"/>
    </row>
    <row r="1649">
      <c r="A1649" s="70"/>
      <c r="B1649" s="70" t="str">
        <f>IF($A$3=" "," ", IFERROR( VLOOKUP($A1649,'SUPPLIER DATA BASE'!$A$2:$M$936,3,0),""))</f>
        <v/>
      </c>
      <c r="C1649" s="70" t="str">
        <f>IF($A$3=" "," ", IFERROR( VLOOKUP($A1649,'SUPPLIER DATA BASE'!$A$2:$F$936,6,0),""))</f>
        <v/>
      </c>
      <c r="D1649" s="70" t="str">
        <f>IF($A$3=" "," ", IFERROR( VLOOKUP($A1649,'SUPPLIER DATA BASE'!$A$2:$G$936,4,0),""))</f>
        <v/>
      </c>
      <c r="E1649" s="71" t="str">
        <f>IF($A$3=" "," ", IFERROR( VLOOKUP($A1649,'SUPPLIER DATA BASE'!$A$2:$H$936,5,0),""))</f>
        <v/>
      </c>
      <c r="F1649" s="72"/>
      <c r="G1649" s="73"/>
      <c r="H1649" s="74"/>
      <c r="I1649" s="75"/>
      <c r="J1649" s="70"/>
      <c r="K1649" s="70"/>
      <c r="L1649" s="73"/>
      <c r="M1649" s="70" t="str">
        <f t="shared" si="3"/>
        <v/>
      </c>
      <c r="N1649" s="70" t="str">
        <f>IF($A$3=" "," ", IFERROR( VLOOKUP($A1649,'SUPPLIER DATA BASE'!$A$2:$O$936,11,0),""))</f>
        <v/>
      </c>
      <c r="O1649" s="70" t="str">
        <f>IF($A$3=" "," ", IFERROR( VLOOKUP($A1649,'SUPPLIER DATA BASE'!$A$2:$O$936,12,0),""))</f>
        <v/>
      </c>
      <c r="P1649" s="70" t="str">
        <f>IF($A$3=" "," ", IFERROR( VLOOKUP($A1649,'SUPPLIER DATA BASE'!$A$2:$O$936,13,0),""))</f>
        <v/>
      </c>
      <c r="Q1649" s="77"/>
      <c r="R1649" s="73"/>
      <c r="S1649" s="77"/>
      <c r="T1649" s="70"/>
      <c r="U1649" s="78"/>
      <c r="V1649" s="70" t="str">
        <f t="shared" si="6"/>
        <v/>
      </c>
      <c r="W1649" s="23"/>
      <c r="X1649" s="23"/>
    </row>
    <row r="1650">
      <c r="A1650" s="70"/>
      <c r="B1650" s="70" t="str">
        <f>IF($A$3=" "," ", IFERROR( VLOOKUP($A1650,'SUPPLIER DATA BASE'!$A$2:$M$936,3,0),""))</f>
        <v/>
      </c>
      <c r="C1650" s="70" t="str">
        <f>IF($A$3=" "," ", IFERROR( VLOOKUP($A1650,'SUPPLIER DATA BASE'!$A$2:$F$936,6,0),""))</f>
        <v/>
      </c>
      <c r="D1650" s="70" t="str">
        <f>IF($A$3=" "," ", IFERROR( VLOOKUP($A1650,'SUPPLIER DATA BASE'!$A$2:$G$936,4,0),""))</f>
        <v/>
      </c>
      <c r="E1650" s="71" t="str">
        <f>IF($A$3=" "," ", IFERROR( VLOOKUP($A1650,'SUPPLIER DATA BASE'!$A$2:$H$936,5,0),""))</f>
        <v/>
      </c>
      <c r="F1650" s="72"/>
      <c r="G1650" s="73"/>
      <c r="H1650" s="74"/>
      <c r="I1650" s="75"/>
      <c r="J1650" s="70"/>
      <c r="K1650" s="70"/>
      <c r="L1650" s="73"/>
      <c r="M1650" s="70" t="str">
        <f t="shared" si="3"/>
        <v/>
      </c>
      <c r="N1650" s="70" t="str">
        <f>IF($A$3=" "," ", IFERROR( VLOOKUP($A1650,'SUPPLIER DATA BASE'!$A$2:$O$936,11,0),""))</f>
        <v/>
      </c>
      <c r="O1650" s="70" t="str">
        <f>IF($A$3=" "," ", IFERROR( VLOOKUP($A1650,'SUPPLIER DATA BASE'!$A$2:$O$936,12,0),""))</f>
        <v/>
      </c>
      <c r="P1650" s="70" t="str">
        <f>IF($A$3=" "," ", IFERROR( VLOOKUP($A1650,'SUPPLIER DATA BASE'!$A$2:$O$936,13,0),""))</f>
        <v/>
      </c>
      <c r="Q1650" s="77"/>
      <c r="R1650" s="73"/>
      <c r="S1650" s="77"/>
      <c r="T1650" s="70"/>
      <c r="U1650" s="78"/>
      <c r="V1650" s="70" t="str">
        <f t="shared" si="6"/>
        <v/>
      </c>
      <c r="W1650" s="23"/>
      <c r="X1650" s="23"/>
    </row>
    <row r="1651">
      <c r="A1651" s="70"/>
      <c r="B1651" s="70" t="str">
        <f>IF($A$3=" "," ", IFERROR( VLOOKUP($A1651,'SUPPLIER DATA BASE'!$A$2:$M$936,3,0),""))</f>
        <v/>
      </c>
      <c r="C1651" s="70" t="str">
        <f>IF($A$3=" "," ", IFERROR( VLOOKUP($A1651,'SUPPLIER DATA BASE'!$A$2:$F$936,6,0),""))</f>
        <v/>
      </c>
      <c r="D1651" s="70" t="str">
        <f>IF($A$3=" "," ", IFERROR( VLOOKUP($A1651,'SUPPLIER DATA BASE'!$A$2:$G$936,4,0),""))</f>
        <v/>
      </c>
      <c r="E1651" s="71" t="str">
        <f>IF($A$3=" "," ", IFERROR( VLOOKUP($A1651,'SUPPLIER DATA BASE'!$A$2:$H$936,5,0),""))</f>
        <v/>
      </c>
      <c r="F1651" s="72"/>
      <c r="G1651" s="73"/>
      <c r="H1651" s="74"/>
      <c r="I1651" s="75"/>
      <c r="J1651" s="70"/>
      <c r="K1651" s="70"/>
      <c r="L1651" s="73"/>
      <c r="M1651" s="70" t="str">
        <f t="shared" si="3"/>
        <v/>
      </c>
      <c r="N1651" s="70" t="str">
        <f>IF($A$3=" "," ", IFERROR( VLOOKUP($A1651,'SUPPLIER DATA BASE'!$A$2:$O$936,11,0),""))</f>
        <v/>
      </c>
      <c r="O1651" s="70" t="str">
        <f>IF($A$3=" "," ", IFERROR( VLOOKUP($A1651,'SUPPLIER DATA BASE'!$A$2:$O$936,12,0),""))</f>
        <v/>
      </c>
      <c r="P1651" s="70" t="str">
        <f>IF($A$3=" "," ", IFERROR( VLOOKUP($A1651,'SUPPLIER DATA BASE'!$A$2:$O$936,13,0),""))</f>
        <v/>
      </c>
      <c r="Q1651" s="77"/>
      <c r="R1651" s="73"/>
      <c r="S1651" s="77"/>
      <c r="T1651" s="70"/>
      <c r="U1651" s="78"/>
      <c r="V1651" s="70" t="str">
        <f t="shared" si="6"/>
        <v/>
      </c>
      <c r="W1651" s="23"/>
      <c r="X1651" s="23"/>
    </row>
    <row r="1652">
      <c r="A1652" s="70"/>
      <c r="B1652" s="70" t="str">
        <f>IF($A$3=" "," ", IFERROR( VLOOKUP($A1652,'SUPPLIER DATA BASE'!$A$2:$M$936,3,0),""))</f>
        <v/>
      </c>
      <c r="C1652" s="70" t="str">
        <f>IF($A$3=" "," ", IFERROR( VLOOKUP($A1652,'SUPPLIER DATA BASE'!$A$2:$F$936,6,0),""))</f>
        <v/>
      </c>
      <c r="D1652" s="70" t="str">
        <f>IF($A$3=" "," ", IFERROR( VLOOKUP($A1652,'SUPPLIER DATA BASE'!$A$2:$G$936,4,0),""))</f>
        <v/>
      </c>
      <c r="E1652" s="71" t="str">
        <f>IF($A$3=" "," ", IFERROR( VLOOKUP($A1652,'SUPPLIER DATA BASE'!$A$2:$H$936,5,0),""))</f>
        <v/>
      </c>
      <c r="F1652" s="72"/>
      <c r="G1652" s="73"/>
      <c r="H1652" s="74"/>
      <c r="I1652" s="75"/>
      <c r="J1652" s="70"/>
      <c r="K1652" s="70"/>
      <c r="L1652" s="73"/>
      <c r="M1652" s="70" t="str">
        <f t="shared" si="3"/>
        <v/>
      </c>
      <c r="N1652" s="70" t="str">
        <f>IF($A$3=" "," ", IFERROR( VLOOKUP($A1652,'SUPPLIER DATA BASE'!$A$2:$O$936,11,0),""))</f>
        <v/>
      </c>
      <c r="O1652" s="70" t="str">
        <f>IF($A$3=" "," ", IFERROR( VLOOKUP($A1652,'SUPPLIER DATA BASE'!$A$2:$O$936,12,0),""))</f>
        <v/>
      </c>
      <c r="P1652" s="70" t="str">
        <f>IF($A$3=" "," ", IFERROR( VLOOKUP($A1652,'SUPPLIER DATA BASE'!$A$2:$O$936,13,0),""))</f>
        <v/>
      </c>
      <c r="Q1652" s="77"/>
      <c r="R1652" s="73"/>
      <c r="S1652" s="77"/>
      <c r="T1652" s="70"/>
      <c r="U1652" s="78"/>
      <c r="V1652" s="70" t="str">
        <f t="shared" si="6"/>
        <v/>
      </c>
      <c r="W1652" s="23"/>
      <c r="X1652" s="23"/>
    </row>
    <row r="1653">
      <c r="A1653" s="70"/>
      <c r="B1653" s="70" t="str">
        <f>IF($A$3=" "," ", IFERROR( VLOOKUP($A1653,'SUPPLIER DATA BASE'!$A$2:$M$936,3,0),""))</f>
        <v/>
      </c>
      <c r="C1653" s="70" t="str">
        <f>IF($A$3=" "," ", IFERROR( VLOOKUP($A1653,'SUPPLIER DATA BASE'!$A$2:$F$936,6,0),""))</f>
        <v/>
      </c>
      <c r="D1653" s="70" t="str">
        <f>IF($A$3=" "," ", IFERROR( VLOOKUP($A1653,'SUPPLIER DATA BASE'!$A$2:$G$936,4,0),""))</f>
        <v/>
      </c>
      <c r="E1653" s="71" t="str">
        <f>IF($A$3=" "," ", IFERROR( VLOOKUP($A1653,'SUPPLIER DATA BASE'!$A$2:$H$936,5,0),""))</f>
        <v/>
      </c>
      <c r="F1653" s="72"/>
      <c r="G1653" s="73"/>
      <c r="H1653" s="74"/>
      <c r="I1653" s="75"/>
      <c r="J1653" s="70"/>
      <c r="K1653" s="70"/>
      <c r="L1653" s="73"/>
      <c r="M1653" s="70" t="str">
        <f t="shared" si="3"/>
        <v/>
      </c>
      <c r="N1653" s="70" t="str">
        <f>IF($A$3=" "," ", IFERROR( VLOOKUP($A1653,'SUPPLIER DATA BASE'!$A$2:$O$936,11,0),""))</f>
        <v/>
      </c>
      <c r="O1653" s="70" t="str">
        <f>IF($A$3=" "," ", IFERROR( VLOOKUP($A1653,'SUPPLIER DATA BASE'!$A$2:$O$936,12,0),""))</f>
        <v/>
      </c>
      <c r="P1653" s="70" t="str">
        <f>IF($A$3=" "," ", IFERROR( VLOOKUP($A1653,'SUPPLIER DATA BASE'!$A$2:$O$936,13,0),""))</f>
        <v/>
      </c>
      <c r="Q1653" s="77"/>
      <c r="R1653" s="73"/>
      <c r="S1653" s="77"/>
      <c r="T1653" s="70"/>
      <c r="U1653" s="78"/>
      <c r="V1653" s="70" t="str">
        <f t="shared" si="6"/>
        <v/>
      </c>
      <c r="W1653" s="23"/>
      <c r="X1653" s="23"/>
    </row>
    <row r="1654">
      <c r="A1654" s="70"/>
      <c r="B1654" s="70" t="str">
        <f>IF($A$3=" "," ", IFERROR( VLOOKUP($A1654,'SUPPLIER DATA BASE'!$A$2:$M$936,3,0),""))</f>
        <v/>
      </c>
      <c r="C1654" s="70" t="str">
        <f>IF($A$3=" "," ", IFERROR( VLOOKUP($A1654,'SUPPLIER DATA BASE'!$A$2:$F$936,6,0),""))</f>
        <v/>
      </c>
      <c r="D1654" s="70" t="str">
        <f>IF($A$3=" "," ", IFERROR( VLOOKUP($A1654,'SUPPLIER DATA BASE'!$A$2:$G$936,4,0),""))</f>
        <v/>
      </c>
      <c r="E1654" s="71" t="str">
        <f>IF($A$3=" "," ", IFERROR( VLOOKUP($A1654,'SUPPLIER DATA BASE'!$A$2:$H$936,5,0),""))</f>
        <v/>
      </c>
      <c r="F1654" s="72"/>
      <c r="G1654" s="73"/>
      <c r="H1654" s="74"/>
      <c r="I1654" s="75"/>
      <c r="J1654" s="70"/>
      <c r="K1654" s="70"/>
      <c r="L1654" s="73"/>
      <c r="M1654" s="70" t="str">
        <f t="shared" si="3"/>
        <v/>
      </c>
      <c r="N1654" s="70" t="str">
        <f>IF($A$3=" "," ", IFERROR( VLOOKUP($A1654,'SUPPLIER DATA BASE'!$A$2:$O$936,11,0),""))</f>
        <v/>
      </c>
      <c r="O1654" s="70" t="str">
        <f>IF($A$3=" "," ", IFERROR( VLOOKUP($A1654,'SUPPLIER DATA BASE'!$A$2:$O$936,12,0),""))</f>
        <v/>
      </c>
      <c r="P1654" s="70" t="str">
        <f>IF($A$3=" "," ", IFERROR( VLOOKUP($A1654,'SUPPLIER DATA BASE'!$A$2:$O$936,13,0),""))</f>
        <v/>
      </c>
      <c r="Q1654" s="77"/>
      <c r="R1654" s="73"/>
      <c r="S1654" s="77"/>
      <c r="T1654" s="70"/>
      <c r="U1654" s="78"/>
      <c r="V1654" s="70" t="str">
        <f t="shared" si="6"/>
        <v/>
      </c>
      <c r="W1654" s="23"/>
      <c r="X1654" s="23"/>
    </row>
    <row r="1655">
      <c r="A1655" s="70"/>
      <c r="B1655" s="70" t="str">
        <f>IF($A$3=" "," ", IFERROR( VLOOKUP($A1655,'SUPPLIER DATA BASE'!$A$2:$M$936,3,0),""))</f>
        <v/>
      </c>
      <c r="C1655" s="70" t="str">
        <f>IF($A$3=" "," ", IFERROR( VLOOKUP($A1655,'SUPPLIER DATA BASE'!$A$2:$F$936,6,0),""))</f>
        <v/>
      </c>
      <c r="D1655" s="70" t="str">
        <f>IF($A$3=" "," ", IFERROR( VLOOKUP($A1655,'SUPPLIER DATA BASE'!$A$2:$G$936,4,0),""))</f>
        <v/>
      </c>
      <c r="E1655" s="71" t="str">
        <f>IF($A$3=" "," ", IFERROR( VLOOKUP($A1655,'SUPPLIER DATA BASE'!$A$2:$H$936,5,0),""))</f>
        <v/>
      </c>
      <c r="F1655" s="72"/>
      <c r="G1655" s="73"/>
      <c r="H1655" s="74"/>
      <c r="I1655" s="75"/>
      <c r="J1655" s="70"/>
      <c r="K1655" s="70"/>
      <c r="L1655" s="73"/>
      <c r="M1655" s="70" t="str">
        <f t="shared" si="3"/>
        <v/>
      </c>
      <c r="N1655" s="70" t="str">
        <f>IF($A$3=" "," ", IFERROR( VLOOKUP($A1655,'SUPPLIER DATA BASE'!$A$2:$O$936,11,0),""))</f>
        <v/>
      </c>
      <c r="O1655" s="70" t="str">
        <f>IF($A$3=" "," ", IFERROR( VLOOKUP($A1655,'SUPPLIER DATA BASE'!$A$2:$O$936,12,0),""))</f>
        <v/>
      </c>
      <c r="P1655" s="70" t="str">
        <f>IF($A$3=" "," ", IFERROR( VLOOKUP($A1655,'SUPPLIER DATA BASE'!$A$2:$O$936,13,0),""))</f>
        <v/>
      </c>
      <c r="Q1655" s="77"/>
      <c r="R1655" s="73"/>
      <c r="S1655" s="77"/>
      <c r="T1655" s="70"/>
      <c r="U1655" s="78"/>
      <c r="V1655" s="70" t="str">
        <f t="shared" si="6"/>
        <v/>
      </c>
      <c r="W1655" s="23"/>
      <c r="X1655" s="23"/>
    </row>
    <row r="1656">
      <c r="A1656" s="70"/>
      <c r="B1656" s="70" t="str">
        <f>IF($A$3=" "," ", IFERROR( VLOOKUP($A1656,'SUPPLIER DATA BASE'!$A$2:$M$936,3,0),""))</f>
        <v/>
      </c>
      <c r="C1656" s="70" t="str">
        <f>IF($A$3=" "," ", IFERROR( VLOOKUP($A1656,'SUPPLIER DATA BASE'!$A$2:$F$936,6,0),""))</f>
        <v/>
      </c>
      <c r="D1656" s="70" t="str">
        <f>IF($A$3=" "," ", IFERROR( VLOOKUP($A1656,'SUPPLIER DATA BASE'!$A$2:$G$936,4,0),""))</f>
        <v/>
      </c>
      <c r="E1656" s="71" t="str">
        <f>IF($A$3=" "," ", IFERROR( VLOOKUP($A1656,'SUPPLIER DATA BASE'!$A$2:$H$936,5,0),""))</f>
        <v/>
      </c>
      <c r="F1656" s="72"/>
      <c r="G1656" s="73"/>
      <c r="H1656" s="74"/>
      <c r="I1656" s="75"/>
      <c r="J1656" s="70"/>
      <c r="K1656" s="70"/>
      <c r="L1656" s="73"/>
      <c r="M1656" s="70" t="str">
        <f t="shared" si="3"/>
        <v/>
      </c>
      <c r="N1656" s="70" t="str">
        <f>IF($A$3=" "," ", IFERROR( VLOOKUP($A1656,'SUPPLIER DATA BASE'!$A$2:$O$936,11,0),""))</f>
        <v/>
      </c>
      <c r="O1656" s="70" t="str">
        <f>IF($A$3=" "," ", IFERROR( VLOOKUP($A1656,'SUPPLIER DATA BASE'!$A$2:$O$936,12,0),""))</f>
        <v/>
      </c>
      <c r="P1656" s="70" t="str">
        <f>IF($A$3=" "," ", IFERROR( VLOOKUP($A1656,'SUPPLIER DATA BASE'!$A$2:$O$936,13,0),""))</f>
        <v/>
      </c>
      <c r="Q1656" s="77"/>
      <c r="R1656" s="73"/>
      <c r="S1656" s="77"/>
      <c r="T1656" s="70"/>
      <c r="U1656" s="78"/>
      <c r="V1656" s="70" t="str">
        <f t="shared" si="6"/>
        <v/>
      </c>
      <c r="W1656" s="23"/>
      <c r="X1656" s="23"/>
    </row>
    <row r="1657">
      <c r="A1657" s="70"/>
      <c r="B1657" s="70" t="str">
        <f>IF($A$3=" "," ", IFERROR( VLOOKUP($A1657,'SUPPLIER DATA BASE'!$A$2:$M$936,3,0),""))</f>
        <v/>
      </c>
      <c r="C1657" s="70" t="str">
        <f>IF($A$3=" "," ", IFERROR( VLOOKUP($A1657,'SUPPLIER DATA BASE'!$A$2:$F$936,6,0),""))</f>
        <v/>
      </c>
      <c r="D1657" s="70" t="str">
        <f>IF($A$3=" "," ", IFERROR( VLOOKUP($A1657,'SUPPLIER DATA BASE'!$A$2:$G$936,4,0),""))</f>
        <v/>
      </c>
      <c r="E1657" s="71" t="str">
        <f>IF($A$3=" "," ", IFERROR( VLOOKUP($A1657,'SUPPLIER DATA BASE'!$A$2:$H$936,5,0),""))</f>
        <v/>
      </c>
      <c r="F1657" s="72"/>
      <c r="G1657" s="73"/>
      <c r="H1657" s="74"/>
      <c r="I1657" s="75"/>
      <c r="J1657" s="70"/>
      <c r="K1657" s="70"/>
      <c r="L1657" s="73"/>
      <c r="M1657" s="70" t="str">
        <f t="shared" si="3"/>
        <v/>
      </c>
      <c r="N1657" s="70" t="str">
        <f>IF($A$3=" "," ", IFERROR( VLOOKUP($A1657,'SUPPLIER DATA BASE'!$A$2:$O$936,11,0),""))</f>
        <v/>
      </c>
      <c r="O1657" s="70" t="str">
        <f>IF($A$3=" "," ", IFERROR( VLOOKUP($A1657,'SUPPLIER DATA BASE'!$A$2:$O$936,12,0),""))</f>
        <v/>
      </c>
      <c r="P1657" s="70" t="str">
        <f>IF($A$3=" "," ", IFERROR( VLOOKUP($A1657,'SUPPLIER DATA BASE'!$A$2:$O$936,13,0),""))</f>
        <v/>
      </c>
      <c r="Q1657" s="77"/>
      <c r="R1657" s="73"/>
      <c r="S1657" s="77"/>
      <c r="T1657" s="70"/>
      <c r="U1657" s="78"/>
      <c r="V1657" s="70" t="str">
        <f t="shared" si="6"/>
        <v/>
      </c>
      <c r="W1657" s="23"/>
      <c r="X1657" s="23"/>
    </row>
    <row r="1658">
      <c r="A1658" s="70"/>
      <c r="B1658" s="70" t="str">
        <f>IF($A$3=" "," ", IFERROR( VLOOKUP($A1658,'SUPPLIER DATA BASE'!$A$2:$M$936,3,0),""))</f>
        <v/>
      </c>
      <c r="C1658" s="70" t="str">
        <f>IF($A$3=" "," ", IFERROR( VLOOKUP($A1658,'SUPPLIER DATA BASE'!$A$2:$F$936,6,0),""))</f>
        <v/>
      </c>
      <c r="D1658" s="70" t="str">
        <f>IF($A$3=" "," ", IFERROR( VLOOKUP($A1658,'SUPPLIER DATA BASE'!$A$2:$G$936,4,0),""))</f>
        <v/>
      </c>
      <c r="E1658" s="71" t="str">
        <f>IF($A$3=" "," ", IFERROR( VLOOKUP($A1658,'SUPPLIER DATA BASE'!$A$2:$H$936,5,0),""))</f>
        <v/>
      </c>
      <c r="F1658" s="72"/>
      <c r="G1658" s="73"/>
      <c r="H1658" s="74"/>
      <c r="I1658" s="75"/>
      <c r="J1658" s="70"/>
      <c r="K1658" s="70"/>
      <c r="L1658" s="73"/>
      <c r="M1658" s="70" t="str">
        <f t="shared" si="3"/>
        <v/>
      </c>
      <c r="N1658" s="70" t="str">
        <f>IF($A$3=" "," ", IFERROR( VLOOKUP($A1658,'SUPPLIER DATA BASE'!$A$2:$O$936,11,0),""))</f>
        <v/>
      </c>
      <c r="O1658" s="70" t="str">
        <f>IF($A$3=" "," ", IFERROR( VLOOKUP($A1658,'SUPPLIER DATA BASE'!$A$2:$O$936,12,0),""))</f>
        <v/>
      </c>
      <c r="P1658" s="70" t="str">
        <f>IF($A$3=" "," ", IFERROR( VLOOKUP($A1658,'SUPPLIER DATA BASE'!$A$2:$O$936,13,0),""))</f>
        <v/>
      </c>
      <c r="Q1658" s="77"/>
      <c r="R1658" s="73"/>
      <c r="S1658" s="77"/>
      <c r="T1658" s="70"/>
      <c r="U1658" s="78"/>
      <c r="V1658" s="70" t="str">
        <f t="shared" si="6"/>
        <v/>
      </c>
      <c r="W1658" s="23"/>
      <c r="X1658" s="23"/>
    </row>
    <row r="1659">
      <c r="A1659" s="70"/>
      <c r="B1659" s="70" t="str">
        <f>IF($A$3=" "," ", IFERROR( VLOOKUP($A1659,'SUPPLIER DATA BASE'!$A$2:$M$936,3,0),""))</f>
        <v/>
      </c>
      <c r="C1659" s="70" t="str">
        <f>IF($A$3=" "," ", IFERROR( VLOOKUP($A1659,'SUPPLIER DATA BASE'!$A$2:$F$936,6,0),""))</f>
        <v/>
      </c>
      <c r="D1659" s="70" t="str">
        <f>IF($A$3=" "," ", IFERROR( VLOOKUP($A1659,'SUPPLIER DATA BASE'!$A$2:$G$936,4,0),""))</f>
        <v/>
      </c>
      <c r="E1659" s="71" t="str">
        <f>IF($A$3=" "," ", IFERROR( VLOOKUP($A1659,'SUPPLIER DATA BASE'!$A$2:$H$936,5,0),""))</f>
        <v/>
      </c>
      <c r="F1659" s="72"/>
      <c r="G1659" s="73"/>
      <c r="H1659" s="74"/>
      <c r="I1659" s="75"/>
      <c r="J1659" s="70"/>
      <c r="K1659" s="70"/>
      <c r="L1659" s="73"/>
      <c r="M1659" s="70" t="str">
        <f t="shared" si="3"/>
        <v/>
      </c>
      <c r="N1659" s="70" t="str">
        <f>IF($A$3=" "," ", IFERROR( VLOOKUP($A1659,'SUPPLIER DATA BASE'!$A$2:$O$936,11,0),""))</f>
        <v/>
      </c>
      <c r="O1659" s="70" t="str">
        <f>IF($A$3=" "," ", IFERROR( VLOOKUP($A1659,'SUPPLIER DATA BASE'!$A$2:$O$936,12,0),""))</f>
        <v/>
      </c>
      <c r="P1659" s="70" t="str">
        <f>IF($A$3=" "," ", IFERROR( VLOOKUP($A1659,'SUPPLIER DATA BASE'!$A$2:$O$936,13,0),""))</f>
        <v/>
      </c>
      <c r="Q1659" s="77"/>
      <c r="R1659" s="73"/>
      <c r="S1659" s="77"/>
      <c r="T1659" s="70"/>
      <c r="U1659" s="78"/>
      <c r="V1659" s="70" t="str">
        <f t="shared" si="6"/>
        <v/>
      </c>
      <c r="W1659" s="23"/>
      <c r="X1659" s="23"/>
    </row>
    <row r="1660">
      <c r="A1660" s="70"/>
      <c r="B1660" s="70" t="str">
        <f>IF($A$3=" "," ", IFERROR( VLOOKUP($A1660,'SUPPLIER DATA BASE'!$A$2:$M$936,3,0),""))</f>
        <v/>
      </c>
      <c r="C1660" s="70" t="str">
        <f>IF($A$3=" "," ", IFERROR( VLOOKUP($A1660,'SUPPLIER DATA BASE'!$A$2:$F$936,6,0),""))</f>
        <v/>
      </c>
      <c r="D1660" s="70" t="str">
        <f>IF($A$3=" "," ", IFERROR( VLOOKUP($A1660,'SUPPLIER DATA BASE'!$A$2:$G$936,4,0),""))</f>
        <v/>
      </c>
      <c r="E1660" s="71" t="str">
        <f>IF($A$3=" "," ", IFERROR( VLOOKUP($A1660,'SUPPLIER DATA BASE'!$A$2:$H$936,5,0),""))</f>
        <v/>
      </c>
      <c r="F1660" s="72"/>
      <c r="G1660" s="73"/>
      <c r="H1660" s="74"/>
      <c r="I1660" s="75"/>
      <c r="J1660" s="70"/>
      <c r="K1660" s="70"/>
      <c r="L1660" s="73"/>
      <c r="M1660" s="70" t="str">
        <f t="shared" si="3"/>
        <v/>
      </c>
      <c r="N1660" s="70" t="str">
        <f>IF($A$3=" "," ", IFERROR( VLOOKUP($A1660,'SUPPLIER DATA BASE'!$A$2:$O$936,11,0),""))</f>
        <v/>
      </c>
      <c r="O1660" s="70" t="str">
        <f>IF($A$3=" "," ", IFERROR( VLOOKUP($A1660,'SUPPLIER DATA BASE'!$A$2:$O$936,12,0),""))</f>
        <v/>
      </c>
      <c r="P1660" s="70" t="str">
        <f>IF($A$3=" "," ", IFERROR( VLOOKUP($A1660,'SUPPLIER DATA BASE'!$A$2:$O$936,13,0),""))</f>
        <v/>
      </c>
      <c r="Q1660" s="77"/>
      <c r="R1660" s="73"/>
      <c r="S1660" s="77"/>
      <c r="T1660" s="70"/>
      <c r="U1660" s="78"/>
      <c r="V1660" s="70" t="str">
        <f t="shared" si="6"/>
        <v/>
      </c>
      <c r="W1660" s="23"/>
      <c r="X1660" s="23"/>
    </row>
    <row r="1661">
      <c r="A1661" s="70"/>
      <c r="B1661" s="70" t="str">
        <f>IF($A$3=" "," ", IFERROR( VLOOKUP($A1661,'SUPPLIER DATA BASE'!$A$2:$M$936,3,0),""))</f>
        <v/>
      </c>
      <c r="C1661" s="70" t="str">
        <f>IF($A$3=" "," ", IFERROR( VLOOKUP($A1661,'SUPPLIER DATA BASE'!$A$2:$F$936,6,0),""))</f>
        <v/>
      </c>
      <c r="D1661" s="70" t="str">
        <f>IF($A$3=" "," ", IFERROR( VLOOKUP($A1661,'SUPPLIER DATA BASE'!$A$2:$G$936,4,0),""))</f>
        <v/>
      </c>
      <c r="E1661" s="71" t="str">
        <f>IF($A$3=" "," ", IFERROR( VLOOKUP($A1661,'SUPPLIER DATA BASE'!$A$2:$H$936,5,0),""))</f>
        <v/>
      </c>
      <c r="F1661" s="72"/>
      <c r="G1661" s="73"/>
      <c r="H1661" s="74"/>
      <c r="I1661" s="75"/>
      <c r="J1661" s="70"/>
      <c r="K1661" s="70"/>
      <c r="L1661" s="73"/>
      <c r="M1661" s="70" t="str">
        <f t="shared" si="3"/>
        <v/>
      </c>
      <c r="N1661" s="70" t="str">
        <f>IF($A$3=" "," ", IFERROR( VLOOKUP($A1661,'SUPPLIER DATA BASE'!$A$2:$O$936,11,0),""))</f>
        <v/>
      </c>
      <c r="O1661" s="70" t="str">
        <f>IF($A$3=" "," ", IFERROR( VLOOKUP($A1661,'SUPPLIER DATA BASE'!$A$2:$O$936,12,0),""))</f>
        <v/>
      </c>
      <c r="P1661" s="70" t="str">
        <f>IF($A$3=" "," ", IFERROR( VLOOKUP($A1661,'SUPPLIER DATA BASE'!$A$2:$O$936,13,0),""))</f>
        <v/>
      </c>
      <c r="Q1661" s="77"/>
      <c r="R1661" s="73"/>
      <c r="S1661" s="77"/>
      <c r="T1661" s="70"/>
      <c r="U1661" s="78"/>
      <c r="V1661" s="70" t="str">
        <f t="shared" si="6"/>
        <v/>
      </c>
      <c r="W1661" s="23"/>
      <c r="X1661" s="23"/>
    </row>
    <row r="1662">
      <c r="A1662" s="70"/>
      <c r="B1662" s="70" t="str">
        <f>IF($A$3=" "," ", IFERROR( VLOOKUP($A1662,'SUPPLIER DATA BASE'!$A$2:$M$936,3,0),""))</f>
        <v/>
      </c>
      <c r="C1662" s="70" t="str">
        <f>IF($A$3=" "," ", IFERROR( VLOOKUP($A1662,'SUPPLIER DATA BASE'!$A$2:$F$936,6,0),""))</f>
        <v/>
      </c>
      <c r="D1662" s="70" t="str">
        <f>IF($A$3=" "," ", IFERROR( VLOOKUP($A1662,'SUPPLIER DATA BASE'!$A$2:$G$936,4,0),""))</f>
        <v/>
      </c>
      <c r="E1662" s="71" t="str">
        <f>IF($A$3=" "," ", IFERROR( VLOOKUP($A1662,'SUPPLIER DATA BASE'!$A$2:$H$936,5,0),""))</f>
        <v/>
      </c>
      <c r="F1662" s="72"/>
      <c r="G1662" s="73"/>
      <c r="H1662" s="74"/>
      <c r="I1662" s="75"/>
      <c r="J1662" s="70"/>
      <c r="K1662" s="70"/>
      <c r="L1662" s="73"/>
      <c r="M1662" s="70" t="str">
        <f t="shared" si="3"/>
        <v/>
      </c>
      <c r="N1662" s="70" t="str">
        <f>IF($A$3=" "," ", IFERROR( VLOOKUP($A1662,'SUPPLIER DATA BASE'!$A$2:$O$936,11,0),""))</f>
        <v/>
      </c>
      <c r="O1662" s="70" t="str">
        <f>IF($A$3=" "," ", IFERROR( VLOOKUP($A1662,'SUPPLIER DATA BASE'!$A$2:$O$936,12,0),""))</f>
        <v/>
      </c>
      <c r="P1662" s="70" t="str">
        <f>IF($A$3=" "," ", IFERROR( VLOOKUP($A1662,'SUPPLIER DATA BASE'!$A$2:$O$936,13,0),""))</f>
        <v/>
      </c>
      <c r="Q1662" s="77"/>
      <c r="R1662" s="73"/>
      <c r="S1662" s="77"/>
      <c r="T1662" s="70"/>
      <c r="U1662" s="78"/>
      <c r="V1662" s="70" t="str">
        <f t="shared" si="6"/>
        <v/>
      </c>
      <c r="W1662" s="23"/>
      <c r="X1662" s="23"/>
    </row>
    <row r="1663">
      <c r="A1663" s="70"/>
      <c r="B1663" s="70" t="str">
        <f>IF($A$3=" "," ", IFERROR( VLOOKUP($A1663,'SUPPLIER DATA BASE'!$A$2:$M$936,3,0),""))</f>
        <v/>
      </c>
      <c r="C1663" s="70" t="str">
        <f>IF($A$3=" "," ", IFERROR( VLOOKUP($A1663,'SUPPLIER DATA BASE'!$A$2:$F$936,6,0),""))</f>
        <v/>
      </c>
      <c r="D1663" s="70" t="str">
        <f>IF($A$3=" "," ", IFERROR( VLOOKUP($A1663,'SUPPLIER DATA BASE'!$A$2:$G$936,4,0),""))</f>
        <v/>
      </c>
      <c r="E1663" s="71" t="str">
        <f>IF($A$3=" "," ", IFERROR( VLOOKUP($A1663,'SUPPLIER DATA BASE'!$A$2:$H$936,5,0),""))</f>
        <v/>
      </c>
      <c r="F1663" s="72"/>
      <c r="G1663" s="73"/>
      <c r="H1663" s="74"/>
      <c r="I1663" s="75"/>
      <c r="J1663" s="70"/>
      <c r="K1663" s="70"/>
      <c r="L1663" s="73"/>
      <c r="M1663" s="70" t="str">
        <f t="shared" si="3"/>
        <v/>
      </c>
      <c r="N1663" s="70" t="str">
        <f>IF($A$3=" "," ", IFERROR( VLOOKUP($A1663,'SUPPLIER DATA BASE'!$A$2:$O$936,11,0),""))</f>
        <v/>
      </c>
      <c r="O1663" s="70" t="str">
        <f>IF($A$3=" "," ", IFERROR( VLOOKUP($A1663,'SUPPLIER DATA BASE'!$A$2:$O$936,12,0),""))</f>
        <v/>
      </c>
      <c r="P1663" s="70" t="str">
        <f>IF($A$3=" "," ", IFERROR( VLOOKUP($A1663,'SUPPLIER DATA BASE'!$A$2:$O$936,13,0),""))</f>
        <v/>
      </c>
      <c r="Q1663" s="77"/>
      <c r="R1663" s="73"/>
      <c r="S1663" s="77"/>
      <c r="T1663" s="70"/>
      <c r="U1663" s="78"/>
      <c r="V1663" s="70" t="str">
        <f t="shared" si="6"/>
        <v/>
      </c>
      <c r="W1663" s="23"/>
      <c r="X1663" s="23"/>
    </row>
    <row r="1664">
      <c r="A1664" s="70"/>
      <c r="B1664" s="70" t="str">
        <f>IF($A$3=" "," ", IFERROR( VLOOKUP($A1664,'SUPPLIER DATA BASE'!$A$2:$M$936,3,0),""))</f>
        <v/>
      </c>
      <c r="C1664" s="70" t="str">
        <f>IF($A$3=" "," ", IFERROR( VLOOKUP($A1664,'SUPPLIER DATA BASE'!$A$2:$F$936,6,0),""))</f>
        <v/>
      </c>
      <c r="D1664" s="70" t="str">
        <f>IF($A$3=" "," ", IFERROR( VLOOKUP($A1664,'SUPPLIER DATA BASE'!$A$2:$G$936,4,0),""))</f>
        <v/>
      </c>
      <c r="E1664" s="71" t="str">
        <f>IF($A$3=" "," ", IFERROR( VLOOKUP($A1664,'SUPPLIER DATA BASE'!$A$2:$H$936,5,0),""))</f>
        <v/>
      </c>
      <c r="F1664" s="72"/>
      <c r="G1664" s="73"/>
      <c r="H1664" s="74"/>
      <c r="I1664" s="75"/>
      <c r="J1664" s="70"/>
      <c r="K1664" s="70"/>
      <c r="L1664" s="73"/>
      <c r="M1664" s="70" t="str">
        <f t="shared" si="3"/>
        <v/>
      </c>
      <c r="N1664" s="70" t="str">
        <f>IF($A$3=" "," ", IFERROR( VLOOKUP($A1664,'SUPPLIER DATA BASE'!$A$2:$O$936,11,0),""))</f>
        <v/>
      </c>
      <c r="O1664" s="70" t="str">
        <f>IF($A$3=" "," ", IFERROR( VLOOKUP($A1664,'SUPPLIER DATA BASE'!$A$2:$O$936,12,0),""))</f>
        <v/>
      </c>
      <c r="P1664" s="70" t="str">
        <f>IF($A$3=" "," ", IFERROR( VLOOKUP($A1664,'SUPPLIER DATA BASE'!$A$2:$O$936,13,0),""))</f>
        <v/>
      </c>
      <c r="Q1664" s="77"/>
      <c r="R1664" s="73"/>
      <c r="S1664" s="77"/>
      <c r="T1664" s="70"/>
      <c r="U1664" s="78"/>
      <c r="V1664" s="70" t="str">
        <f t="shared" si="6"/>
        <v/>
      </c>
      <c r="W1664" s="23"/>
      <c r="X1664" s="23"/>
    </row>
    <row r="1665">
      <c r="A1665" s="70"/>
      <c r="B1665" s="70" t="str">
        <f>IF($A$3=" "," ", IFERROR( VLOOKUP($A1665,'SUPPLIER DATA BASE'!$A$2:$M$936,3,0),""))</f>
        <v/>
      </c>
      <c r="C1665" s="70" t="str">
        <f>IF($A$3=" "," ", IFERROR( VLOOKUP($A1665,'SUPPLIER DATA BASE'!$A$2:$F$936,6,0),""))</f>
        <v/>
      </c>
      <c r="D1665" s="70" t="str">
        <f>IF($A$3=" "," ", IFERROR( VLOOKUP($A1665,'SUPPLIER DATA BASE'!$A$2:$G$936,4,0),""))</f>
        <v/>
      </c>
      <c r="E1665" s="71" t="str">
        <f>IF($A$3=" "," ", IFERROR( VLOOKUP($A1665,'SUPPLIER DATA BASE'!$A$2:$H$936,5,0),""))</f>
        <v/>
      </c>
      <c r="F1665" s="72"/>
      <c r="G1665" s="73"/>
      <c r="H1665" s="74"/>
      <c r="I1665" s="75"/>
      <c r="J1665" s="70"/>
      <c r="K1665" s="70"/>
      <c r="L1665" s="73"/>
      <c r="M1665" s="70" t="str">
        <f t="shared" si="3"/>
        <v/>
      </c>
      <c r="N1665" s="70" t="str">
        <f>IF($A$3=" "," ", IFERROR( VLOOKUP($A1665,'SUPPLIER DATA BASE'!$A$2:$O$936,11,0),""))</f>
        <v/>
      </c>
      <c r="O1665" s="70" t="str">
        <f>IF($A$3=" "," ", IFERROR( VLOOKUP($A1665,'SUPPLIER DATA BASE'!$A$2:$O$936,12,0),""))</f>
        <v/>
      </c>
      <c r="P1665" s="70" t="str">
        <f>IF($A$3=" "," ", IFERROR( VLOOKUP($A1665,'SUPPLIER DATA BASE'!$A$2:$O$936,13,0),""))</f>
        <v/>
      </c>
      <c r="Q1665" s="77"/>
      <c r="R1665" s="73"/>
      <c r="S1665" s="77"/>
      <c r="T1665" s="70"/>
      <c r="U1665" s="78"/>
      <c r="V1665" s="70" t="str">
        <f t="shared" si="6"/>
        <v/>
      </c>
      <c r="W1665" s="23"/>
      <c r="X1665" s="23"/>
    </row>
    <row r="1666">
      <c r="A1666" s="70"/>
      <c r="B1666" s="70" t="str">
        <f>IF($A$3=" "," ", IFERROR( VLOOKUP($A1666,'SUPPLIER DATA BASE'!$A$2:$M$936,3,0),""))</f>
        <v/>
      </c>
      <c r="C1666" s="70" t="str">
        <f>IF($A$3=" "," ", IFERROR( VLOOKUP($A1666,'SUPPLIER DATA BASE'!$A$2:$F$936,6,0),""))</f>
        <v/>
      </c>
      <c r="D1666" s="70" t="str">
        <f>IF($A$3=" "," ", IFERROR( VLOOKUP($A1666,'SUPPLIER DATA BASE'!$A$2:$G$936,4,0),""))</f>
        <v/>
      </c>
      <c r="E1666" s="71" t="str">
        <f>IF($A$3=" "," ", IFERROR( VLOOKUP($A1666,'SUPPLIER DATA BASE'!$A$2:$H$936,5,0),""))</f>
        <v/>
      </c>
      <c r="F1666" s="72"/>
      <c r="G1666" s="73"/>
      <c r="H1666" s="74"/>
      <c r="I1666" s="75"/>
      <c r="J1666" s="70"/>
      <c r="K1666" s="70"/>
      <c r="L1666" s="73"/>
      <c r="M1666" s="70" t="str">
        <f t="shared" si="3"/>
        <v/>
      </c>
      <c r="N1666" s="70" t="str">
        <f>IF($A$3=" "," ", IFERROR( VLOOKUP($A1666,'SUPPLIER DATA BASE'!$A$2:$O$936,11,0),""))</f>
        <v/>
      </c>
      <c r="O1666" s="70" t="str">
        <f>IF($A$3=" "," ", IFERROR( VLOOKUP($A1666,'SUPPLIER DATA BASE'!$A$2:$O$936,12,0),""))</f>
        <v/>
      </c>
      <c r="P1666" s="70" t="str">
        <f>IF($A$3=" "," ", IFERROR( VLOOKUP($A1666,'SUPPLIER DATA BASE'!$A$2:$O$936,13,0),""))</f>
        <v/>
      </c>
      <c r="Q1666" s="77"/>
      <c r="R1666" s="73"/>
      <c r="S1666" s="77"/>
      <c r="T1666" s="70"/>
      <c r="U1666" s="78"/>
      <c r="V1666" s="70" t="str">
        <f t="shared" si="6"/>
        <v/>
      </c>
      <c r="W1666" s="23"/>
      <c r="X1666" s="23"/>
    </row>
    <row r="1667">
      <c r="A1667" s="70"/>
      <c r="B1667" s="70" t="str">
        <f>IF($A$3=" "," ", IFERROR( VLOOKUP($A1667,'SUPPLIER DATA BASE'!$A$2:$M$936,3,0),""))</f>
        <v/>
      </c>
      <c r="C1667" s="70" t="str">
        <f>IF($A$3=" "," ", IFERROR( VLOOKUP($A1667,'SUPPLIER DATA BASE'!$A$2:$F$936,6,0),""))</f>
        <v/>
      </c>
      <c r="D1667" s="70" t="str">
        <f>IF($A$3=" "," ", IFERROR( VLOOKUP($A1667,'SUPPLIER DATA BASE'!$A$2:$G$936,4,0),""))</f>
        <v/>
      </c>
      <c r="E1667" s="71" t="str">
        <f>IF($A$3=" "," ", IFERROR( VLOOKUP($A1667,'SUPPLIER DATA BASE'!$A$2:$H$936,5,0),""))</f>
        <v/>
      </c>
      <c r="F1667" s="72"/>
      <c r="G1667" s="73"/>
      <c r="H1667" s="74"/>
      <c r="I1667" s="75"/>
      <c r="J1667" s="70"/>
      <c r="K1667" s="70"/>
      <c r="L1667" s="73"/>
      <c r="M1667" s="70" t="str">
        <f t="shared" si="3"/>
        <v/>
      </c>
      <c r="N1667" s="70" t="str">
        <f>IF($A$3=" "," ", IFERROR( VLOOKUP($A1667,'SUPPLIER DATA BASE'!$A$2:$O$936,11,0),""))</f>
        <v/>
      </c>
      <c r="O1667" s="70" t="str">
        <f>IF($A$3=" "," ", IFERROR( VLOOKUP($A1667,'SUPPLIER DATA BASE'!$A$2:$O$936,12,0),""))</f>
        <v/>
      </c>
      <c r="P1667" s="70" t="str">
        <f>IF($A$3=" "," ", IFERROR( VLOOKUP($A1667,'SUPPLIER DATA BASE'!$A$2:$O$936,13,0),""))</f>
        <v/>
      </c>
      <c r="Q1667" s="77"/>
      <c r="R1667" s="73"/>
      <c r="S1667" s="77"/>
      <c r="T1667" s="70"/>
      <c r="U1667" s="78"/>
      <c r="V1667" s="70" t="str">
        <f t="shared" si="6"/>
        <v/>
      </c>
      <c r="W1667" s="23"/>
      <c r="X1667" s="23"/>
    </row>
    <row r="1668">
      <c r="A1668" s="70"/>
      <c r="B1668" s="70" t="str">
        <f>IF($A$3=" "," ", IFERROR( VLOOKUP($A1668,'SUPPLIER DATA BASE'!$A$2:$M$936,3,0),""))</f>
        <v/>
      </c>
      <c r="C1668" s="70" t="str">
        <f>IF($A$3=" "," ", IFERROR( VLOOKUP($A1668,'SUPPLIER DATA BASE'!$A$2:$F$936,6,0),""))</f>
        <v/>
      </c>
      <c r="D1668" s="70" t="str">
        <f>IF($A$3=" "," ", IFERROR( VLOOKUP($A1668,'SUPPLIER DATA BASE'!$A$2:$G$936,4,0),""))</f>
        <v/>
      </c>
      <c r="E1668" s="71" t="str">
        <f>IF($A$3=" "," ", IFERROR( VLOOKUP($A1668,'SUPPLIER DATA BASE'!$A$2:$H$936,5,0),""))</f>
        <v/>
      </c>
      <c r="F1668" s="72"/>
      <c r="G1668" s="73"/>
      <c r="H1668" s="74"/>
      <c r="I1668" s="75"/>
      <c r="J1668" s="70"/>
      <c r="K1668" s="70"/>
      <c r="L1668" s="73"/>
      <c r="M1668" s="70" t="str">
        <f t="shared" si="3"/>
        <v/>
      </c>
      <c r="N1668" s="70" t="str">
        <f>IF($A$3=" "," ", IFERROR( VLOOKUP($A1668,'SUPPLIER DATA BASE'!$A$2:$O$936,11,0),""))</f>
        <v/>
      </c>
      <c r="O1668" s="70" t="str">
        <f>IF($A$3=" "," ", IFERROR( VLOOKUP($A1668,'SUPPLIER DATA BASE'!$A$2:$O$936,12,0),""))</f>
        <v/>
      </c>
      <c r="P1668" s="70" t="str">
        <f>IF($A$3=" "," ", IFERROR( VLOOKUP($A1668,'SUPPLIER DATA BASE'!$A$2:$O$936,13,0),""))</f>
        <v/>
      </c>
      <c r="Q1668" s="77"/>
      <c r="R1668" s="73"/>
      <c r="S1668" s="77"/>
      <c r="T1668" s="70"/>
      <c r="U1668" s="78"/>
      <c r="V1668" s="70" t="str">
        <f t="shared" si="6"/>
        <v/>
      </c>
      <c r="W1668" s="23"/>
      <c r="X1668" s="23"/>
    </row>
    <row r="1669">
      <c r="A1669" s="70"/>
      <c r="B1669" s="70" t="str">
        <f>IF($A$3=" "," ", IFERROR( VLOOKUP($A1669,'SUPPLIER DATA BASE'!$A$2:$M$936,3,0),""))</f>
        <v/>
      </c>
      <c r="C1669" s="70" t="str">
        <f>IF($A$3=" "," ", IFERROR( VLOOKUP($A1669,'SUPPLIER DATA BASE'!$A$2:$F$936,6,0),""))</f>
        <v/>
      </c>
      <c r="D1669" s="70" t="str">
        <f>IF($A$3=" "," ", IFERROR( VLOOKUP($A1669,'SUPPLIER DATA BASE'!$A$2:$G$936,4,0),""))</f>
        <v/>
      </c>
      <c r="E1669" s="71" t="str">
        <f>IF($A$3=" "," ", IFERROR( VLOOKUP($A1669,'SUPPLIER DATA BASE'!$A$2:$H$936,5,0),""))</f>
        <v/>
      </c>
      <c r="F1669" s="72"/>
      <c r="G1669" s="73"/>
      <c r="H1669" s="74"/>
      <c r="I1669" s="75"/>
      <c r="J1669" s="70"/>
      <c r="K1669" s="70"/>
      <c r="L1669" s="73"/>
      <c r="M1669" s="70" t="str">
        <f t="shared" si="3"/>
        <v/>
      </c>
      <c r="N1669" s="70" t="str">
        <f>IF($A$3=" "," ", IFERROR( VLOOKUP($A1669,'SUPPLIER DATA BASE'!$A$2:$O$936,11,0),""))</f>
        <v/>
      </c>
      <c r="O1669" s="70" t="str">
        <f>IF($A$3=" "," ", IFERROR( VLOOKUP($A1669,'SUPPLIER DATA BASE'!$A$2:$O$936,12,0),""))</f>
        <v/>
      </c>
      <c r="P1669" s="70" t="str">
        <f>IF($A$3=" "," ", IFERROR( VLOOKUP($A1669,'SUPPLIER DATA BASE'!$A$2:$O$936,13,0),""))</f>
        <v/>
      </c>
      <c r="Q1669" s="77"/>
      <c r="R1669" s="73"/>
      <c r="S1669" s="77"/>
      <c r="T1669" s="70"/>
      <c r="U1669" s="78"/>
      <c r="V1669" s="70" t="str">
        <f t="shared" si="6"/>
        <v/>
      </c>
      <c r="W1669" s="23"/>
      <c r="X1669" s="23"/>
    </row>
    <row r="1670">
      <c r="A1670" s="70"/>
      <c r="B1670" s="70" t="str">
        <f>IF($A$3=" "," ", IFERROR( VLOOKUP($A1670,'SUPPLIER DATA BASE'!$A$2:$M$936,3,0),""))</f>
        <v/>
      </c>
      <c r="C1670" s="70" t="str">
        <f>IF($A$3=" "," ", IFERROR( VLOOKUP($A1670,'SUPPLIER DATA BASE'!$A$2:$F$936,6,0),""))</f>
        <v/>
      </c>
      <c r="D1670" s="70" t="str">
        <f>IF($A$3=" "," ", IFERROR( VLOOKUP($A1670,'SUPPLIER DATA BASE'!$A$2:$G$936,4,0),""))</f>
        <v/>
      </c>
      <c r="E1670" s="71" t="str">
        <f>IF($A$3=" "," ", IFERROR( VLOOKUP($A1670,'SUPPLIER DATA BASE'!$A$2:$H$936,5,0),""))</f>
        <v/>
      </c>
      <c r="F1670" s="72"/>
      <c r="G1670" s="73"/>
      <c r="H1670" s="74"/>
      <c r="I1670" s="75"/>
      <c r="J1670" s="70"/>
      <c r="K1670" s="70"/>
      <c r="L1670" s="73"/>
      <c r="M1670" s="70" t="str">
        <f t="shared" si="3"/>
        <v/>
      </c>
      <c r="N1670" s="70" t="str">
        <f>IF($A$3=" "," ", IFERROR( VLOOKUP($A1670,'SUPPLIER DATA BASE'!$A$2:$O$936,11,0),""))</f>
        <v/>
      </c>
      <c r="O1670" s="70" t="str">
        <f>IF($A$3=" "," ", IFERROR( VLOOKUP($A1670,'SUPPLIER DATA BASE'!$A$2:$O$936,12,0),""))</f>
        <v/>
      </c>
      <c r="P1670" s="70" t="str">
        <f>IF($A$3=" "," ", IFERROR( VLOOKUP($A1670,'SUPPLIER DATA BASE'!$A$2:$O$936,13,0),""))</f>
        <v/>
      </c>
      <c r="Q1670" s="77"/>
      <c r="R1670" s="73"/>
      <c r="S1670" s="77"/>
      <c r="T1670" s="70"/>
      <c r="U1670" s="78"/>
      <c r="V1670" s="70" t="str">
        <f t="shared" si="6"/>
        <v/>
      </c>
      <c r="W1670" s="23"/>
      <c r="X1670" s="23"/>
    </row>
    <row r="1671">
      <c r="A1671" s="70"/>
      <c r="B1671" s="70" t="str">
        <f>IF($A$3=" "," ", IFERROR( VLOOKUP($A1671,'SUPPLIER DATA BASE'!$A$2:$M$936,3,0),""))</f>
        <v/>
      </c>
      <c r="C1671" s="70" t="str">
        <f>IF($A$3=" "," ", IFERROR( VLOOKUP($A1671,'SUPPLIER DATA BASE'!$A$2:$F$936,6,0),""))</f>
        <v/>
      </c>
      <c r="D1671" s="70" t="str">
        <f>IF($A$3=" "," ", IFERROR( VLOOKUP($A1671,'SUPPLIER DATA BASE'!$A$2:$G$936,4,0),""))</f>
        <v/>
      </c>
      <c r="E1671" s="71" t="str">
        <f>IF($A$3=" "," ", IFERROR( VLOOKUP($A1671,'SUPPLIER DATA BASE'!$A$2:$H$936,5,0),""))</f>
        <v/>
      </c>
      <c r="F1671" s="72"/>
      <c r="G1671" s="73"/>
      <c r="H1671" s="74"/>
      <c r="I1671" s="75"/>
      <c r="J1671" s="70"/>
      <c r="K1671" s="70"/>
      <c r="L1671" s="73"/>
      <c r="M1671" s="70" t="str">
        <f t="shared" si="3"/>
        <v/>
      </c>
      <c r="N1671" s="70" t="str">
        <f>IF($A$3=" "," ", IFERROR( VLOOKUP($A1671,'SUPPLIER DATA BASE'!$A$2:$O$936,11,0),""))</f>
        <v/>
      </c>
      <c r="O1671" s="70" t="str">
        <f>IF($A$3=" "," ", IFERROR( VLOOKUP($A1671,'SUPPLIER DATA BASE'!$A$2:$O$936,12,0),""))</f>
        <v/>
      </c>
      <c r="P1671" s="70" t="str">
        <f>IF($A$3=" "," ", IFERROR( VLOOKUP($A1671,'SUPPLIER DATA BASE'!$A$2:$O$936,13,0),""))</f>
        <v/>
      </c>
      <c r="Q1671" s="77"/>
      <c r="R1671" s="73"/>
      <c r="S1671" s="77"/>
      <c r="T1671" s="70"/>
      <c r="U1671" s="78"/>
      <c r="V1671" s="70" t="str">
        <f t="shared" si="6"/>
        <v/>
      </c>
      <c r="W1671" s="23"/>
      <c r="X1671" s="23"/>
    </row>
    <row r="1672">
      <c r="A1672" s="70"/>
      <c r="B1672" s="70" t="str">
        <f>IF($A$3=" "," ", IFERROR( VLOOKUP($A1672,'SUPPLIER DATA BASE'!$A$2:$M$936,3,0),""))</f>
        <v/>
      </c>
      <c r="C1672" s="70" t="str">
        <f>IF($A$3=" "," ", IFERROR( VLOOKUP($A1672,'SUPPLIER DATA BASE'!$A$2:$F$936,6,0),""))</f>
        <v/>
      </c>
      <c r="D1672" s="70" t="str">
        <f>IF($A$3=" "," ", IFERROR( VLOOKUP($A1672,'SUPPLIER DATA BASE'!$A$2:$G$936,4,0),""))</f>
        <v/>
      </c>
      <c r="E1672" s="71" t="str">
        <f>IF($A$3=" "," ", IFERROR( VLOOKUP($A1672,'SUPPLIER DATA BASE'!$A$2:$H$936,5,0),""))</f>
        <v/>
      </c>
      <c r="F1672" s="72"/>
      <c r="G1672" s="73"/>
      <c r="H1672" s="74"/>
      <c r="I1672" s="75"/>
      <c r="J1672" s="70"/>
      <c r="K1672" s="70"/>
      <c r="L1672" s="73"/>
      <c r="M1672" s="70" t="str">
        <f t="shared" si="3"/>
        <v/>
      </c>
      <c r="N1672" s="70" t="str">
        <f>IF($A$3=" "," ", IFERROR( VLOOKUP($A1672,'SUPPLIER DATA BASE'!$A$2:$O$936,11,0),""))</f>
        <v/>
      </c>
      <c r="O1672" s="70" t="str">
        <f>IF($A$3=" "," ", IFERROR( VLOOKUP($A1672,'SUPPLIER DATA BASE'!$A$2:$O$936,12,0),""))</f>
        <v/>
      </c>
      <c r="P1672" s="70" t="str">
        <f>IF($A$3=" "," ", IFERROR( VLOOKUP($A1672,'SUPPLIER DATA BASE'!$A$2:$O$936,13,0),""))</f>
        <v/>
      </c>
      <c r="Q1672" s="77"/>
      <c r="R1672" s="73"/>
      <c r="S1672" s="77"/>
      <c r="T1672" s="70"/>
      <c r="U1672" s="78"/>
      <c r="V1672" s="70" t="str">
        <f t="shared" si="6"/>
        <v/>
      </c>
      <c r="W1672" s="23"/>
      <c r="X1672" s="23"/>
    </row>
    <row r="1673">
      <c r="A1673" s="70"/>
      <c r="B1673" s="70" t="str">
        <f>IF($A$3=" "," ", IFERROR( VLOOKUP($A1673,'SUPPLIER DATA BASE'!$A$2:$M$936,3,0),""))</f>
        <v/>
      </c>
      <c r="C1673" s="70" t="str">
        <f>IF($A$3=" "," ", IFERROR( VLOOKUP($A1673,'SUPPLIER DATA BASE'!$A$2:$F$936,6,0),""))</f>
        <v/>
      </c>
      <c r="D1673" s="70" t="str">
        <f>IF($A$3=" "," ", IFERROR( VLOOKUP($A1673,'SUPPLIER DATA BASE'!$A$2:$G$936,4,0),""))</f>
        <v/>
      </c>
      <c r="E1673" s="71" t="str">
        <f>IF($A$3=" "," ", IFERROR( VLOOKUP($A1673,'SUPPLIER DATA BASE'!$A$2:$H$936,5,0),""))</f>
        <v/>
      </c>
      <c r="F1673" s="72"/>
      <c r="G1673" s="73"/>
      <c r="H1673" s="74"/>
      <c r="I1673" s="75"/>
      <c r="J1673" s="70"/>
      <c r="K1673" s="70"/>
      <c r="L1673" s="73"/>
      <c r="M1673" s="70" t="str">
        <f t="shared" si="3"/>
        <v/>
      </c>
      <c r="N1673" s="70" t="str">
        <f>IF($A$3=" "," ", IFERROR( VLOOKUP($A1673,'SUPPLIER DATA BASE'!$A$2:$O$936,11,0),""))</f>
        <v/>
      </c>
      <c r="O1673" s="70" t="str">
        <f>IF($A$3=" "," ", IFERROR( VLOOKUP($A1673,'SUPPLIER DATA BASE'!$A$2:$O$936,12,0),""))</f>
        <v/>
      </c>
      <c r="P1673" s="70" t="str">
        <f>IF($A$3=" "," ", IFERROR( VLOOKUP($A1673,'SUPPLIER DATA BASE'!$A$2:$O$936,13,0),""))</f>
        <v/>
      </c>
      <c r="Q1673" s="77"/>
      <c r="R1673" s="73"/>
      <c r="S1673" s="77"/>
      <c r="T1673" s="70"/>
      <c r="U1673" s="78"/>
      <c r="V1673" s="70" t="str">
        <f t="shared" si="6"/>
        <v/>
      </c>
      <c r="W1673" s="23"/>
      <c r="X1673" s="23"/>
    </row>
    <row r="1674">
      <c r="A1674" s="70"/>
      <c r="B1674" s="70" t="str">
        <f>IF($A$3=" "," ", IFERROR( VLOOKUP($A1674,'SUPPLIER DATA BASE'!$A$2:$M$936,3,0),""))</f>
        <v/>
      </c>
      <c r="C1674" s="70" t="str">
        <f>IF($A$3=" "," ", IFERROR( VLOOKUP($A1674,'SUPPLIER DATA BASE'!$A$2:$F$936,6,0),""))</f>
        <v/>
      </c>
      <c r="D1674" s="70" t="str">
        <f>IF($A$3=" "," ", IFERROR( VLOOKUP($A1674,'SUPPLIER DATA BASE'!$A$2:$G$936,4,0),""))</f>
        <v/>
      </c>
      <c r="E1674" s="71" t="str">
        <f>IF($A$3=" "," ", IFERROR( VLOOKUP($A1674,'SUPPLIER DATA BASE'!$A$2:$H$936,5,0),""))</f>
        <v/>
      </c>
      <c r="F1674" s="72"/>
      <c r="G1674" s="73"/>
      <c r="H1674" s="74"/>
      <c r="I1674" s="75"/>
      <c r="J1674" s="70"/>
      <c r="K1674" s="70"/>
      <c r="L1674" s="73"/>
      <c r="M1674" s="70" t="str">
        <f t="shared" si="3"/>
        <v/>
      </c>
      <c r="N1674" s="70" t="str">
        <f>IF($A$3=" "," ", IFERROR( VLOOKUP($A1674,'SUPPLIER DATA BASE'!$A$2:$O$936,11,0),""))</f>
        <v/>
      </c>
      <c r="O1674" s="70" t="str">
        <f>IF($A$3=" "," ", IFERROR( VLOOKUP($A1674,'SUPPLIER DATA BASE'!$A$2:$O$936,12,0),""))</f>
        <v/>
      </c>
      <c r="P1674" s="70" t="str">
        <f>IF($A$3=" "," ", IFERROR( VLOOKUP($A1674,'SUPPLIER DATA BASE'!$A$2:$O$936,13,0),""))</f>
        <v/>
      </c>
      <c r="Q1674" s="77"/>
      <c r="R1674" s="73"/>
      <c r="S1674" s="77"/>
      <c r="T1674" s="70"/>
      <c r="U1674" s="78"/>
      <c r="V1674" s="70" t="str">
        <f t="shared" si="6"/>
        <v/>
      </c>
      <c r="W1674" s="23"/>
      <c r="X1674" s="23"/>
    </row>
    <row r="1675">
      <c r="A1675" s="70"/>
      <c r="B1675" s="70" t="str">
        <f>IF($A$3=" "," ", IFERROR( VLOOKUP($A1675,'SUPPLIER DATA BASE'!$A$2:$M$936,3,0),""))</f>
        <v/>
      </c>
      <c r="C1675" s="70" t="str">
        <f>IF($A$3=" "," ", IFERROR( VLOOKUP($A1675,'SUPPLIER DATA BASE'!$A$2:$F$936,6,0),""))</f>
        <v/>
      </c>
      <c r="D1675" s="70" t="str">
        <f>IF($A$3=" "," ", IFERROR( VLOOKUP($A1675,'SUPPLIER DATA BASE'!$A$2:$G$936,4,0),""))</f>
        <v/>
      </c>
      <c r="E1675" s="71" t="str">
        <f>IF($A$3=" "," ", IFERROR( VLOOKUP($A1675,'SUPPLIER DATA BASE'!$A$2:$H$936,5,0),""))</f>
        <v/>
      </c>
      <c r="F1675" s="72"/>
      <c r="G1675" s="73"/>
      <c r="H1675" s="74"/>
      <c r="I1675" s="75"/>
      <c r="J1675" s="70"/>
      <c r="K1675" s="70"/>
      <c r="L1675" s="73"/>
      <c r="M1675" s="70" t="str">
        <f t="shared" si="3"/>
        <v/>
      </c>
      <c r="N1675" s="70" t="str">
        <f>IF($A$3=" "," ", IFERROR( VLOOKUP($A1675,'SUPPLIER DATA BASE'!$A$2:$O$936,11,0),""))</f>
        <v/>
      </c>
      <c r="O1675" s="70" t="str">
        <f>IF($A$3=" "," ", IFERROR( VLOOKUP($A1675,'SUPPLIER DATA BASE'!$A$2:$O$936,12,0),""))</f>
        <v/>
      </c>
      <c r="P1675" s="70" t="str">
        <f>IF($A$3=" "," ", IFERROR( VLOOKUP($A1675,'SUPPLIER DATA BASE'!$A$2:$O$936,13,0),""))</f>
        <v/>
      </c>
      <c r="Q1675" s="77"/>
      <c r="R1675" s="73"/>
      <c r="S1675" s="77"/>
      <c r="T1675" s="70"/>
      <c r="U1675" s="78"/>
      <c r="V1675" s="70" t="str">
        <f t="shared" si="6"/>
        <v/>
      </c>
      <c r="W1675" s="23"/>
      <c r="X1675" s="23"/>
    </row>
    <row r="1676">
      <c r="A1676" s="70"/>
      <c r="B1676" s="70" t="str">
        <f>IF($A$3=" "," ", IFERROR( VLOOKUP($A1676,'SUPPLIER DATA BASE'!$A$2:$M$936,3,0),""))</f>
        <v/>
      </c>
      <c r="C1676" s="70" t="str">
        <f>IF($A$3=" "," ", IFERROR( VLOOKUP($A1676,'SUPPLIER DATA BASE'!$A$2:$F$936,6,0),""))</f>
        <v/>
      </c>
      <c r="D1676" s="70" t="str">
        <f>IF($A$3=" "," ", IFERROR( VLOOKUP($A1676,'SUPPLIER DATA BASE'!$A$2:$G$936,4,0),""))</f>
        <v/>
      </c>
      <c r="E1676" s="71" t="str">
        <f>IF($A$3=" "," ", IFERROR( VLOOKUP($A1676,'SUPPLIER DATA BASE'!$A$2:$H$936,5,0),""))</f>
        <v/>
      </c>
      <c r="F1676" s="72"/>
      <c r="G1676" s="73"/>
      <c r="H1676" s="74"/>
      <c r="I1676" s="75"/>
      <c r="J1676" s="70"/>
      <c r="K1676" s="70"/>
      <c r="L1676" s="73"/>
      <c r="M1676" s="70" t="str">
        <f t="shared" si="3"/>
        <v/>
      </c>
      <c r="N1676" s="70" t="str">
        <f>IF($A$3=" "," ", IFERROR( VLOOKUP($A1676,'SUPPLIER DATA BASE'!$A$2:$O$936,11,0),""))</f>
        <v/>
      </c>
      <c r="O1676" s="70" t="str">
        <f>IF($A$3=" "," ", IFERROR( VLOOKUP($A1676,'SUPPLIER DATA BASE'!$A$2:$O$936,12,0),""))</f>
        <v/>
      </c>
      <c r="P1676" s="70" t="str">
        <f>IF($A$3=" "," ", IFERROR( VLOOKUP($A1676,'SUPPLIER DATA BASE'!$A$2:$O$936,13,0),""))</f>
        <v/>
      </c>
      <c r="Q1676" s="77"/>
      <c r="R1676" s="73"/>
      <c r="S1676" s="77"/>
      <c r="T1676" s="70"/>
      <c r="U1676" s="78"/>
      <c r="V1676" s="70" t="str">
        <f t="shared" si="6"/>
        <v/>
      </c>
      <c r="W1676" s="23"/>
      <c r="X1676" s="23"/>
    </row>
    <row r="1677">
      <c r="A1677" s="70"/>
      <c r="B1677" s="70" t="str">
        <f>IF($A$3=" "," ", IFERROR( VLOOKUP($A1677,'SUPPLIER DATA BASE'!$A$2:$M$936,3,0),""))</f>
        <v/>
      </c>
      <c r="C1677" s="70" t="str">
        <f>IF($A$3=" "," ", IFERROR( VLOOKUP($A1677,'SUPPLIER DATA BASE'!$A$2:$F$936,6,0),""))</f>
        <v/>
      </c>
      <c r="D1677" s="70" t="str">
        <f>IF($A$3=" "," ", IFERROR( VLOOKUP($A1677,'SUPPLIER DATA BASE'!$A$2:$G$936,4,0),""))</f>
        <v/>
      </c>
      <c r="E1677" s="71" t="str">
        <f>IF($A$3=" "," ", IFERROR( VLOOKUP($A1677,'SUPPLIER DATA BASE'!$A$2:$H$936,5,0),""))</f>
        <v/>
      </c>
      <c r="F1677" s="72"/>
      <c r="G1677" s="73"/>
      <c r="H1677" s="74"/>
      <c r="I1677" s="75"/>
      <c r="J1677" s="70"/>
      <c r="K1677" s="70"/>
      <c r="L1677" s="73"/>
      <c r="M1677" s="70" t="str">
        <f t="shared" si="3"/>
        <v/>
      </c>
      <c r="N1677" s="70" t="str">
        <f>IF($A$3=" "," ", IFERROR( VLOOKUP($A1677,'SUPPLIER DATA BASE'!$A$2:$O$936,11,0),""))</f>
        <v/>
      </c>
      <c r="O1677" s="70" t="str">
        <f>IF($A$3=" "," ", IFERROR( VLOOKUP($A1677,'SUPPLIER DATA BASE'!$A$2:$O$936,12,0),""))</f>
        <v/>
      </c>
      <c r="P1677" s="70" t="str">
        <f>IF($A$3=" "," ", IFERROR( VLOOKUP($A1677,'SUPPLIER DATA BASE'!$A$2:$O$936,13,0),""))</f>
        <v/>
      </c>
      <c r="Q1677" s="77"/>
      <c r="R1677" s="73"/>
      <c r="S1677" s="77"/>
      <c r="T1677" s="70"/>
      <c r="U1677" s="78"/>
      <c r="V1677" s="70" t="str">
        <f t="shared" si="6"/>
        <v/>
      </c>
      <c r="W1677" s="23"/>
      <c r="X1677" s="23"/>
    </row>
    <row r="1678">
      <c r="A1678" s="70"/>
      <c r="B1678" s="70" t="str">
        <f>IF($A$3=" "," ", IFERROR( VLOOKUP($A1678,'SUPPLIER DATA BASE'!$A$2:$M$936,3,0),""))</f>
        <v/>
      </c>
      <c r="C1678" s="70" t="str">
        <f>IF($A$3=" "," ", IFERROR( VLOOKUP($A1678,'SUPPLIER DATA BASE'!$A$2:$F$936,6,0),""))</f>
        <v/>
      </c>
      <c r="D1678" s="70" t="str">
        <f>IF($A$3=" "," ", IFERROR( VLOOKUP($A1678,'SUPPLIER DATA BASE'!$A$2:$G$936,4,0),""))</f>
        <v/>
      </c>
      <c r="E1678" s="71" t="str">
        <f>IF($A$3=" "," ", IFERROR( VLOOKUP($A1678,'SUPPLIER DATA BASE'!$A$2:$H$936,5,0),""))</f>
        <v/>
      </c>
      <c r="F1678" s="72"/>
      <c r="G1678" s="73"/>
      <c r="H1678" s="74"/>
      <c r="I1678" s="75"/>
      <c r="J1678" s="70"/>
      <c r="K1678" s="70"/>
      <c r="L1678" s="73"/>
      <c r="M1678" s="70" t="str">
        <f t="shared" si="3"/>
        <v/>
      </c>
      <c r="N1678" s="70" t="str">
        <f>IF($A$3=" "," ", IFERROR( VLOOKUP($A1678,'SUPPLIER DATA BASE'!$A$2:$O$936,11,0),""))</f>
        <v/>
      </c>
      <c r="O1678" s="70" t="str">
        <f>IF($A$3=" "," ", IFERROR( VLOOKUP($A1678,'SUPPLIER DATA BASE'!$A$2:$O$936,12,0),""))</f>
        <v/>
      </c>
      <c r="P1678" s="70" t="str">
        <f>IF($A$3=" "," ", IFERROR( VLOOKUP($A1678,'SUPPLIER DATA BASE'!$A$2:$O$936,13,0),""))</f>
        <v/>
      </c>
      <c r="Q1678" s="77"/>
      <c r="R1678" s="73"/>
      <c r="S1678" s="77"/>
      <c r="T1678" s="70"/>
      <c r="U1678" s="78"/>
      <c r="V1678" s="70" t="str">
        <f t="shared" si="6"/>
        <v/>
      </c>
      <c r="W1678" s="23"/>
      <c r="X1678" s="23"/>
    </row>
    <row r="1679">
      <c r="A1679" s="70"/>
      <c r="B1679" s="70" t="str">
        <f>IF($A$3=" "," ", IFERROR( VLOOKUP($A1679,'SUPPLIER DATA BASE'!$A$2:$M$936,3,0),""))</f>
        <v/>
      </c>
      <c r="C1679" s="70" t="str">
        <f>IF($A$3=" "," ", IFERROR( VLOOKUP($A1679,'SUPPLIER DATA BASE'!$A$2:$F$936,6,0),""))</f>
        <v/>
      </c>
      <c r="D1679" s="70" t="str">
        <f>IF($A$3=" "," ", IFERROR( VLOOKUP($A1679,'SUPPLIER DATA BASE'!$A$2:$G$936,4,0),""))</f>
        <v/>
      </c>
      <c r="E1679" s="71" t="str">
        <f>IF($A$3=" "," ", IFERROR( VLOOKUP($A1679,'SUPPLIER DATA BASE'!$A$2:$H$936,5,0),""))</f>
        <v/>
      </c>
      <c r="F1679" s="72"/>
      <c r="G1679" s="73"/>
      <c r="H1679" s="74"/>
      <c r="I1679" s="75"/>
      <c r="J1679" s="70"/>
      <c r="K1679" s="70"/>
      <c r="L1679" s="73"/>
      <c r="M1679" s="70" t="str">
        <f t="shared" si="3"/>
        <v/>
      </c>
      <c r="N1679" s="70" t="str">
        <f>IF($A$3=" "," ", IFERROR( VLOOKUP($A1679,'SUPPLIER DATA BASE'!$A$2:$O$936,11,0),""))</f>
        <v/>
      </c>
      <c r="O1679" s="70" t="str">
        <f>IF($A$3=" "," ", IFERROR( VLOOKUP($A1679,'SUPPLIER DATA BASE'!$A$2:$O$936,12,0),""))</f>
        <v/>
      </c>
      <c r="P1679" s="70" t="str">
        <f>IF($A$3=" "," ", IFERROR( VLOOKUP($A1679,'SUPPLIER DATA BASE'!$A$2:$O$936,13,0),""))</f>
        <v/>
      </c>
      <c r="Q1679" s="77"/>
      <c r="R1679" s="73"/>
      <c r="S1679" s="77"/>
      <c r="T1679" s="70"/>
      <c r="U1679" s="78"/>
      <c r="V1679" s="70" t="str">
        <f t="shared" si="6"/>
        <v/>
      </c>
      <c r="W1679" s="23"/>
      <c r="X1679" s="23"/>
    </row>
    <row r="1680">
      <c r="A1680" s="70"/>
      <c r="B1680" s="70" t="str">
        <f>IF($A$3=" "," ", IFERROR( VLOOKUP($A1680,'SUPPLIER DATA BASE'!$A$2:$M$936,3,0),""))</f>
        <v/>
      </c>
      <c r="C1680" s="70" t="str">
        <f>IF($A$3=" "," ", IFERROR( VLOOKUP($A1680,'SUPPLIER DATA BASE'!$A$2:$F$936,6,0),""))</f>
        <v/>
      </c>
      <c r="D1680" s="70" t="str">
        <f>IF($A$3=" "," ", IFERROR( VLOOKUP($A1680,'SUPPLIER DATA BASE'!$A$2:$G$936,4,0),""))</f>
        <v/>
      </c>
      <c r="E1680" s="71" t="str">
        <f>IF($A$3=" "," ", IFERROR( VLOOKUP($A1680,'SUPPLIER DATA BASE'!$A$2:$H$936,5,0),""))</f>
        <v/>
      </c>
      <c r="F1680" s="72"/>
      <c r="G1680" s="73"/>
      <c r="H1680" s="74"/>
      <c r="I1680" s="75"/>
      <c r="J1680" s="70"/>
      <c r="K1680" s="70"/>
      <c r="L1680" s="73"/>
      <c r="M1680" s="70" t="str">
        <f t="shared" si="3"/>
        <v/>
      </c>
      <c r="N1680" s="70" t="str">
        <f>IF($A$3=" "," ", IFERROR( VLOOKUP($A1680,'SUPPLIER DATA BASE'!$A$2:$O$936,11,0),""))</f>
        <v/>
      </c>
      <c r="O1680" s="70" t="str">
        <f>IF($A$3=" "," ", IFERROR( VLOOKUP($A1680,'SUPPLIER DATA BASE'!$A$2:$O$936,12,0),""))</f>
        <v/>
      </c>
      <c r="P1680" s="70" t="str">
        <f>IF($A$3=" "," ", IFERROR( VLOOKUP($A1680,'SUPPLIER DATA BASE'!$A$2:$O$936,13,0),""))</f>
        <v/>
      </c>
      <c r="Q1680" s="77"/>
      <c r="R1680" s="73"/>
      <c r="S1680" s="77"/>
      <c r="T1680" s="70"/>
      <c r="U1680" s="78"/>
      <c r="V1680" s="70" t="str">
        <f t="shared" si="6"/>
        <v/>
      </c>
      <c r="W1680" s="23"/>
      <c r="X1680" s="23"/>
    </row>
    <row r="1681">
      <c r="A1681" s="70"/>
      <c r="B1681" s="70" t="str">
        <f>IF($A$3=" "," ", IFERROR( VLOOKUP($A1681,'SUPPLIER DATA BASE'!$A$2:$M$936,3,0),""))</f>
        <v/>
      </c>
      <c r="C1681" s="70" t="str">
        <f>IF($A$3=" "," ", IFERROR( VLOOKUP($A1681,'SUPPLIER DATA BASE'!$A$2:$F$936,6,0),""))</f>
        <v/>
      </c>
      <c r="D1681" s="70" t="str">
        <f>IF($A$3=" "," ", IFERROR( VLOOKUP($A1681,'SUPPLIER DATA BASE'!$A$2:$G$936,4,0),""))</f>
        <v/>
      </c>
      <c r="E1681" s="71" t="str">
        <f>IF($A$3=" "," ", IFERROR( VLOOKUP($A1681,'SUPPLIER DATA BASE'!$A$2:$H$936,5,0),""))</f>
        <v/>
      </c>
      <c r="F1681" s="72"/>
      <c r="G1681" s="73"/>
      <c r="H1681" s="74"/>
      <c r="I1681" s="75"/>
      <c r="J1681" s="70"/>
      <c r="K1681" s="70"/>
      <c r="L1681" s="73"/>
      <c r="M1681" s="70" t="str">
        <f t="shared" si="3"/>
        <v/>
      </c>
      <c r="N1681" s="70" t="str">
        <f>IF($A$3=" "," ", IFERROR( VLOOKUP($A1681,'SUPPLIER DATA BASE'!$A$2:$O$936,11,0),""))</f>
        <v/>
      </c>
      <c r="O1681" s="70" t="str">
        <f>IF($A$3=" "," ", IFERROR( VLOOKUP($A1681,'SUPPLIER DATA BASE'!$A$2:$O$936,12,0),""))</f>
        <v/>
      </c>
      <c r="P1681" s="70" t="str">
        <f>IF($A$3=" "," ", IFERROR( VLOOKUP($A1681,'SUPPLIER DATA BASE'!$A$2:$O$936,13,0),""))</f>
        <v/>
      </c>
      <c r="Q1681" s="77"/>
      <c r="R1681" s="73"/>
      <c r="S1681" s="77"/>
      <c r="T1681" s="70"/>
      <c r="U1681" s="78"/>
      <c r="V1681" s="70" t="str">
        <f t="shared" si="6"/>
        <v/>
      </c>
      <c r="W1681" s="23"/>
      <c r="X1681" s="23"/>
    </row>
    <row r="1682">
      <c r="A1682" s="70"/>
      <c r="B1682" s="70" t="str">
        <f>IF($A$3=" "," ", IFERROR( VLOOKUP($A1682,'SUPPLIER DATA BASE'!$A$2:$M$936,3,0),""))</f>
        <v/>
      </c>
      <c r="C1682" s="70" t="str">
        <f>IF($A$3=" "," ", IFERROR( VLOOKUP($A1682,'SUPPLIER DATA BASE'!$A$2:$F$936,6,0),""))</f>
        <v/>
      </c>
      <c r="D1682" s="70" t="str">
        <f>IF($A$3=" "," ", IFERROR( VLOOKUP($A1682,'SUPPLIER DATA BASE'!$A$2:$G$936,4,0),""))</f>
        <v/>
      </c>
      <c r="E1682" s="71" t="str">
        <f>IF($A$3=" "," ", IFERROR( VLOOKUP($A1682,'SUPPLIER DATA BASE'!$A$2:$H$936,5,0),""))</f>
        <v/>
      </c>
      <c r="F1682" s="72"/>
      <c r="G1682" s="73"/>
      <c r="H1682" s="74"/>
      <c r="I1682" s="75"/>
      <c r="J1682" s="70"/>
      <c r="K1682" s="70"/>
      <c r="L1682" s="73"/>
      <c r="M1682" s="70" t="str">
        <f t="shared" si="3"/>
        <v/>
      </c>
      <c r="N1682" s="70" t="str">
        <f>IF($A$3=" "," ", IFERROR( VLOOKUP($A1682,'SUPPLIER DATA BASE'!$A$2:$O$936,11,0),""))</f>
        <v/>
      </c>
      <c r="O1682" s="70" t="str">
        <f>IF($A$3=" "," ", IFERROR( VLOOKUP($A1682,'SUPPLIER DATA BASE'!$A$2:$O$936,12,0),""))</f>
        <v/>
      </c>
      <c r="P1682" s="70" t="str">
        <f>IF($A$3=" "," ", IFERROR( VLOOKUP($A1682,'SUPPLIER DATA BASE'!$A$2:$O$936,13,0),""))</f>
        <v/>
      </c>
      <c r="Q1682" s="77"/>
      <c r="R1682" s="73"/>
      <c r="S1682" s="77"/>
      <c r="T1682" s="70"/>
      <c r="U1682" s="78"/>
      <c r="V1682" s="70" t="str">
        <f t="shared" si="6"/>
        <v/>
      </c>
      <c r="W1682" s="23"/>
      <c r="X1682" s="23"/>
    </row>
    <row r="1683">
      <c r="A1683" s="70"/>
      <c r="B1683" s="70" t="str">
        <f>IF($A$3=" "," ", IFERROR( VLOOKUP($A1683,'SUPPLIER DATA BASE'!$A$2:$M$936,3,0),""))</f>
        <v/>
      </c>
      <c r="C1683" s="70" t="str">
        <f>IF($A$3=" "," ", IFERROR( VLOOKUP($A1683,'SUPPLIER DATA BASE'!$A$2:$F$936,6,0),""))</f>
        <v/>
      </c>
      <c r="D1683" s="70" t="str">
        <f>IF($A$3=" "," ", IFERROR( VLOOKUP($A1683,'SUPPLIER DATA BASE'!$A$2:$G$936,4,0),""))</f>
        <v/>
      </c>
      <c r="E1683" s="71" t="str">
        <f>IF($A$3=" "," ", IFERROR( VLOOKUP($A1683,'SUPPLIER DATA BASE'!$A$2:$H$936,5,0),""))</f>
        <v/>
      </c>
      <c r="F1683" s="72"/>
      <c r="G1683" s="73"/>
      <c r="H1683" s="74"/>
      <c r="I1683" s="75"/>
      <c r="J1683" s="70"/>
      <c r="K1683" s="70"/>
      <c r="L1683" s="73"/>
      <c r="M1683" s="70" t="str">
        <f t="shared" si="3"/>
        <v/>
      </c>
      <c r="N1683" s="70" t="str">
        <f>IF($A$3=" "," ", IFERROR( VLOOKUP($A1683,'SUPPLIER DATA BASE'!$A$2:$O$936,11,0),""))</f>
        <v/>
      </c>
      <c r="O1683" s="70" t="str">
        <f>IF($A$3=" "," ", IFERROR( VLOOKUP($A1683,'SUPPLIER DATA BASE'!$A$2:$O$936,12,0),""))</f>
        <v/>
      </c>
      <c r="P1683" s="70" t="str">
        <f>IF($A$3=" "," ", IFERROR( VLOOKUP($A1683,'SUPPLIER DATA BASE'!$A$2:$O$936,13,0),""))</f>
        <v/>
      </c>
      <c r="Q1683" s="77"/>
      <c r="R1683" s="73"/>
      <c r="S1683" s="77"/>
      <c r="T1683" s="70"/>
      <c r="U1683" s="78"/>
      <c r="V1683" s="70" t="str">
        <f t="shared" si="6"/>
        <v/>
      </c>
      <c r="W1683" s="23"/>
      <c r="X1683" s="23"/>
    </row>
    <row r="1684">
      <c r="A1684" s="70"/>
      <c r="B1684" s="70" t="str">
        <f>IF($A$3=" "," ", IFERROR( VLOOKUP($A1684,'SUPPLIER DATA BASE'!$A$2:$M$936,3,0),""))</f>
        <v/>
      </c>
      <c r="C1684" s="70" t="str">
        <f>IF($A$3=" "," ", IFERROR( VLOOKUP($A1684,'SUPPLIER DATA BASE'!$A$2:$F$936,6,0),""))</f>
        <v/>
      </c>
      <c r="D1684" s="70" t="str">
        <f>IF($A$3=" "," ", IFERROR( VLOOKUP($A1684,'SUPPLIER DATA BASE'!$A$2:$G$936,4,0),""))</f>
        <v/>
      </c>
      <c r="E1684" s="71" t="str">
        <f>IF($A$3=" "," ", IFERROR( VLOOKUP($A1684,'SUPPLIER DATA BASE'!$A$2:$H$936,5,0),""))</f>
        <v/>
      </c>
      <c r="F1684" s="72"/>
      <c r="G1684" s="73"/>
      <c r="H1684" s="74"/>
      <c r="I1684" s="75"/>
      <c r="J1684" s="70"/>
      <c r="K1684" s="70"/>
      <c r="L1684" s="73"/>
      <c r="M1684" s="70" t="str">
        <f t="shared" si="3"/>
        <v/>
      </c>
      <c r="N1684" s="70" t="str">
        <f>IF($A$3=" "," ", IFERROR( VLOOKUP($A1684,'SUPPLIER DATA BASE'!$A$2:$O$936,11,0),""))</f>
        <v/>
      </c>
      <c r="O1684" s="70" t="str">
        <f>IF($A$3=" "," ", IFERROR( VLOOKUP($A1684,'SUPPLIER DATA BASE'!$A$2:$O$936,12,0),""))</f>
        <v/>
      </c>
      <c r="P1684" s="70" t="str">
        <f>IF($A$3=" "," ", IFERROR( VLOOKUP($A1684,'SUPPLIER DATA BASE'!$A$2:$O$936,13,0),""))</f>
        <v/>
      </c>
      <c r="Q1684" s="77"/>
      <c r="R1684" s="73"/>
      <c r="S1684" s="77"/>
      <c r="T1684" s="70"/>
      <c r="U1684" s="78"/>
      <c r="V1684" s="70" t="str">
        <f t="shared" si="6"/>
        <v/>
      </c>
      <c r="W1684" s="23"/>
      <c r="X1684" s="23"/>
    </row>
    <row r="1685">
      <c r="A1685" s="70"/>
      <c r="B1685" s="70" t="str">
        <f>IF($A$3=" "," ", IFERROR( VLOOKUP($A1685,'SUPPLIER DATA BASE'!$A$2:$M$936,3,0),""))</f>
        <v/>
      </c>
      <c r="C1685" s="70" t="str">
        <f>IF($A$3=" "," ", IFERROR( VLOOKUP($A1685,'SUPPLIER DATA BASE'!$A$2:$F$936,6,0),""))</f>
        <v/>
      </c>
      <c r="D1685" s="70" t="str">
        <f>IF($A$3=" "," ", IFERROR( VLOOKUP($A1685,'SUPPLIER DATA BASE'!$A$2:$G$936,4,0),""))</f>
        <v/>
      </c>
      <c r="E1685" s="71" t="str">
        <f>IF($A$3=" "," ", IFERROR( VLOOKUP($A1685,'SUPPLIER DATA BASE'!$A$2:$H$936,5,0),""))</f>
        <v/>
      </c>
      <c r="F1685" s="72"/>
      <c r="G1685" s="73"/>
      <c r="H1685" s="74"/>
      <c r="I1685" s="75"/>
      <c r="J1685" s="70"/>
      <c r="K1685" s="70"/>
      <c r="L1685" s="73"/>
      <c r="M1685" s="70" t="str">
        <f t="shared" si="3"/>
        <v/>
      </c>
      <c r="N1685" s="70" t="str">
        <f>IF($A$3=" "," ", IFERROR( VLOOKUP($A1685,'SUPPLIER DATA BASE'!$A$2:$O$936,11,0),""))</f>
        <v/>
      </c>
      <c r="O1685" s="70" t="str">
        <f>IF($A$3=" "," ", IFERROR( VLOOKUP($A1685,'SUPPLIER DATA BASE'!$A$2:$O$936,12,0),""))</f>
        <v/>
      </c>
      <c r="P1685" s="70" t="str">
        <f>IF($A$3=" "," ", IFERROR( VLOOKUP($A1685,'SUPPLIER DATA BASE'!$A$2:$O$936,13,0),""))</f>
        <v/>
      </c>
      <c r="Q1685" s="77"/>
      <c r="R1685" s="73"/>
      <c r="S1685" s="77"/>
      <c r="T1685" s="70"/>
      <c r="U1685" s="78"/>
      <c r="V1685" s="70" t="str">
        <f t="shared" si="6"/>
        <v/>
      </c>
      <c r="W1685" s="23"/>
      <c r="X1685" s="23"/>
    </row>
    <row r="1686">
      <c r="A1686" s="70"/>
      <c r="B1686" s="70" t="str">
        <f>IF($A$3=" "," ", IFERROR( VLOOKUP($A1686,'SUPPLIER DATA BASE'!$A$2:$M$936,3,0),""))</f>
        <v/>
      </c>
      <c r="C1686" s="70" t="str">
        <f>IF($A$3=" "," ", IFERROR( VLOOKUP($A1686,'SUPPLIER DATA BASE'!$A$2:$F$936,6,0),""))</f>
        <v/>
      </c>
      <c r="D1686" s="70" t="str">
        <f>IF($A$3=" "," ", IFERROR( VLOOKUP($A1686,'SUPPLIER DATA BASE'!$A$2:$G$936,4,0),""))</f>
        <v/>
      </c>
      <c r="E1686" s="71" t="str">
        <f>IF($A$3=" "," ", IFERROR( VLOOKUP($A1686,'SUPPLIER DATA BASE'!$A$2:$H$936,5,0),""))</f>
        <v/>
      </c>
      <c r="F1686" s="72"/>
      <c r="G1686" s="73"/>
      <c r="H1686" s="74"/>
      <c r="I1686" s="75"/>
      <c r="J1686" s="70"/>
      <c r="K1686" s="70"/>
      <c r="L1686" s="73"/>
      <c r="M1686" s="70" t="str">
        <f t="shared" si="3"/>
        <v/>
      </c>
      <c r="N1686" s="70" t="str">
        <f>IF($A$3=" "," ", IFERROR( VLOOKUP($A1686,'SUPPLIER DATA BASE'!$A$2:$O$936,11,0),""))</f>
        <v/>
      </c>
      <c r="O1686" s="70" t="str">
        <f>IF($A$3=" "," ", IFERROR( VLOOKUP($A1686,'SUPPLIER DATA BASE'!$A$2:$O$936,12,0),""))</f>
        <v/>
      </c>
      <c r="P1686" s="70" t="str">
        <f>IF($A$3=" "," ", IFERROR( VLOOKUP($A1686,'SUPPLIER DATA BASE'!$A$2:$O$936,13,0),""))</f>
        <v/>
      </c>
      <c r="Q1686" s="77"/>
      <c r="R1686" s="73"/>
      <c r="S1686" s="77"/>
      <c r="T1686" s="70"/>
      <c r="U1686" s="78"/>
      <c r="V1686" s="70" t="str">
        <f t="shared" si="6"/>
        <v/>
      </c>
      <c r="W1686" s="23"/>
      <c r="X1686" s="23"/>
    </row>
    <row r="1687">
      <c r="A1687" s="70"/>
      <c r="B1687" s="70" t="str">
        <f>IF($A$3=" "," ", IFERROR( VLOOKUP($A1687,'SUPPLIER DATA BASE'!$A$2:$M$936,3,0),""))</f>
        <v/>
      </c>
      <c r="C1687" s="70" t="str">
        <f>IF($A$3=" "," ", IFERROR( VLOOKUP($A1687,'SUPPLIER DATA BASE'!$A$2:$F$936,6,0),""))</f>
        <v/>
      </c>
      <c r="D1687" s="70" t="str">
        <f>IF($A$3=" "," ", IFERROR( VLOOKUP($A1687,'SUPPLIER DATA BASE'!$A$2:$G$936,4,0),""))</f>
        <v/>
      </c>
      <c r="E1687" s="71" t="str">
        <f>IF($A$3=" "," ", IFERROR( VLOOKUP($A1687,'SUPPLIER DATA BASE'!$A$2:$H$936,5,0),""))</f>
        <v/>
      </c>
      <c r="F1687" s="72"/>
      <c r="G1687" s="73"/>
      <c r="H1687" s="74"/>
      <c r="I1687" s="75"/>
      <c r="J1687" s="70"/>
      <c r="K1687" s="70"/>
      <c r="L1687" s="73"/>
      <c r="M1687" s="70" t="str">
        <f t="shared" si="3"/>
        <v/>
      </c>
      <c r="N1687" s="70" t="str">
        <f>IF($A$3=" "," ", IFERROR( VLOOKUP($A1687,'SUPPLIER DATA BASE'!$A$2:$O$936,11,0),""))</f>
        <v/>
      </c>
      <c r="O1687" s="70" t="str">
        <f>IF($A$3=" "," ", IFERROR( VLOOKUP($A1687,'SUPPLIER DATA BASE'!$A$2:$O$936,12,0),""))</f>
        <v/>
      </c>
      <c r="P1687" s="70" t="str">
        <f>IF($A$3=" "," ", IFERROR( VLOOKUP($A1687,'SUPPLIER DATA BASE'!$A$2:$O$936,13,0),""))</f>
        <v/>
      </c>
      <c r="Q1687" s="77"/>
      <c r="R1687" s="73"/>
      <c r="S1687" s="77"/>
      <c r="T1687" s="70"/>
      <c r="U1687" s="78"/>
      <c r="V1687" s="70" t="str">
        <f t="shared" si="6"/>
        <v/>
      </c>
      <c r="W1687" s="23"/>
      <c r="X1687" s="23"/>
    </row>
    <row r="1688">
      <c r="A1688" s="70"/>
      <c r="B1688" s="70" t="str">
        <f>IF($A$3=" "," ", IFERROR( VLOOKUP($A1688,'SUPPLIER DATA BASE'!$A$2:$M$936,3,0),""))</f>
        <v/>
      </c>
      <c r="C1688" s="70" t="str">
        <f>IF($A$3=" "," ", IFERROR( VLOOKUP($A1688,'SUPPLIER DATA BASE'!$A$2:$F$936,6,0),""))</f>
        <v/>
      </c>
      <c r="D1688" s="70" t="str">
        <f>IF($A$3=" "," ", IFERROR( VLOOKUP($A1688,'SUPPLIER DATA BASE'!$A$2:$G$936,4,0),""))</f>
        <v/>
      </c>
      <c r="E1688" s="71" t="str">
        <f>IF($A$3=" "," ", IFERROR( VLOOKUP($A1688,'SUPPLIER DATA BASE'!$A$2:$H$936,5,0),""))</f>
        <v/>
      </c>
      <c r="F1688" s="72"/>
      <c r="G1688" s="73"/>
      <c r="H1688" s="74"/>
      <c r="I1688" s="75"/>
      <c r="J1688" s="70"/>
      <c r="K1688" s="70"/>
      <c r="L1688" s="73"/>
      <c r="M1688" s="70" t="str">
        <f t="shared" si="3"/>
        <v/>
      </c>
      <c r="N1688" s="70" t="str">
        <f>IF($A$3=" "," ", IFERROR( VLOOKUP($A1688,'SUPPLIER DATA BASE'!$A$2:$O$936,11,0),""))</f>
        <v/>
      </c>
      <c r="O1688" s="70" t="str">
        <f>IF($A$3=" "," ", IFERROR( VLOOKUP($A1688,'SUPPLIER DATA BASE'!$A$2:$O$936,12,0),""))</f>
        <v/>
      </c>
      <c r="P1688" s="70" t="str">
        <f>IF($A$3=" "," ", IFERROR( VLOOKUP($A1688,'SUPPLIER DATA BASE'!$A$2:$O$936,13,0),""))</f>
        <v/>
      </c>
      <c r="Q1688" s="77"/>
      <c r="R1688" s="73"/>
      <c r="S1688" s="77"/>
      <c r="T1688" s="70"/>
      <c r="U1688" s="78"/>
      <c r="V1688" s="70" t="str">
        <f t="shared" si="6"/>
        <v/>
      </c>
      <c r="W1688" s="23"/>
      <c r="X1688" s="23"/>
    </row>
    <row r="1689">
      <c r="A1689" s="70"/>
      <c r="B1689" s="70" t="str">
        <f>IF($A$3=" "," ", IFERROR( VLOOKUP($A1689,'SUPPLIER DATA BASE'!$A$2:$M$936,3,0),""))</f>
        <v/>
      </c>
      <c r="C1689" s="70" t="str">
        <f>IF($A$3=" "," ", IFERROR( VLOOKUP($A1689,'SUPPLIER DATA BASE'!$A$2:$F$936,6,0),""))</f>
        <v/>
      </c>
      <c r="D1689" s="70" t="str">
        <f>IF($A$3=" "," ", IFERROR( VLOOKUP($A1689,'SUPPLIER DATA BASE'!$A$2:$G$936,4,0),""))</f>
        <v/>
      </c>
      <c r="E1689" s="71" t="str">
        <f>IF($A$3=" "," ", IFERROR( VLOOKUP($A1689,'SUPPLIER DATA BASE'!$A$2:$H$936,5,0),""))</f>
        <v/>
      </c>
      <c r="F1689" s="72"/>
      <c r="G1689" s="73"/>
      <c r="H1689" s="74"/>
      <c r="I1689" s="75"/>
      <c r="J1689" s="70"/>
      <c r="K1689" s="70"/>
      <c r="L1689" s="73"/>
      <c r="M1689" s="70" t="str">
        <f t="shared" si="3"/>
        <v/>
      </c>
      <c r="N1689" s="70" t="str">
        <f>IF($A$3=" "," ", IFERROR( VLOOKUP($A1689,'SUPPLIER DATA BASE'!$A$2:$O$936,11,0),""))</f>
        <v/>
      </c>
      <c r="O1689" s="70" t="str">
        <f>IF($A$3=" "," ", IFERROR( VLOOKUP($A1689,'SUPPLIER DATA BASE'!$A$2:$O$936,12,0),""))</f>
        <v/>
      </c>
      <c r="P1689" s="70" t="str">
        <f>IF($A$3=" "," ", IFERROR( VLOOKUP($A1689,'SUPPLIER DATA BASE'!$A$2:$O$936,13,0),""))</f>
        <v/>
      </c>
      <c r="Q1689" s="77"/>
      <c r="R1689" s="73"/>
      <c r="S1689" s="77"/>
      <c r="T1689" s="70"/>
      <c r="U1689" s="78"/>
      <c r="V1689" s="70" t="str">
        <f t="shared" si="6"/>
        <v/>
      </c>
      <c r="W1689" s="23"/>
      <c r="X1689" s="23"/>
    </row>
    <row r="1690">
      <c r="A1690" s="70"/>
      <c r="B1690" s="70" t="str">
        <f>IF($A$3=" "," ", IFERROR( VLOOKUP($A1690,'SUPPLIER DATA BASE'!$A$2:$M$936,3,0),""))</f>
        <v/>
      </c>
      <c r="C1690" s="70" t="str">
        <f>IF($A$3=" "," ", IFERROR( VLOOKUP($A1690,'SUPPLIER DATA BASE'!$A$2:$F$936,6,0),""))</f>
        <v/>
      </c>
      <c r="D1690" s="70" t="str">
        <f>IF($A$3=" "," ", IFERROR( VLOOKUP($A1690,'SUPPLIER DATA BASE'!$A$2:$G$936,4,0),""))</f>
        <v/>
      </c>
      <c r="E1690" s="71" t="str">
        <f>IF($A$3=" "," ", IFERROR( VLOOKUP($A1690,'SUPPLIER DATA BASE'!$A$2:$H$936,5,0),""))</f>
        <v/>
      </c>
      <c r="F1690" s="72"/>
      <c r="G1690" s="73"/>
      <c r="H1690" s="74"/>
      <c r="I1690" s="75"/>
      <c r="J1690" s="70"/>
      <c r="K1690" s="70"/>
      <c r="L1690" s="73"/>
      <c r="M1690" s="70" t="str">
        <f t="shared" si="3"/>
        <v/>
      </c>
      <c r="N1690" s="70" t="str">
        <f>IF($A$3=" "," ", IFERROR( VLOOKUP($A1690,'SUPPLIER DATA BASE'!$A$2:$O$936,11,0),""))</f>
        <v/>
      </c>
      <c r="O1690" s="70" t="str">
        <f>IF($A$3=" "," ", IFERROR( VLOOKUP($A1690,'SUPPLIER DATA BASE'!$A$2:$O$936,12,0),""))</f>
        <v/>
      </c>
      <c r="P1690" s="70" t="str">
        <f>IF($A$3=" "," ", IFERROR( VLOOKUP($A1690,'SUPPLIER DATA BASE'!$A$2:$O$936,13,0),""))</f>
        <v/>
      </c>
      <c r="Q1690" s="77"/>
      <c r="R1690" s="73"/>
      <c r="S1690" s="77"/>
      <c r="T1690" s="70"/>
      <c r="U1690" s="78"/>
      <c r="V1690" s="70" t="str">
        <f t="shared" si="6"/>
        <v/>
      </c>
      <c r="W1690" s="23"/>
      <c r="X1690" s="23"/>
    </row>
    <row r="1691">
      <c r="A1691" s="70"/>
      <c r="B1691" s="70" t="str">
        <f>IF($A$3=" "," ", IFERROR( VLOOKUP($A1691,'SUPPLIER DATA BASE'!$A$2:$M$936,3,0),""))</f>
        <v/>
      </c>
      <c r="C1691" s="70" t="str">
        <f>IF($A$3=" "," ", IFERROR( VLOOKUP($A1691,'SUPPLIER DATA BASE'!$A$2:$F$936,6,0),""))</f>
        <v/>
      </c>
      <c r="D1691" s="70" t="str">
        <f>IF($A$3=" "," ", IFERROR( VLOOKUP($A1691,'SUPPLIER DATA BASE'!$A$2:$G$936,4,0),""))</f>
        <v/>
      </c>
      <c r="E1691" s="71" t="str">
        <f>IF($A$3=" "," ", IFERROR( VLOOKUP($A1691,'SUPPLIER DATA BASE'!$A$2:$H$936,5,0),""))</f>
        <v/>
      </c>
      <c r="F1691" s="72"/>
      <c r="G1691" s="73"/>
      <c r="H1691" s="74"/>
      <c r="I1691" s="75"/>
      <c r="J1691" s="70"/>
      <c r="K1691" s="70"/>
      <c r="L1691" s="73"/>
      <c r="M1691" s="70" t="str">
        <f t="shared" si="3"/>
        <v/>
      </c>
      <c r="N1691" s="70" t="str">
        <f>IF($A$3=" "," ", IFERROR( VLOOKUP($A1691,'SUPPLIER DATA BASE'!$A$2:$O$936,11,0),""))</f>
        <v/>
      </c>
      <c r="O1691" s="70" t="str">
        <f>IF($A$3=" "," ", IFERROR( VLOOKUP($A1691,'SUPPLIER DATA BASE'!$A$2:$O$936,12,0),""))</f>
        <v/>
      </c>
      <c r="P1691" s="70" t="str">
        <f>IF($A$3=" "," ", IFERROR( VLOOKUP($A1691,'SUPPLIER DATA BASE'!$A$2:$O$936,13,0),""))</f>
        <v/>
      </c>
      <c r="Q1691" s="77"/>
      <c r="R1691" s="73"/>
      <c r="S1691" s="77"/>
      <c r="T1691" s="70"/>
      <c r="U1691" s="78"/>
      <c r="V1691" s="70" t="str">
        <f t="shared" si="6"/>
        <v/>
      </c>
      <c r="W1691" s="23"/>
      <c r="X1691" s="23"/>
    </row>
    <row r="1692">
      <c r="A1692" s="70"/>
      <c r="B1692" s="70" t="str">
        <f>IF($A$3=" "," ", IFERROR( VLOOKUP($A1692,'SUPPLIER DATA BASE'!$A$2:$M$936,3,0),""))</f>
        <v/>
      </c>
      <c r="C1692" s="70" t="str">
        <f>IF($A$3=" "," ", IFERROR( VLOOKUP($A1692,'SUPPLIER DATA BASE'!$A$2:$F$936,6,0),""))</f>
        <v/>
      </c>
      <c r="D1692" s="70" t="str">
        <f>IF($A$3=" "," ", IFERROR( VLOOKUP($A1692,'SUPPLIER DATA BASE'!$A$2:$G$936,4,0),""))</f>
        <v/>
      </c>
      <c r="E1692" s="71" t="str">
        <f>IF($A$3=" "," ", IFERROR( VLOOKUP($A1692,'SUPPLIER DATA BASE'!$A$2:$H$936,5,0),""))</f>
        <v/>
      </c>
      <c r="F1692" s="72"/>
      <c r="G1692" s="73"/>
      <c r="H1692" s="74"/>
      <c r="I1692" s="75"/>
      <c r="J1692" s="70"/>
      <c r="K1692" s="70"/>
      <c r="L1692" s="73"/>
      <c r="M1692" s="70" t="str">
        <f t="shared" si="3"/>
        <v/>
      </c>
      <c r="N1692" s="70" t="str">
        <f>IF($A$3=" "," ", IFERROR( VLOOKUP($A1692,'SUPPLIER DATA BASE'!$A$2:$O$936,11,0),""))</f>
        <v/>
      </c>
      <c r="O1692" s="70" t="str">
        <f>IF($A$3=" "," ", IFERROR( VLOOKUP($A1692,'SUPPLIER DATA BASE'!$A$2:$O$936,12,0),""))</f>
        <v/>
      </c>
      <c r="P1692" s="70" t="str">
        <f>IF($A$3=" "," ", IFERROR( VLOOKUP($A1692,'SUPPLIER DATA BASE'!$A$2:$O$936,13,0),""))</f>
        <v/>
      </c>
      <c r="Q1692" s="77"/>
      <c r="R1692" s="73"/>
      <c r="S1692" s="77"/>
      <c r="T1692" s="70"/>
      <c r="U1692" s="78"/>
      <c r="V1692" s="70" t="str">
        <f t="shared" si="6"/>
        <v/>
      </c>
      <c r="W1692" s="23"/>
      <c r="X1692" s="23"/>
    </row>
    <row r="1693">
      <c r="A1693" s="70"/>
      <c r="B1693" s="70" t="str">
        <f>IF($A$3=" "," ", IFERROR( VLOOKUP($A1693,'SUPPLIER DATA BASE'!$A$2:$M$936,3,0),""))</f>
        <v/>
      </c>
      <c r="C1693" s="70" t="str">
        <f>IF($A$3=" "," ", IFERROR( VLOOKUP($A1693,'SUPPLIER DATA BASE'!$A$2:$F$936,6,0),""))</f>
        <v/>
      </c>
      <c r="D1693" s="70" t="str">
        <f>IF($A$3=" "," ", IFERROR( VLOOKUP($A1693,'SUPPLIER DATA BASE'!$A$2:$G$936,4,0),""))</f>
        <v/>
      </c>
      <c r="E1693" s="71" t="str">
        <f>IF($A$3=" "," ", IFERROR( VLOOKUP($A1693,'SUPPLIER DATA BASE'!$A$2:$H$936,5,0),""))</f>
        <v/>
      </c>
      <c r="F1693" s="72"/>
      <c r="G1693" s="73"/>
      <c r="H1693" s="74"/>
      <c r="I1693" s="75"/>
      <c r="J1693" s="70"/>
      <c r="K1693" s="70"/>
      <c r="L1693" s="73"/>
      <c r="M1693" s="70" t="str">
        <f t="shared" si="3"/>
        <v/>
      </c>
      <c r="N1693" s="70" t="str">
        <f>IF($A$3=" "," ", IFERROR( VLOOKUP($A1693,'SUPPLIER DATA BASE'!$A$2:$O$936,11,0),""))</f>
        <v/>
      </c>
      <c r="O1693" s="70" t="str">
        <f>IF($A$3=" "," ", IFERROR( VLOOKUP($A1693,'SUPPLIER DATA BASE'!$A$2:$O$936,12,0),""))</f>
        <v/>
      </c>
      <c r="P1693" s="70" t="str">
        <f>IF($A$3=" "," ", IFERROR( VLOOKUP($A1693,'SUPPLIER DATA BASE'!$A$2:$O$936,13,0),""))</f>
        <v/>
      </c>
      <c r="Q1693" s="77"/>
      <c r="R1693" s="73"/>
      <c r="S1693" s="77"/>
      <c r="T1693" s="70"/>
      <c r="U1693" s="78"/>
      <c r="V1693" s="70" t="str">
        <f t="shared" si="6"/>
        <v/>
      </c>
      <c r="W1693" s="23"/>
      <c r="X1693" s="23"/>
    </row>
    <row r="1694">
      <c r="A1694" s="70"/>
      <c r="B1694" s="70" t="str">
        <f>IF($A$3=" "," ", IFERROR( VLOOKUP($A1694,'SUPPLIER DATA BASE'!$A$2:$M$936,3,0),""))</f>
        <v/>
      </c>
      <c r="C1694" s="70" t="str">
        <f>IF($A$3=" "," ", IFERROR( VLOOKUP($A1694,'SUPPLIER DATA BASE'!$A$2:$F$936,6,0),""))</f>
        <v/>
      </c>
      <c r="D1694" s="70" t="str">
        <f>IF($A$3=" "," ", IFERROR( VLOOKUP($A1694,'SUPPLIER DATA BASE'!$A$2:$G$936,4,0),""))</f>
        <v/>
      </c>
      <c r="E1694" s="71" t="str">
        <f>IF($A$3=" "," ", IFERROR( VLOOKUP($A1694,'SUPPLIER DATA BASE'!$A$2:$H$936,5,0),""))</f>
        <v/>
      </c>
      <c r="F1694" s="72"/>
      <c r="G1694" s="73"/>
      <c r="H1694" s="74"/>
      <c r="I1694" s="75"/>
      <c r="J1694" s="70"/>
      <c r="K1694" s="70"/>
      <c r="L1694" s="73"/>
      <c r="M1694" s="70" t="str">
        <f t="shared" si="3"/>
        <v/>
      </c>
      <c r="N1694" s="70" t="str">
        <f>IF($A$3=" "," ", IFERROR( VLOOKUP($A1694,'SUPPLIER DATA BASE'!$A$2:$O$936,11,0),""))</f>
        <v/>
      </c>
      <c r="O1694" s="70" t="str">
        <f>IF($A$3=" "," ", IFERROR( VLOOKUP($A1694,'SUPPLIER DATA BASE'!$A$2:$O$936,12,0),""))</f>
        <v/>
      </c>
      <c r="P1694" s="70" t="str">
        <f>IF($A$3=" "," ", IFERROR( VLOOKUP($A1694,'SUPPLIER DATA BASE'!$A$2:$O$936,13,0),""))</f>
        <v/>
      </c>
      <c r="Q1694" s="77"/>
      <c r="R1694" s="73"/>
      <c r="S1694" s="77"/>
      <c r="T1694" s="70"/>
      <c r="U1694" s="78"/>
      <c r="V1694" s="70" t="str">
        <f t="shared" si="6"/>
        <v/>
      </c>
      <c r="W1694" s="23"/>
      <c r="X1694" s="23"/>
    </row>
    <row r="1695">
      <c r="A1695" s="70"/>
      <c r="B1695" s="70" t="str">
        <f>IF($A$3=" "," ", IFERROR( VLOOKUP($A1695,'SUPPLIER DATA BASE'!$A$2:$M$936,3,0),""))</f>
        <v/>
      </c>
      <c r="C1695" s="70" t="str">
        <f>IF($A$3=" "," ", IFERROR( VLOOKUP($A1695,'SUPPLIER DATA BASE'!$A$2:$F$936,6,0),""))</f>
        <v/>
      </c>
      <c r="D1695" s="70" t="str">
        <f>IF($A$3=" "," ", IFERROR( VLOOKUP($A1695,'SUPPLIER DATA BASE'!$A$2:$G$936,4,0),""))</f>
        <v/>
      </c>
      <c r="E1695" s="71" t="str">
        <f>IF($A$3=" "," ", IFERROR( VLOOKUP($A1695,'SUPPLIER DATA BASE'!$A$2:$H$936,5,0),""))</f>
        <v/>
      </c>
      <c r="F1695" s="72"/>
      <c r="G1695" s="73"/>
      <c r="H1695" s="74"/>
      <c r="I1695" s="75"/>
      <c r="J1695" s="70"/>
      <c r="K1695" s="70"/>
      <c r="L1695" s="73"/>
      <c r="M1695" s="70" t="str">
        <f t="shared" si="3"/>
        <v/>
      </c>
      <c r="N1695" s="70" t="str">
        <f>IF($A$3=" "," ", IFERROR( VLOOKUP($A1695,'SUPPLIER DATA BASE'!$A$2:$O$936,11,0),""))</f>
        <v/>
      </c>
      <c r="O1695" s="70" t="str">
        <f>IF($A$3=" "," ", IFERROR( VLOOKUP($A1695,'SUPPLIER DATA BASE'!$A$2:$O$936,12,0),""))</f>
        <v/>
      </c>
      <c r="P1695" s="70" t="str">
        <f>IF($A$3=" "," ", IFERROR( VLOOKUP($A1695,'SUPPLIER DATA BASE'!$A$2:$O$936,13,0),""))</f>
        <v/>
      </c>
      <c r="Q1695" s="77"/>
      <c r="R1695" s="73"/>
      <c r="S1695" s="77"/>
      <c r="T1695" s="70"/>
      <c r="U1695" s="78"/>
      <c r="V1695" s="70" t="str">
        <f t="shared" si="6"/>
        <v/>
      </c>
      <c r="W1695" s="23"/>
      <c r="X1695" s="23"/>
    </row>
    <row r="1696">
      <c r="A1696" s="70"/>
      <c r="B1696" s="70" t="str">
        <f>IF($A$3=" "," ", IFERROR( VLOOKUP($A1696,'SUPPLIER DATA BASE'!$A$2:$M$936,3,0),""))</f>
        <v/>
      </c>
      <c r="C1696" s="70" t="str">
        <f>IF($A$3=" "," ", IFERROR( VLOOKUP($A1696,'SUPPLIER DATA BASE'!$A$2:$F$936,6,0),""))</f>
        <v/>
      </c>
      <c r="D1696" s="70" t="str">
        <f>IF($A$3=" "," ", IFERROR( VLOOKUP($A1696,'SUPPLIER DATA BASE'!$A$2:$G$936,4,0),""))</f>
        <v/>
      </c>
      <c r="E1696" s="71" t="str">
        <f>IF($A$3=" "," ", IFERROR( VLOOKUP($A1696,'SUPPLIER DATA BASE'!$A$2:$H$936,5,0),""))</f>
        <v/>
      </c>
      <c r="F1696" s="72"/>
      <c r="G1696" s="73"/>
      <c r="H1696" s="74"/>
      <c r="I1696" s="75"/>
      <c r="J1696" s="70"/>
      <c r="K1696" s="70"/>
      <c r="L1696" s="73"/>
      <c r="M1696" s="70" t="str">
        <f t="shared" si="3"/>
        <v/>
      </c>
      <c r="N1696" s="70" t="str">
        <f>IF($A$3=" "," ", IFERROR( VLOOKUP($A1696,'SUPPLIER DATA BASE'!$A$2:$O$936,11,0),""))</f>
        <v/>
      </c>
      <c r="O1696" s="70" t="str">
        <f>IF($A$3=" "," ", IFERROR( VLOOKUP($A1696,'SUPPLIER DATA BASE'!$A$2:$O$936,12,0),""))</f>
        <v/>
      </c>
      <c r="P1696" s="70" t="str">
        <f>IF($A$3=" "," ", IFERROR( VLOOKUP($A1696,'SUPPLIER DATA BASE'!$A$2:$O$936,13,0),""))</f>
        <v/>
      </c>
      <c r="Q1696" s="77"/>
      <c r="R1696" s="73"/>
      <c r="S1696" s="77"/>
      <c r="T1696" s="70"/>
      <c r="U1696" s="78"/>
      <c r="V1696" s="70" t="str">
        <f t="shared" si="6"/>
        <v/>
      </c>
      <c r="W1696" s="23"/>
      <c r="X1696" s="23"/>
    </row>
    <row r="1697">
      <c r="A1697" s="70"/>
      <c r="B1697" s="70" t="str">
        <f>IF($A$3=" "," ", IFERROR( VLOOKUP($A1697,'SUPPLIER DATA BASE'!$A$2:$M$936,3,0),""))</f>
        <v/>
      </c>
      <c r="C1697" s="70" t="str">
        <f>IF($A$3=" "," ", IFERROR( VLOOKUP($A1697,'SUPPLIER DATA BASE'!$A$2:$F$936,6,0),""))</f>
        <v/>
      </c>
      <c r="D1697" s="70" t="str">
        <f>IF($A$3=" "," ", IFERROR( VLOOKUP($A1697,'SUPPLIER DATA BASE'!$A$2:$G$936,4,0),""))</f>
        <v/>
      </c>
      <c r="E1697" s="71" t="str">
        <f>IF($A$3=" "," ", IFERROR( VLOOKUP($A1697,'SUPPLIER DATA BASE'!$A$2:$H$936,5,0),""))</f>
        <v/>
      </c>
      <c r="F1697" s="72"/>
      <c r="G1697" s="73"/>
      <c r="H1697" s="74"/>
      <c r="I1697" s="75"/>
      <c r="J1697" s="70"/>
      <c r="K1697" s="70"/>
      <c r="L1697" s="73"/>
      <c r="M1697" s="70" t="str">
        <f t="shared" si="3"/>
        <v/>
      </c>
      <c r="N1697" s="70" t="str">
        <f>IF($A$3=" "," ", IFERROR( VLOOKUP($A1697,'SUPPLIER DATA BASE'!$A$2:$O$936,11,0),""))</f>
        <v/>
      </c>
      <c r="O1697" s="70" t="str">
        <f>IF($A$3=" "," ", IFERROR( VLOOKUP($A1697,'SUPPLIER DATA BASE'!$A$2:$O$936,12,0),""))</f>
        <v/>
      </c>
      <c r="P1697" s="70" t="str">
        <f>IF($A$3=" "," ", IFERROR( VLOOKUP($A1697,'SUPPLIER DATA BASE'!$A$2:$O$936,13,0),""))</f>
        <v/>
      </c>
      <c r="Q1697" s="77"/>
      <c r="R1697" s="73"/>
      <c r="S1697" s="77"/>
      <c r="T1697" s="70"/>
      <c r="U1697" s="78"/>
      <c r="V1697" s="70" t="str">
        <f t="shared" si="6"/>
        <v/>
      </c>
      <c r="W1697" s="23"/>
      <c r="X1697" s="23"/>
    </row>
    <row r="1698">
      <c r="A1698" s="70"/>
      <c r="B1698" s="70" t="str">
        <f>IF($A$3=" "," ", IFERROR( VLOOKUP($A1698,'SUPPLIER DATA BASE'!$A$2:$M$936,3,0),""))</f>
        <v/>
      </c>
      <c r="C1698" s="70" t="str">
        <f>IF($A$3=" "," ", IFERROR( VLOOKUP($A1698,'SUPPLIER DATA BASE'!$A$2:$F$936,6,0),""))</f>
        <v/>
      </c>
      <c r="D1698" s="70" t="str">
        <f>IF($A$3=" "," ", IFERROR( VLOOKUP($A1698,'SUPPLIER DATA BASE'!$A$2:$G$936,4,0),""))</f>
        <v/>
      </c>
      <c r="E1698" s="71" t="str">
        <f>IF($A$3=" "," ", IFERROR( VLOOKUP($A1698,'SUPPLIER DATA BASE'!$A$2:$H$936,5,0),""))</f>
        <v/>
      </c>
      <c r="F1698" s="72"/>
      <c r="G1698" s="73"/>
      <c r="H1698" s="74"/>
      <c r="I1698" s="75"/>
      <c r="J1698" s="70"/>
      <c r="K1698" s="70"/>
      <c r="L1698" s="73"/>
      <c r="M1698" s="70" t="str">
        <f t="shared" si="3"/>
        <v/>
      </c>
      <c r="N1698" s="70" t="str">
        <f>IF($A$3=" "," ", IFERROR( VLOOKUP($A1698,'SUPPLIER DATA BASE'!$A$2:$O$936,11,0),""))</f>
        <v/>
      </c>
      <c r="O1698" s="70" t="str">
        <f>IF($A$3=" "," ", IFERROR( VLOOKUP($A1698,'SUPPLIER DATA BASE'!$A$2:$O$936,12,0),""))</f>
        <v/>
      </c>
      <c r="P1698" s="70" t="str">
        <f>IF($A$3=" "," ", IFERROR( VLOOKUP($A1698,'SUPPLIER DATA BASE'!$A$2:$O$936,13,0),""))</f>
        <v/>
      </c>
      <c r="Q1698" s="77"/>
      <c r="R1698" s="73"/>
      <c r="S1698" s="77"/>
      <c r="T1698" s="70"/>
      <c r="U1698" s="78"/>
      <c r="V1698" s="70" t="str">
        <f t="shared" si="6"/>
        <v/>
      </c>
      <c r="W1698" s="23"/>
      <c r="X1698" s="23"/>
    </row>
    <row r="1699">
      <c r="A1699" s="70"/>
      <c r="B1699" s="70" t="str">
        <f>IF($A$3=" "," ", IFERROR( VLOOKUP($A1699,'SUPPLIER DATA BASE'!$A$2:$M$936,3,0),""))</f>
        <v/>
      </c>
      <c r="C1699" s="70" t="str">
        <f>IF($A$3=" "," ", IFERROR( VLOOKUP($A1699,'SUPPLIER DATA BASE'!$A$2:$F$936,6,0),""))</f>
        <v/>
      </c>
      <c r="D1699" s="70" t="str">
        <f>IF($A$3=" "," ", IFERROR( VLOOKUP($A1699,'SUPPLIER DATA BASE'!$A$2:$G$936,4,0),""))</f>
        <v/>
      </c>
      <c r="E1699" s="71" t="str">
        <f>IF($A$3=" "," ", IFERROR( VLOOKUP($A1699,'SUPPLIER DATA BASE'!$A$2:$H$936,5,0),""))</f>
        <v/>
      </c>
      <c r="F1699" s="72"/>
      <c r="G1699" s="73"/>
      <c r="H1699" s="74"/>
      <c r="I1699" s="75"/>
      <c r="J1699" s="70"/>
      <c r="K1699" s="70"/>
      <c r="L1699" s="73"/>
      <c r="M1699" s="70" t="str">
        <f t="shared" si="3"/>
        <v/>
      </c>
      <c r="N1699" s="70" t="str">
        <f>IF($A$3=" "," ", IFERROR( VLOOKUP($A1699,'SUPPLIER DATA BASE'!$A$2:$O$936,11,0),""))</f>
        <v/>
      </c>
      <c r="O1699" s="70" t="str">
        <f>IF($A$3=" "," ", IFERROR( VLOOKUP($A1699,'SUPPLIER DATA BASE'!$A$2:$O$936,12,0),""))</f>
        <v/>
      </c>
      <c r="P1699" s="70" t="str">
        <f>IF($A$3=" "," ", IFERROR( VLOOKUP($A1699,'SUPPLIER DATA BASE'!$A$2:$O$936,13,0),""))</f>
        <v/>
      </c>
      <c r="Q1699" s="77"/>
      <c r="R1699" s="73"/>
      <c r="S1699" s="77"/>
      <c r="T1699" s="70"/>
      <c r="U1699" s="78"/>
      <c r="V1699" s="70" t="str">
        <f t="shared" si="6"/>
        <v/>
      </c>
      <c r="W1699" s="23"/>
      <c r="X1699" s="23"/>
    </row>
    <row r="1700">
      <c r="A1700" s="70"/>
      <c r="B1700" s="70" t="str">
        <f>IF($A$3=" "," ", IFERROR( VLOOKUP($A1700,'SUPPLIER DATA BASE'!$A$2:$M$936,3,0),""))</f>
        <v/>
      </c>
      <c r="C1700" s="70" t="str">
        <f>IF($A$3=" "," ", IFERROR( VLOOKUP($A1700,'SUPPLIER DATA BASE'!$A$2:$F$936,6,0),""))</f>
        <v/>
      </c>
      <c r="D1700" s="70" t="str">
        <f>IF($A$3=" "," ", IFERROR( VLOOKUP($A1700,'SUPPLIER DATA BASE'!$A$2:$G$936,4,0),""))</f>
        <v/>
      </c>
      <c r="E1700" s="71" t="str">
        <f>IF($A$3=" "," ", IFERROR( VLOOKUP($A1700,'SUPPLIER DATA BASE'!$A$2:$H$936,5,0),""))</f>
        <v/>
      </c>
      <c r="F1700" s="72"/>
      <c r="G1700" s="73"/>
      <c r="H1700" s="74"/>
      <c r="I1700" s="75"/>
      <c r="J1700" s="70"/>
      <c r="K1700" s="70"/>
      <c r="L1700" s="73"/>
      <c r="M1700" s="70" t="str">
        <f t="shared" si="3"/>
        <v/>
      </c>
      <c r="N1700" s="70" t="str">
        <f>IF($A$3=" "," ", IFERROR( VLOOKUP($A1700,'SUPPLIER DATA BASE'!$A$2:$O$936,11,0),""))</f>
        <v/>
      </c>
      <c r="O1700" s="70" t="str">
        <f>IF($A$3=" "," ", IFERROR( VLOOKUP($A1700,'SUPPLIER DATA BASE'!$A$2:$O$936,12,0),""))</f>
        <v/>
      </c>
      <c r="P1700" s="70" t="str">
        <f>IF($A$3=" "," ", IFERROR( VLOOKUP($A1700,'SUPPLIER DATA BASE'!$A$2:$O$936,13,0),""))</f>
        <v/>
      </c>
      <c r="Q1700" s="77"/>
      <c r="R1700" s="73"/>
      <c r="S1700" s="77"/>
      <c r="T1700" s="70"/>
      <c r="U1700" s="78"/>
      <c r="V1700" s="70" t="str">
        <f t="shared" si="6"/>
        <v/>
      </c>
      <c r="W1700" s="23"/>
      <c r="X1700" s="23"/>
    </row>
    <row r="1701">
      <c r="A1701" s="70"/>
      <c r="B1701" s="70" t="str">
        <f>IF($A$3=" "," ", IFERROR( VLOOKUP($A1701,'SUPPLIER DATA BASE'!$A$2:$M$936,3,0),""))</f>
        <v/>
      </c>
      <c r="C1701" s="70" t="str">
        <f>IF($A$3=" "," ", IFERROR( VLOOKUP($A1701,'SUPPLIER DATA BASE'!$A$2:$F$936,6,0),""))</f>
        <v/>
      </c>
      <c r="D1701" s="70" t="str">
        <f>IF($A$3=" "," ", IFERROR( VLOOKUP($A1701,'SUPPLIER DATA BASE'!$A$2:$G$936,4,0),""))</f>
        <v/>
      </c>
      <c r="E1701" s="71" t="str">
        <f>IF($A$3=" "," ", IFERROR( VLOOKUP($A1701,'SUPPLIER DATA BASE'!$A$2:$H$936,5,0),""))</f>
        <v/>
      </c>
      <c r="F1701" s="72"/>
      <c r="G1701" s="73"/>
      <c r="H1701" s="74"/>
      <c r="I1701" s="75"/>
      <c r="J1701" s="70"/>
      <c r="K1701" s="70"/>
      <c r="L1701" s="73"/>
      <c r="M1701" s="70" t="str">
        <f t="shared" si="3"/>
        <v/>
      </c>
      <c r="N1701" s="70" t="str">
        <f>IF($A$3=" "," ", IFERROR( VLOOKUP($A1701,'SUPPLIER DATA BASE'!$A$2:$O$936,11,0),""))</f>
        <v/>
      </c>
      <c r="O1701" s="70" t="str">
        <f>IF($A$3=" "," ", IFERROR( VLOOKUP($A1701,'SUPPLIER DATA BASE'!$A$2:$O$936,12,0),""))</f>
        <v/>
      </c>
      <c r="P1701" s="70" t="str">
        <f>IF($A$3=" "," ", IFERROR( VLOOKUP($A1701,'SUPPLIER DATA BASE'!$A$2:$O$936,13,0),""))</f>
        <v/>
      </c>
      <c r="Q1701" s="77"/>
      <c r="R1701" s="73"/>
      <c r="S1701" s="77"/>
      <c r="T1701" s="70"/>
      <c r="U1701" s="78"/>
      <c r="V1701" s="70" t="str">
        <f t="shared" si="6"/>
        <v/>
      </c>
      <c r="W1701" s="23"/>
      <c r="X1701" s="23"/>
    </row>
    <row r="1702">
      <c r="A1702" s="70"/>
      <c r="B1702" s="70" t="str">
        <f>IF($A$3=" "," ", IFERROR( VLOOKUP($A1702,'SUPPLIER DATA BASE'!$A$2:$M$936,3,0),""))</f>
        <v/>
      </c>
      <c r="C1702" s="70" t="str">
        <f>IF($A$3=" "," ", IFERROR( VLOOKUP($A1702,'SUPPLIER DATA BASE'!$A$2:$F$936,6,0),""))</f>
        <v/>
      </c>
      <c r="D1702" s="70" t="str">
        <f>IF($A$3=" "," ", IFERROR( VLOOKUP($A1702,'SUPPLIER DATA BASE'!$A$2:$G$936,4,0),""))</f>
        <v/>
      </c>
      <c r="E1702" s="71" t="str">
        <f>IF($A$3=" "," ", IFERROR( VLOOKUP($A1702,'SUPPLIER DATA BASE'!$A$2:$H$936,5,0),""))</f>
        <v/>
      </c>
      <c r="F1702" s="72"/>
      <c r="G1702" s="73"/>
      <c r="H1702" s="74"/>
      <c r="I1702" s="75"/>
      <c r="J1702" s="70"/>
      <c r="K1702" s="70"/>
      <c r="L1702" s="73"/>
      <c r="M1702" s="70" t="str">
        <f t="shared" si="3"/>
        <v/>
      </c>
      <c r="N1702" s="70" t="str">
        <f>IF($A$3=" "," ", IFERROR( VLOOKUP($A1702,'SUPPLIER DATA BASE'!$A$2:$O$936,11,0),""))</f>
        <v/>
      </c>
      <c r="O1702" s="70" t="str">
        <f>IF($A$3=" "," ", IFERROR( VLOOKUP($A1702,'SUPPLIER DATA BASE'!$A$2:$O$936,12,0),""))</f>
        <v/>
      </c>
      <c r="P1702" s="70" t="str">
        <f>IF($A$3=" "," ", IFERROR( VLOOKUP($A1702,'SUPPLIER DATA BASE'!$A$2:$O$936,13,0),""))</f>
        <v/>
      </c>
      <c r="Q1702" s="77"/>
      <c r="R1702" s="73"/>
      <c r="S1702" s="77"/>
      <c r="T1702" s="70"/>
      <c r="U1702" s="78"/>
      <c r="V1702" s="70" t="str">
        <f t="shared" si="6"/>
        <v/>
      </c>
      <c r="W1702" s="23"/>
      <c r="X1702" s="23"/>
    </row>
    <row r="1703">
      <c r="A1703" s="70"/>
      <c r="B1703" s="70" t="str">
        <f>IF($A$3=" "," ", IFERROR( VLOOKUP($A1703,'SUPPLIER DATA BASE'!$A$2:$M$936,3,0),""))</f>
        <v/>
      </c>
      <c r="C1703" s="70" t="str">
        <f>IF($A$3=" "," ", IFERROR( VLOOKUP($A1703,'SUPPLIER DATA BASE'!$A$2:$F$936,6,0),""))</f>
        <v/>
      </c>
      <c r="D1703" s="70" t="str">
        <f>IF($A$3=" "," ", IFERROR( VLOOKUP($A1703,'SUPPLIER DATA BASE'!$A$2:$G$936,4,0),""))</f>
        <v/>
      </c>
      <c r="E1703" s="71" t="str">
        <f>IF($A$3=" "," ", IFERROR( VLOOKUP($A1703,'SUPPLIER DATA BASE'!$A$2:$H$936,5,0),""))</f>
        <v/>
      </c>
      <c r="F1703" s="72"/>
      <c r="G1703" s="73"/>
      <c r="H1703" s="74"/>
      <c r="I1703" s="75"/>
      <c r="J1703" s="70"/>
      <c r="K1703" s="70"/>
      <c r="L1703" s="73"/>
      <c r="M1703" s="70" t="str">
        <f t="shared" si="3"/>
        <v/>
      </c>
      <c r="N1703" s="70" t="str">
        <f>IF($A$3=" "," ", IFERROR( VLOOKUP($A1703,'SUPPLIER DATA BASE'!$A$2:$O$936,11,0),""))</f>
        <v/>
      </c>
      <c r="O1703" s="70" t="str">
        <f>IF($A$3=" "," ", IFERROR( VLOOKUP($A1703,'SUPPLIER DATA BASE'!$A$2:$O$936,12,0),""))</f>
        <v/>
      </c>
      <c r="P1703" s="70" t="str">
        <f>IF($A$3=" "," ", IFERROR( VLOOKUP($A1703,'SUPPLIER DATA BASE'!$A$2:$O$936,13,0),""))</f>
        <v/>
      </c>
      <c r="Q1703" s="77"/>
      <c r="R1703" s="73"/>
      <c r="S1703" s="77"/>
      <c r="T1703" s="70"/>
      <c r="U1703" s="78"/>
      <c r="V1703" s="70" t="str">
        <f t="shared" si="6"/>
        <v/>
      </c>
      <c r="W1703" s="23"/>
      <c r="X1703" s="23"/>
    </row>
    <row r="1704">
      <c r="A1704" s="70"/>
      <c r="B1704" s="70" t="str">
        <f>IF($A$3=" "," ", IFERROR( VLOOKUP($A1704,'SUPPLIER DATA BASE'!$A$2:$M$936,3,0),""))</f>
        <v/>
      </c>
      <c r="C1704" s="70" t="str">
        <f>IF($A$3=" "," ", IFERROR( VLOOKUP($A1704,'SUPPLIER DATA BASE'!$A$2:$F$936,6,0),""))</f>
        <v/>
      </c>
      <c r="D1704" s="70" t="str">
        <f>IF($A$3=" "," ", IFERROR( VLOOKUP($A1704,'SUPPLIER DATA BASE'!$A$2:$G$936,4,0),""))</f>
        <v/>
      </c>
      <c r="E1704" s="71" t="str">
        <f>IF($A$3=" "," ", IFERROR( VLOOKUP($A1704,'SUPPLIER DATA BASE'!$A$2:$H$936,5,0),""))</f>
        <v/>
      </c>
      <c r="F1704" s="72"/>
      <c r="G1704" s="73"/>
      <c r="H1704" s="74"/>
      <c r="I1704" s="75"/>
      <c r="J1704" s="70"/>
      <c r="K1704" s="70"/>
      <c r="L1704" s="73"/>
      <c r="M1704" s="70" t="str">
        <f t="shared" si="3"/>
        <v/>
      </c>
      <c r="N1704" s="70" t="str">
        <f>IF($A$3=" "," ", IFERROR( VLOOKUP($A1704,'SUPPLIER DATA BASE'!$A$2:$O$936,11,0),""))</f>
        <v/>
      </c>
      <c r="O1704" s="70" t="str">
        <f>IF($A$3=" "," ", IFERROR( VLOOKUP($A1704,'SUPPLIER DATA BASE'!$A$2:$O$936,12,0),""))</f>
        <v/>
      </c>
      <c r="P1704" s="70" t="str">
        <f>IF($A$3=" "," ", IFERROR( VLOOKUP($A1704,'SUPPLIER DATA BASE'!$A$2:$O$936,13,0),""))</f>
        <v/>
      </c>
      <c r="Q1704" s="77"/>
      <c r="R1704" s="73"/>
      <c r="S1704" s="77"/>
      <c r="T1704" s="70"/>
      <c r="U1704" s="78"/>
      <c r="V1704" s="70" t="str">
        <f t="shared" si="6"/>
        <v/>
      </c>
      <c r="W1704" s="23"/>
      <c r="X1704" s="23"/>
    </row>
    <row r="1705">
      <c r="A1705" s="70"/>
      <c r="B1705" s="70" t="str">
        <f>IF($A$3=" "," ", IFERROR( VLOOKUP($A1705,'SUPPLIER DATA BASE'!$A$2:$M$936,3,0),""))</f>
        <v/>
      </c>
      <c r="C1705" s="70" t="str">
        <f>IF($A$3=" "," ", IFERROR( VLOOKUP($A1705,'SUPPLIER DATA BASE'!$A$2:$F$936,6,0),""))</f>
        <v/>
      </c>
      <c r="D1705" s="70" t="str">
        <f>IF($A$3=" "," ", IFERROR( VLOOKUP($A1705,'SUPPLIER DATA BASE'!$A$2:$G$936,4,0),""))</f>
        <v/>
      </c>
      <c r="E1705" s="71" t="str">
        <f>IF($A$3=" "," ", IFERROR( VLOOKUP($A1705,'SUPPLIER DATA BASE'!$A$2:$H$936,5,0),""))</f>
        <v/>
      </c>
      <c r="F1705" s="72"/>
      <c r="G1705" s="73"/>
      <c r="H1705" s="74"/>
      <c r="I1705" s="75"/>
      <c r="J1705" s="70"/>
      <c r="K1705" s="70"/>
      <c r="L1705" s="73"/>
      <c r="M1705" s="70" t="str">
        <f t="shared" si="3"/>
        <v/>
      </c>
      <c r="N1705" s="70" t="str">
        <f>IF($A$3=" "," ", IFERROR( VLOOKUP($A1705,'SUPPLIER DATA BASE'!$A$2:$O$936,11,0),""))</f>
        <v/>
      </c>
      <c r="O1705" s="70" t="str">
        <f>IF($A$3=" "," ", IFERROR( VLOOKUP($A1705,'SUPPLIER DATA BASE'!$A$2:$O$936,12,0),""))</f>
        <v/>
      </c>
      <c r="P1705" s="70" t="str">
        <f>IF($A$3=" "," ", IFERROR( VLOOKUP($A1705,'SUPPLIER DATA BASE'!$A$2:$O$936,13,0),""))</f>
        <v/>
      </c>
      <c r="Q1705" s="77"/>
      <c r="R1705" s="73"/>
      <c r="S1705" s="77"/>
      <c r="T1705" s="70"/>
      <c r="U1705" s="78"/>
      <c r="V1705" s="70" t="str">
        <f t="shared" si="6"/>
        <v/>
      </c>
      <c r="W1705" s="23"/>
      <c r="X1705" s="23"/>
    </row>
    <row r="1706">
      <c r="A1706" s="70"/>
      <c r="B1706" s="70" t="str">
        <f>IF($A$3=" "," ", IFERROR( VLOOKUP($A1706,'SUPPLIER DATA BASE'!$A$2:$M$936,3,0),""))</f>
        <v/>
      </c>
      <c r="C1706" s="70" t="str">
        <f>IF($A$3=" "," ", IFERROR( VLOOKUP($A1706,'SUPPLIER DATA BASE'!$A$2:$F$936,6,0),""))</f>
        <v/>
      </c>
      <c r="D1706" s="70" t="str">
        <f>IF($A$3=" "," ", IFERROR( VLOOKUP($A1706,'SUPPLIER DATA BASE'!$A$2:$G$936,4,0),""))</f>
        <v/>
      </c>
      <c r="E1706" s="71" t="str">
        <f>IF($A$3=" "," ", IFERROR( VLOOKUP($A1706,'SUPPLIER DATA BASE'!$A$2:$H$936,5,0),""))</f>
        <v/>
      </c>
      <c r="F1706" s="72"/>
      <c r="G1706" s="73"/>
      <c r="H1706" s="74"/>
      <c r="I1706" s="75"/>
      <c r="J1706" s="70"/>
      <c r="K1706" s="70"/>
      <c r="L1706" s="73"/>
      <c r="M1706" s="70" t="str">
        <f t="shared" si="3"/>
        <v/>
      </c>
      <c r="N1706" s="70" t="str">
        <f>IF($A$3=" "," ", IFERROR( VLOOKUP($A1706,'SUPPLIER DATA BASE'!$A$2:$O$936,11,0),""))</f>
        <v/>
      </c>
      <c r="O1706" s="70" t="str">
        <f>IF($A$3=" "," ", IFERROR( VLOOKUP($A1706,'SUPPLIER DATA BASE'!$A$2:$O$936,12,0),""))</f>
        <v/>
      </c>
      <c r="P1706" s="70" t="str">
        <f>IF($A$3=" "," ", IFERROR( VLOOKUP($A1706,'SUPPLIER DATA BASE'!$A$2:$O$936,13,0),""))</f>
        <v/>
      </c>
      <c r="Q1706" s="77"/>
      <c r="R1706" s="73"/>
      <c r="S1706" s="77"/>
      <c r="T1706" s="70"/>
      <c r="U1706" s="78"/>
      <c r="V1706" s="70" t="str">
        <f t="shared" si="6"/>
        <v/>
      </c>
      <c r="W1706" s="23"/>
      <c r="X1706" s="23"/>
    </row>
    <row r="1707">
      <c r="A1707" s="70"/>
      <c r="B1707" s="70" t="str">
        <f>IF($A$3=" "," ", IFERROR( VLOOKUP($A1707,'SUPPLIER DATA BASE'!$A$2:$M$936,3,0),""))</f>
        <v/>
      </c>
      <c r="C1707" s="70" t="str">
        <f>IF($A$3=" "," ", IFERROR( VLOOKUP($A1707,'SUPPLIER DATA BASE'!$A$2:$F$936,6,0),""))</f>
        <v/>
      </c>
      <c r="D1707" s="70" t="str">
        <f>IF($A$3=" "," ", IFERROR( VLOOKUP($A1707,'SUPPLIER DATA BASE'!$A$2:$G$936,4,0),""))</f>
        <v/>
      </c>
      <c r="E1707" s="71" t="str">
        <f>IF($A$3=" "," ", IFERROR( VLOOKUP($A1707,'SUPPLIER DATA BASE'!$A$2:$H$936,5,0),""))</f>
        <v/>
      </c>
      <c r="F1707" s="72"/>
      <c r="G1707" s="73"/>
      <c r="H1707" s="74"/>
      <c r="I1707" s="75"/>
      <c r="J1707" s="70"/>
      <c r="K1707" s="70"/>
      <c r="L1707" s="73"/>
      <c r="M1707" s="70" t="str">
        <f t="shared" si="3"/>
        <v/>
      </c>
      <c r="N1707" s="70" t="str">
        <f>IF($A$3=" "," ", IFERROR( VLOOKUP($A1707,'SUPPLIER DATA BASE'!$A$2:$O$936,11,0),""))</f>
        <v/>
      </c>
      <c r="O1707" s="70" t="str">
        <f>IF($A$3=" "," ", IFERROR( VLOOKUP($A1707,'SUPPLIER DATA BASE'!$A$2:$O$936,12,0),""))</f>
        <v/>
      </c>
      <c r="P1707" s="70" t="str">
        <f>IF($A$3=" "," ", IFERROR( VLOOKUP($A1707,'SUPPLIER DATA BASE'!$A$2:$O$936,13,0),""))</f>
        <v/>
      </c>
      <c r="Q1707" s="77"/>
      <c r="R1707" s="73"/>
      <c r="S1707" s="77"/>
      <c r="T1707" s="70"/>
      <c r="U1707" s="78"/>
      <c r="V1707" s="70" t="str">
        <f t="shared" si="6"/>
        <v/>
      </c>
      <c r="W1707" s="23"/>
      <c r="X1707" s="23"/>
    </row>
    <row r="1708">
      <c r="A1708" s="70"/>
      <c r="B1708" s="70" t="str">
        <f>IF($A$3=" "," ", IFERROR( VLOOKUP($A1708,'SUPPLIER DATA BASE'!$A$2:$M$936,3,0),""))</f>
        <v/>
      </c>
      <c r="C1708" s="70" t="str">
        <f>IF($A$3=" "," ", IFERROR( VLOOKUP($A1708,'SUPPLIER DATA BASE'!$A$2:$F$936,6,0),""))</f>
        <v/>
      </c>
      <c r="D1708" s="70" t="str">
        <f>IF($A$3=" "," ", IFERROR( VLOOKUP($A1708,'SUPPLIER DATA BASE'!$A$2:$G$936,4,0),""))</f>
        <v/>
      </c>
      <c r="E1708" s="71" t="str">
        <f>IF($A$3=" "," ", IFERROR( VLOOKUP($A1708,'SUPPLIER DATA BASE'!$A$2:$H$936,5,0),""))</f>
        <v/>
      </c>
      <c r="F1708" s="72"/>
      <c r="G1708" s="73"/>
      <c r="H1708" s="74"/>
      <c r="I1708" s="75"/>
      <c r="J1708" s="70"/>
      <c r="K1708" s="70"/>
      <c r="L1708" s="73"/>
      <c r="M1708" s="70" t="str">
        <f t="shared" si="3"/>
        <v/>
      </c>
      <c r="N1708" s="70" t="str">
        <f>IF($A$3=" "," ", IFERROR( VLOOKUP($A1708,'SUPPLIER DATA BASE'!$A$2:$O$936,11,0),""))</f>
        <v/>
      </c>
      <c r="O1708" s="70" t="str">
        <f>IF($A$3=" "," ", IFERROR( VLOOKUP($A1708,'SUPPLIER DATA BASE'!$A$2:$O$936,12,0),""))</f>
        <v/>
      </c>
      <c r="P1708" s="70" t="str">
        <f>IF($A$3=" "," ", IFERROR( VLOOKUP($A1708,'SUPPLIER DATA BASE'!$A$2:$O$936,13,0),""))</f>
        <v/>
      </c>
      <c r="Q1708" s="77"/>
      <c r="R1708" s="73"/>
      <c r="S1708" s="77"/>
      <c r="T1708" s="70"/>
      <c r="U1708" s="78"/>
      <c r="V1708" s="70" t="str">
        <f t="shared" si="6"/>
        <v/>
      </c>
      <c r="W1708" s="23"/>
      <c r="X1708" s="23"/>
    </row>
    <row r="1709">
      <c r="A1709" s="70"/>
      <c r="B1709" s="70" t="str">
        <f>IF($A$3=" "," ", IFERROR( VLOOKUP($A1709,'SUPPLIER DATA BASE'!$A$2:$M$936,3,0),""))</f>
        <v/>
      </c>
      <c r="C1709" s="70" t="str">
        <f>IF($A$3=" "," ", IFERROR( VLOOKUP($A1709,'SUPPLIER DATA BASE'!$A$2:$F$936,6,0),""))</f>
        <v/>
      </c>
      <c r="D1709" s="70" t="str">
        <f>IF($A$3=" "," ", IFERROR( VLOOKUP($A1709,'SUPPLIER DATA BASE'!$A$2:$G$936,4,0),""))</f>
        <v/>
      </c>
      <c r="E1709" s="71" t="str">
        <f>IF($A$3=" "," ", IFERROR( VLOOKUP($A1709,'SUPPLIER DATA BASE'!$A$2:$H$936,5,0),""))</f>
        <v/>
      </c>
      <c r="F1709" s="72"/>
      <c r="G1709" s="73"/>
      <c r="H1709" s="74"/>
      <c r="I1709" s="75"/>
      <c r="J1709" s="70"/>
      <c r="K1709" s="70"/>
      <c r="L1709" s="73"/>
      <c r="M1709" s="70" t="str">
        <f t="shared" si="3"/>
        <v/>
      </c>
      <c r="N1709" s="70" t="str">
        <f>IF($A$3=" "," ", IFERROR( VLOOKUP($A1709,'SUPPLIER DATA BASE'!$A$2:$O$936,11,0),""))</f>
        <v/>
      </c>
      <c r="O1709" s="70" t="str">
        <f>IF($A$3=" "," ", IFERROR( VLOOKUP($A1709,'SUPPLIER DATA BASE'!$A$2:$O$936,12,0),""))</f>
        <v/>
      </c>
      <c r="P1709" s="70" t="str">
        <f>IF($A$3=" "," ", IFERROR( VLOOKUP($A1709,'SUPPLIER DATA BASE'!$A$2:$O$936,13,0),""))</f>
        <v/>
      </c>
      <c r="Q1709" s="77"/>
      <c r="R1709" s="73"/>
      <c r="S1709" s="77"/>
      <c r="T1709" s="70"/>
      <c r="U1709" s="78"/>
      <c r="V1709" s="70" t="str">
        <f t="shared" si="6"/>
        <v/>
      </c>
      <c r="W1709" s="23"/>
      <c r="X1709" s="23"/>
    </row>
    <row r="1710">
      <c r="A1710" s="70"/>
      <c r="B1710" s="70" t="str">
        <f>IF($A$3=" "," ", IFERROR( VLOOKUP($A1710,'SUPPLIER DATA BASE'!$A$2:$M$936,3,0),""))</f>
        <v/>
      </c>
      <c r="C1710" s="70" t="str">
        <f>IF($A$3=" "," ", IFERROR( VLOOKUP($A1710,'SUPPLIER DATA BASE'!$A$2:$F$936,6,0),""))</f>
        <v/>
      </c>
      <c r="D1710" s="70" t="str">
        <f>IF($A$3=" "," ", IFERROR( VLOOKUP($A1710,'SUPPLIER DATA BASE'!$A$2:$G$936,4,0),""))</f>
        <v/>
      </c>
      <c r="E1710" s="71" t="str">
        <f>IF($A$3=" "," ", IFERROR( VLOOKUP($A1710,'SUPPLIER DATA BASE'!$A$2:$H$936,5,0),""))</f>
        <v/>
      </c>
      <c r="F1710" s="72"/>
      <c r="G1710" s="73"/>
      <c r="H1710" s="74"/>
      <c r="I1710" s="75"/>
      <c r="J1710" s="70"/>
      <c r="K1710" s="70"/>
      <c r="L1710" s="73"/>
      <c r="M1710" s="70" t="str">
        <f t="shared" si="3"/>
        <v/>
      </c>
      <c r="N1710" s="70" t="str">
        <f>IF($A$3=" "," ", IFERROR( VLOOKUP($A1710,'SUPPLIER DATA BASE'!$A$2:$O$936,11,0),""))</f>
        <v/>
      </c>
      <c r="O1710" s="70" t="str">
        <f>IF($A$3=" "," ", IFERROR( VLOOKUP($A1710,'SUPPLIER DATA BASE'!$A$2:$O$936,12,0),""))</f>
        <v/>
      </c>
      <c r="P1710" s="70" t="str">
        <f>IF($A$3=" "," ", IFERROR( VLOOKUP($A1710,'SUPPLIER DATA BASE'!$A$2:$O$936,13,0),""))</f>
        <v/>
      </c>
      <c r="Q1710" s="77"/>
      <c r="R1710" s="73"/>
      <c r="S1710" s="77"/>
      <c r="T1710" s="70"/>
      <c r="U1710" s="78"/>
      <c r="V1710" s="70" t="str">
        <f t="shared" si="6"/>
        <v/>
      </c>
      <c r="W1710" s="23"/>
      <c r="X1710" s="23"/>
    </row>
    <row r="1711">
      <c r="A1711" s="70"/>
      <c r="B1711" s="70" t="str">
        <f>IF($A$3=" "," ", IFERROR( VLOOKUP($A1711,'SUPPLIER DATA BASE'!$A$2:$M$936,3,0),""))</f>
        <v/>
      </c>
      <c r="C1711" s="70" t="str">
        <f>IF($A$3=" "," ", IFERROR( VLOOKUP($A1711,'SUPPLIER DATA BASE'!$A$2:$F$936,6,0),""))</f>
        <v/>
      </c>
      <c r="D1711" s="70" t="str">
        <f>IF($A$3=" "," ", IFERROR( VLOOKUP($A1711,'SUPPLIER DATA BASE'!$A$2:$G$936,4,0),""))</f>
        <v/>
      </c>
      <c r="E1711" s="71" t="str">
        <f>IF($A$3=" "," ", IFERROR( VLOOKUP($A1711,'SUPPLIER DATA BASE'!$A$2:$H$936,5,0),""))</f>
        <v/>
      </c>
      <c r="F1711" s="72"/>
      <c r="G1711" s="73"/>
      <c r="H1711" s="74"/>
      <c r="I1711" s="75"/>
      <c r="J1711" s="70"/>
      <c r="K1711" s="70"/>
      <c r="L1711" s="73"/>
      <c r="M1711" s="70" t="str">
        <f t="shared" si="3"/>
        <v/>
      </c>
      <c r="N1711" s="70" t="str">
        <f>IF($A$3=" "," ", IFERROR( VLOOKUP($A1711,'SUPPLIER DATA BASE'!$A$2:$O$936,11,0),""))</f>
        <v/>
      </c>
      <c r="O1711" s="70" t="str">
        <f>IF($A$3=" "," ", IFERROR( VLOOKUP($A1711,'SUPPLIER DATA BASE'!$A$2:$O$936,12,0),""))</f>
        <v/>
      </c>
      <c r="P1711" s="70" t="str">
        <f>IF($A$3=" "," ", IFERROR( VLOOKUP($A1711,'SUPPLIER DATA BASE'!$A$2:$O$936,13,0),""))</f>
        <v/>
      </c>
      <c r="Q1711" s="77"/>
      <c r="R1711" s="73"/>
      <c r="S1711" s="77"/>
      <c r="T1711" s="70"/>
      <c r="U1711" s="78"/>
      <c r="V1711" s="70" t="str">
        <f t="shared" si="6"/>
        <v/>
      </c>
      <c r="W1711" s="23"/>
      <c r="X1711" s="23"/>
    </row>
    <row r="1712">
      <c r="A1712" s="70"/>
      <c r="B1712" s="70" t="str">
        <f>IF($A$3=" "," ", IFERROR( VLOOKUP($A1712,'SUPPLIER DATA BASE'!$A$2:$M$936,3,0),""))</f>
        <v/>
      </c>
      <c r="C1712" s="70" t="str">
        <f>IF($A$3=" "," ", IFERROR( VLOOKUP($A1712,'SUPPLIER DATA BASE'!$A$2:$F$936,6,0),""))</f>
        <v/>
      </c>
      <c r="D1712" s="70" t="str">
        <f>IF($A$3=" "," ", IFERROR( VLOOKUP($A1712,'SUPPLIER DATA BASE'!$A$2:$G$936,4,0),""))</f>
        <v/>
      </c>
      <c r="E1712" s="71" t="str">
        <f>IF($A$3=" "," ", IFERROR( VLOOKUP($A1712,'SUPPLIER DATA BASE'!$A$2:$H$936,5,0),""))</f>
        <v/>
      </c>
      <c r="F1712" s="72"/>
      <c r="G1712" s="73"/>
      <c r="H1712" s="74"/>
      <c r="I1712" s="75"/>
      <c r="J1712" s="70"/>
      <c r="K1712" s="70"/>
      <c r="L1712" s="73"/>
      <c r="M1712" s="70" t="str">
        <f t="shared" si="3"/>
        <v/>
      </c>
      <c r="N1712" s="70" t="str">
        <f>IF($A$3=" "," ", IFERROR( VLOOKUP($A1712,'SUPPLIER DATA BASE'!$A$2:$O$936,11,0),""))</f>
        <v/>
      </c>
      <c r="O1712" s="70" t="str">
        <f>IF($A$3=" "," ", IFERROR( VLOOKUP($A1712,'SUPPLIER DATA BASE'!$A$2:$O$936,12,0),""))</f>
        <v/>
      </c>
      <c r="P1712" s="70" t="str">
        <f>IF($A$3=" "," ", IFERROR( VLOOKUP($A1712,'SUPPLIER DATA BASE'!$A$2:$O$936,13,0),""))</f>
        <v/>
      </c>
      <c r="Q1712" s="77"/>
      <c r="R1712" s="73"/>
      <c r="S1712" s="77"/>
      <c r="T1712" s="70"/>
      <c r="U1712" s="78"/>
      <c r="V1712" s="70" t="str">
        <f t="shared" si="6"/>
        <v/>
      </c>
      <c r="W1712" s="23"/>
      <c r="X1712" s="23"/>
    </row>
    <row r="1713">
      <c r="A1713" s="70"/>
      <c r="B1713" s="70" t="str">
        <f>IF($A$3=" "," ", IFERROR( VLOOKUP($A1713,'SUPPLIER DATA BASE'!$A$2:$M$936,3,0),""))</f>
        <v/>
      </c>
      <c r="C1713" s="70" t="str">
        <f>IF($A$3=" "," ", IFERROR( VLOOKUP($A1713,'SUPPLIER DATA BASE'!$A$2:$F$936,6,0),""))</f>
        <v/>
      </c>
      <c r="D1713" s="70" t="str">
        <f>IF($A$3=" "," ", IFERROR( VLOOKUP($A1713,'SUPPLIER DATA BASE'!$A$2:$G$936,4,0),""))</f>
        <v/>
      </c>
      <c r="E1713" s="71" t="str">
        <f>IF($A$3=" "," ", IFERROR( VLOOKUP($A1713,'SUPPLIER DATA BASE'!$A$2:$H$936,5,0),""))</f>
        <v/>
      </c>
      <c r="F1713" s="72"/>
      <c r="G1713" s="73"/>
      <c r="H1713" s="74"/>
      <c r="I1713" s="75"/>
      <c r="J1713" s="70"/>
      <c r="K1713" s="70"/>
      <c r="L1713" s="73"/>
      <c r="M1713" s="70" t="str">
        <f t="shared" si="3"/>
        <v/>
      </c>
      <c r="N1713" s="70" t="str">
        <f>IF($A$3=" "," ", IFERROR( VLOOKUP($A1713,'SUPPLIER DATA BASE'!$A$2:$O$936,11,0),""))</f>
        <v/>
      </c>
      <c r="O1713" s="70" t="str">
        <f>IF($A$3=" "," ", IFERROR( VLOOKUP($A1713,'SUPPLIER DATA BASE'!$A$2:$O$936,12,0),""))</f>
        <v/>
      </c>
      <c r="P1713" s="70" t="str">
        <f>IF($A$3=" "," ", IFERROR( VLOOKUP($A1713,'SUPPLIER DATA BASE'!$A$2:$O$936,13,0),""))</f>
        <v/>
      </c>
      <c r="Q1713" s="77"/>
      <c r="R1713" s="73"/>
      <c r="S1713" s="77"/>
      <c r="T1713" s="70"/>
      <c r="U1713" s="78"/>
      <c r="V1713" s="70" t="str">
        <f t="shared" si="6"/>
        <v/>
      </c>
      <c r="W1713" s="23"/>
      <c r="X1713" s="23"/>
    </row>
    <row r="1714">
      <c r="A1714" s="70"/>
      <c r="B1714" s="70" t="str">
        <f>IF($A$3=" "," ", IFERROR( VLOOKUP($A1714,'SUPPLIER DATA BASE'!$A$2:$M$936,3,0),""))</f>
        <v/>
      </c>
      <c r="C1714" s="70" t="str">
        <f>IF($A$3=" "," ", IFERROR( VLOOKUP($A1714,'SUPPLIER DATA BASE'!$A$2:$F$936,6,0),""))</f>
        <v/>
      </c>
      <c r="D1714" s="70" t="str">
        <f>IF($A$3=" "," ", IFERROR( VLOOKUP($A1714,'SUPPLIER DATA BASE'!$A$2:$G$936,4,0),""))</f>
        <v/>
      </c>
      <c r="E1714" s="71" t="str">
        <f>IF($A$3=" "," ", IFERROR( VLOOKUP($A1714,'SUPPLIER DATA BASE'!$A$2:$H$936,5,0),""))</f>
        <v/>
      </c>
      <c r="F1714" s="72"/>
      <c r="G1714" s="73"/>
      <c r="H1714" s="74"/>
      <c r="I1714" s="75"/>
      <c r="J1714" s="70"/>
      <c r="K1714" s="70"/>
      <c r="L1714" s="73"/>
      <c r="M1714" s="70" t="str">
        <f t="shared" si="3"/>
        <v/>
      </c>
      <c r="N1714" s="70" t="str">
        <f>IF($A$3=" "," ", IFERROR( VLOOKUP($A1714,'SUPPLIER DATA BASE'!$A$2:$O$936,11,0),""))</f>
        <v/>
      </c>
      <c r="O1714" s="70" t="str">
        <f>IF($A$3=" "," ", IFERROR( VLOOKUP($A1714,'SUPPLIER DATA BASE'!$A$2:$O$936,12,0),""))</f>
        <v/>
      </c>
      <c r="P1714" s="70" t="str">
        <f>IF($A$3=" "," ", IFERROR( VLOOKUP($A1714,'SUPPLIER DATA BASE'!$A$2:$O$936,13,0),""))</f>
        <v/>
      </c>
      <c r="Q1714" s="77"/>
      <c r="R1714" s="73"/>
      <c r="S1714" s="77"/>
      <c r="T1714" s="70"/>
      <c r="U1714" s="78"/>
      <c r="V1714" s="70" t="str">
        <f t="shared" si="6"/>
        <v/>
      </c>
      <c r="W1714" s="23"/>
      <c r="X1714" s="23"/>
    </row>
    <row r="1715">
      <c r="A1715" s="70"/>
      <c r="B1715" s="70" t="str">
        <f>IF($A$3=" "," ", IFERROR( VLOOKUP($A1715,'SUPPLIER DATA BASE'!$A$2:$M$936,3,0),""))</f>
        <v/>
      </c>
      <c r="C1715" s="70" t="str">
        <f>IF($A$3=" "," ", IFERROR( VLOOKUP($A1715,'SUPPLIER DATA BASE'!$A$2:$F$936,6,0),""))</f>
        <v/>
      </c>
      <c r="D1715" s="70" t="str">
        <f>IF($A$3=" "," ", IFERROR( VLOOKUP($A1715,'SUPPLIER DATA BASE'!$A$2:$G$936,4,0),""))</f>
        <v/>
      </c>
      <c r="E1715" s="71" t="str">
        <f>IF($A$3=" "," ", IFERROR( VLOOKUP($A1715,'SUPPLIER DATA BASE'!$A$2:$H$936,5,0),""))</f>
        <v/>
      </c>
      <c r="F1715" s="72"/>
      <c r="G1715" s="73"/>
      <c r="H1715" s="74"/>
      <c r="I1715" s="75"/>
      <c r="J1715" s="70"/>
      <c r="K1715" s="70"/>
      <c r="L1715" s="73"/>
      <c r="M1715" s="70" t="str">
        <f t="shared" si="3"/>
        <v/>
      </c>
      <c r="N1715" s="70" t="str">
        <f>IF($A$3=" "," ", IFERROR( VLOOKUP($A1715,'SUPPLIER DATA BASE'!$A$2:$O$936,11,0),""))</f>
        <v/>
      </c>
      <c r="O1715" s="70" t="str">
        <f>IF($A$3=" "," ", IFERROR( VLOOKUP($A1715,'SUPPLIER DATA BASE'!$A$2:$O$936,12,0),""))</f>
        <v/>
      </c>
      <c r="P1715" s="70" t="str">
        <f>IF($A$3=" "," ", IFERROR( VLOOKUP($A1715,'SUPPLIER DATA BASE'!$A$2:$O$936,13,0),""))</f>
        <v/>
      </c>
      <c r="Q1715" s="77"/>
      <c r="R1715" s="73"/>
      <c r="S1715" s="77"/>
      <c r="T1715" s="70"/>
      <c r="U1715" s="78"/>
      <c r="V1715" s="70" t="str">
        <f t="shared" si="6"/>
        <v/>
      </c>
      <c r="W1715" s="23"/>
      <c r="X1715" s="23"/>
    </row>
    <row r="1716">
      <c r="A1716" s="70"/>
      <c r="B1716" s="70" t="str">
        <f>IF($A$3=" "," ", IFERROR( VLOOKUP($A1716,'SUPPLIER DATA BASE'!$A$2:$M$936,3,0),""))</f>
        <v/>
      </c>
      <c r="C1716" s="70" t="str">
        <f>IF($A$3=" "," ", IFERROR( VLOOKUP($A1716,'SUPPLIER DATA BASE'!$A$2:$F$936,6,0),""))</f>
        <v/>
      </c>
      <c r="D1716" s="70" t="str">
        <f>IF($A$3=" "," ", IFERROR( VLOOKUP($A1716,'SUPPLIER DATA BASE'!$A$2:$G$936,4,0),""))</f>
        <v/>
      </c>
      <c r="E1716" s="71" t="str">
        <f>IF($A$3=" "," ", IFERROR( VLOOKUP($A1716,'SUPPLIER DATA BASE'!$A$2:$H$936,5,0),""))</f>
        <v/>
      </c>
      <c r="F1716" s="72"/>
      <c r="G1716" s="73"/>
      <c r="H1716" s="74"/>
      <c r="I1716" s="75"/>
      <c r="J1716" s="70"/>
      <c r="K1716" s="70"/>
      <c r="L1716" s="73"/>
      <c r="M1716" s="70" t="str">
        <f t="shared" si="3"/>
        <v/>
      </c>
      <c r="N1716" s="70" t="str">
        <f>IF($A$3=" "," ", IFERROR( VLOOKUP($A1716,'SUPPLIER DATA BASE'!$A$2:$O$936,11,0),""))</f>
        <v/>
      </c>
      <c r="O1716" s="70" t="str">
        <f>IF($A$3=" "," ", IFERROR( VLOOKUP($A1716,'SUPPLIER DATA BASE'!$A$2:$O$936,12,0),""))</f>
        <v/>
      </c>
      <c r="P1716" s="70" t="str">
        <f>IF($A$3=" "," ", IFERROR( VLOOKUP($A1716,'SUPPLIER DATA BASE'!$A$2:$O$936,13,0),""))</f>
        <v/>
      </c>
      <c r="Q1716" s="77"/>
      <c r="R1716" s="73"/>
      <c r="S1716" s="77"/>
      <c r="T1716" s="70"/>
      <c r="U1716" s="78"/>
      <c r="V1716" s="70" t="str">
        <f t="shared" si="6"/>
        <v/>
      </c>
      <c r="W1716" s="23"/>
      <c r="X1716" s="23"/>
    </row>
    <row r="1717">
      <c r="A1717" s="70"/>
      <c r="B1717" s="70" t="str">
        <f>IF($A$3=" "," ", IFERROR( VLOOKUP($A1717,'SUPPLIER DATA BASE'!$A$2:$M$936,3,0),""))</f>
        <v/>
      </c>
      <c r="C1717" s="70" t="str">
        <f>IF($A$3=" "," ", IFERROR( VLOOKUP($A1717,'SUPPLIER DATA BASE'!$A$2:$F$936,6,0),""))</f>
        <v/>
      </c>
      <c r="D1717" s="70" t="str">
        <f>IF($A$3=" "," ", IFERROR( VLOOKUP($A1717,'SUPPLIER DATA BASE'!$A$2:$G$936,4,0),""))</f>
        <v/>
      </c>
      <c r="E1717" s="71" t="str">
        <f>IF($A$3=" "," ", IFERROR( VLOOKUP($A1717,'SUPPLIER DATA BASE'!$A$2:$H$936,5,0),""))</f>
        <v/>
      </c>
      <c r="F1717" s="72"/>
      <c r="G1717" s="73"/>
      <c r="H1717" s="74"/>
      <c r="I1717" s="75"/>
      <c r="J1717" s="70"/>
      <c r="K1717" s="70"/>
      <c r="L1717" s="73"/>
      <c r="M1717" s="70" t="str">
        <f t="shared" si="3"/>
        <v/>
      </c>
      <c r="N1717" s="70" t="str">
        <f>IF($A$3=" "," ", IFERROR( VLOOKUP($A1717,'SUPPLIER DATA BASE'!$A$2:$O$936,11,0),""))</f>
        <v/>
      </c>
      <c r="O1717" s="70" t="str">
        <f>IF($A$3=" "," ", IFERROR( VLOOKUP($A1717,'SUPPLIER DATA BASE'!$A$2:$O$936,12,0),""))</f>
        <v/>
      </c>
      <c r="P1717" s="70" t="str">
        <f>IF($A$3=" "," ", IFERROR( VLOOKUP($A1717,'SUPPLIER DATA BASE'!$A$2:$O$936,13,0),""))</f>
        <v/>
      </c>
      <c r="Q1717" s="77"/>
      <c r="R1717" s="73"/>
      <c r="S1717" s="77"/>
      <c r="T1717" s="70"/>
      <c r="U1717" s="78"/>
      <c r="V1717" s="70" t="str">
        <f t="shared" si="6"/>
        <v/>
      </c>
      <c r="W1717" s="23"/>
      <c r="X1717" s="23"/>
    </row>
    <row r="1718">
      <c r="A1718" s="70"/>
      <c r="B1718" s="70" t="str">
        <f>IF($A$3=" "," ", IFERROR( VLOOKUP($A1718,'SUPPLIER DATA BASE'!$A$2:$M$936,3,0),""))</f>
        <v/>
      </c>
      <c r="C1718" s="70" t="str">
        <f>IF($A$3=" "," ", IFERROR( VLOOKUP($A1718,'SUPPLIER DATA BASE'!$A$2:$F$936,6,0),""))</f>
        <v/>
      </c>
      <c r="D1718" s="70" t="str">
        <f>IF($A$3=" "," ", IFERROR( VLOOKUP($A1718,'SUPPLIER DATA BASE'!$A$2:$G$936,4,0),""))</f>
        <v/>
      </c>
      <c r="E1718" s="71" t="str">
        <f>IF($A$3=" "," ", IFERROR( VLOOKUP($A1718,'SUPPLIER DATA BASE'!$A$2:$H$936,5,0),""))</f>
        <v/>
      </c>
      <c r="F1718" s="72"/>
      <c r="G1718" s="73"/>
      <c r="H1718" s="74"/>
      <c r="I1718" s="75"/>
      <c r="J1718" s="70"/>
      <c r="K1718" s="70"/>
      <c r="L1718" s="73"/>
      <c r="M1718" s="70" t="str">
        <f t="shared" si="3"/>
        <v/>
      </c>
      <c r="N1718" s="70" t="str">
        <f>IF($A$3=" "," ", IFERROR( VLOOKUP($A1718,'SUPPLIER DATA BASE'!$A$2:$O$936,11,0),""))</f>
        <v/>
      </c>
      <c r="O1718" s="70" t="str">
        <f>IF($A$3=" "," ", IFERROR( VLOOKUP($A1718,'SUPPLIER DATA BASE'!$A$2:$O$936,12,0),""))</f>
        <v/>
      </c>
      <c r="P1718" s="70" t="str">
        <f>IF($A$3=" "," ", IFERROR( VLOOKUP($A1718,'SUPPLIER DATA BASE'!$A$2:$O$936,13,0),""))</f>
        <v/>
      </c>
      <c r="Q1718" s="77"/>
      <c r="R1718" s="73"/>
      <c r="S1718" s="77"/>
      <c r="T1718" s="70"/>
      <c r="U1718" s="78"/>
      <c r="V1718" s="70" t="str">
        <f t="shared" si="6"/>
        <v/>
      </c>
      <c r="W1718" s="23"/>
      <c r="X1718" s="23"/>
    </row>
    <row r="1719">
      <c r="A1719" s="70"/>
      <c r="B1719" s="70" t="str">
        <f>IF($A$3=" "," ", IFERROR( VLOOKUP($A1719,'SUPPLIER DATA BASE'!$A$2:$M$936,3,0),""))</f>
        <v/>
      </c>
      <c r="C1719" s="70" t="str">
        <f>IF($A$3=" "," ", IFERROR( VLOOKUP($A1719,'SUPPLIER DATA BASE'!$A$2:$F$936,6,0),""))</f>
        <v/>
      </c>
      <c r="D1719" s="70" t="str">
        <f>IF($A$3=" "," ", IFERROR( VLOOKUP($A1719,'SUPPLIER DATA BASE'!$A$2:$G$936,4,0),""))</f>
        <v/>
      </c>
      <c r="E1719" s="71" t="str">
        <f>IF($A$3=" "," ", IFERROR( VLOOKUP($A1719,'SUPPLIER DATA BASE'!$A$2:$H$936,5,0),""))</f>
        <v/>
      </c>
      <c r="F1719" s="72"/>
      <c r="G1719" s="73"/>
      <c r="H1719" s="74"/>
      <c r="I1719" s="75"/>
      <c r="J1719" s="70"/>
      <c r="K1719" s="70"/>
      <c r="L1719" s="73"/>
      <c r="M1719" s="70" t="str">
        <f t="shared" si="3"/>
        <v/>
      </c>
      <c r="N1719" s="70" t="str">
        <f>IF($A$3=" "," ", IFERROR( VLOOKUP($A1719,'SUPPLIER DATA BASE'!$A$2:$O$936,11,0),""))</f>
        <v/>
      </c>
      <c r="O1719" s="70" t="str">
        <f>IF($A$3=" "," ", IFERROR( VLOOKUP($A1719,'SUPPLIER DATA BASE'!$A$2:$O$936,12,0),""))</f>
        <v/>
      </c>
      <c r="P1719" s="70" t="str">
        <f>IF($A$3=" "," ", IFERROR( VLOOKUP($A1719,'SUPPLIER DATA BASE'!$A$2:$O$936,13,0),""))</f>
        <v/>
      </c>
      <c r="Q1719" s="77"/>
      <c r="R1719" s="73"/>
      <c r="S1719" s="77"/>
      <c r="T1719" s="70"/>
      <c r="U1719" s="78"/>
      <c r="V1719" s="70" t="str">
        <f t="shared" si="6"/>
        <v/>
      </c>
      <c r="W1719" s="23"/>
      <c r="X1719" s="23"/>
    </row>
    <row r="1720">
      <c r="A1720" s="70"/>
      <c r="B1720" s="70" t="str">
        <f>IF($A$3=" "," ", IFERROR( VLOOKUP($A1720,'SUPPLIER DATA BASE'!$A$2:$M$936,3,0),""))</f>
        <v/>
      </c>
      <c r="C1720" s="70" t="str">
        <f>IF($A$3=" "," ", IFERROR( VLOOKUP($A1720,'SUPPLIER DATA BASE'!$A$2:$F$936,6,0),""))</f>
        <v/>
      </c>
      <c r="D1720" s="70" t="str">
        <f>IF($A$3=" "," ", IFERROR( VLOOKUP($A1720,'SUPPLIER DATA BASE'!$A$2:$G$936,4,0),""))</f>
        <v/>
      </c>
      <c r="E1720" s="71" t="str">
        <f>IF($A$3=" "," ", IFERROR( VLOOKUP($A1720,'SUPPLIER DATA BASE'!$A$2:$H$936,5,0),""))</f>
        <v/>
      </c>
      <c r="F1720" s="72"/>
      <c r="G1720" s="73"/>
      <c r="H1720" s="74"/>
      <c r="I1720" s="75"/>
      <c r="J1720" s="70"/>
      <c r="K1720" s="70"/>
      <c r="L1720" s="73"/>
      <c r="M1720" s="70" t="str">
        <f t="shared" si="3"/>
        <v/>
      </c>
      <c r="N1720" s="70" t="str">
        <f>IF($A$3=" "," ", IFERROR( VLOOKUP($A1720,'SUPPLIER DATA BASE'!$A$2:$O$936,11,0),""))</f>
        <v/>
      </c>
      <c r="O1720" s="70" t="str">
        <f>IF($A$3=" "," ", IFERROR( VLOOKUP($A1720,'SUPPLIER DATA BASE'!$A$2:$O$936,12,0),""))</f>
        <v/>
      </c>
      <c r="P1720" s="70" t="str">
        <f>IF($A$3=" "," ", IFERROR( VLOOKUP($A1720,'SUPPLIER DATA BASE'!$A$2:$O$936,13,0),""))</f>
        <v/>
      </c>
      <c r="Q1720" s="77"/>
      <c r="R1720" s="73"/>
      <c r="S1720" s="77"/>
      <c r="T1720" s="70"/>
      <c r="U1720" s="78"/>
      <c r="V1720" s="70" t="str">
        <f t="shared" si="6"/>
        <v/>
      </c>
      <c r="W1720" s="23"/>
      <c r="X1720" s="23"/>
    </row>
    <row r="1721">
      <c r="A1721" s="70"/>
      <c r="B1721" s="70" t="str">
        <f>IF($A$3=" "," ", IFERROR( VLOOKUP($A1721,'SUPPLIER DATA BASE'!$A$2:$M$936,3,0),""))</f>
        <v/>
      </c>
      <c r="C1721" s="70" t="str">
        <f>IF($A$3=" "," ", IFERROR( VLOOKUP($A1721,'SUPPLIER DATA BASE'!$A$2:$F$936,6,0),""))</f>
        <v/>
      </c>
      <c r="D1721" s="70" t="str">
        <f>IF($A$3=" "," ", IFERROR( VLOOKUP($A1721,'SUPPLIER DATA BASE'!$A$2:$G$936,4,0),""))</f>
        <v/>
      </c>
      <c r="E1721" s="71" t="str">
        <f>IF($A$3=" "," ", IFERROR( VLOOKUP($A1721,'SUPPLIER DATA BASE'!$A$2:$H$936,5,0),""))</f>
        <v/>
      </c>
      <c r="F1721" s="72"/>
      <c r="G1721" s="73"/>
      <c r="H1721" s="74"/>
      <c r="I1721" s="75"/>
      <c r="J1721" s="70"/>
      <c r="K1721" s="70"/>
      <c r="L1721" s="73"/>
      <c r="M1721" s="70" t="str">
        <f t="shared" si="3"/>
        <v/>
      </c>
      <c r="N1721" s="70" t="str">
        <f>IF($A$3=" "," ", IFERROR( VLOOKUP($A1721,'SUPPLIER DATA BASE'!$A$2:$O$936,11,0),""))</f>
        <v/>
      </c>
      <c r="O1721" s="70" t="str">
        <f>IF($A$3=" "," ", IFERROR( VLOOKUP($A1721,'SUPPLIER DATA BASE'!$A$2:$O$936,12,0),""))</f>
        <v/>
      </c>
      <c r="P1721" s="70" t="str">
        <f>IF($A$3=" "," ", IFERROR( VLOOKUP($A1721,'SUPPLIER DATA BASE'!$A$2:$O$936,13,0),""))</f>
        <v/>
      </c>
      <c r="Q1721" s="77"/>
      <c r="R1721" s="73"/>
      <c r="S1721" s="77"/>
      <c r="T1721" s="70"/>
      <c r="U1721" s="78"/>
      <c r="V1721" s="70" t="str">
        <f t="shared" si="6"/>
        <v/>
      </c>
      <c r="W1721" s="23"/>
      <c r="X1721" s="23"/>
    </row>
    <row r="1722">
      <c r="A1722" s="70"/>
      <c r="B1722" s="70" t="str">
        <f>IF($A$3=" "," ", IFERROR( VLOOKUP($A1722,'SUPPLIER DATA BASE'!$A$2:$M$936,3,0),""))</f>
        <v/>
      </c>
      <c r="C1722" s="70" t="str">
        <f>IF($A$3=" "," ", IFERROR( VLOOKUP($A1722,'SUPPLIER DATA BASE'!$A$2:$F$936,6,0),""))</f>
        <v/>
      </c>
      <c r="D1722" s="70" t="str">
        <f>IF($A$3=" "," ", IFERROR( VLOOKUP($A1722,'SUPPLIER DATA BASE'!$A$2:$G$936,4,0),""))</f>
        <v/>
      </c>
      <c r="E1722" s="71" t="str">
        <f>IF($A$3=" "," ", IFERROR( VLOOKUP($A1722,'SUPPLIER DATA BASE'!$A$2:$H$936,5,0),""))</f>
        <v/>
      </c>
      <c r="F1722" s="72"/>
      <c r="G1722" s="73"/>
      <c r="H1722" s="74"/>
      <c r="I1722" s="75"/>
      <c r="J1722" s="70"/>
      <c r="K1722" s="70"/>
      <c r="L1722" s="73"/>
      <c r="M1722" s="70" t="str">
        <f t="shared" si="3"/>
        <v/>
      </c>
      <c r="N1722" s="70" t="str">
        <f>IF($A$3=" "," ", IFERROR( VLOOKUP($A1722,'SUPPLIER DATA BASE'!$A$2:$O$936,11,0),""))</f>
        <v/>
      </c>
      <c r="O1722" s="70" t="str">
        <f>IF($A$3=" "," ", IFERROR( VLOOKUP($A1722,'SUPPLIER DATA BASE'!$A$2:$O$936,12,0),""))</f>
        <v/>
      </c>
      <c r="P1722" s="70" t="str">
        <f>IF($A$3=" "," ", IFERROR( VLOOKUP($A1722,'SUPPLIER DATA BASE'!$A$2:$O$936,13,0),""))</f>
        <v/>
      </c>
      <c r="Q1722" s="77"/>
      <c r="R1722" s="73"/>
      <c r="S1722" s="77"/>
      <c r="T1722" s="70"/>
      <c r="U1722" s="78"/>
      <c r="V1722" s="70" t="str">
        <f t="shared" si="6"/>
        <v/>
      </c>
      <c r="W1722" s="23"/>
      <c r="X1722" s="23"/>
    </row>
    <row r="1723">
      <c r="A1723" s="70"/>
      <c r="B1723" s="70" t="str">
        <f>IF($A$3=" "," ", IFERROR( VLOOKUP($A1723,'SUPPLIER DATA BASE'!$A$2:$M$936,3,0),""))</f>
        <v/>
      </c>
      <c r="C1723" s="70" t="str">
        <f>IF($A$3=" "," ", IFERROR( VLOOKUP($A1723,'SUPPLIER DATA BASE'!$A$2:$F$936,6,0),""))</f>
        <v/>
      </c>
      <c r="D1723" s="70" t="str">
        <f>IF($A$3=" "," ", IFERROR( VLOOKUP($A1723,'SUPPLIER DATA BASE'!$A$2:$G$936,4,0),""))</f>
        <v/>
      </c>
      <c r="E1723" s="71" t="str">
        <f>IF($A$3=" "," ", IFERROR( VLOOKUP($A1723,'SUPPLIER DATA BASE'!$A$2:$H$936,5,0),""))</f>
        <v/>
      </c>
      <c r="F1723" s="72"/>
      <c r="G1723" s="73"/>
      <c r="H1723" s="74"/>
      <c r="I1723" s="75"/>
      <c r="J1723" s="70"/>
      <c r="K1723" s="70"/>
      <c r="L1723" s="73"/>
      <c r="M1723" s="70" t="str">
        <f t="shared" si="3"/>
        <v/>
      </c>
      <c r="N1723" s="70" t="str">
        <f>IF($A$3=" "," ", IFERROR( VLOOKUP($A1723,'SUPPLIER DATA BASE'!$A$2:$O$936,11,0),""))</f>
        <v/>
      </c>
      <c r="O1723" s="70" t="str">
        <f>IF($A$3=" "," ", IFERROR( VLOOKUP($A1723,'SUPPLIER DATA BASE'!$A$2:$O$936,12,0),""))</f>
        <v/>
      </c>
      <c r="P1723" s="70" t="str">
        <f>IF($A$3=" "," ", IFERROR( VLOOKUP($A1723,'SUPPLIER DATA BASE'!$A$2:$O$936,13,0),""))</f>
        <v/>
      </c>
      <c r="Q1723" s="77"/>
      <c r="R1723" s="73"/>
      <c r="S1723" s="77"/>
      <c r="T1723" s="70"/>
      <c r="U1723" s="78"/>
      <c r="V1723" s="70" t="str">
        <f t="shared" si="6"/>
        <v/>
      </c>
      <c r="W1723" s="23"/>
      <c r="X1723" s="23"/>
    </row>
    <row r="1724">
      <c r="A1724" s="70"/>
      <c r="B1724" s="70" t="str">
        <f>IF($A$3=" "," ", IFERROR( VLOOKUP($A1724,'SUPPLIER DATA BASE'!$A$2:$M$936,3,0),""))</f>
        <v/>
      </c>
      <c r="C1724" s="70" t="str">
        <f>IF($A$3=" "," ", IFERROR( VLOOKUP($A1724,'SUPPLIER DATA BASE'!$A$2:$F$936,6,0),""))</f>
        <v/>
      </c>
      <c r="D1724" s="70" t="str">
        <f>IF($A$3=" "," ", IFERROR( VLOOKUP($A1724,'SUPPLIER DATA BASE'!$A$2:$G$936,4,0),""))</f>
        <v/>
      </c>
      <c r="E1724" s="71" t="str">
        <f>IF($A$3=" "," ", IFERROR( VLOOKUP($A1724,'SUPPLIER DATA BASE'!$A$2:$H$936,5,0),""))</f>
        <v/>
      </c>
      <c r="F1724" s="72"/>
      <c r="G1724" s="73"/>
      <c r="H1724" s="74"/>
      <c r="I1724" s="75"/>
      <c r="J1724" s="70"/>
      <c r="K1724" s="70"/>
      <c r="L1724" s="73"/>
      <c r="M1724" s="70" t="str">
        <f t="shared" si="3"/>
        <v/>
      </c>
      <c r="N1724" s="70" t="str">
        <f>IF($A$3=" "," ", IFERROR( VLOOKUP($A1724,'SUPPLIER DATA BASE'!$A$2:$O$936,11,0),""))</f>
        <v/>
      </c>
      <c r="O1724" s="70" t="str">
        <f>IF($A$3=" "," ", IFERROR( VLOOKUP($A1724,'SUPPLIER DATA BASE'!$A$2:$O$936,12,0),""))</f>
        <v/>
      </c>
      <c r="P1724" s="70" t="str">
        <f>IF($A$3=" "," ", IFERROR( VLOOKUP($A1724,'SUPPLIER DATA BASE'!$A$2:$O$936,13,0),""))</f>
        <v/>
      </c>
      <c r="Q1724" s="77"/>
      <c r="R1724" s="73"/>
      <c r="S1724" s="77"/>
      <c r="T1724" s="70"/>
      <c r="U1724" s="78"/>
      <c r="V1724" s="70" t="str">
        <f t="shared" si="6"/>
        <v/>
      </c>
      <c r="W1724" s="23"/>
      <c r="X1724" s="23"/>
    </row>
    <row r="1725">
      <c r="A1725" s="70"/>
      <c r="B1725" s="70" t="str">
        <f>IF($A$3=" "," ", IFERROR( VLOOKUP($A1725,'SUPPLIER DATA BASE'!$A$2:$M$936,3,0),""))</f>
        <v/>
      </c>
      <c r="C1725" s="70" t="str">
        <f>IF($A$3=" "," ", IFERROR( VLOOKUP($A1725,'SUPPLIER DATA BASE'!$A$2:$F$936,6,0),""))</f>
        <v/>
      </c>
      <c r="D1725" s="70" t="str">
        <f>IF($A$3=" "," ", IFERROR( VLOOKUP($A1725,'SUPPLIER DATA BASE'!$A$2:$G$936,4,0),""))</f>
        <v/>
      </c>
      <c r="E1725" s="71" t="str">
        <f>IF($A$3=" "," ", IFERROR( VLOOKUP($A1725,'SUPPLIER DATA BASE'!$A$2:$H$936,5,0),""))</f>
        <v/>
      </c>
      <c r="F1725" s="72"/>
      <c r="G1725" s="73"/>
      <c r="H1725" s="74"/>
      <c r="I1725" s="75"/>
      <c r="J1725" s="70"/>
      <c r="K1725" s="70"/>
      <c r="L1725" s="73"/>
      <c r="M1725" s="70" t="str">
        <f t="shared" si="3"/>
        <v/>
      </c>
      <c r="N1725" s="70" t="str">
        <f>IF($A$3=" "," ", IFERROR( VLOOKUP($A1725,'SUPPLIER DATA BASE'!$A$2:$O$936,11,0),""))</f>
        <v/>
      </c>
      <c r="O1725" s="70" t="str">
        <f>IF($A$3=" "," ", IFERROR( VLOOKUP($A1725,'SUPPLIER DATA BASE'!$A$2:$O$936,12,0),""))</f>
        <v/>
      </c>
      <c r="P1725" s="70" t="str">
        <f>IF($A$3=" "," ", IFERROR( VLOOKUP($A1725,'SUPPLIER DATA BASE'!$A$2:$O$936,13,0),""))</f>
        <v/>
      </c>
      <c r="Q1725" s="77"/>
      <c r="R1725" s="73"/>
      <c r="S1725" s="77"/>
      <c r="T1725" s="70"/>
      <c r="U1725" s="78"/>
      <c r="V1725" s="70" t="str">
        <f t="shared" si="6"/>
        <v/>
      </c>
      <c r="W1725" s="23"/>
      <c r="X1725" s="23"/>
    </row>
    <row r="1726">
      <c r="A1726" s="70"/>
      <c r="B1726" s="70" t="str">
        <f>IF($A$3=" "," ", IFERROR( VLOOKUP($A1726,'SUPPLIER DATA BASE'!$A$2:$M$936,3,0),""))</f>
        <v/>
      </c>
      <c r="C1726" s="70" t="str">
        <f>IF($A$3=" "," ", IFERROR( VLOOKUP($A1726,'SUPPLIER DATA BASE'!$A$2:$F$936,6,0),""))</f>
        <v/>
      </c>
      <c r="D1726" s="70" t="str">
        <f>IF($A$3=" "," ", IFERROR( VLOOKUP($A1726,'SUPPLIER DATA BASE'!$A$2:$G$936,4,0),""))</f>
        <v/>
      </c>
      <c r="E1726" s="71" t="str">
        <f>IF($A$3=" "," ", IFERROR( VLOOKUP($A1726,'SUPPLIER DATA BASE'!$A$2:$H$936,5,0),""))</f>
        <v/>
      </c>
      <c r="F1726" s="72"/>
      <c r="G1726" s="73"/>
      <c r="H1726" s="74"/>
      <c r="I1726" s="75"/>
      <c r="J1726" s="70"/>
      <c r="K1726" s="70"/>
      <c r="L1726" s="73"/>
      <c r="M1726" s="70" t="str">
        <f t="shared" si="3"/>
        <v/>
      </c>
      <c r="N1726" s="70" t="str">
        <f>IF($A$3=" "," ", IFERROR( VLOOKUP($A1726,'SUPPLIER DATA BASE'!$A$2:$O$936,11,0),""))</f>
        <v/>
      </c>
      <c r="O1726" s="70" t="str">
        <f>IF($A$3=" "," ", IFERROR( VLOOKUP($A1726,'SUPPLIER DATA BASE'!$A$2:$O$936,12,0),""))</f>
        <v/>
      </c>
      <c r="P1726" s="70" t="str">
        <f>IF($A$3=" "," ", IFERROR( VLOOKUP($A1726,'SUPPLIER DATA BASE'!$A$2:$O$936,13,0),""))</f>
        <v/>
      </c>
      <c r="Q1726" s="77"/>
      <c r="R1726" s="73"/>
      <c r="S1726" s="77"/>
      <c r="T1726" s="70"/>
      <c r="U1726" s="78"/>
      <c r="V1726" s="70" t="str">
        <f t="shared" si="6"/>
        <v/>
      </c>
      <c r="W1726" s="23"/>
      <c r="X1726" s="23"/>
    </row>
    <row r="1727">
      <c r="A1727" s="70"/>
      <c r="B1727" s="70" t="str">
        <f>IF($A$3=" "," ", IFERROR( VLOOKUP($A1727,'SUPPLIER DATA BASE'!$A$2:$M$936,3,0),""))</f>
        <v/>
      </c>
      <c r="C1727" s="70" t="str">
        <f>IF($A$3=" "," ", IFERROR( VLOOKUP($A1727,'SUPPLIER DATA BASE'!$A$2:$F$936,6,0),""))</f>
        <v/>
      </c>
      <c r="D1727" s="70" t="str">
        <f>IF($A$3=" "," ", IFERROR( VLOOKUP($A1727,'SUPPLIER DATA BASE'!$A$2:$G$936,4,0),""))</f>
        <v/>
      </c>
      <c r="E1727" s="71" t="str">
        <f>IF($A$3=" "," ", IFERROR( VLOOKUP($A1727,'SUPPLIER DATA BASE'!$A$2:$H$936,5,0),""))</f>
        <v/>
      </c>
      <c r="F1727" s="72"/>
      <c r="G1727" s="73"/>
      <c r="H1727" s="74"/>
      <c r="I1727" s="75"/>
      <c r="J1727" s="70"/>
      <c r="K1727" s="70"/>
      <c r="L1727" s="73"/>
      <c r="M1727" s="70" t="str">
        <f t="shared" si="3"/>
        <v/>
      </c>
      <c r="N1727" s="70" t="str">
        <f>IF($A$3=" "," ", IFERROR( VLOOKUP($A1727,'SUPPLIER DATA BASE'!$A$2:$O$936,11,0),""))</f>
        <v/>
      </c>
      <c r="O1727" s="70" t="str">
        <f>IF($A$3=" "," ", IFERROR( VLOOKUP($A1727,'SUPPLIER DATA BASE'!$A$2:$O$936,12,0),""))</f>
        <v/>
      </c>
      <c r="P1727" s="70" t="str">
        <f>IF($A$3=" "," ", IFERROR( VLOOKUP($A1727,'SUPPLIER DATA BASE'!$A$2:$O$936,13,0),""))</f>
        <v/>
      </c>
      <c r="Q1727" s="77"/>
      <c r="R1727" s="73"/>
      <c r="S1727" s="77"/>
      <c r="T1727" s="70"/>
      <c r="U1727" s="78"/>
      <c r="V1727" s="70" t="str">
        <f t="shared" si="6"/>
        <v/>
      </c>
      <c r="W1727" s="23"/>
      <c r="X1727" s="23"/>
    </row>
    <row r="1728">
      <c r="A1728" s="70"/>
      <c r="B1728" s="70" t="str">
        <f>IF($A$3=" "," ", IFERROR( VLOOKUP($A1728,'SUPPLIER DATA BASE'!$A$2:$M$936,3,0),""))</f>
        <v/>
      </c>
      <c r="C1728" s="70" t="str">
        <f>IF($A$3=" "," ", IFERROR( VLOOKUP($A1728,'SUPPLIER DATA BASE'!$A$2:$F$936,6,0),""))</f>
        <v/>
      </c>
      <c r="D1728" s="70" t="str">
        <f>IF($A$3=" "," ", IFERROR( VLOOKUP($A1728,'SUPPLIER DATA BASE'!$A$2:$G$936,4,0),""))</f>
        <v/>
      </c>
      <c r="E1728" s="71" t="str">
        <f>IF($A$3=" "," ", IFERROR( VLOOKUP($A1728,'SUPPLIER DATA BASE'!$A$2:$H$936,5,0),""))</f>
        <v/>
      </c>
      <c r="F1728" s="72"/>
      <c r="G1728" s="73"/>
      <c r="H1728" s="74"/>
      <c r="I1728" s="75"/>
      <c r="J1728" s="70"/>
      <c r="K1728" s="70"/>
      <c r="L1728" s="73"/>
      <c r="M1728" s="70" t="str">
        <f t="shared" si="3"/>
        <v/>
      </c>
      <c r="N1728" s="70" t="str">
        <f>IF($A$3=" "," ", IFERROR( VLOOKUP($A1728,'SUPPLIER DATA BASE'!$A$2:$O$936,11,0),""))</f>
        <v/>
      </c>
      <c r="O1728" s="70" t="str">
        <f>IF($A$3=" "," ", IFERROR( VLOOKUP($A1728,'SUPPLIER DATA BASE'!$A$2:$O$936,12,0),""))</f>
        <v/>
      </c>
      <c r="P1728" s="70" t="str">
        <f>IF($A$3=" "," ", IFERROR( VLOOKUP($A1728,'SUPPLIER DATA BASE'!$A$2:$O$936,13,0),""))</f>
        <v/>
      </c>
      <c r="Q1728" s="77"/>
      <c r="R1728" s="73"/>
      <c r="S1728" s="77"/>
      <c r="T1728" s="70"/>
      <c r="U1728" s="78"/>
      <c r="V1728" s="70" t="str">
        <f t="shared" si="6"/>
        <v/>
      </c>
      <c r="W1728" s="23"/>
      <c r="X1728" s="23"/>
    </row>
    <row r="1729">
      <c r="A1729" s="70"/>
      <c r="B1729" s="70" t="str">
        <f>IF($A$3=" "," ", IFERROR( VLOOKUP($A1729,'SUPPLIER DATA BASE'!$A$2:$M$936,3,0),""))</f>
        <v/>
      </c>
      <c r="C1729" s="70" t="str">
        <f>IF($A$3=" "," ", IFERROR( VLOOKUP($A1729,'SUPPLIER DATA BASE'!$A$2:$F$936,6,0),""))</f>
        <v/>
      </c>
      <c r="D1729" s="70" t="str">
        <f>IF($A$3=" "," ", IFERROR( VLOOKUP($A1729,'SUPPLIER DATA BASE'!$A$2:$G$936,4,0),""))</f>
        <v/>
      </c>
      <c r="E1729" s="71" t="str">
        <f>IF($A$3=" "," ", IFERROR( VLOOKUP($A1729,'SUPPLIER DATA BASE'!$A$2:$H$936,5,0),""))</f>
        <v/>
      </c>
      <c r="F1729" s="72"/>
      <c r="G1729" s="73"/>
      <c r="H1729" s="74"/>
      <c r="I1729" s="75"/>
      <c r="J1729" s="70"/>
      <c r="K1729" s="70"/>
      <c r="L1729" s="73"/>
      <c r="M1729" s="70" t="str">
        <f t="shared" si="3"/>
        <v/>
      </c>
      <c r="N1729" s="70" t="str">
        <f>IF($A$3=" "," ", IFERROR( VLOOKUP($A1729,'SUPPLIER DATA BASE'!$A$2:$O$936,11,0),""))</f>
        <v/>
      </c>
      <c r="O1729" s="70" t="str">
        <f>IF($A$3=" "," ", IFERROR( VLOOKUP($A1729,'SUPPLIER DATA BASE'!$A$2:$O$936,12,0),""))</f>
        <v/>
      </c>
      <c r="P1729" s="70" t="str">
        <f>IF($A$3=" "," ", IFERROR( VLOOKUP($A1729,'SUPPLIER DATA BASE'!$A$2:$O$936,13,0),""))</f>
        <v/>
      </c>
      <c r="Q1729" s="77"/>
      <c r="R1729" s="73"/>
      <c r="S1729" s="77"/>
      <c r="T1729" s="70"/>
      <c r="U1729" s="78"/>
      <c r="V1729" s="70" t="str">
        <f t="shared" si="6"/>
        <v/>
      </c>
      <c r="W1729" s="23"/>
      <c r="X1729" s="23"/>
    </row>
    <row r="1730">
      <c r="A1730" s="70"/>
      <c r="B1730" s="70" t="str">
        <f>IF($A$3=" "," ", IFERROR( VLOOKUP($A1730,'SUPPLIER DATA BASE'!$A$2:$M$936,3,0),""))</f>
        <v/>
      </c>
      <c r="C1730" s="70" t="str">
        <f>IF($A$3=" "," ", IFERROR( VLOOKUP($A1730,'SUPPLIER DATA BASE'!$A$2:$F$936,6,0),""))</f>
        <v/>
      </c>
      <c r="D1730" s="70" t="str">
        <f>IF($A$3=" "," ", IFERROR( VLOOKUP($A1730,'SUPPLIER DATA BASE'!$A$2:$G$936,4,0),""))</f>
        <v/>
      </c>
      <c r="E1730" s="71" t="str">
        <f>IF($A$3=" "," ", IFERROR( VLOOKUP($A1730,'SUPPLIER DATA BASE'!$A$2:$H$936,5,0),""))</f>
        <v/>
      </c>
      <c r="F1730" s="72"/>
      <c r="G1730" s="73"/>
      <c r="H1730" s="74"/>
      <c r="I1730" s="75"/>
      <c r="J1730" s="70"/>
      <c r="K1730" s="70"/>
      <c r="L1730" s="73"/>
      <c r="M1730" s="70" t="str">
        <f t="shared" si="3"/>
        <v/>
      </c>
      <c r="N1730" s="70" t="str">
        <f>IF($A$3=" "," ", IFERROR( VLOOKUP($A1730,'SUPPLIER DATA BASE'!$A$2:$O$936,11,0),""))</f>
        <v/>
      </c>
      <c r="O1730" s="70" t="str">
        <f>IF($A$3=" "," ", IFERROR( VLOOKUP($A1730,'SUPPLIER DATA BASE'!$A$2:$O$936,12,0),""))</f>
        <v/>
      </c>
      <c r="P1730" s="70" t="str">
        <f>IF($A$3=" "," ", IFERROR( VLOOKUP($A1730,'SUPPLIER DATA BASE'!$A$2:$O$936,13,0),""))</f>
        <v/>
      </c>
      <c r="Q1730" s="77"/>
      <c r="R1730" s="73"/>
      <c r="S1730" s="77"/>
      <c r="T1730" s="70"/>
      <c r="U1730" s="78"/>
      <c r="V1730" s="70" t="str">
        <f t="shared" si="6"/>
        <v/>
      </c>
      <c r="W1730" s="23"/>
      <c r="X1730" s="23"/>
    </row>
    <row r="1731">
      <c r="A1731" s="70"/>
      <c r="B1731" s="70" t="str">
        <f>IF($A$3=" "," ", IFERROR( VLOOKUP($A1731,'SUPPLIER DATA BASE'!$A$2:$M$936,3,0),""))</f>
        <v/>
      </c>
      <c r="C1731" s="70" t="str">
        <f>IF($A$3=" "," ", IFERROR( VLOOKUP($A1731,'SUPPLIER DATA BASE'!$A$2:$F$936,6,0),""))</f>
        <v/>
      </c>
      <c r="D1731" s="70" t="str">
        <f>IF($A$3=" "," ", IFERROR( VLOOKUP($A1731,'SUPPLIER DATA BASE'!$A$2:$G$936,4,0),""))</f>
        <v/>
      </c>
      <c r="E1731" s="71" t="str">
        <f>IF($A$3=" "," ", IFERROR( VLOOKUP($A1731,'SUPPLIER DATA BASE'!$A$2:$H$936,5,0),""))</f>
        <v/>
      </c>
      <c r="F1731" s="72"/>
      <c r="G1731" s="73"/>
      <c r="H1731" s="74"/>
      <c r="I1731" s="75"/>
      <c r="J1731" s="70"/>
      <c r="K1731" s="70"/>
      <c r="L1731" s="73"/>
      <c r="M1731" s="70" t="str">
        <f t="shared" si="3"/>
        <v/>
      </c>
      <c r="N1731" s="70" t="str">
        <f>IF($A$3=" "," ", IFERROR( VLOOKUP($A1731,'SUPPLIER DATA BASE'!$A$2:$O$936,11,0),""))</f>
        <v/>
      </c>
      <c r="O1731" s="70" t="str">
        <f>IF($A$3=" "," ", IFERROR( VLOOKUP($A1731,'SUPPLIER DATA BASE'!$A$2:$O$936,12,0),""))</f>
        <v/>
      </c>
      <c r="P1731" s="70" t="str">
        <f>IF($A$3=" "," ", IFERROR( VLOOKUP($A1731,'SUPPLIER DATA BASE'!$A$2:$O$936,13,0),""))</f>
        <v/>
      </c>
      <c r="Q1731" s="77"/>
      <c r="R1731" s="73"/>
      <c r="S1731" s="77"/>
      <c r="T1731" s="70"/>
      <c r="U1731" s="78"/>
      <c r="V1731" s="70" t="str">
        <f t="shared" si="6"/>
        <v/>
      </c>
      <c r="W1731" s="23"/>
      <c r="X1731" s="23"/>
    </row>
    <row r="1732">
      <c r="A1732" s="70"/>
      <c r="B1732" s="70" t="str">
        <f>IF($A$3=" "," ", IFERROR( VLOOKUP($A1732,'SUPPLIER DATA BASE'!$A$2:$M$936,3,0),""))</f>
        <v/>
      </c>
      <c r="C1732" s="70" t="str">
        <f>IF($A$3=" "," ", IFERROR( VLOOKUP($A1732,'SUPPLIER DATA BASE'!$A$2:$F$936,6,0),""))</f>
        <v/>
      </c>
      <c r="D1732" s="70" t="str">
        <f>IF($A$3=" "," ", IFERROR( VLOOKUP($A1732,'SUPPLIER DATA BASE'!$A$2:$G$936,4,0),""))</f>
        <v/>
      </c>
      <c r="E1732" s="71" t="str">
        <f>IF($A$3=" "," ", IFERROR( VLOOKUP($A1732,'SUPPLIER DATA BASE'!$A$2:$H$936,5,0),""))</f>
        <v/>
      </c>
      <c r="F1732" s="72"/>
      <c r="G1732" s="73"/>
      <c r="H1732" s="74"/>
      <c r="I1732" s="75"/>
      <c r="J1732" s="70"/>
      <c r="K1732" s="70"/>
      <c r="L1732" s="73"/>
      <c r="M1732" s="70" t="str">
        <f t="shared" si="3"/>
        <v/>
      </c>
      <c r="N1732" s="70" t="str">
        <f>IF($A$3=" "," ", IFERROR( VLOOKUP($A1732,'SUPPLIER DATA BASE'!$A$2:$O$936,11,0),""))</f>
        <v/>
      </c>
      <c r="O1732" s="70" t="str">
        <f>IF($A$3=" "," ", IFERROR( VLOOKUP($A1732,'SUPPLIER DATA BASE'!$A$2:$O$936,12,0),""))</f>
        <v/>
      </c>
      <c r="P1732" s="70" t="str">
        <f>IF($A$3=" "," ", IFERROR( VLOOKUP($A1732,'SUPPLIER DATA BASE'!$A$2:$O$936,13,0),""))</f>
        <v/>
      </c>
      <c r="Q1732" s="77"/>
      <c r="R1732" s="73"/>
      <c r="S1732" s="77"/>
      <c r="T1732" s="70"/>
      <c r="U1732" s="78"/>
      <c r="V1732" s="70" t="str">
        <f t="shared" si="6"/>
        <v/>
      </c>
      <c r="W1732" s="23"/>
      <c r="X1732" s="23"/>
    </row>
    <row r="1733">
      <c r="A1733" s="70"/>
      <c r="B1733" s="70" t="str">
        <f>IF($A$3=" "," ", IFERROR( VLOOKUP($A1733,'SUPPLIER DATA BASE'!$A$2:$M$936,3,0),""))</f>
        <v/>
      </c>
      <c r="C1733" s="70" t="str">
        <f>IF($A$3=" "," ", IFERROR( VLOOKUP($A1733,'SUPPLIER DATA BASE'!$A$2:$F$936,6,0),""))</f>
        <v/>
      </c>
      <c r="D1733" s="70" t="str">
        <f>IF($A$3=" "," ", IFERROR( VLOOKUP($A1733,'SUPPLIER DATA BASE'!$A$2:$G$936,4,0),""))</f>
        <v/>
      </c>
      <c r="E1733" s="71" t="str">
        <f>IF($A$3=" "," ", IFERROR( VLOOKUP($A1733,'SUPPLIER DATA BASE'!$A$2:$H$936,5,0),""))</f>
        <v/>
      </c>
      <c r="F1733" s="72"/>
      <c r="G1733" s="73"/>
      <c r="H1733" s="74"/>
      <c r="I1733" s="75"/>
      <c r="J1733" s="70"/>
      <c r="K1733" s="70"/>
      <c r="L1733" s="73"/>
      <c r="M1733" s="70" t="str">
        <f t="shared" si="3"/>
        <v/>
      </c>
      <c r="N1733" s="70" t="str">
        <f>IF($A$3=" "," ", IFERROR( VLOOKUP($A1733,'SUPPLIER DATA BASE'!$A$2:$O$936,11,0),""))</f>
        <v/>
      </c>
      <c r="O1733" s="70" t="str">
        <f>IF($A$3=" "," ", IFERROR( VLOOKUP($A1733,'SUPPLIER DATA BASE'!$A$2:$O$936,12,0),""))</f>
        <v/>
      </c>
      <c r="P1733" s="70" t="str">
        <f>IF($A$3=" "," ", IFERROR( VLOOKUP($A1733,'SUPPLIER DATA BASE'!$A$2:$O$936,13,0),""))</f>
        <v/>
      </c>
      <c r="Q1733" s="77"/>
      <c r="R1733" s="73"/>
      <c r="S1733" s="77"/>
      <c r="T1733" s="70"/>
      <c r="U1733" s="78"/>
      <c r="V1733" s="70" t="str">
        <f t="shared" si="6"/>
        <v/>
      </c>
      <c r="W1733" s="23"/>
      <c r="X1733" s="23"/>
    </row>
    <row r="1734">
      <c r="A1734" s="70"/>
      <c r="B1734" s="70" t="str">
        <f>IF($A$3=" "," ", IFERROR( VLOOKUP($A1734,'SUPPLIER DATA BASE'!$A$2:$M$936,3,0),""))</f>
        <v/>
      </c>
      <c r="C1734" s="70" t="str">
        <f>IF($A$3=" "," ", IFERROR( VLOOKUP($A1734,'SUPPLIER DATA BASE'!$A$2:$F$936,6,0),""))</f>
        <v/>
      </c>
      <c r="D1734" s="70" t="str">
        <f>IF($A$3=" "," ", IFERROR( VLOOKUP($A1734,'SUPPLIER DATA BASE'!$A$2:$G$936,4,0),""))</f>
        <v/>
      </c>
      <c r="E1734" s="71" t="str">
        <f>IF($A$3=" "," ", IFERROR( VLOOKUP($A1734,'SUPPLIER DATA BASE'!$A$2:$H$936,5,0),""))</f>
        <v/>
      </c>
      <c r="F1734" s="72"/>
      <c r="G1734" s="73"/>
      <c r="H1734" s="74"/>
      <c r="I1734" s="75"/>
      <c r="J1734" s="70"/>
      <c r="K1734" s="70"/>
      <c r="L1734" s="73"/>
      <c r="M1734" s="70" t="str">
        <f t="shared" si="3"/>
        <v/>
      </c>
      <c r="N1734" s="70" t="str">
        <f>IF($A$3=" "," ", IFERROR( VLOOKUP($A1734,'SUPPLIER DATA BASE'!$A$2:$O$936,11,0),""))</f>
        <v/>
      </c>
      <c r="O1734" s="70" t="str">
        <f>IF($A$3=" "," ", IFERROR( VLOOKUP($A1734,'SUPPLIER DATA BASE'!$A$2:$O$936,12,0),""))</f>
        <v/>
      </c>
      <c r="P1734" s="70" t="str">
        <f>IF($A$3=" "," ", IFERROR( VLOOKUP($A1734,'SUPPLIER DATA BASE'!$A$2:$O$936,13,0),""))</f>
        <v/>
      </c>
      <c r="Q1734" s="77"/>
      <c r="R1734" s="73"/>
      <c r="S1734" s="77"/>
      <c r="T1734" s="70"/>
      <c r="U1734" s="78"/>
      <c r="V1734" s="70" t="str">
        <f t="shared" si="6"/>
        <v/>
      </c>
      <c r="W1734" s="23"/>
      <c r="X1734" s="23"/>
    </row>
    <row r="1735">
      <c r="A1735" s="70"/>
      <c r="B1735" s="70" t="str">
        <f>IF($A$3=" "," ", IFERROR( VLOOKUP($A1735,'SUPPLIER DATA BASE'!$A$2:$M$936,3,0),""))</f>
        <v/>
      </c>
      <c r="C1735" s="70" t="str">
        <f>IF($A$3=" "," ", IFERROR( VLOOKUP($A1735,'SUPPLIER DATA BASE'!$A$2:$F$936,6,0),""))</f>
        <v/>
      </c>
      <c r="D1735" s="70" t="str">
        <f>IF($A$3=" "," ", IFERROR( VLOOKUP($A1735,'SUPPLIER DATA BASE'!$A$2:$G$936,4,0),""))</f>
        <v/>
      </c>
      <c r="E1735" s="71" t="str">
        <f>IF($A$3=" "," ", IFERROR( VLOOKUP($A1735,'SUPPLIER DATA BASE'!$A$2:$H$936,5,0),""))</f>
        <v/>
      </c>
      <c r="F1735" s="72"/>
      <c r="G1735" s="73"/>
      <c r="H1735" s="74"/>
      <c r="I1735" s="75"/>
      <c r="J1735" s="70"/>
      <c r="K1735" s="70"/>
      <c r="L1735" s="73"/>
      <c r="M1735" s="70" t="str">
        <f t="shared" si="3"/>
        <v/>
      </c>
      <c r="N1735" s="70" t="str">
        <f>IF($A$3=" "," ", IFERROR( VLOOKUP($A1735,'SUPPLIER DATA BASE'!$A$2:$O$936,11,0),""))</f>
        <v/>
      </c>
      <c r="O1735" s="70" t="str">
        <f>IF($A$3=" "," ", IFERROR( VLOOKUP($A1735,'SUPPLIER DATA BASE'!$A$2:$O$936,12,0),""))</f>
        <v/>
      </c>
      <c r="P1735" s="70" t="str">
        <f>IF($A$3=" "," ", IFERROR( VLOOKUP($A1735,'SUPPLIER DATA BASE'!$A$2:$O$936,13,0),""))</f>
        <v/>
      </c>
      <c r="Q1735" s="77"/>
      <c r="R1735" s="73"/>
      <c r="S1735" s="77"/>
      <c r="T1735" s="70"/>
      <c r="U1735" s="78"/>
      <c r="V1735" s="70" t="str">
        <f t="shared" si="6"/>
        <v/>
      </c>
      <c r="W1735" s="23"/>
      <c r="X1735" s="23"/>
    </row>
    <row r="1736">
      <c r="A1736" s="70"/>
      <c r="B1736" s="70" t="str">
        <f>IF($A$3=" "," ", IFERROR( VLOOKUP($A1736,'SUPPLIER DATA BASE'!$A$2:$M$936,3,0),""))</f>
        <v/>
      </c>
      <c r="C1736" s="70" t="str">
        <f>IF($A$3=" "," ", IFERROR( VLOOKUP($A1736,'SUPPLIER DATA BASE'!$A$2:$F$936,6,0),""))</f>
        <v/>
      </c>
      <c r="D1736" s="70" t="str">
        <f>IF($A$3=" "," ", IFERROR( VLOOKUP($A1736,'SUPPLIER DATA BASE'!$A$2:$G$936,4,0),""))</f>
        <v/>
      </c>
      <c r="E1736" s="71" t="str">
        <f>IF($A$3=" "," ", IFERROR( VLOOKUP($A1736,'SUPPLIER DATA BASE'!$A$2:$H$936,5,0),""))</f>
        <v/>
      </c>
      <c r="F1736" s="72"/>
      <c r="G1736" s="73"/>
      <c r="H1736" s="74"/>
      <c r="I1736" s="75"/>
      <c r="J1736" s="70"/>
      <c r="K1736" s="70"/>
      <c r="L1736" s="73"/>
      <c r="M1736" s="70" t="str">
        <f t="shared" si="3"/>
        <v/>
      </c>
      <c r="N1736" s="70" t="str">
        <f>IF($A$3=" "," ", IFERROR( VLOOKUP($A1736,'SUPPLIER DATA BASE'!$A$2:$O$936,11,0),""))</f>
        <v/>
      </c>
      <c r="O1736" s="70" t="str">
        <f>IF($A$3=" "," ", IFERROR( VLOOKUP($A1736,'SUPPLIER DATA BASE'!$A$2:$O$936,12,0),""))</f>
        <v/>
      </c>
      <c r="P1736" s="70" t="str">
        <f>IF($A$3=" "," ", IFERROR( VLOOKUP($A1736,'SUPPLIER DATA BASE'!$A$2:$O$936,13,0),""))</f>
        <v/>
      </c>
      <c r="Q1736" s="77"/>
      <c r="R1736" s="73"/>
      <c r="S1736" s="77"/>
      <c r="T1736" s="70"/>
      <c r="U1736" s="78"/>
      <c r="V1736" s="70" t="str">
        <f t="shared" si="6"/>
        <v/>
      </c>
      <c r="W1736" s="23"/>
      <c r="X1736" s="23"/>
    </row>
    <row r="1737">
      <c r="A1737" s="70"/>
      <c r="B1737" s="70" t="str">
        <f>IF($A$3=" "," ", IFERROR( VLOOKUP($A1737,'SUPPLIER DATA BASE'!$A$2:$M$936,3,0),""))</f>
        <v/>
      </c>
      <c r="C1737" s="70" t="str">
        <f>IF($A$3=" "," ", IFERROR( VLOOKUP($A1737,'SUPPLIER DATA BASE'!$A$2:$F$936,6,0),""))</f>
        <v/>
      </c>
      <c r="D1737" s="70" t="str">
        <f>IF($A$3=" "," ", IFERROR( VLOOKUP($A1737,'SUPPLIER DATA BASE'!$A$2:$G$936,4,0),""))</f>
        <v/>
      </c>
      <c r="E1737" s="71" t="str">
        <f>IF($A$3=" "," ", IFERROR( VLOOKUP($A1737,'SUPPLIER DATA BASE'!$A$2:$H$936,5,0),""))</f>
        <v/>
      </c>
      <c r="F1737" s="72"/>
      <c r="G1737" s="73"/>
      <c r="H1737" s="74"/>
      <c r="I1737" s="75"/>
      <c r="J1737" s="70"/>
      <c r="K1737" s="70"/>
      <c r="L1737" s="73"/>
      <c r="M1737" s="70" t="str">
        <f t="shared" si="3"/>
        <v/>
      </c>
      <c r="N1737" s="70" t="str">
        <f>IF($A$3=" "," ", IFERROR( VLOOKUP($A1737,'SUPPLIER DATA BASE'!$A$2:$O$936,11,0),""))</f>
        <v/>
      </c>
      <c r="O1737" s="70" t="str">
        <f>IF($A$3=" "," ", IFERROR( VLOOKUP($A1737,'SUPPLIER DATA BASE'!$A$2:$O$936,12,0),""))</f>
        <v/>
      </c>
      <c r="P1737" s="70" t="str">
        <f>IF($A$3=" "," ", IFERROR( VLOOKUP($A1737,'SUPPLIER DATA BASE'!$A$2:$O$936,13,0),""))</f>
        <v/>
      </c>
      <c r="Q1737" s="77"/>
      <c r="R1737" s="73"/>
      <c r="S1737" s="77"/>
      <c r="T1737" s="70"/>
      <c r="U1737" s="78"/>
      <c r="V1737" s="70" t="str">
        <f t="shared" si="6"/>
        <v/>
      </c>
      <c r="W1737" s="23"/>
      <c r="X1737" s="23"/>
    </row>
    <row r="1738">
      <c r="A1738" s="70"/>
      <c r="B1738" s="70" t="str">
        <f>IF($A$3=" "," ", IFERROR( VLOOKUP($A1738,'SUPPLIER DATA BASE'!$A$2:$M$936,3,0),""))</f>
        <v/>
      </c>
      <c r="C1738" s="70" t="str">
        <f>IF($A$3=" "," ", IFERROR( VLOOKUP($A1738,'SUPPLIER DATA BASE'!$A$2:$F$936,6,0),""))</f>
        <v/>
      </c>
      <c r="D1738" s="70" t="str">
        <f>IF($A$3=" "," ", IFERROR( VLOOKUP($A1738,'SUPPLIER DATA BASE'!$A$2:$G$936,4,0),""))</f>
        <v/>
      </c>
      <c r="E1738" s="71" t="str">
        <f>IF($A$3=" "," ", IFERROR( VLOOKUP($A1738,'SUPPLIER DATA BASE'!$A$2:$H$936,5,0),""))</f>
        <v/>
      </c>
      <c r="F1738" s="72"/>
      <c r="G1738" s="73"/>
      <c r="H1738" s="74"/>
      <c r="I1738" s="75"/>
      <c r="J1738" s="70"/>
      <c r="K1738" s="70"/>
      <c r="L1738" s="73"/>
      <c r="M1738" s="70" t="str">
        <f t="shared" si="3"/>
        <v/>
      </c>
      <c r="N1738" s="70" t="str">
        <f>IF($A$3=" "," ", IFERROR( VLOOKUP($A1738,'SUPPLIER DATA BASE'!$A$2:$O$936,11,0),""))</f>
        <v/>
      </c>
      <c r="O1738" s="70" t="str">
        <f>IF($A$3=" "," ", IFERROR( VLOOKUP($A1738,'SUPPLIER DATA BASE'!$A$2:$O$936,12,0),""))</f>
        <v/>
      </c>
      <c r="P1738" s="70" t="str">
        <f>IF($A$3=" "," ", IFERROR( VLOOKUP($A1738,'SUPPLIER DATA BASE'!$A$2:$O$936,13,0),""))</f>
        <v/>
      </c>
      <c r="Q1738" s="77"/>
      <c r="R1738" s="73"/>
      <c r="S1738" s="77"/>
      <c r="T1738" s="70"/>
      <c r="U1738" s="78"/>
      <c r="V1738" s="70" t="str">
        <f t="shared" si="6"/>
        <v/>
      </c>
      <c r="W1738" s="23"/>
      <c r="X1738" s="23"/>
    </row>
    <row r="1739">
      <c r="A1739" s="70"/>
      <c r="B1739" s="70" t="str">
        <f>IF($A$3=" "," ", IFERROR( VLOOKUP($A1739,'SUPPLIER DATA BASE'!$A$2:$M$936,3,0),""))</f>
        <v/>
      </c>
      <c r="C1739" s="70" t="str">
        <f>IF($A$3=" "," ", IFERROR( VLOOKUP($A1739,'SUPPLIER DATA BASE'!$A$2:$F$936,6,0),""))</f>
        <v/>
      </c>
      <c r="D1739" s="70" t="str">
        <f>IF($A$3=" "," ", IFERROR( VLOOKUP($A1739,'SUPPLIER DATA BASE'!$A$2:$G$936,4,0),""))</f>
        <v/>
      </c>
      <c r="E1739" s="71" t="str">
        <f>IF($A$3=" "," ", IFERROR( VLOOKUP($A1739,'SUPPLIER DATA BASE'!$A$2:$H$936,5,0),""))</f>
        <v/>
      </c>
      <c r="F1739" s="72"/>
      <c r="G1739" s="73"/>
      <c r="H1739" s="74"/>
      <c r="I1739" s="75"/>
      <c r="J1739" s="70"/>
      <c r="K1739" s="70"/>
      <c r="L1739" s="73"/>
      <c r="M1739" s="70" t="str">
        <f t="shared" si="3"/>
        <v/>
      </c>
      <c r="N1739" s="70" t="str">
        <f>IF($A$3=" "," ", IFERROR( VLOOKUP($A1739,'SUPPLIER DATA BASE'!$A$2:$O$936,11,0),""))</f>
        <v/>
      </c>
      <c r="O1739" s="70" t="str">
        <f>IF($A$3=" "," ", IFERROR( VLOOKUP($A1739,'SUPPLIER DATA BASE'!$A$2:$O$936,12,0),""))</f>
        <v/>
      </c>
      <c r="P1739" s="70" t="str">
        <f>IF($A$3=" "," ", IFERROR( VLOOKUP($A1739,'SUPPLIER DATA BASE'!$A$2:$O$936,13,0),""))</f>
        <v/>
      </c>
      <c r="Q1739" s="77"/>
      <c r="R1739" s="73"/>
      <c r="S1739" s="77"/>
      <c r="T1739" s="70"/>
      <c r="U1739" s="78"/>
      <c r="V1739" s="70" t="str">
        <f t="shared" si="6"/>
        <v/>
      </c>
      <c r="W1739" s="23"/>
      <c r="X1739" s="23"/>
    </row>
    <row r="1740">
      <c r="A1740" s="70"/>
      <c r="B1740" s="70" t="str">
        <f>IF($A$3=" "," ", IFERROR( VLOOKUP($A1740,'SUPPLIER DATA BASE'!$A$2:$M$936,3,0),""))</f>
        <v/>
      </c>
      <c r="C1740" s="70" t="str">
        <f>IF($A$3=" "," ", IFERROR( VLOOKUP($A1740,'SUPPLIER DATA BASE'!$A$2:$F$936,6,0),""))</f>
        <v/>
      </c>
      <c r="D1740" s="70" t="str">
        <f>IF($A$3=" "," ", IFERROR( VLOOKUP($A1740,'SUPPLIER DATA BASE'!$A$2:$G$936,4,0),""))</f>
        <v/>
      </c>
      <c r="E1740" s="71" t="str">
        <f>IF($A$3=" "," ", IFERROR( VLOOKUP($A1740,'SUPPLIER DATA BASE'!$A$2:$H$936,5,0),""))</f>
        <v/>
      </c>
      <c r="F1740" s="72"/>
      <c r="G1740" s="73"/>
      <c r="H1740" s="74"/>
      <c r="I1740" s="75"/>
      <c r="J1740" s="70"/>
      <c r="K1740" s="70"/>
      <c r="L1740" s="73"/>
      <c r="M1740" s="70" t="str">
        <f t="shared" si="3"/>
        <v/>
      </c>
      <c r="N1740" s="70" t="str">
        <f>IF($A$3=" "," ", IFERROR( VLOOKUP($A1740,'SUPPLIER DATA BASE'!$A$2:$O$936,11,0),""))</f>
        <v/>
      </c>
      <c r="O1740" s="70" t="str">
        <f>IF($A$3=" "," ", IFERROR( VLOOKUP($A1740,'SUPPLIER DATA BASE'!$A$2:$O$936,12,0),""))</f>
        <v/>
      </c>
      <c r="P1740" s="70" t="str">
        <f>IF($A$3=" "," ", IFERROR( VLOOKUP($A1740,'SUPPLIER DATA BASE'!$A$2:$O$936,13,0),""))</f>
        <v/>
      </c>
      <c r="Q1740" s="77"/>
      <c r="R1740" s="73"/>
      <c r="S1740" s="77"/>
      <c r="T1740" s="70"/>
      <c r="U1740" s="78"/>
      <c r="V1740" s="70" t="str">
        <f t="shared" si="6"/>
        <v/>
      </c>
      <c r="W1740" s="23"/>
      <c r="X1740" s="23"/>
    </row>
    <row r="1741">
      <c r="A1741" s="70"/>
      <c r="B1741" s="70" t="str">
        <f>IF($A$3=" "," ", IFERROR( VLOOKUP($A1741,'SUPPLIER DATA BASE'!$A$2:$M$936,3,0),""))</f>
        <v/>
      </c>
      <c r="C1741" s="70" t="str">
        <f>IF($A$3=" "," ", IFERROR( VLOOKUP($A1741,'SUPPLIER DATA BASE'!$A$2:$F$936,6,0),""))</f>
        <v/>
      </c>
      <c r="D1741" s="70" t="str">
        <f>IF($A$3=" "," ", IFERROR( VLOOKUP($A1741,'SUPPLIER DATA BASE'!$A$2:$G$936,4,0),""))</f>
        <v/>
      </c>
      <c r="E1741" s="71" t="str">
        <f>IF($A$3=" "," ", IFERROR( VLOOKUP($A1741,'SUPPLIER DATA BASE'!$A$2:$H$936,5,0),""))</f>
        <v/>
      </c>
      <c r="F1741" s="72"/>
      <c r="G1741" s="73"/>
      <c r="H1741" s="74"/>
      <c r="I1741" s="75"/>
      <c r="J1741" s="70"/>
      <c r="K1741" s="70"/>
      <c r="L1741" s="73"/>
      <c r="M1741" s="70" t="str">
        <f t="shared" si="3"/>
        <v/>
      </c>
      <c r="N1741" s="70" t="str">
        <f>IF($A$3=" "," ", IFERROR( VLOOKUP($A1741,'SUPPLIER DATA BASE'!$A$2:$O$936,11,0),""))</f>
        <v/>
      </c>
      <c r="O1741" s="70" t="str">
        <f>IF($A$3=" "," ", IFERROR( VLOOKUP($A1741,'SUPPLIER DATA BASE'!$A$2:$O$936,12,0),""))</f>
        <v/>
      </c>
      <c r="P1741" s="70" t="str">
        <f>IF($A$3=" "," ", IFERROR( VLOOKUP($A1741,'SUPPLIER DATA BASE'!$A$2:$O$936,13,0),""))</f>
        <v/>
      </c>
      <c r="Q1741" s="77"/>
      <c r="R1741" s="73"/>
      <c r="S1741" s="77"/>
      <c r="T1741" s="70"/>
      <c r="U1741" s="78"/>
      <c r="V1741" s="70" t="str">
        <f t="shared" si="6"/>
        <v/>
      </c>
      <c r="W1741" s="23"/>
      <c r="X1741" s="23"/>
    </row>
    <row r="1742">
      <c r="A1742" s="70"/>
      <c r="B1742" s="70" t="str">
        <f>IF($A$3=" "," ", IFERROR( VLOOKUP($A1742,'SUPPLIER DATA BASE'!$A$2:$M$936,3,0),""))</f>
        <v/>
      </c>
      <c r="C1742" s="70" t="str">
        <f>IF($A$3=" "," ", IFERROR( VLOOKUP($A1742,'SUPPLIER DATA BASE'!$A$2:$F$936,6,0),""))</f>
        <v/>
      </c>
      <c r="D1742" s="70" t="str">
        <f>IF($A$3=" "," ", IFERROR( VLOOKUP($A1742,'SUPPLIER DATA BASE'!$A$2:$G$936,4,0),""))</f>
        <v/>
      </c>
      <c r="E1742" s="71" t="str">
        <f>IF($A$3=" "," ", IFERROR( VLOOKUP($A1742,'SUPPLIER DATA BASE'!$A$2:$H$936,5,0),""))</f>
        <v/>
      </c>
      <c r="F1742" s="72"/>
      <c r="G1742" s="73"/>
      <c r="H1742" s="74"/>
      <c r="I1742" s="75"/>
      <c r="J1742" s="70"/>
      <c r="K1742" s="70"/>
      <c r="L1742" s="73"/>
      <c r="M1742" s="70" t="str">
        <f t="shared" si="3"/>
        <v/>
      </c>
      <c r="N1742" s="70" t="str">
        <f>IF($A$3=" "," ", IFERROR( VLOOKUP($A1742,'SUPPLIER DATA BASE'!$A$2:$O$936,11,0),""))</f>
        <v/>
      </c>
      <c r="O1742" s="70" t="str">
        <f>IF($A$3=" "," ", IFERROR( VLOOKUP($A1742,'SUPPLIER DATA BASE'!$A$2:$O$936,12,0),""))</f>
        <v/>
      </c>
      <c r="P1742" s="70" t="str">
        <f>IF($A$3=" "," ", IFERROR( VLOOKUP($A1742,'SUPPLIER DATA BASE'!$A$2:$O$936,13,0),""))</f>
        <v/>
      </c>
      <c r="Q1742" s="77"/>
      <c r="R1742" s="73"/>
      <c r="S1742" s="77"/>
      <c r="T1742" s="70"/>
      <c r="U1742" s="78"/>
      <c r="V1742" s="70" t="str">
        <f t="shared" si="6"/>
        <v/>
      </c>
      <c r="W1742" s="23"/>
      <c r="X1742" s="23"/>
    </row>
    <row r="1743">
      <c r="A1743" s="70"/>
      <c r="B1743" s="70" t="str">
        <f>IF($A$3=" "," ", IFERROR( VLOOKUP($A1743,'SUPPLIER DATA BASE'!$A$2:$M$936,3,0),""))</f>
        <v/>
      </c>
      <c r="C1743" s="70" t="str">
        <f>IF($A$3=" "," ", IFERROR( VLOOKUP($A1743,'SUPPLIER DATA BASE'!$A$2:$F$936,6,0),""))</f>
        <v/>
      </c>
      <c r="D1743" s="70" t="str">
        <f>IF($A$3=" "," ", IFERROR( VLOOKUP($A1743,'SUPPLIER DATA BASE'!$A$2:$G$936,4,0),""))</f>
        <v/>
      </c>
      <c r="E1743" s="71" t="str">
        <f>IF($A$3=" "," ", IFERROR( VLOOKUP($A1743,'SUPPLIER DATA BASE'!$A$2:$H$936,5,0),""))</f>
        <v/>
      </c>
      <c r="F1743" s="72"/>
      <c r="G1743" s="73"/>
      <c r="H1743" s="74"/>
      <c r="I1743" s="75"/>
      <c r="J1743" s="70"/>
      <c r="K1743" s="70"/>
      <c r="L1743" s="73"/>
      <c r="M1743" s="70" t="str">
        <f t="shared" si="3"/>
        <v/>
      </c>
      <c r="N1743" s="70" t="str">
        <f>IF($A$3=" "," ", IFERROR( VLOOKUP($A1743,'SUPPLIER DATA BASE'!$A$2:$O$936,11,0),""))</f>
        <v/>
      </c>
      <c r="O1743" s="70" t="str">
        <f>IF($A$3=" "," ", IFERROR( VLOOKUP($A1743,'SUPPLIER DATA BASE'!$A$2:$O$936,12,0),""))</f>
        <v/>
      </c>
      <c r="P1743" s="70" t="str">
        <f>IF($A$3=" "," ", IFERROR( VLOOKUP($A1743,'SUPPLIER DATA BASE'!$A$2:$O$936,13,0),""))</f>
        <v/>
      </c>
      <c r="Q1743" s="77"/>
      <c r="R1743" s="73"/>
      <c r="S1743" s="77"/>
      <c r="T1743" s="70"/>
      <c r="U1743" s="78"/>
      <c r="V1743" s="70" t="str">
        <f t="shared" si="6"/>
        <v/>
      </c>
      <c r="W1743" s="23"/>
      <c r="X1743" s="23"/>
    </row>
    <row r="1744">
      <c r="A1744" s="70"/>
      <c r="B1744" s="70" t="str">
        <f>IF($A$3=" "," ", IFERROR( VLOOKUP($A1744,'SUPPLIER DATA BASE'!$A$2:$M$936,3,0),""))</f>
        <v/>
      </c>
      <c r="C1744" s="70" t="str">
        <f>IF($A$3=" "," ", IFERROR( VLOOKUP($A1744,'SUPPLIER DATA BASE'!$A$2:$F$936,6,0),""))</f>
        <v/>
      </c>
      <c r="D1744" s="70" t="str">
        <f>IF($A$3=" "," ", IFERROR( VLOOKUP($A1744,'SUPPLIER DATA BASE'!$A$2:$G$936,4,0),""))</f>
        <v/>
      </c>
      <c r="E1744" s="71" t="str">
        <f>IF($A$3=" "," ", IFERROR( VLOOKUP($A1744,'SUPPLIER DATA BASE'!$A$2:$H$936,5,0),""))</f>
        <v/>
      </c>
      <c r="F1744" s="72"/>
      <c r="G1744" s="73"/>
      <c r="H1744" s="74"/>
      <c r="I1744" s="75"/>
      <c r="J1744" s="70"/>
      <c r="K1744" s="70"/>
      <c r="L1744" s="73"/>
      <c r="M1744" s="70" t="str">
        <f t="shared" si="3"/>
        <v/>
      </c>
      <c r="N1744" s="70" t="str">
        <f>IF($A$3=" "," ", IFERROR( VLOOKUP($A1744,'SUPPLIER DATA BASE'!$A$2:$O$936,11,0),""))</f>
        <v/>
      </c>
      <c r="O1744" s="70" t="str">
        <f>IF($A$3=" "," ", IFERROR( VLOOKUP($A1744,'SUPPLIER DATA BASE'!$A$2:$O$936,12,0),""))</f>
        <v/>
      </c>
      <c r="P1744" s="70" t="str">
        <f>IF($A$3=" "," ", IFERROR( VLOOKUP($A1744,'SUPPLIER DATA BASE'!$A$2:$O$936,13,0),""))</f>
        <v/>
      </c>
      <c r="Q1744" s="77"/>
      <c r="R1744" s="73"/>
      <c r="S1744" s="77"/>
      <c r="T1744" s="70"/>
      <c r="U1744" s="78"/>
      <c r="V1744" s="70" t="str">
        <f t="shared" si="6"/>
        <v/>
      </c>
      <c r="W1744" s="23"/>
      <c r="X1744" s="23"/>
    </row>
    <row r="1745">
      <c r="A1745" s="70"/>
      <c r="B1745" s="70" t="str">
        <f>IF($A$3=" "," ", IFERROR( VLOOKUP($A1745,'SUPPLIER DATA BASE'!$A$2:$M$936,3,0),""))</f>
        <v/>
      </c>
      <c r="C1745" s="70" t="str">
        <f>IF($A$3=" "," ", IFERROR( VLOOKUP($A1745,'SUPPLIER DATA BASE'!$A$2:$F$936,6,0),""))</f>
        <v/>
      </c>
      <c r="D1745" s="70" t="str">
        <f>IF($A$3=" "," ", IFERROR( VLOOKUP($A1745,'SUPPLIER DATA BASE'!$A$2:$G$936,4,0),""))</f>
        <v/>
      </c>
      <c r="E1745" s="71" t="str">
        <f>IF($A$3=" "," ", IFERROR( VLOOKUP($A1745,'SUPPLIER DATA BASE'!$A$2:$H$936,5,0),""))</f>
        <v/>
      </c>
      <c r="F1745" s="72"/>
      <c r="G1745" s="73"/>
      <c r="H1745" s="74"/>
      <c r="I1745" s="75"/>
      <c r="J1745" s="70"/>
      <c r="K1745" s="70"/>
      <c r="L1745" s="73"/>
      <c r="M1745" s="70" t="str">
        <f t="shared" si="3"/>
        <v/>
      </c>
      <c r="N1745" s="70" t="str">
        <f>IF($A$3=" "," ", IFERROR( VLOOKUP($A1745,'SUPPLIER DATA BASE'!$A$2:$O$936,11,0),""))</f>
        <v/>
      </c>
      <c r="O1745" s="70" t="str">
        <f>IF($A$3=" "," ", IFERROR( VLOOKUP($A1745,'SUPPLIER DATA BASE'!$A$2:$O$936,12,0),""))</f>
        <v/>
      </c>
      <c r="P1745" s="70" t="str">
        <f>IF($A$3=" "," ", IFERROR( VLOOKUP($A1745,'SUPPLIER DATA BASE'!$A$2:$O$936,13,0),""))</f>
        <v/>
      </c>
      <c r="Q1745" s="77"/>
      <c r="R1745" s="73"/>
      <c r="S1745" s="77"/>
      <c r="T1745" s="70"/>
      <c r="U1745" s="78"/>
      <c r="V1745" s="70" t="str">
        <f t="shared" si="6"/>
        <v/>
      </c>
      <c r="W1745" s="23"/>
      <c r="X1745" s="23"/>
    </row>
    <row r="1746">
      <c r="A1746" s="70"/>
      <c r="B1746" s="70" t="str">
        <f>IF($A$3=" "," ", IFERROR( VLOOKUP($A1746,'SUPPLIER DATA BASE'!$A$2:$M$936,3,0),""))</f>
        <v/>
      </c>
      <c r="C1746" s="70" t="str">
        <f>IF($A$3=" "," ", IFERROR( VLOOKUP($A1746,'SUPPLIER DATA BASE'!$A$2:$F$936,6,0),""))</f>
        <v/>
      </c>
      <c r="D1746" s="70" t="str">
        <f>IF($A$3=" "," ", IFERROR( VLOOKUP($A1746,'SUPPLIER DATA BASE'!$A$2:$G$936,4,0),""))</f>
        <v/>
      </c>
      <c r="E1746" s="71" t="str">
        <f>IF($A$3=" "," ", IFERROR( VLOOKUP($A1746,'SUPPLIER DATA BASE'!$A$2:$H$936,5,0),""))</f>
        <v/>
      </c>
      <c r="F1746" s="72"/>
      <c r="G1746" s="73"/>
      <c r="H1746" s="74"/>
      <c r="I1746" s="75"/>
      <c r="J1746" s="70"/>
      <c r="K1746" s="70"/>
      <c r="L1746" s="73"/>
      <c r="M1746" s="70" t="str">
        <f t="shared" si="3"/>
        <v/>
      </c>
      <c r="N1746" s="70" t="str">
        <f>IF($A$3=" "," ", IFERROR( VLOOKUP($A1746,'SUPPLIER DATA BASE'!$A$2:$O$936,11,0),""))</f>
        <v/>
      </c>
      <c r="O1746" s="70" t="str">
        <f>IF($A$3=" "," ", IFERROR( VLOOKUP($A1746,'SUPPLIER DATA BASE'!$A$2:$O$936,12,0),""))</f>
        <v/>
      </c>
      <c r="P1746" s="70" t="str">
        <f>IF($A$3=" "," ", IFERROR( VLOOKUP($A1746,'SUPPLIER DATA BASE'!$A$2:$O$936,13,0),""))</f>
        <v/>
      </c>
      <c r="Q1746" s="77"/>
      <c r="R1746" s="73"/>
      <c r="S1746" s="77"/>
      <c r="T1746" s="70"/>
      <c r="U1746" s="78"/>
      <c r="V1746" s="70" t="str">
        <f t="shared" si="6"/>
        <v/>
      </c>
      <c r="W1746" s="23"/>
      <c r="X1746" s="23"/>
    </row>
    <row r="1747">
      <c r="A1747" s="70"/>
      <c r="B1747" s="70" t="str">
        <f>IF($A$3=" "," ", IFERROR( VLOOKUP($A1747,'SUPPLIER DATA BASE'!$A$2:$M$936,3,0),""))</f>
        <v/>
      </c>
      <c r="C1747" s="70" t="str">
        <f>IF($A$3=" "," ", IFERROR( VLOOKUP($A1747,'SUPPLIER DATA BASE'!$A$2:$F$936,6,0),""))</f>
        <v/>
      </c>
      <c r="D1747" s="70" t="str">
        <f>IF($A$3=" "," ", IFERROR( VLOOKUP($A1747,'SUPPLIER DATA BASE'!$A$2:$G$936,4,0),""))</f>
        <v/>
      </c>
      <c r="E1747" s="71" t="str">
        <f>IF($A$3=" "," ", IFERROR( VLOOKUP($A1747,'SUPPLIER DATA BASE'!$A$2:$H$936,5,0),""))</f>
        <v/>
      </c>
      <c r="F1747" s="72"/>
      <c r="G1747" s="73"/>
      <c r="H1747" s="74"/>
      <c r="I1747" s="75"/>
      <c r="J1747" s="70"/>
      <c r="K1747" s="70"/>
      <c r="L1747" s="73"/>
      <c r="M1747" s="70" t="str">
        <f t="shared" si="3"/>
        <v/>
      </c>
      <c r="N1747" s="70" t="str">
        <f>IF($A$3=" "," ", IFERROR( VLOOKUP($A1747,'SUPPLIER DATA BASE'!$A$2:$O$936,11,0),""))</f>
        <v/>
      </c>
      <c r="O1747" s="70" t="str">
        <f>IF($A$3=" "," ", IFERROR( VLOOKUP($A1747,'SUPPLIER DATA BASE'!$A$2:$O$936,12,0),""))</f>
        <v/>
      </c>
      <c r="P1747" s="70" t="str">
        <f>IF($A$3=" "," ", IFERROR( VLOOKUP($A1747,'SUPPLIER DATA BASE'!$A$2:$O$936,13,0),""))</f>
        <v/>
      </c>
      <c r="Q1747" s="77"/>
      <c r="R1747" s="73"/>
      <c r="S1747" s="77"/>
      <c r="T1747" s="70"/>
      <c r="U1747" s="78"/>
      <c r="V1747" s="70" t="str">
        <f t="shared" si="6"/>
        <v/>
      </c>
      <c r="W1747" s="23"/>
      <c r="X1747" s="23"/>
    </row>
    <row r="1748">
      <c r="A1748" s="70"/>
      <c r="B1748" s="70" t="str">
        <f>IF($A$3=" "," ", IFERROR( VLOOKUP($A1748,'SUPPLIER DATA BASE'!$A$2:$M$936,3,0),""))</f>
        <v/>
      </c>
      <c r="C1748" s="70" t="str">
        <f>IF($A$3=" "," ", IFERROR( VLOOKUP($A1748,'SUPPLIER DATA BASE'!$A$2:$F$936,6,0),""))</f>
        <v/>
      </c>
      <c r="D1748" s="70" t="str">
        <f>IF($A$3=" "," ", IFERROR( VLOOKUP($A1748,'SUPPLIER DATA BASE'!$A$2:$G$936,4,0),""))</f>
        <v/>
      </c>
      <c r="E1748" s="71" t="str">
        <f>IF($A$3=" "," ", IFERROR( VLOOKUP($A1748,'SUPPLIER DATA BASE'!$A$2:$H$936,5,0),""))</f>
        <v/>
      </c>
      <c r="F1748" s="72"/>
      <c r="G1748" s="73"/>
      <c r="H1748" s="74"/>
      <c r="I1748" s="75"/>
      <c r="J1748" s="70"/>
      <c r="K1748" s="70"/>
      <c r="L1748" s="73"/>
      <c r="M1748" s="70" t="str">
        <f t="shared" si="3"/>
        <v/>
      </c>
      <c r="N1748" s="70" t="str">
        <f>IF($A$3=" "," ", IFERROR( VLOOKUP($A1748,'SUPPLIER DATA BASE'!$A$2:$O$936,11,0),""))</f>
        <v/>
      </c>
      <c r="O1748" s="70" t="str">
        <f>IF($A$3=" "," ", IFERROR( VLOOKUP($A1748,'SUPPLIER DATA BASE'!$A$2:$O$936,12,0),""))</f>
        <v/>
      </c>
      <c r="P1748" s="70" t="str">
        <f>IF($A$3=" "," ", IFERROR( VLOOKUP($A1748,'SUPPLIER DATA BASE'!$A$2:$O$936,13,0),""))</f>
        <v/>
      </c>
      <c r="Q1748" s="77"/>
      <c r="R1748" s="73"/>
      <c r="S1748" s="77"/>
      <c r="T1748" s="70"/>
      <c r="U1748" s="78"/>
      <c r="V1748" s="70" t="str">
        <f t="shared" si="6"/>
        <v/>
      </c>
      <c r="W1748" s="23"/>
      <c r="X1748" s="23"/>
    </row>
    <row r="1749">
      <c r="A1749" s="70"/>
      <c r="B1749" s="70" t="str">
        <f>IF($A$3=" "," ", IFERROR( VLOOKUP($A1749,'SUPPLIER DATA BASE'!$A$2:$M$936,3,0),""))</f>
        <v/>
      </c>
      <c r="C1749" s="70" t="str">
        <f>IF($A$3=" "," ", IFERROR( VLOOKUP($A1749,'SUPPLIER DATA BASE'!$A$2:$F$936,6,0),""))</f>
        <v/>
      </c>
      <c r="D1749" s="70" t="str">
        <f>IF($A$3=" "," ", IFERROR( VLOOKUP($A1749,'SUPPLIER DATA BASE'!$A$2:$G$936,4,0),""))</f>
        <v/>
      </c>
      <c r="E1749" s="71" t="str">
        <f>IF($A$3=" "," ", IFERROR( VLOOKUP($A1749,'SUPPLIER DATA BASE'!$A$2:$H$936,5,0),""))</f>
        <v/>
      </c>
      <c r="F1749" s="72"/>
      <c r="G1749" s="73"/>
      <c r="H1749" s="74"/>
      <c r="I1749" s="75"/>
      <c r="J1749" s="70"/>
      <c r="K1749" s="70"/>
      <c r="L1749" s="73"/>
      <c r="M1749" s="70" t="str">
        <f t="shared" si="3"/>
        <v/>
      </c>
      <c r="N1749" s="70" t="str">
        <f>IF($A$3=" "," ", IFERROR( VLOOKUP($A1749,'SUPPLIER DATA BASE'!$A$2:$O$936,11,0),""))</f>
        <v/>
      </c>
      <c r="O1749" s="70" t="str">
        <f>IF($A$3=" "," ", IFERROR( VLOOKUP($A1749,'SUPPLIER DATA BASE'!$A$2:$O$936,12,0),""))</f>
        <v/>
      </c>
      <c r="P1749" s="70" t="str">
        <f>IF($A$3=" "," ", IFERROR( VLOOKUP($A1749,'SUPPLIER DATA BASE'!$A$2:$O$936,13,0),""))</f>
        <v/>
      </c>
      <c r="Q1749" s="77"/>
      <c r="R1749" s="73"/>
      <c r="S1749" s="77"/>
      <c r="T1749" s="70"/>
      <c r="U1749" s="78"/>
      <c r="V1749" s="70" t="str">
        <f t="shared" si="6"/>
        <v/>
      </c>
      <c r="W1749" s="23"/>
      <c r="X1749" s="23"/>
    </row>
    <row r="1750">
      <c r="A1750" s="70"/>
      <c r="B1750" s="70" t="str">
        <f>IF($A$3=" "," ", IFERROR( VLOOKUP($A1750,'SUPPLIER DATA BASE'!$A$2:$M$936,3,0),""))</f>
        <v/>
      </c>
      <c r="C1750" s="70" t="str">
        <f>IF($A$3=" "," ", IFERROR( VLOOKUP($A1750,'SUPPLIER DATA BASE'!$A$2:$F$936,6,0),""))</f>
        <v/>
      </c>
      <c r="D1750" s="70" t="str">
        <f>IF($A$3=" "," ", IFERROR( VLOOKUP($A1750,'SUPPLIER DATA BASE'!$A$2:$G$936,4,0),""))</f>
        <v/>
      </c>
      <c r="E1750" s="71" t="str">
        <f>IF($A$3=" "," ", IFERROR( VLOOKUP($A1750,'SUPPLIER DATA BASE'!$A$2:$H$936,5,0),""))</f>
        <v/>
      </c>
      <c r="F1750" s="72"/>
      <c r="G1750" s="73"/>
      <c r="H1750" s="74"/>
      <c r="I1750" s="75"/>
      <c r="J1750" s="70"/>
      <c r="K1750" s="70"/>
      <c r="L1750" s="73"/>
      <c r="M1750" s="70" t="str">
        <f t="shared" si="3"/>
        <v/>
      </c>
      <c r="N1750" s="70" t="str">
        <f>IF($A$3=" "," ", IFERROR( VLOOKUP($A1750,'SUPPLIER DATA BASE'!$A$2:$O$936,11,0),""))</f>
        <v/>
      </c>
      <c r="O1750" s="70" t="str">
        <f>IF($A$3=" "," ", IFERROR( VLOOKUP($A1750,'SUPPLIER DATA BASE'!$A$2:$O$936,12,0),""))</f>
        <v/>
      </c>
      <c r="P1750" s="70" t="str">
        <f>IF($A$3=" "," ", IFERROR( VLOOKUP($A1750,'SUPPLIER DATA BASE'!$A$2:$O$936,13,0),""))</f>
        <v/>
      </c>
      <c r="Q1750" s="77"/>
      <c r="R1750" s="73"/>
      <c r="S1750" s="77"/>
      <c r="T1750" s="70"/>
      <c r="U1750" s="78"/>
      <c r="V1750" s="70" t="str">
        <f t="shared" si="6"/>
        <v/>
      </c>
      <c r="W1750" s="23"/>
      <c r="X1750" s="23"/>
    </row>
    <row r="1751">
      <c r="A1751" s="70"/>
      <c r="B1751" s="70" t="str">
        <f>IF($A$3=" "," ", IFERROR( VLOOKUP($A1751,'SUPPLIER DATA BASE'!$A$2:$M$936,3,0),""))</f>
        <v/>
      </c>
      <c r="C1751" s="70" t="str">
        <f>IF($A$3=" "," ", IFERROR( VLOOKUP($A1751,'SUPPLIER DATA BASE'!$A$2:$F$936,6,0),""))</f>
        <v/>
      </c>
      <c r="D1751" s="70" t="str">
        <f>IF($A$3=" "," ", IFERROR( VLOOKUP($A1751,'SUPPLIER DATA BASE'!$A$2:$G$936,4,0),""))</f>
        <v/>
      </c>
      <c r="E1751" s="71" t="str">
        <f>IF($A$3=" "," ", IFERROR( VLOOKUP($A1751,'SUPPLIER DATA BASE'!$A$2:$H$936,5,0),""))</f>
        <v/>
      </c>
      <c r="F1751" s="72"/>
      <c r="G1751" s="73"/>
      <c r="H1751" s="74"/>
      <c r="I1751" s="75"/>
      <c r="J1751" s="70"/>
      <c r="K1751" s="70"/>
      <c r="L1751" s="73"/>
      <c r="M1751" s="70" t="str">
        <f t="shared" si="3"/>
        <v/>
      </c>
      <c r="N1751" s="70" t="str">
        <f>IF($A$3=" "," ", IFERROR( VLOOKUP($A1751,'SUPPLIER DATA BASE'!$A$2:$O$936,11,0),""))</f>
        <v/>
      </c>
      <c r="O1751" s="70" t="str">
        <f>IF($A$3=" "," ", IFERROR( VLOOKUP($A1751,'SUPPLIER DATA BASE'!$A$2:$O$936,12,0),""))</f>
        <v/>
      </c>
      <c r="P1751" s="70" t="str">
        <f>IF($A$3=" "," ", IFERROR( VLOOKUP($A1751,'SUPPLIER DATA BASE'!$A$2:$O$936,13,0),""))</f>
        <v/>
      </c>
      <c r="Q1751" s="77"/>
      <c r="R1751" s="73"/>
      <c r="S1751" s="77"/>
      <c r="T1751" s="70"/>
      <c r="U1751" s="78"/>
      <c r="V1751" s="70" t="str">
        <f t="shared" si="6"/>
        <v/>
      </c>
      <c r="W1751" s="23"/>
      <c r="X1751" s="23"/>
    </row>
    <row r="1752">
      <c r="A1752" s="70"/>
      <c r="B1752" s="70" t="str">
        <f>IF($A$3=" "," ", IFERROR( VLOOKUP($A1752,'SUPPLIER DATA BASE'!$A$2:$M$936,3,0),""))</f>
        <v/>
      </c>
      <c r="C1752" s="70" t="str">
        <f>IF($A$3=" "," ", IFERROR( VLOOKUP($A1752,'SUPPLIER DATA BASE'!$A$2:$F$936,6,0),""))</f>
        <v/>
      </c>
      <c r="D1752" s="70" t="str">
        <f>IF($A$3=" "," ", IFERROR( VLOOKUP($A1752,'SUPPLIER DATA BASE'!$A$2:$G$936,4,0),""))</f>
        <v/>
      </c>
      <c r="E1752" s="71" t="str">
        <f>IF($A$3=" "," ", IFERROR( VLOOKUP($A1752,'SUPPLIER DATA BASE'!$A$2:$H$936,5,0),""))</f>
        <v/>
      </c>
      <c r="F1752" s="72"/>
      <c r="G1752" s="73"/>
      <c r="H1752" s="74"/>
      <c r="I1752" s="75"/>
      <c r="J1752" s="70"/>
      <c r="K1752" s="70"/>
      <c r="L1752" s="73"/>
      <c r="M1752" s="70" t="str">
        <f t="shared" si="3"/>
        <v/>
      </c>
      <c r="N1752" s="70" t="str">
        <f>IF($A$3=" "," ", IFERROR( VLOOKUP($A1752,'SUPPLIER DATA BASE'!$A$2:$O$936,11,0),""))</f>
        <v/>
      </c>
      <c r="O1752" s="70" t="str">
        <f>IF($A$3=" "," ", IFERROR( VLOOKUP($A1752,'SUPPLIER DATA BASE'!$A$2:$O$936,12,0),""))</f>
        <v/>
      </c>
      <c r="P1752" s="70" t="str">
        <f>IF($A$3=" "," ", IFERROR( VLOOKUP($A1752,'SUPPLIER DATA BASE'!$A$2:$O$936,13,0),""))</f>
        <v/>
      </c>
      <c r="Q1752" s="77"/>
      <c r="R1752" s="73"/>
      <c r="S1752" s="77"/>
      <c r="T1752" s="70"/>
      <c r="U1752" s="78"/>
      <c r="V1752" s="70" t="str">
        <f t="shared" si="6"/>
        <v/>
      </c>
      <c r="W1752" s="23"/>
      <c r="X1752" s="23"/>
    </row>
    <row r="1753">
      <c r="A1753" s="70"/>
      <c r="B1753" s="70" t="str">
        <f>IF($A$3=" "," ", IFERROR( VLOOKUP($A1753,'SUPPLIER DATA BASE'!$A$2:$M$936,3,0),""))</f>
        <v/>
      </c>
      <c r="C1753" s="70" t="str">
        <f>IF($A$3=" "," ", IFERROR( VLOOKUP($A1753,'SUPPLIER DATA BASE'!$A$2:$F$936,6,0),""))</f>
        <v/>
      </c>
      <c r="D1753" s="70" t="str">
        <f>IF($A$3=" "," ", IFERROR( VLOOKUP($A1753,'SUPPLIER DATA BASE'!$A$2:$G$936,4,0),""))</f>
        <v/>
      </c>
      <c r="E1753" s="71" t="str">
        <f>IF($A$3=" "," ", IFERROR( VLOOKUP($A1753,'SUPPLIER DATA BASE'!$A$2:$H$936,5,0),""))</f>
        <v/>
      </c>
      <c r="F1753" s="72"/>
      <c r="G1753" s="73"/>
      <c r="H1753" s="74"/>
      <c r="I1753" s="75"/>
      <c r="J1753" s="70"/>
      <c r="K1753" s="70"/>
      <c r="L1753" s="73"/>
      <c r="M1753" s="70" t="str">
        <f t="shared" si="3"/>
        <v/>
      </c>
      <c r="N1753" s="70" t="str">
        <f>IF($A$3=" "," ", IFERROR( VLOOKUP($A1753,'SUPPLIER DATA BASE'!$A$2:$O$936,11,0),""))</f>
        <v/>
      </c>
      <c r="O1753" s="70" t="str">
        <f>IF($A$3=" "," ", IFERROR( VLOOKUP($A1753,'SUPPLIER DATA BASE'!$A$2:$O$936,12,0),""))</f>
        <v/>
      </c>
      <c r="P1753" s="70" t="str">
        <f>IF($A$3=" "," ", IFERROR( VLOOKUP($A1753,'SUPPLIER DATA BASE'!$A$2:$O$936,13,0),""))</f>
        <v/>
      </c>
      <c r="Q1753" s="77"/>
      <c r="R1753" s="73"/>
      <c r="S1753" s="77"/>
      <c r="T1753" s="70"/>
      <c r="U1753" s="78"/>
      <c r="V1753" s="70" t="str">
        <f t="shared" si="6"/>
        <v/>
      </c>
      <c r="W1753" s="23"/>
      <c r="X1753" s="23"/>
    </row>
    <row r="1754">
      <c r="A1754" s="70"/>
      <c r="B1754" s="70" t="str">
        <f>IF($A$3=" "," ", IFERROR( VLOOKUP($A1754,'SUPPLIER DATA BASE'!$A$2:$M$936,3,0),""))</f>
        <v/>
      </c>
      <c r="C1754" s="70" t="str">
        <f>IF($A$3=" "," ", IFERROR( VLOOKUP($A1754,'SUPPLIER DATA BASE'!$A$2:$F$936,6,0),""))</f>
        <v/>
      </c>
      <c r="D1754" s="70" t="str">
        <f>IF($A$3=" "," ", IFERROR( VLOOKUP($A1754,'SUPPLIER DATA BASE'!$A$2:$G$936,4,0),""))</f>
        <v/>
      </c>
      <c r="E1754" s="71" t="str">
        <f>IF($A$3=" "," ", IFERROR( VLOOKUP($A1754,'SUPPLIER DATA BASE'!$A$2:$H$936,5,0),""))</f>
        <v/>
      </c>
      <c r="F1754" s="72"/>
      <c r="G1754" s="73"/>
      <c r="H1754" s="74"/>
      <c r="I1754" s="75"/>
      <c r="J1754" s="70"/>
      <c r="K1754" s="70"/>
      <c r="L1754" s="73"/>
      <c r="M1754" s="70" t="str">
        <f t="shared" si="3"/>
        <v/>
      </c>
      <c r="N1754" s="70" t="str">
        <f>IF($A$3=" "," ", IFERROR( VLOOKUP($A1754,'SUPPLIER DATA BASE'!$A$2:$O$936,11,0),""))</f>
        <v/>
      </c>
      <c r="O1754" s="70" t="str">
        <f>IF($A$3=" "," ", IFERROR( VLOOKUP($A1754,'SUPPLIER DATA BASE'!$A$2:$O$936,12,0),""))</f>
        <v/>
      </c>
      <c r="P1754" s="70" t="str">
        <f>IF($A$3=" "," ", IFERROR( VLOOKUP($A1754,'SUPPLIER DATA BASE'!$A$2:$O$936,13,0),""))</f>
        <v/>
      </c>
      <c r="Q1754" s="77"/>
      <c r="R1754" s="73"/>
      <c r="S1754" s="77"/>
      <c r="T1754" s="70"/>
      <c r="U1754" s="78"/>
      <c r="V1754" s="70" t="str">
        <f t="shared" si="6"/>
        <v/>
      </c>
      <c r="W1754" s="23"/>
      <c r="X1754" s="23"/>
    </row>
    <row r="1755">
      <c r="A1755" s="70"/>
      <c r="B1755" s="70" t="str">
        <f>IF($A$3=" "," ", IFERROR( VLOOKUP($A1755,'SUPPLIER DATA BASE'!$A$2:$M$936,3,0),""))</f>
        <v/>
      </c>
      <c r="C1755" s="70" t="str">
        <f>IF($A$3=" "," ", IFERROR( VLOOKUP($A1755,'SUPPLIER DATA BASE'!$A$2:$F$936,6,0),""))</f>
        <v/>
      </c>
      <c r="D1755" s="70" t="str">
        <f>IF($A$3=" "," ", IFERROR( VLOOKUP($A1755,'SUPPLIER DATA BASE'!$A$2:$G$936,4,0),""))</f>
        <v/>
      </c>
      <c r="E1755" s="71" t="str">
        <f>IF($A$3=" "," ", IFERROR( VLOOKUP($A1755,'SUPPLIER DATA BASE'!$A$2:$H$936,5,0),""))</f>
        <v/>
      </c>
      <c r="F1755" s="72"/>
      <c r="G1755" s="73"/>
      <c r="H1755" s="74"/>
      <c r="I1755" s="75"/>
      <c r="J1755" s="70"/>
      <c r="K1755" s="70"/>
      <c r="L1755" s="73"/>
      <c r="M1755" s="70" t="str">
        <f t="shared" si="3"/>
        <v/>
      </c>
      <c r="N1755" s="70" t="str">
        <f>IF($A$3=" "," ", IFERROR( VLOOKUP($A1755,'SUPPLIER DATA BASE'!$A$2:$O$936,11,0),""))</f>
        <v/>
      </c>
      <c r="O1755" s="70" t="str">
        <f>IF($A$3=" "," ", IFERROR( VLOOKUP($A1755,'SUPPLIER DATA BASE'!$A$2:$O$936,12,0),""))</f>
        <v/>
      </c>
      <c r="P1755" s="70" t="str">
        <f>IF($A$3=" "," ", IFERROR( VLOOKUP($A1755,'SUPPLIER DATA BASE'!$A$2:$O$936,13,0),""))</f>
        <v/>
      </c>
      <c r="Q1755" s="77"/>
      <c r="R1755" s="73"/>
      <c r="S1755" s="77"/>
      <c r="T1755" s="70"/>
      <c r="U1755" s="78"/>
      <c r="V1755" s="70" t="str">
        <f t="shared" si="6"/>
        <v/>
      </c>
      <c r="W1755" s="23"/>
      <c r="X1755" s="23"/>
    </row>
    <row r="1756">
      <c r="A1756" s="70"/>
      <c r="B1756" s="70" t="str">
        <f>IF($A$3=" "," ", IFERROR( VLOOKUP($A1756,'SUPPLIER DATA BASE'!$A$2:$M$936,3,0),""))</f>
        <v/>
      </c>
      <c r="C1756" s="70" t="str">
        <f>IF($A$3=" "," ", IFERROR( VLOOKUP($A1756,'SUPPLIER DATA BASE'!$A$2:$F$936,6,0),""))</f>
        <v/>
      </c>
      <c r="D1756" s="70" t="str">
        <f>IF($A$3=" "," ", IFERROR( VLOOKUP($A1756,'SUPPLIER DATA BASE'!$A$2:$G$936,4,0),""))</f>
        <v/>
      </c>
      <c r="E1756" s="71" t="str">
        <f>IF($A$3=" "," ", IFERROR( VLOOKUP($A1756,'SUPPLIER DATA BASE'!$A$2:$H$936,5,0),""))</f>
        <v/>
      </c>
      <c r="F1756" s="72"/>
      <c r="G1756" s="73"/>
      <c r="H1756" s="74"/>
      <c r="I1756" s="75"/>
      <c r="J1756" s="70"/>
      <c r="K1756" s="70"/>
      <c r="L1756" s="73"/>
      <c r="M1756" s="70" t="str">
        <f t="shared" si="3"/>
        <v/>
      </c>
      <c r="N1756" s="70" t="str">
        <f>IF($A$3=" "," ", IFERROR( VLOOKUP($A1756,'SUPPLIER DATA BASE'!$A$2:$O$936,11,0),""))</f>
        <v/>
      </c>
      <c r="O1756" s="70" t="str">
        <f>IF($A$3=" "," ", IFERROR( VLOOKUP($A1756,'SUPPLIER DATA BASE'!$A$2:$O$936,12,0),""))</f>
        <v/>
      </c>
      <c r="P1756" s="70" t="str">
        <f>IF($A$3=" "," ", IFERROR( VLOOKUP($A1756,'SUPPLIER DATA BASE'!$A$2:$O$936,13,0),""))</f>
        <v/>
      </c>
      <c r="Q1756" s="77"/>
      <c r="R1756" s="73"/>
      <c r="S1756" s="77"/>
      <c r="T1756" s="70"/>
      <c r="U1756" s="78"/>
      <c r="V1756" s="70" t="str">
        <f t="shared" si="6"/>
        <v/>
      </c>
      <c r="W1756" s="23"/>
      <c r="X1756" s="23"/>
    </row>
    <row r="1757">
      <c r="A1757" s="70"/>
      <c r="B1757" s="70" t="str">
        <f>IF($A$3=" "," ", IFERROR( VLOOKUP($A1757,'SUPPLIER DATA BASE'!$A$2:$M$936,3,0),""))</f>
        <v/>
      </c>
      <c r="C1757" s="70" t="str">
        <f>IF($A$3=" "," ", IFERROR( VLOOKUP($A1757,'SUPPLIER DATA BASE'!$A$2:$F$936,6,0),""))</f>
        <v/>
      </c>
      <c r="D1757" s="70" t="str">
        <f>IF($A$3=" "," ", IFERROR( VLOOKUP($A1757,'SUPPLIER DATA BASE'!$A$2:$G$936,4,0),""))</f>
        <v/>
      </c>
      <c r="E1757" s="71" t="str">
        <f>IF($A$3=" "," ", IFERROR( VLOOKUP($A1757,'SUPPLIER DATA BASE'!$A$2:$H$936,5,0),""))</f>
        <v/>
      </c>
      <c r="F1757" s="72"/>
      <c r="G1757" s="73"/>
      <c r="H1757" s="74"/>
      <c r="I1757" s="75"/>
      <c r="J1757" s="70"/>
      <c r="K1757" s="70"/>
      <c r="L1757" s="73"/>
      <c r="M1757" s="70" t="str">
        <f t="shared" si="3"/>
        <v/>
      </c>
      <c r="N1757" s="70" t="str">
        <f>IF($A$3=" "," ", IFERROR( VLOOKUP($A1757,'SUPPLIER DATA BASE'!$A$2:$O$936,11,0),""))</f>
        <v/>
      </c>
      <c r="O1757" s="70" t="str">
        <f>IF($A$3=" "," ", IFERROR( VLOOKUP($A1757,'SUPPLIER DATA BASE'!$A$2:$O$936,12,0),""))</f>
        <v/>
      </c>
      <c r="P1757" s="70" t="str">
        <f>IF($A$3=" "," ", IFERROR( VLOOKUP($A1757,'SUPPLIER DATA BASE'!$A$2:$O$936,13,0),""))</f>
        <v/>
      </c>
      <c r="Q1757" s="77"/>
      <c r="R1757" s="73"/>
      <c r="S1757" s="77"/>
      <c r="T1757" s="70"/>
      <c r="U1757" s="78"/>
      <c r="V1757" s="70" t="str">
        <f t="shared" si="6"/>
        <v/>
      </c>
      <c r="W1757" s="23"/>
      <c r="X1757" s="23"/>
    </row>
    <row r="1758">
      <c r="A1758" s="70"/>
      <c r="B1758" s="70" t="str">
        <f>IF($A$3=" "," ", IFERROR( VLOOKUP($A1758,'SUPPLIER DATA BASE'!$A$2:$M$936,3,0),""))</f>
        <v/>
      </c>
      <c r="C1758" s="70" t="str">
        <f>IF($A$3=" "," ", IFERROR( VLOOKUP($A1758,'SUPPLIER DATA BASE'!$A$2:$F$936,6,0),""))</f>
        <v/>
      </c>
      <c r="D1758" s="70" t="str">
        <f>IF($A$3=" "," ", IFERROR( VLOOKUP($A1758,'SUPPLIER DATA BASE'!$A$2:$G$936,4,0),""))</f>
        <v/>
      </c>
      <c r="E1758" s="71" t="str">
        <f>IF($A$3=" "," ", IFERROR( VLOOKUP($A1758,'SUPPLIER DATA BASE'!$A$2:$H$936,5,0),""))</f>
        <v/>
      </c>
      <c r="F1758" s="72"/>
      <c r="G1758" s="73"/>
      <c r="H1758" s="74"/>
      <c r="I1758" s="75"/>
      <c r="J1758" s="70"/>
      <c r="K1758" s="70"/>
      <c r="L1758" s="73"/>
      <c r="M1758" s="70" t="str">
        <f t="shared" si="3"/>
        <v/>
      </c>
      <c r="N1758" s="70" t="str">
        <f>IF($A$3=" "," ", IFERROR( VLOOKUP($A1758,'SUPPLIER DATA BASE'!$A$2:$O$936,11,0),""))</f>
        <v/>
      </c>
      <c r="O1758" s="70" t="str">
        <f>IF($A$3=" "," ", IFERROR( VLOOKUP($A1758,'SUPPLIER DATA BASE'!$A$2:$O$936,12,0),""))</f>
        <v/>
      </c>
      <c r="P1758" s="70" t="str">
        <f>IF($A$3=" "," ", IFERROR( VLOOKUP($A1758,'SUPPLIER DATA BASE'!$A$2:$O$936,13,0),""))</f>
        <v/>
      </c>
      <c r="Q1758" s="77"/>
      <c r="R1758" s="73"/>
      <c r="S1758" s="77"/>
      <c r="T1758" s="70"/>
      <c r="U1758" s="78"/>
      <c r="V1758" s="70" t="str">
        <f t="shared" si="6"/>
        <v/>
      </c>
      <c r="W1758" s="23"/>
      <c r="X1758" s="23"/>
    </row>
    <row r="1759">
      <c r="A1759" s="70"/>
      <c r="B1759" s="70" t="str">
        <f>IF($A$3=" "," ", IFERROR( VLOOKUP($A1759,'SUPPLIER DATA BASE'!$A$2:$M$936,3,0),""))</f>
        <v/>
      </c>
      <c r="C1759" s="70" t="str">
        <f>IF($A$3=" "," ", IFERROR( VLOOKUP($A1759,'SUPPLIER DATA BASE'!$A$2:$F$936,6,0),""))</f>
        <v/>
      </c>
      <c r="D1759" s="70" t="str">
        <f>IF($A$3=" "," ", IFERROR( VLOOKUP($A1759,'SUPPLIER DATA BASE'!$A$2:$G$936,4,0),""))</f>
        <v/>
      </c>
      <c r="E1759" s="71" t="str">
        <f>IF($A$3=" "," ", IFERROR( VLOOKUP($A1759,'SUPPLIER DATA BASE'!$A$2:$H$936,5,0),""))</f>
        <v/>
      </c>
      <c r="F1759" s="72"/>
      <c r="G1759" s="73"/>
      <c r="H1759" s="74"/>
      <c r="I1759" s="75"/>
      <c r="J1759" s="70"/>
      <c r="K1759" s="70"/>
      <c r="L1759" s="73"/>
      <c r="M1759" s="70" t="str">
        <f t="shared" si="3"/>
        <v/>
      </c>
      <c r="N1759" s="70" t="str">
        <f>IF($A$3=" "," ", IFERROR( VLOOKUP($A1759,'SUPPLIER DATA BASE'!$A$2:$O$936,11,0),""))</f>
        <v/>
      </c>
      <c r="O1759" s="70" t="str">
        <f>IF($A$3=" "," ", IFERROR( VLOOKUP($A1759,'SUPPLIER DATA BASE'!$A$2:$O$936,12,0),""))</f>
        <v/>
      </c>
      <c r="P1759" s="70" t="str">
        <f>IF($A$3=" "," ", IFERROR( VLOOKUP($A1759,'SUPPLIER DATA BASE'!$A$2:$O$936,13,0),""))</f>
        <v/>
      </c>
      <c r="Q1759" s="77"/>
      <c r="R1759" s="73"/>
      <c r="S1759" s="77"/>
      <c r="T1759" s="70"/>
      <c r="U1759" s="78"/>
      <c r="V1759" s="70" t="str">
        <f t="shared" si="6"/>
        <v/>
      </c>
      <c r="W1759" s="23"/>
      <c r="X1759" s="23"/>
    </row>
    <row r="1760">
      <c r="A1760" s="70"/>
      <c r="B1760" s="70" t="str">
        <f>IF($A$3=" "," ", IFERROR( VLOOKUP($A1760,'SUPPLIER DATA BASE'!$A$2:$M$936,3,0),""))</f>
        <v/>
      </c>
      <c r="C1760" s="70" t="str">
        <f>IF($A$3=" "," ", IFERROR( VLOOKUP($A1760,'SUPPLIER DATA BASE'!$A$2:$F$936,6,0),""))</f>
        <v/>
      </c>
      <c r="D1760" s="70" t="str">
        <f>IF($A$3=" "," ", IFERROR( VLOOKUP($A1760,'SUPPLIER DATA BASE'!$A$2:$G$936,4,0),""))</f>
        <v/>
      </c>
      <c r="E1760" s="71" t="str">
        <f>IF($A$3=" "," ", IFERROR( VLOOKUP($A1760,'SUPPLIER DATA BASE'!$A$2:$H$936,5,0),""))</f>
        <v/>
      </c>
      <c r="F1760" s="72"/>
      <c r="G1760" s="73"/>
      <c r="H1760" s="74"/>
      <c r="I1760" s="75"/>
      <c r="J1760" s="70"/>
      <c r="K1760" s="70"/>
      <c r="L1760" s="73"/>
      <c r="M1760" s="70" t="str">
        <f t="shared" si="3"/>
        <v/>
      </c>
      <c r="N1760" s="70" t="str">
        <f>IF($A$3=" "," ", IFERROR( VLOOKUP($A1760,'SUPPLIER DATA BASE'!$A$2:$O$936,11,0),""))</f>
        <v/>
      </c>
      <c r="O1760" s="70" t="str">
        <f>IF($A$3=" "," ", IFERROR( VLOOKUP($A1760,'SUPPLIER DATA BASE'!$A$2:$O$936,12,0),""))</f>
        <v/>
      </c>
      <c r="P1760" s="70" t="str">
        <f>IF($A$3=" "," ", IFERROR( VLOOKUP($A1760,'SUPPLIER DATA BASE'!$A$2:$O$936,13,0),""))</f>
        <v/>
      </c>
      <c r="Q1760" s="77"/>
      <c r="R1760" s="73"/>
      <c r="S1760" s="77"/>
      <c r="T1760" s="70"/>
      <c r="U1760" s="78"/>
      <c r="V1760" s="70" t="str">
        <f t="shared" si="6"/>
        <v/>
      </c>
      <c r="W1760" s="23"/>
      <c r="X1760" s="23"/>
    </row>
    <row r="1761">
      <c r="A1761" s="70"/>
      <c r="B1761" s="70" t="str">
        <f>IF($A$3=" "," ", IFERROR( VLOOKUP($A1761,'SUPPLIER DATA BASE'!$A$2:$M$936,3,0),""))</f>
        <v/>
      </c>
      <c r="C1761" s="70" t="str">
        <f>IF($A$3=" "," ", IFERROR( VLOOKUP($A1761,'SUPPLIER DATA BASE'!$A$2:$F$936,6,0),""))</f>
        <v/>
      </c>
      <c r="D1761" s="70" t="str">
        <f>IF($A$3=" "," ", IFERROR( VLOOKUP($A1761,'SUPPLIER DATA BASE'!$A$2:$G$936,4,0),""))</f>
        <v/>
      </c>
      <c r="E1761" s="71" t="str">
        <f>IF($A$3=" "," ", IFERROR( VLOOKUP($A1761,'SUPPLIER DATA BASE'!$A$2:$H$936,5,0),""))</f>
        <v/>
      </c>
      <c r="F1761" s="72"/>
      <c r="G1761" s="73"/>
      <c r="H1761" s="74"/>
      <c r="I1761" s="75"/>
      <c r="J1761" s="70"/>
      <c r="K1761" s="70"/>
      <c r="L1761" s="73"/>
      <c r="M1761" s="70" t="str">
        <f t="shared" si="3"/>
        <v/>
      </c>
      <c r="N1761" s="70" t="str">
        <f>IF($A$3=" "," ", IFERROR( VLOOKUP($A1761,'SUPPLIER DATA BASE'!$A$2:$O$936,11,0),""))</f>
        <v/>
      </c>
      <c r="O1761" s="70" t="str">
        <f>IF($A$3=" "," ", IFERROR( VLOOKUP($A1761,'SUPPLIER DATA BASE'!$A$2:$O$936,12,0),""))</f>
        <v/>
      </c>
      <c r="P1761" s="70" t="str">
        <f>IF($A$3=" "," ", IFERROR( VLOOKUP($A1761,'SUPPLIER DATA BASE'!$A$2:$O$936,13,0),""))</f>
        <v/>
      </c>
      <c r="Q1761" s="77"/>
      <c r="R1761" s="73"/>
      <c r="S1761" s="77"/>
      <c r="T1761" s="70"/>
      <c r="U1761" s="78"/>
      <c r="V1761" s="70" t="str">
        <f t="shared" si="6"/>
        <v/>
      </c>
      <c r="W1761" s="23"/>
      <c r="X1761" s="23"/>
    </row>
    <row r="1762">
      <c r="A1762" s="70"/>
      <c r="B1762" s="70" t="str">
        <f>IF($A$3=" "," ", IFERROR( VLOOKUP($A1762,'SUPPLIER DATA BASE'!$A$2:$M$936,3,0),""))</f>
        <v/>
      </c>
      <c r="C1762" s="70" t="str">
        <f>IF($A$3=" "," ", IFERROR( VLOOKUP($A1762,'SUPPLIER DATA BASE'!$A$2:$F$936,6,0),""))</f>
        <v/>
      </c>
      <c r="D1762" s="70" t="str">
        <f>IF($A$3=" "," ", IFERROR( VLOOKUP($A1762,'SUPPLIER DATA BASE'!$A$2:$G$936,4,0),""))</f>
        <v/>
      </c>
      <c r="E1762" s="71" t="str">
        <f>IF($A$3=" "," ", IFERROR( VLOOKUP($A1762,'SUPPLIER DATA BASE'!$A$2:$H$936,5,0),""))</f>
        <v/>
      </c>
      <c r="F1762" s="72"/>
      <c r="G1762" s="73"/>
      <c r="H1762" s="74"/>
      <c r="I1762" s="75"/>
      <c r="J1762" s="70"/>
      <c r="K1762" s="70"/>
      <c r="L1762" s="73"/>
      <c r="M1762" s="70" t="str">
        <f t="shared" si="3"/>
        <v/>
      </c>
      <c r="N1762" s="70" t="str">
        <f>IF($A$3=" "," ", IFERROR( VLOOKUP($A1762,'SUPPLIER DATA BASE'!$A$2:$O$936,11,0),""))</f>
        <v/>
      </c>
      <c r="O1762" s="70" t="str">
        <f>IF($A$3=" "," ", IFERROR( VLOOKUP($A1762,'SUPPLIER DATA BASE'!$A$2:$O$936,12,0),""))</f>
        <v/>
      </c>
      <c r="P1762" s="70" t="str">
        <f>IF($A$3=" "," ", IFERROR( VLOOKUP($A1762,'SUPPLIER DATA BASE'!$A$2:$O$936,13,0),""))</f>
        <v/>
      </c>
      <c r="Q1762" s="77"/>
      <c r="R1762" s="73"/>
      <c r="S1762" s="77"/>
      <c r="T1762" s="70"/>
      <c r="U1762" s="78"/>
      <c r="V1762" s="70" t="str">
        <f t="shared" si="6"/>
        <v/>
      </c>
      <c r="W1762" s="23"/>
      <c r="X1762" s="23"/>
    </row>
    <row r="1763">
      <c r="A1763" s="70"/>
      <c r="B1763" s="70" t="str">
        <f>IF($A$3=" "," ", IFERROR( VLOOKUP($A1763,'SUPPLIER DATA BASE'!$A$2:$M$936,3,0),""))</f>
        <v/>
      </c>
      <c r="C1763" s="70" t="str">
        <f>IF($A$3=" "," ", IFERROR( VLOOKUP($A1763,'SUPPLIER DATA BASE'!$A$2:$F$936,6,0),""))</f>
        <v/>
      </c>
      <c r="D1763" s="70" t="str">
        <f>IF($A$3=" "," ", IFERROR( VLOOKUP($A1763,'SUPPLIER DATA BASE'!$A$2:$G$936,4,0),""))</f>
        <v/>
      </c>
      <c r="E1763" s="71" t="str">
        <f>IF($A$3=" "," ", IFERROR( VLOOKUP($A1763,'SUPPLIER DATA BASE'!$A$2:$H$936,5,0),""))</f>
        <v/>
      </c>
      <c r="F1763" s="72"/>
      <c r="G1763" s="73"/>
      <c r="H1763" s="74"/>
      <c r="I1763" s="75"/>
      <c r="J1763" s="70"/>
      <c r="K1763" s="70"/>
      <c r="L1763" s="73"/>
      <c r="M1763" s="70" t="str">
        <f t="shared" si="3"/>
        <v/>
      </c>
      <c r="N1763" s="70" t="str">
        <f>IF($A$3=" "," ", IFERROR( VLOOKUP($A1763,'SUPPLIER DATA BASE'!$A$2:$O$936,11,0),""))</f>
        <v/>
      </c>
      <c r="O1763" s="70" t="str">
        <f>IF($A$3=" "," ", IFERROR( VLOOKUP($A1763,'SUPPLIER DATA BASE'!$A$2:$O$936,12,0),""))</f>
        <v/>
      </c>
      <c r="P1763" s="70" t="str">
        <f>IF($A$3=" "," ", IFERROR( VLOOKUP($A1763,'SUPPLIER DATA BASE'!$A$2:$O$936,13,0),""))</f>
        <v/>
      </c>
      <c r="Q1763" s="77"/>
      <c r="R1763" s="73"/>
      <c r="S1763" s="77"/>
      <c r="T1763" s="70"/>
      <c r="U1763" s="78"/>
      <c r="V1763" s="70" t="str">
        <f t="shared" si="6"/>
        <v/>
      </c>
      <c r="W1763" s="23"/>
      <c r="X1763" s="23"/>
    </row>
    <row r="1764">
      <c r="A1764" s="70"/>
      <c r="B1764" s="70" t="str">
        <f>IF($A$3=" "," ", IFERROR( VLOOKUP($A1764,'SUPPLIER DATA BASE'!$A$2:$M$936,3,0),""))</f>
        <v/>
      </c>
      <c r="C1764" s="70" t="str">
        <f>IF($A$3=" "," ", IFERROR( VLOOKUP($A1764,'SUPPLIER DATA BASE'!$A$2:$F$936,6,0),""))</f>
        <v/>
      </c>
      <c r="D1764" s="70" t="str">
        <f>IF($A$3=" "," ", IFERROR( VLOOKUP($A1764,'SUPPLIER DATA BASE'!$A$2:$G$936,4,0),""))</f>
        <v/>
      </c>
      <c r="E1764" s="71" t="str">
        <f>IF($A$3=" "," ", IFERROR( VLOOKUP($A1764,'SUPPLIER DATA BASE'!$A$2:$H$936,5,0),""))</f>
        <v/>
      </c>
      <c r="F1764" s="72"/>
      <c r="G1764" s="73"/>
      <c r="H1764" s="74"/>
      <c r="I1764" s="75"/>
      <c r="J1764" s="70"/>
      <c r="K1764" s="70"/>
      <c r="L1764" s="73"/>
      <c r="M1764" s="70" t="str">
        <f t="shared" si="3"/>
        <v/>
      </c>
      <c r="N1764" s="70" t="str">
        <f>IF($A$3=" "," ", IFERROR( VLOOKUP($A1764,'SUPPLIER DATA BASE'!$A$2:$O$936,11,0),""))</f>
        <v/>
      </c>
      <c r="O1764" s="70" t="str">
        <f>IF($A$3=" "," ", IFERROR( VLOOKUP($A1764,'SUPPLIER DATA BASE'!$A$2:$O$936,12,0),""))</f>
        <v/>
      </c>
      <c r="P1764" s="70" t="str">
        <f>IF($A$3=" "," ", IFERROR( VLOOKUP($A1764,'SUPPLIER DATA BASE'!$A$2:$O$936,13,0),""))</f>
        <v/>
      </c>
      <c r="Q1764" s="77"/>
      <c r="R1764" s="73"/>
      <c r="S1764" s="77"/>
      <c r="T1764" s="70"/>
      <c r="U1764" s="78"/>
      <c r="V1764" s="70" t="str">
        <f t="shared" si="6"/>
        <v/>
      </c>
      <c r="W1764" s="23"/>
      <c r="X1764" s="23"/>
    </row>
    <row r="1765">
      <c r="A1765" s="70"/>
      <c r="B1765" s="70" t="str">
        <f>IF($A$3=" "," ", IFERROR( VLOOKUP($A1765,'SUPPLIER DATA BASE'!$A$2:$M$936,3,0),""))</f>
        <v/>
      </c>
      <c r="C1765" s="70" t="str">
        <f>IF($A$3=" "," ", IFERROR( VLOOKUP($A1765,'SUPPLIER DATA BASE'!$A$2:$F$936,6,0),""))</f>
        <v/>
      </c>
      <c r="D1765" s="70" t="str">
        <f>IF($A$3=" "," ", IFERROR( VLOOKUP($A1765,'SUPPLIER DATA BASE'!$A$2:$G$936,4,0),""))</f>
        <v/>
      </c>
      <c r="E1765" s="71" t="str">
        <f>IF($A$3=" "," ", IFERROR( VLOOKUP($A1765,'SUPPLIER DATA BASE'!$A$2:$H$936,5,0),""))</f>
        <v/>
      </c>
      <c r="F1765" s="72"/>
      <c r="G1765" s="73"/>
      <c r="H1765" s="74"/>
      <c r="I1765" s="75"/>
      <c r="J1765" s="70"/>
      <c r="K1765" s="70"/>
      <c r="L1765" s="73"/>
      <c r="M1765" s="70" t="str">
        <f t="shared" si="3"/>
        <v/>
      </c>
      <c r="N1765" s="70" t="str">
        <f>IF($A$3=" "," ", IFERROR( VLOOKUP($A1765,'SUPPLIER DATA BASE'!$A$2:$O$936,11,0),""))</f>
        <v/>
      </c>
      <c r="O1765" s="70" t="str">
        <f>IF($A$3=" "," ", IFERROR( VLOOKUP($A1765,'SUPPLIER DATA BASE'!$A$2:$O$936,12,0),""))</f>
        <v/>
      </c>
      <c r="P1765" s="70" t="str">
        <f>IF($A$3=" "," ", IFERROR( VLOOKUP($A1765,'SUPPLIER DATA BASE'!$A$2:$O$936,13,0),""))</f>
        <v/>
      </c>
      <c r="Q1765" s="77"/>
      <c r="R1765" s="73"/>
      <c r="S1765" s="77"/>
      <c r="T1765" s="70"/>
      <c r="U1765" s="78"/>
      <c r="V1765" s="70" t="str">
        <f t="shared" si="6"/>
        <v/>
      </c>
      <c r="W1765" s="23"/>
      <c r="X1765" s="23"/>
    </row>
    <row r="1766">
      <c r="A1766" s="70"/>
      <c r="B1766" s="70" t="str">
        <f>IF($A$3=" "," ", IFERROR( VLOOKUP($A1766,'SUPPLIER DATA BASE'!$A$2:$M$936,3,0),""))</f>
        <v/>
      </c>
      <c r="C1766" s="70" t="str">
        <f>IF($A$3=" "," ", IFERROR( VLOOKUP($A1766,'SUPPLIER DATA BASE'!$A$2:$F$936,6,0),""))</f>
        <v/>
      </c>
      <c r="D1766" s="70" t="str">
        <f>IF($A$3=" "," ", IFERROR( VLOOKUP($A1766,'SUPPLIER DATA BASE'!$A$2:$G$936,4,0),""))</f>
        <v/>
      </c>
      <c r="E1766" s="71" t="str">
        <f>IF($A$3=" "," ", IFERROR( VLOOKUP($A1766,'SUPPLIER DATA BASE'!$A$2:$H$936,5,0),""))</f>
        <v/>
      </c>
      <c r="F1766" s="72"/>
      <c r="G1766" s="73"/>
      <c r="H1766" s="74"/>
      <c r="I1766" s="75"/>
      <c r="J1766" s="70"/>
      <c r="K1766" s="70"/>
      <c r="L1766" s="73"/>
      <c r="M1766" s="70" t="str">
        <f t="shared" si="3"/>
        <v/>
      </c>
      <c r="N1766" s="70" t="str">
        <f>IF($A$3=" "," ", IFERROR( VLOOKUP($A1766,'SUPPLIER DATA BASE'!$A$2:$O$936,11,0),""))</f>
        <v/>
      </c>
      <c r="O1766" s="70" t="str">
        <f>IF($A$3=" "," ", IFERROR( VLOOKUP($A1766,'SUPPLIER DATA BASE'!$A$2:$O$936,12,0),""))</f>
        <v/>
      </c>
      <c r="P1766" s="70" t="str">
        <f>IF($A$3=" "," ", IFERROR( VLOOKUP($A1766,'SUPPLIER DATA BASE'!$A$2:$O$936,13,0),""))</f>
        <v/>
      </c>
      <c r="Q1766" s="77"/>
      <c r="R1766" s="73"/>
      <c r="S1766" s="77"/>
      <c r="T1766" s="70"/>
      <c r="U1766" s="78"/>
      <c r="V1766" s="70" t="str">
        <f t="shared" si="6"/>
        <v/>
      </c>
      <c r="W1766" s="23"/>
      <c r="X1766" s="23"/>
    </row>
    <row r="1767">
      <c r="A1767" s="70"/>
      <c r="B1767" s="70" t="str">
        <f>IF($A$3=" "," ", IFERROR( VLOOKUP($A1767,'SUPPLIER DATA BASE'!$A$2:$M$936,3,0),""))</f>
        <v/>
      </c>
      <c r="C1767" s="70" t="str">
        <f>IF($A$3=" "," ", IFERROR( VLOOKUP($A1767,'SUPPLIER DATA BASE'!$A$2:$F$936,6,0),""))</f>
        <v/>
      </c>
      <c r="D1767" s="70" t="str">
        <f>IF($A$3=" "," ", IFERROR( VLOOKUP($A1767,'SUPPLIER DATA BASE'!$A$2:$G$936,4,0),""))</f>
        <v/>
      </c>
      <c r="E1767" s="71" t="str">
        <f>IF($A$3=" "," ", IFERROR( VLOOKUP($A1767,'SUPPLIER DATA BASE'!$A$2:$H$936,5,0),""))</f>
        <v/>
      </c>
      <c r="F1767" s="72"/>
      <c r="G1767" s="73"/>
      <c r="H1767" s="74"/>
      <c r="I1767" s="75"/>
      <c r="J1767" s="70"/>
      <c r="K1767" s="70"/>
      <c r="L1767" s="73"/>
      <c r="M1767" s="70" t="str">
        <f t="shared" si="3"/>
        <v/>
      </c>
      <c r="N1767" s="70" t="str">
        <f>IF($A$3=" "," ", IFERROR( VLOOKUP($A1767,'SUPPLIER DATA BASE'!$A$2:$O$936,11,0),""))</f>
        <v/>
      </c>
      <c r="O1767" s="70" t="str">
        <f>IF($A$3=" "," ", IFERROR( VLOOKUP($A1767,'SUPPLIER DATA BASE'!$A$2:$O$936,12,0),""))</f>
        <v/>
      </c>
      <c r="P1767" s="70" t="str">
        <f>IF($A$3=" "," ", IFERROR( VLOOKUP($A1767,'SUPPLIER DATA BASE'!$A$2:$O$936,13,0),""))</f>
        <v/>
      </c>
      <c r="Q1767" s="77"/>
      <c r="R1767" s="73"/>
      <c r="S1767" s="77"/>
      <c r="T1767" s="70"/>
      <c r="U1767" s="78"/>
      <c r="V1767" s="70" t="str">
        <f t="shared" si="6"/>
        <v/>
      </c>
      <c r="W1767" s="23"/>
      <c r="X1767" s="23"/>
    </row>
    <row r="1768">
      <c r="A1768" s="70"/>
      <c r="B1768" s="70" t="str">
        <f>IF($A$3=" "," ", IFERROR( VLOOKUP($A1768,'SUPPLIER DATA BASE'!$A$2:$M$936,3,0),""))</f>
        <v/>
      </c>
      <c r="C1768" s="70" t="str">
        <f>IF($A$3=" "," ", IFERROR( VLOOKUP($A1768,'SUPPLIER DATA BASE'!$A$2:$F$936,6,0),""))</f>
        <v/>
      </c>
      <c r="D1768" s="70" t="str">
        <f>IF($A$3=" "," ", IFERROR( VLOOKUP($A1768,'SUPPLIER DATA BASE'!$A$2:$G$936,4,0),""))</f>
        <v/>
      </c>
      <c r="E1768" s="71" t="str">
        <f>IF($A$3=" "," ", IFERROR( VLOOKUP($A1768,'SUPPLIER DATA BASE'!$A$2:$H$936,5,0),""))</f>
        <v/>
      </c>
      <c r="F1768" s="72"/>
      <c r="G1768" s="73"/>
      <c r="H1768" s="74"/>
      <c r="I1768" s="75"/>
      <c r="J1768" s="70"/>
      <c r="K1768" s="70"/>
      <c r="L1768" s="73"/>
      <c r="M1768" s="70" t="str">
        <f t="shared" si="3"/>
        <v/>
      </c>
      <c r="N1768" s="70" t="str">
        <f>IF($A$3=" "," ", IFERROR( VLOOKUP($A1768,'SUPPLIER DATA BASE'!$A$2:$O$936,11,0),""))</f>
        <v/>
      </c>
      <c r="O1768" s="70" t="str">
        <f>IF($A$3=" "," ", IFERROR( VLOOKUP($A1768,'SUPPLIER DATA BASE'!$A$2:$O$936,12,0),""))</f>
        <v/>
      </c>
      <c r="P1768" s="70" t="str">
        <f>IF($A$3=" "," ", IFERROR( VLOOKUP($A1768,'SUPPLIER DATA BASE'!$A$2:$O$936,13,0),""))</f>
        <v/>
      </c>
      <c r="Q1768" s="77"/>
      <c r="R1768" s="73"/>
      <c r="S1768" s="77"/>
      <c r="T1768" s="70"/>
      <c r="U1768" s="78"/>
      <c r="V1768" s="70" t="str">
        <f t="shared" si="6"/>
        <v/>
      </c>
      <c r="W1768" s="23"/>
      <c r="X1768" s="23"/>
    </row>
    <row r="1769">
      <c r="A1769" s="70"/>
      <c r="B1769" s="70" t="str">
        <f>IF($A$3=" "," ", IFERROR( VLOOKUP($A1769,'SUPPLIER DATA BASE'!$A$2:$M$936,3,0),""))</f>
        <v/>
      </c>
      <c r="C1769" s="70" t="str">
        <f>IF($A$3=" "," ", IFERROR( VLOOKUP($A1769,'SUPPLIER DATA BASE'!$A$2:$F$936,6,0),""))</f>
        <v/>
      </c>
      <c r="D1769" s="70" t="str">
        <f>IF($A$3=" "," ", IFERROR( VLOOKUP($A1769,'SUPPLIER DATA BASE'!$A$2:$G$936,4,0),""))</f>
        <v/>
      </c>
      <c r="E1769" s="71" t="str">
        <f>IF($A$3=" "," ", IFERROR( VLOOKUP($A1769,'SUPPLIER DATA BASE'!$A$2:$H$936,5,0),""))</f>
        <v/>
      </c>
      <c r="F1769" s="72"/>
      <c r="G1769" s="73"/>
      <c r="H1769" s="74"/>
      <c r="I1769" s="75"/>
      <c r="J1769" s="70"/>
      <c r="K1769" s="70"/>
      <c r="L1769" s="73"/>
      <c r="M1769" s="70" t="str">
        <f t="shared" si="3"/>
        <v/>
      </c>
      <c r="N1769" s="70" t="str">
        <f>IF($A$3=" "," ", IFERROR( VLOOKUP($A1769,'SUPPLIER DATA BASE'!$A$2:$O$936,11,0),""))</f>
        <v/>
      </c>
      <c r="O1769" s="70" t="str">
        <f>IF($A$3=" "," ", IFERROR( VLOOKUP($A1769,'SUPPLIER DATA BASE'!$A$2:$O$936,12,0),""))</f>
        <v/>
      </c>
      <c r="P1769" s="70" t="str">
        <f>IF($A$3=" "," ", IFERROR( VLOOKUP($A1769,'SUPPLIER DATA BASE'!$A$2:$O$936,13,0),""))</f>
        <v/>
      </c>
      <c r="Q1769" s="77"/>
      <c r="R1769" s="73"/>
      <c r="S1769" s="77"/>
      <c r="T1769" s="70"/>
      <c r="U1769" s="78"/>
      <c r="V1769" s="70" t="str">
        <f t="shared" si="6"/>
        <v/>
      </c>
      <c r="W1769" s="23"/>
      <c r="X1769" s="23"/>
    </row>
    <row r="1770">
      <c r="A1770" s="70"/>
      <c r="B1770" s="70" t="str">
        <f>IF($A$3=" "," ", IFERROR( VLOOKUP($A1770,'SUPPLIER DATA BASE'!$A$2:$M$936,3,0),""))</f>
        <v/>
      </c>
      <c r="C1770" s="70" t="str">
        <f>IF($A$3=" "," ", IFERROR( VLOOKUP($A1770,'SUPPLIER DATA BASE'!$A$2:$F$936,6,0),""))</f>
        <v/>
      </c>
      <c r="D1770" s="70" t="str">
        <f>IF($A$3=" "," ", IFERROR( VLOOKUP($A1770,'SUPPLIER DATA BASE'!$A$2:$G$936,4,0),""))</f>
        <v/>
      </c>
      <c r="E1770" s="71" t="str">
        <f>IF($A$3=" "," ", IFERROR( VLOOKUP($A1770,'SUPPLIER DATA BASE'!$A$2:$H$936,5,0),""))</f>
        <v/>
      </c>
      <c r="F1770" s="72"/>
      <c r="G1770" s="73"/>
      <c r="H1770" s="74"/>
      <c r="I1770" s="75"/>
      <c r="J1770" s="70"/>
      <c r="K1770" s="70"/>
      <c r="L1770" s="73"/>
      <c r="M1770" s="70" t="str">
        <f t="shared" si="3"/>
        <v/>
      </c>
      <c r="N1770" s="70" t="str">
        <f>IF($A$3=" "," ", IFERROR( VLOOKUP($A1770,'SUPPLIER DATA BASE'!$A$2:$O$936,11,0),""))</f>
        <v/>
      </c>
      <c r="O1770" s="70" t="str">
        <f>IF($A$3=" "," ", IFERROR( VLOOKUP($A1770,'SUPPLIER DATA BASE'!$A$2:$O$936,12,0),""))</f>
        <v/>
      </c>
      <c r="P1770" s="70" t="str">
        <f>IF($A$3=" "," ", IFERROR( VLOOKUP($A1770,'SUPPLIER DATA BASE'!$A$2:$O$936,13,0),""))</f>
        <v/>
      </c>
      <c r="Q1770" s="77"/>
      <c r="R1770" s="73"/>
      <c r="S1770" s="77"/>
      <c r="T1770" s="70"/>
      <c r="U1770" s="78"/>
      <c r="V1770" s="70" t="str">
        <f t="shared" si="6"/>
        <v/>
      </c>
      <c r="W1770" s="23"/>
      <c r="X1770" s="23"/>
    </row>
    <row r="1771">
      <c r="A1771" s="70"/>
      <c r="B1771" s="70" t="str">
        <f>IF($A$3=" "," ", IFERROR( VLOOKUP($A1771,'SUPPLIER DATA BASE'!$A$2:$M$936,3,0),""))</f>
        <v/>
      </c>
      <c r="C1771" s="70" t="str">
        <f>IF($A$3=" "," ", IFERROR( VLOOKUP($A1771,'SUPPLIER DATA BASE'!$A$2:$F$936,6,0),""))</f>
        <v/>
      </c>
      <c r="D1771" s="70" t="str">
        <f>IF($A$3=" "," ", IFERROR( VLOOKUP($A1771,'SUPPLIER DATA BASE'!$A$2:$G$936,4,0),""))</f>
        <v/>
      </c>
      <c r="E1771" s="71" t="str">
        <f>IF($A$3=" "," ", IFERROR( VLOOKUP($A1771,'SUPPLIER DATA BASE'!$A$2:$H$936,5,0),""))</f>
        <v/>
      </c>
      <c r="F1771" s="72"/>
      <c r="G1771" s="73"/>
      <c r="H1771" s="74"/>
      <c r="I1771" s="75"/>
      <c r="J1771" s="70"/>
      <c r="K1771" s="70"/>
      <c r="L1771" s="73"/>
      <c r="M1771" s="70" t="str">
        <f t="shared" si="3"/>
        <v/>
      </c>
      <c r="N1771" s="70" t="str">
        <f>IF($A$3=" "," ", IFERROR( VLOOKUP($A1771,'SUPPLIER DATA BASE'!$A$2:$O$936,11,0),""))</f>
        <v/>
      </c>
      <c r="O1771" s="70" t="str">
        <f>IF($A$3=" "," ", IFERROR( VLOOKUP($A1771,'SUPPLIER DATA BASE'!$A$2:$O$936,12,0),""))</f>
        <v/>
      </c>
      <c r="P1771" s="70" t="str">
        <f>IF($A$3=" "," ", IFERROR( VLOOKUP($A1771,'SUPPLIER DATA BASE'!$A$2:$O$936,13,0),""))</f>
        <v/>
      </c>
      <c r="Q1771" s="77"/>
      <c r="R1771" s="73"/>
      <c r="S1771" s="77"/>
      <c r="T1771" s="70"/>
      <c r="U1771" s="78"/>
      <c r="V1771" s="70" t="str">
        <f t="shared" si="6"/>
        <v/>
      </c>
      <c r="W1771" s="23"/>
      <c r="X1771" s="23"/>
    </row>
    <row r="1772">
      <c r="A1772" s="70"/>
      <c r="B1772" s="70" t="str">
        <f>IF($A$3=" "," ", IFERROR( VLOOKUP($A1772,'SUPPLIER DATA BASE'!$A$2:$M$936,3,0),""))</f>
        <v/>
      </c>
      <c r="C1772" s="70" t="str">
        <f>IF($A$3=" "," ", IFERROR( VLOOKUP($A1772,'SUPPLIER DATA BASE'!$A$2:$F$936,6,0),""))</f>
        <v/>
      </c>
      <c r="D1772" s="70" t="str">
        <f>IF($A$3=" "," ", IFERROR( VLOOKUP($A1772,'SUPPLIER DATA BASE'!$A$2:$G$936,4,0),""))</f>
        <v/>
      </c>
      <c r="E1772" s="71" t="str">
        <f>IF($A$3=" "," ", IFERROR( VLOOKUP($A1772,'SUPPLIER DATA BASE'!$A$2:$H$936,5,0),""))</f>
        <v/>
      </c>
      <c r="F1772" s="72"/>
      <c r="G1772" s="73"/>
      <c r="H1772" s="74"/>
      <c r="I1772" s="75"/>
      <c r="J1772" s="70"/>
      <c r="K1772" s="70"/>
      <c r="L1772" s="73"/>
      <c r="M1772" s="70" t="str">
        <f t="shared" si="3"/>
        <v/>
      </c>
      <c r="N1772" s="70" t="str">
        <f>IF($A$3=" "," ", IFERROR( VLOOKUP($A1772,'SUPPLIER DATA BASE'!$A$2:$O$936,11,0),""))</f>
        <v/>
      </c>
      <c r="O1772" s="70" t="str">
        <f>IF($A$3=" "," ", IFERROR( VLOOKUP($A1772,'SUPPLIER DATA BASE'!$A$2:$O$936,12,0),""))</f>
        <v/>
      </c>
      <c r="P1772" s="70" t="str">
        <f>IF($A$3=" "," ", IFERROR( VLOOKUP($A1772,'SUPPLIER DATA BASE'!$A$2:$O$936,13,0),""))</f>
        <v/>
      </c>
      <c r="Q1772" s="77"/>
      <c r="R1772" s="73"/>
      <c r="S1772" s="77"/>
      <c r="T1772" s="70"/>
      <c r="U1772" s="78"/>
      <c r="V1772" s="70" t="str">
        <f t="shared" si="6"/>
        <v/>
      </c>
      <c r="W1772" s="23"/>
      <c r="X1772" s="23"/>
    </row>
    <row r="1773">
      <c r="A1773" s="70"/>
      <c r="B1773" s="70" t="str">
        <f>IF($A$3=" "," ", IFERROR( VLOOKUP($A1773,'SUPPLIER DATA BASE'!$A$2:$M$936,3,0),""))</f>
        <v/>
      </c>
      <c r="C1773" s="70" t="str">
        <f>IF($A$3=" "," ", IFERROR( VLOOKUP($A1773,'SUPPLIER DATA BASE'!$A$2:$F$936,6,0),""))</f>
        <v/>
      </c>
      <c r="D1773" s="70" t="str">
        <f>IF($A$3=" "," ", IFERROR( VLOOKUP($A1773,'SUPPLIER DATA BASE'!$A$2:$G$936,4,0),""))</f>
        <v/>
      </c>
      <c r="E1773" s="71" t="str">
        <f>IF($A$3=" "," ", IFERROR( VLOOKUP($A1773,'SUPPLIER DATA BASE'!$A$2:$H$936,5,0),""))</f>
        <v/>
      </c>
      <c r="F1773" s="72"/>
      <c r="G1773" s="73"/>
      <c r="H1773" s="74"/>
      <c r="I1773" s="75"/>
      <c r="J1773" s="70"/>
      <c r="K1773" s="70"/>
      <c r="L1773" s="73"/>
      <c r="M1773" s="70" t="str">
        <f t="shared" si="3"/>
        <v/>
      </c>
      <c r="N1773" s="70" t="str">
        <f>IF($A$3=" "," ", IFERROR( VLOOKUP($A1773,'SUPPLIER DATA BASE'!$A$2:$O$936,11,0),""))</f>
        <v/>
      </c>
      <c r="O1773" s="70" t="str">
        <f>IF($A$3=" "," ", IFERROR( VLOOKUP($A1773,'SUPPLIER DATA BASE'!$A$2:$O$936,12,0),""))</f>
        <v/>
      </c>
      <c r="P1773" s="70" t="str">
        <f>IF($A$3=" "," ", IFERROR( VLOOKUP($A1773,'SUPPLIER DATA BASE'!$A$2:$O$936,13,0),""))</f>
        <v/>
      </c>
      <c r="Q1773" s="77"/>
      <c r="R1773" s="73"/>
      <c r="S1773" s="77"/>
      <c r="T1773" s="70"/>
      <c r="U1773" s="78"/>
      <c r="V1773" s="70" t="str">
        <f t="shared" si="6"/>
        <v/>
      </c>
      <c r="W1773" s="23"/>
      <c r="X1773" s="23"/>
    </row>
    <row r="1774">
      <c r="A1774" s="70"/>
      <c r="B1774" s="70" t="str">
        <f>IF($A$3=" "," ", IFERROR( VLOOKUP($A1774,'SUPPLIER DATA BASE'!$A$2:$M$936,3,0),""))</f>
        <v/>
      </c>
      <c r="C1774" s="70" t="str">
        <f>IF($A$3=" "," ", IFERROR( VLOOKUP($A1774,'SUPPLIER DATA BASE'!$A$2:$F$936,6,0),""))</f>
        <v/>
      </c>
      <c r="D1774" s="70" t="str">
        <f>IF($A$3=" "," ", IFERROR( VLOOKUP($A1774,'SUPPLIER DATA BASE'!$A$2:$G$936,4,0),""))</f>
        <v/>
      </c>
      <c r="E1774" s="71" t="str">
        <f>IF($A$3=" "," ", IFERROR( VLOOKUP($A1774,'SUPPLIER DATA BASE'!$A$2:$H$936,5,0),""))</f>
        <v/>
      </c>
      <c r="F1774" s="72"/>
      <c r="G1774" s="73"/>
      <c r="H1774" s="74"/>
      <c r="I1774" s="75"/>
      <c r="J1774" s="70"/>
      <c r="K1774" s="70"/>
      <c r="L1774" s="73"/>
      <c r="M1774" s="70" t="str">
        <f t="shared" si="3"/>
        <v/>
      </c>
      <c r="N1774" s="70" t="str">
        <f>IF($A$3=" "," ", IFERROR( VLOOKUP($A1774,'SUPPLIER DATA BASE'!$A$2:$O$936,11,0),""))</f>
        <v/>
      </c>
      <c r="O1774" s="70" t="str">
        <f>IF($A$3=" "," ", IFERROR( VLOOKUP($A1774,'SUPPLIER DATA BASE'!$A$2:$O$936,12,0),""))</f>
        <v/>
      </c>
      <c r="P1774" s="70" t="str">
        <f>IF($A$3=" "," ", IFERROR( VLOOKUP($A1774,'SUPPLIER DATA BASE'!$A$2:$O$936,13,0),""))</f>
        <v/>
      </c>
      <c r="Q1774" s="77"/>
      <c r="R1774" s="73"/>
      <c r="S1774" s="77"/>
      <c r="T1774" s="70"/>
      <c r="U1774" s="78"/>
      <c r="V1774" s="70" t="str">
        <f t="shared" si="6"/>
        <v/>
      </c>
      <c r="W1774" s="23"/>
      <c r="X1774" s="23"/>
    </row>
    <row r="1775">
      <c r="A1775" s="70"/>
      <c r="B1775" s="70" t="str">
        <f>IF($A$3=" "," ", IFERROR( VLOOKUP($A1775,'SUPPLIER DATA BASE'!$A$2:$M$936,3,0),""))</f>
        <v/>
      </c>
      <c r="C1775" s="70" t="str">
        <f>IF($A$3=" "," ", IFERROR( VLOOKUP($A1775,'SUPPLIER DATA BASE'!$A$2:$F$936,6,0),""))</f>
        <v/>
      </c>
      <c r="D1775" s="70" t="str">
        <f>IF($A$3=" "," ", IFERROR( VLOOKUP($A1775,'SUPPLIER DATA BASE'!$A$2:$G$936,4,0),""))</f>
        <v/>
      </c>
      <c r="E1775" s="71" t="str">
        <f>IF($A$3=" "," ", IFERROR( VLOOKUP($A1775,'SUPPLIER DATA BASE'!$A$2:$H$936,5,0),""))</f>
        <v/>
      </c>
      <c r="F1775" s="72"/>
      <c r="G1775" s="73"/>
      <c r="H1775" s="74"/>
      <c r="I1775" s="75"/>
      <c r="J1775" s="70"/>
      <c r="K1775" s="70"/>
      <c r="L1775" s="73"/>
      <c r="M1775" s="70" t="str">
        <f t="shared" si="3"/>
        <v/>
      </c>
      <c r="N1775" s="70" t="str">
        <f>IF($A$3=" "," ", IFERROR( VLOOKUP($A1775,'SUPPLIER DATA BASE'!$A$2:$O$936,11,0),""))</f>
        <v/>
      </c>
      <c r="O1775" s="70" t="str">
        <f>IF($A$3=" "," ", IFERROR( VLOOKUP($A1775,'SUPPLIER DATA BASE'!$A$2:$O$936,12,0),""))</f>
        <v/>
      </c>
      <c r="P1775" s="70" t="str">
        <f>IF($A$3=" "," ", IFERROR( VLOOKUP($A1775,'SUPPLIER DATA BASE'!$A$2:$O$936,13,0),""))</f>
        <v/>
      </c>
      <c r="Q1775" s="77"/>
      <c r="R1775" s="73"/>
      <c r="S1775" s="77"/>
      <c r="T1775" s="70"/>
      <c r="U1775" s="78"/>
      <c r="V1775" s="70" t="str">
        <f t="shared" si="6"/>
        <v/>
      </c>
      <c r="W1775" s="23"/>
      <c r="X1775" s="23"/>
    </row>
    <row r="1776">
      <c r="A1776" s="70"/>
      <c r="B1776" s="70" t="str">
        <f>IF($A$3=" "," ", IFERROR( VLOOKUP($A1776,'SUPPLIER DATA BASE'!$A$2:$M$936,3,0),""))</f>
        <v/>
      </c>
      <c r="C1776" s="70" t="str">
        <f>IF($A$3=" "," ", IFERROR( VLOOKUP($A1776,'SUPPLIER DATA BASE'!$A$2:$F$936,6,0),""))</f>
        <v/>
      </c>
      <c r="D1776" s="70" t="str">
        <f>IF($A$3=" "," ", IFERROR( VLOOKUP($A1776,'SUPPLIER DATA BASE'!$A$2:$G$936,4,0),""))</f>
        <v/>
      </c>
      <c r="E1776" s="71" t="str">
        <f>IF($A$3=" "," ", IFERROR( VLOOKUP($A1776,'SUPPLIER DATA BASE'!$A$2:$H$936,5,0),""))</f>
        <v/>
      </c>
      <c r="F1776" s="72"/>
      <c r="G1776" s="73"/>
      <c r="H1776" s="74"/>
      <c r="I1776" s="75"/>
      <c r="J1776" s="70"/>
      <c r="K1776" s="70"/>
      <c r="L1776" s="73"/>
      <c r="M1776" s="70" t="str">
        <f t="shared" si="3"/>
        <v/>
      </c>
      <c r="N1776" s="70" t="str">
        <f>IF($A$3=" "," ", IFERROR( VLOOKUP($A1776,'SUPPLIER DATA BASE'!$A$2:$O$936,11,0),""))</f>
        <v/>
      </c>
      <c r="O1776" s="70" t="str">
        <f>IF($A$3=" "," ", IFERROR( VLOOKUP($A1776,'SUPPLIER DATA BASE'!$A$2:$O$936,12,0),""))</f>
        <v/>
      </c>
      <c r="P1776" s="70" t="str">
        <f>IF($A$3=" "," ", IFERROR( VLOOKUP($A1776,'SUPPLIER DATA BASE'!$A$2:$O$936,13,0),""))</f>
        <v/>
      </c>
      <c r="Q1776" s="77"/>
      <c r="R1776" s="73"/>
      <c r="S1776" s="77"/>
      <c r="T1776" s="70"/>
      <c r="U1776" s="78"/>
      <c r="V1776" s="70" t="str">
        <f t="shared" si="6"/>
        <v/>
      </c>
      <c r="W1776" s="23"/>
      <c r="X1776" s="23"/>
    </row>
    <row r="1777">
      <c r="A1777" s="70"/>
      <c r="B1777" s="70" t="str">
        <f>IF($A$3=" "," ", IFERROR( VLOOKUP($A1777,'SUPPLIER DATA BASE'!$A$2:$M$936,3,0),""))</f>
        <v/>
      </c>
      <c r="C1777" s="70" t="str">
        <f>IF($A$3=" "," ", IFERROR( VLOOKUP($A1777,'SUPPLIER DATA BASE'!$A$2:$F$936,6,0),""))</f>
        <v/>
      </c>
      <c r="D1777" s="70" t="str">
        <f>IF($A$3=" "," ", IFERROR( VLOOKUP($A1777,'SUPPLIER DATA BASE'!$A$2:$G$936,4,0),""))</f>
        <v/>
      </c>
      <c r="E1777" s="71" t="str">
        <f>IF($A$3=" "," ", IFERROR( VLOOKUP($A1777,'SUPPLIER DATA BASE'!$A$2:$H$936,5,0),""))</f>
        <v/>
      </c>
      <c r="F1777" s="72"/>
      <c r="G1777" s="73"/>
      <c r="H1777" s="74"/>
      <c r="I1777" s="75"/>
      <c r="J1777" s="70"/>
      <c r="K1777" s="70"/>
      <c r="L1777" s="73"/>
      <c r="M1777" s="70" t="str">
        <f t="shared" si="3"/>
        <v/>
      </c>
      <c r="N1777" s="70" t="str">
        <f>IF($A$3=" "," ", IFERROR( VLOOKUP($A1777,'SUPPLIER DATA BASE'!$A$2:$O$936,11,0),""))</f>
        <v/>
      </c>
      <c r="O1777" s="70" t="str">
        <f>IF($A$3=" "," ", IFERROR( VLOOKUP($A1777,'SUPPLIER DATA BASE'!$A$2:$O$936,12,0),""))</f>
        <v/>
      </c>
      <c r="P1777" s="70" t="str">
        <f>IF($A$3=" "," ", IFERROR( VLOOKUP($A1777,'SUPPLIER DATA BASE'!$A$2:$O$936,13,0),""))</f>
        <v/>
      </c>
      <c r="Q1777" s="77"/>
      <c r="R1777" s="73"/>
      <c r="S1777" s="77"/>
      <c r="T1777" s="70"/>
      <c r="U1777" s="78"/>
      <c r="V1777" s="70" t="str">
        <f t="shared" si="6"/>
        <v/>
      </c>
      <c r="W1777" s="23"/>
      <c r="X1777" s="23"/>
    </row>
    <row r="1778">
      <c r="A1778" s="70"/>
      <c r="B1778" s="70" t="str">
        <f>IF($A$3=" "," ", IFERROR( VLOOKUP($A1778,'SUPPLIER DATA BASE'!$A$2:$M$936,3,0),""))</f>
        <v/>
      </c>
      <c r="C1778" s="70" t="str">
        <f>IF($A$3=" "," ", IFERROR( VLOOKUP($A1778,'SUPPLIER DATA BASE'!$A$2:$F$936,6,0),""))</f>
        <v/>
      </c>
      <c r="D1778" s="70" t="str">
        <f>IF($A$3=" "," ", IFERROR( VLOOKUP($A1778,'SUPPLIER DATA BASE'!$A$2:$G$936,4,0),""))</f>
        <v/>
      </c>
      <c r="E1778" s="71" t="str">
        <f>IF($A$3=" "," ", IFERROR( VLOOKUP($A1778,'SUPPLIER DATA BASE'!$A$2:$H$936,5,0),""))</f>
        <v/>
      </c>
      <c r="F1778" s="72"/>
      <c r="G1778" s="73"/>
      <c r="H1778" s="74"/>
      <c r="I1778" s="75"/>
      <c r="J1778" s="70"/>
      <c r="K1778" s="70"/>
      <c r="L1778" s="73"/>
      <c r="M1778" s="70" t="str">
        <f t="shared" si="3"/>
        <v/>
      </c>
      <c r="N1778" s="70" t="str">
        <f>IF($A$3=" "," ", IFERROR( VLOOKUP($A1778,'SUPPLIER DATA BASE'!$A$2:$O$936,11,0),""))</f>
        <v/>
      </c>
      <c r="O1778" s="70" t="str">
        <f>IF($A$3=" "," ", IFERROR( VLOOKUP($A1778,'SUPPLIER DATA BASE'!$A$2:$O$936,12,0),""))</f>
        <v/>
      </c>
      <c r="P1778" s="70" t="str">
        <f>IF($A$3=" "," ", IFERROR( VLOOKUP($A1778,'SUPPLIER DATA BASE'!$A$2:$O$936,13,0),""))</f>
        <v/>
      </c>
      <c r="Q1778" s="77"/>
      <c r="R1778" s="73"/>
      <c r="S1778" s="77"/>
      <c r="T1778" s="70"/>
      <c r="U1778" s="78"/>
      <c r="V1778" s="70" t="str">
        <f t="shared" si="6"/>
        <v/>
      </c>
      <c r="W1778" s="23"/>
      <c r="X1778" s="23"/>
    </row>
    <row r="1779">
      <c r="A1779" s="70"/>
      <c r="B1779" s="70" t="str">
        <f>IF($A$3=" "," ", IFERROR( VLOOKUP($A1779,'SUPPLIER DATA BASE'!$A$2:$M$936,3,0),""))</f>
        <v/>
      </c>
      <c r="C1779" s="70" t="str">
        <f>IF($A$3=" "," ", IFERROR( VLOOKUP($A1779,'SUPPLIER DATA BASE'!$A$2:$F$936,6,0),""))</f>
        <v/>
      </c>
      <c r="D1779" s="70" t="str">
        <f>IF($A$3=" "," ", IFERROR( VLOOKUP($A1779,'SUPPLIER DATA BASE'!$A$2:$G$936,4,0),""))</f>
        <v/>
      </c>
      <c r="E1779" s="71" t="str">
        <f>IF($A$3=" "," ", IFERROR( VLOOKUP($A1779,'SUPPLIER DATA BASE'!$A$2:$H$936,5,0),""))</f>
        <v/>
      </c>
      <c r="F1779" s="72"/>
      <c r="G1779" s="73"/>
      <c r="H1779" s="74"/>
      <c r="I1779" s="75"/>
      <c r="J1779" s="70"/>
      <c r="K1779" s="70"/>
      <c r="L1779" s="73"/>
      <c r="M1779" s="70" t="str">
        <f t="shared" si="3"/>
        <v/>
      </c>
      <c r="N1779" s="70" t="str">
        <f>IF($A$3=" "," ", IFERROR( VLOOKUP($A1779,'SUPPLIER DATA BASE'!$A$2:$O$936,11,0),""))</f>
        <v/>
      </c>
      <c r="O1779" s="70" t="str">
        <f>IF($A$3=" "," ", IFERROR( VLOOKUP($A1779,'SUPPLIER DATA BASE'!$A$2:$O$936,12,0),""))</f>
        <v/>
      </c>
      <c r="P1779" s="70" t="str">
        <f>IF($A$3=" "," ", IFERROR( VLOOKUP($A1779,'SUPPLIER DATA BASE'!$A$2:$O$936,13,0),""))</f>
        <v/>
      </c>
      <c r="Q1779" s="77"/>
      <c r="R1779" s="73"/>
      <c r="S1779" s="77"/>
      <c r="T1779" s="70"/>
      <c r="U1779" s="78"/>
      <c r="V1779" s="70" t="str">
        <f t="shared" si="6"/>
        <v/>
      </c>
      <c r="W1779" s="23"/>
      <c r="X1779" s="23"/>
    </row>
    <row r="1780">
      <c r="A1780" s="70"/>
      <c r="B1780" s="70" t="str">
        <f>IF($A$3=" "," ", IFERROR( VLOOKUP($A1780,'SUPPLIER DATA BASE'!$A$2:$M$936,3,0),""))</f>
        <v/>
      </c>
      <c r="C1780" s="70" t="str">
        <f>IF($A$3=" "," ", IFERROR( VLOOKUP($A1780,'SUPPLIER DATA BASE'!$A$2:$F$936,6,0),""))</f>
        <v/>
      </c>
      <c r="D1780" s="70" t="str">
        <f>IF($A$3=" "," ", IFERROR( VLOOKUP($A1780,'SUPPLIER DATA BASE'!$A$2:$G$936,4,0),""))</f>
        <v/>
      </c>
      <c r="E1780" s="71" t="str">
        <f>IF($A$3=" "," ", IFERROR( VLOOKUP($A1780,'SUPPLIER DATA BASE'!$A$2:$H$936,5,0),""))</f>
        <v/>
      </c>
      <c r="F1780" s="72"/>
      <c r="G1780" s="73"/>
      <c r="H1780" s="74"/>
      <c r="I1780" s="75"/>
      <c r="J1780" s="70"/>
      <c r="K1780" s="70"/>
      <c r="L1780" s="73"/>
      <c r="M1780" s="70" t="str">
        <f t="shared" si="3"/>
        <v/>
      </c>
      <c r="N1780" s="70" t="str">
        <f>IF($A$3=" "," ", IFERROR( VLOOKUP($A1780,'SUPPLIER DATA BASE'!$A$2:$O$936,11,0),""))</f>
        <v/>
      </c>
      <c r="O1780" s="70" t="str">
        <f>IF($A$3=" "," ", IFERROR( VLOOKUP($A1780,'SUPPLIER DATA BASE'!$A$2:$O$936,12,0),""))</f>
        <v/>
      </c>
      <c r="P1780" s="70" t="str">
        <f>IF($A$3=" "," ", IFERROR( VLOOKUP($A1780,'SUPPLIER DATA BASE'!$A$2:$O$936,13,0),""))</f>
        <v/>
      </c>
      <c r="Q1780" s="77"/>
      <c r="R1780" s="73"/>
      <c r="S1780" s="77"/>
      <c r="T1780" s="70"/>
      <c r="U1780" s="78"/>
      <c r="V1780" s="70" t="str">
        <f t="shared" si="6"/>
        <v/>
      </c>
      <c r="W1780" s="23"/>
      <c r="X1780" s="23"/>
    </row>
    <row r="1781">
      <c r="A1781" s="70"/>
      <c r="B1781" s="70" t="str">
        <f>IF($A$3=" "," ", IFERROR( VLOOKUP($A1781,'SUPPLIER DATA BASE'!$A$2:$M$936,3,0),""))</f>
        <v/>
      </c>
      <c r="C1781" s="70" t="str">
        <f>IF($A$3=" "," ", IFERROR( VLOOKUP($A1781,'SUPPLIER DATA BASE'!$A$2:$F$936,6,0),""))</f>
        <v/>
      </c>
      <c r="D1781" s="70" t="str">
        <f>IF($A$3=" "," ", IFERROR( VLOOKUP($A1781,'SUPPLIER DATA BASE'!$A$2:$G$936,4,0),""))</f>
        <v/>
      </c>
      <c r="E1781" s="71" t="str">
        <f>IF($A$3=" "," ", IFERROR( VLOOKUP($A1781,'SUPPLIER DATA BASE'!$A$2:$H$936,5,0),""))</f>
        <v/>
      </c>
      <c r="F1781" s="72"/>
      <c r="G1781" s="73"/>
      <c r="H1781" s="74"/>
      <c r="I1781" s="75"/>
      <c r="J1781" s="70"/>
      <c r="K1781" s="70"/>
      <c r="L1781" s="73"/>
      <c r="M1781" s="70" t="str">
        <f t="shared" si="3"/>
        <v/>
      </c>
      <c r="N1781" s="70" t="str">
        <f>IF($A$3=" "," ", IFERROR( VLOOKUP($A1781,'SUPPLIER DATA BASE'!$A$2:$O$936,11,0),""))</f>
        <v/>
      </c>
      <c r="O1781" s="70" t="str">
        <f>IF($A$3=" "," ", IFERROR( VLOOKUP($A1781,'SUPPLIER DATA BASE'!$A$2:$O$936,12,0),""))</f>
        <v/>
      </c>
      <c r="P1781" s="70" t="str">
        <f>IF($A$3=" "," ", IFERROR( VLOOKUP($A1781,'SUPPLIER DATA BASE'!$A$2:$O$936,13,0),""))</f>
        <v/>
      </c>
      <c r="Q1781" s="77"/>
      <c r="R1781" s="73"/>
      <c r="S1781" s="77"/>
      <c r="T1781" s="70"/>
      <c r="U1781" s="78"/>
      <c r="V1781" s="70" t="str">
        <f t="shared" si="6"/>
        <v/>
      </c>
      <c r="W1781" s="23"/>
      <c r="X1781" s="23"/>
    </row>
    <row r="1782">
      <c r="A1782" s="70"/>
      <c r="B1782" s="70" t="str">
        <f>IF($A$3=" "," ", IFERROR( VLOOKUP($A1782,'SUPPLIER DATA BASE'!$A$2:$M$936,3,0),""))</f>
        <v/>
      </c>
      <c r="C1782" s="70" t="str">
        <f>IF($A$3=" "," ", IFERROR( VLOOKUP($A1782,'SUPPLIER DATA BASE'!$A$2:$F$936,6,0),""))</f>
        <v/>
      </c>
      <c r="D1782" s="70" t="str">
        <f>IF($A$3=" "," ", IFERROR( VLOOKUP($A1782,'SUPPLIER DATA BASE'!$A$2:$G$936,4,0),""))</f>
        <v/>
      </c>
      <c r="E1782" s="71" t="str">
        <f>IF($A$3=" "," ", IFERROR( VLOOKUP($A1782,'SUPPLIER DATA BASE'!$A$2:$H$936,5,0),""))</f>
        <v/>
      </c>
      <c r="F1782" s="72"/>
      <c r="G1782" s="73"/>
      <c r="H1782" s="74"/>
      <c r="I1782" s="75"/>
      <c r="J1782" s="70"/>
      <c r="K1782" s="70"/>
      <c r="L1782" s="73"/>
      <c r="M1782" s="70" t="str">
        <f t="shared" si="3"/>
        <v/>
      </c>
      <c r="N1782" s="70" t="str">
        <f>IF($A$3=" "," ", IFERROR( VLOOKUP($A1782,'SUPPLIER DATA BASE'!$A$2:$O$936,11,0),""))</f>
        <v/>
      </c>
      <c r="O1782" s="70" t="str">
        <f>IF($A$3=" "," ", IFERROR( VLOOKUP($A1782,'SUPPLIER DATA BASE'!$A$2:$O$936,12,0),""))</f>
        <v/>
      </c>
      <c r="P1782" s="70" t="str">
        <f>IF($A$3=" "," ", IFERROR( VLOOKUP($A1782,'SUPPLIER DATA BASE'!$A$2:$O$936,13,0),""))</f>
        <v/>
      </c>
      <c r="Q1782" s="77"/>
      <c r="R1782" s="73"/>
      <c r="S1782" s="77"/>
      <c r="T1782" s="70"/>
      <c r="U1782" s="78"/>
      <c r="V1782" s="70" t="str">
        <f t="shared" si="6"/>
        <v/>
      </c>
      <c r="W1782" s="23"/>
      <c r="X1782" s="23"/>
    </row>
    <row r="1783">
      <c r="A1783" s="70"/>
      <c r="B1783" s="70" t="str">
        <f>IF($A$3=" "," ", IFERROR( VLOOKUP($A1783,'SUPPLIER DATA BASE'!$A$2:$M$936,3,0),""))</f>
        <v/>
      </c>
      <c r="C1783" s="70" t="str">
        <f>IF($A$3=" "," ", IFERROR( VLOOKUP($A1783,'SUPPLIER DATA BASE'!$A$2:$F$936,6,0),""))</f>
        <v/>
      </c>
      <c r="D1783" s="70" t="str">
        <f>IF($A$3=" "," ", IFERROR( VLOOKUP($A1783,'SUPPLIER DATA BASE'!$A$2:$G$936,4,0),""))</f>
        <v/>
      </c>
      <c r="E1783" s="71" t="str">
        <f>IF($A$3=" "," ", IFERROR( VLOOKUP($A1783,'SUPPLIER DATA BASE'!$A$2:$H$936,5,0),""))</f>
        <v/>
      </c>
      <c r="F1783" s="72"/>
      <c r="G1783" s="73"/>
      <c r="H1783" s="74"/>
      <c r="I1783" s="75"/>
      <c r="J1783" s="70"/>
      <c r="K1783" s="70"/>
      <c r="L1783" s="73"/>
      <c r="M1783" s="70" t="str">
        <f t="shared" si="3"/>
        <v/>
      </c>
      <c r="N1783" s="70" t="str">
        <f>IF($A$3=" "," ", IFERROR( VLOOKUP($A1783,'SUPPLIER DATA BASE'!$A$2:$O$936,11,0),""))</f>
        <v/>
      </c>
      <c r="O1783" s="70" t="str">
        <f>IF($A$3=" "," ", IFERROR( VLOOKUP($A1783,'SUPPLIER DATA BASE'!$A$2:$O$936,12,0),""))</f>
        <v/>
      </c>
      <c r="P1783" s="70" t="str">
        <f>IF($A$3=" "," ", IFERROR( VLOOKUP($A1783,'SUPPLIER DATA BASE'!$A$2:$O$936,13,0),""))</f>
        <v/>
      </c>
      <c r="Q1783" s="77"/>
      <c r="R1783" s="73"/>
      <c r="S1783" s="77"/>
      <c r="T1783" s="70"/>
      <c r="U1783" s="78"/>
      <c r="V1783" s="70" t="str">
        <f t="shared" si="6"/>
        <v/>
      </c>
      <c r="W1783" s="23"/>
      <c r="X1783" s="23"/>
    </row>
    <row r="1784">
      <c r="A1784" s="70"/>
      <c r="B1784" s="70" t="str">
        <f>IF($A$3=" "," ", IFERROR( VLOOKUP($A1784,'SUPPLIER DATA BASE'!$A$2:$M$936,3,0),""))</f>
        <v/>
      </c>
      <c r="C1784" s="70" t="str">
        <f>IF($A$3=" "," ", IFERROR( VLOOKUP($A1784,'SUPPLIER DATA BASE'!$A$2:$F$936,6,0),""))</f>
        <v/>
      </c>
      <c r="D1784" s="70" t="str">
        <f>IF($A$3=" "," ", IFERROR( VLOOKUP($A1784,'SUPPLIER DATA BASE'!$A$2:$G$936,4,0),""))</f>
        <v/>
      </c>
      <c r="E1784" s="71" t="str">
        <f>IF($A$3=" "," ", IFERROR( VLOOKUP($A1784,'SUPPLIER DATA BASE'!$A$2:$H$936,5,0),""))</f>
        <v/>
      </c>
      <c r="F1784" s="72"/>
      <c r="G1784" s="73"/>
      <c r="H1784" s="74"/>
      <c r="I1784" s="75"/>
      <c r="J1784" s="70"/>
      <c r="K1784" s="70"/>
      <c r="L1784" s="73"/>
      <c r="M1784" s="70" t="str">
        <f t="shared" si="3"/>
        <v/>
      </c>
      <c r="N1784" s="70" t="str">
        <f>IF($A$3=" "," ", IFERROR( VLOOKUP($A1784,'SUPPLIER DATA BASE'!$A$2:$O$936,11,0),""))</f>
        <v/>
      </c>
      <c r="O1784" s="70" t="str">
        <f>IF($A$3=" "," ", IFERROR( VLOOKUP($A1784,'SUPPLIER DATA BASE'!$A$2:$O$936,12,0),""))</f>
        <v/>
      </c>
      <c r="P1784" s="70" t="str">
        <f>IF($A$3=" "," ", IFERROR( VLOOKUP($A1784,'SUPPLIER DATA BASE'!$A$2:$O$936,13,0),""))</f>
        <v/>
      </c>
      <c r="Q1784" s="77"/>
      <c r="R1784" s="73"/>
      <c r="S1784" s="77"/>
      <c r="T1784" s="70"/>
      <c r="U1784" s="78"/>
      <c r="V1784" s="70" t="str">
        <f t="shared" si="6"/>
        <v/>
      </c>
      <c r="W1784" s="23"/>
      <c r="X1784" s="23"/>
    </row>
    <row r="1785">
      <c r="A1785" s="70"/>
      <c r="B1785" s="70" t="str">
        <f>IF($A$3=" "," ", IFERROR( VLOOKUP($A1785,'SUPPLIER DATA BASE'!$A$2:$M$936,3,0),""))</f>
        <v/>
      </c>
      <c r="C1785" s="70" t="str">
        <f>IF($A$3=" "," ", IFERROR( VLOOKUP($A1785,'SUPPLIER DATA BASE'!$A$2:$F$936,6,0),""))</f>
        <v/>
      </c>
      <c r="D1785" s="70" t="str">
        <f>IF($A$3=" "," ", IFERROR( VLOOKUP($A1785,'SUPPLIER DATA BASE'!$A$2:$G$936,4,0),""))</f>
        <v/>
      </c>
      <c r="E1785" s="71" t="str">
        <f>IF($A$3=" "," ", IFERROR( VLOOKUP($A1785,'SUPPLIER DATA BASE'!$A$2:$H$936,5,0),""))</f>
        <v/>
      </c>
      <c r="F1785" s="72"/>
      <c r="G1785" s="73"/>
      <c r="H1785" s="74"/>
      <c r="I1785" s="75"/>
      <c r="J1785" s="70"/>
      <c r="K1785" s="70"/>
      <c r="L1785" s="73"/>
      <c r="M1785" s="70" t="str">
        <f t="shared" si="3"/>
        <v/>
      </c>
      <c r="N1785" s="70" t="str">
        <f>IF($A$3=" "," ", IFERROR( VLOOKUP($A1785,'SUPPLIER DATA BASE'!$A$2:$O$936,11,0),""))</f>
        <v/>
      </c>
      <c r="O1785" s="70" t="str">
        <f>IF($A$3=" "," ", IFERROR( VLOOKUP($A1785,'SUPPLIER DATA BASE'!$A$2:$O$936,12,0),""))</f>
        <v/>
      </c>
      <c r="P1785" s="70" t="str">
        <f>IF($A$3=" "," ", IFERROR( VLOOKUP($A1785,'SUPPLIER DATA BASE'!$A$2:$O$936,13,0),""))</f>
        <v/>
      </c>
      <c r="Q1785" s="77"/>
      <c r="R1785" s="73"/>
      <c r="S1785" s="77"/>
      <c r="T1785" s="70"/>
      <c r="U1785" s="78"/>
      <c r="V1785" s="70" t="str">
        <f t="shared" si="6"/>
        <v/>
      </c>
      <c r="W1785" s="23"/>
      <c r="X1785" s="23"/>
    </row>
    <row r="1786">
      <c r="A1786" s="70"/>
      <c r="B1786" s="70" t="str">
        <f>IF($A$3=" "," ", IFERROR( VLOOKUP($A1786,'SUPPLIER DATA BASE'!$A$2:$M$936,3,0),""))</f>
        <v/>
      </c>
      <c r="C1786" s="70" t="str">
        <f>IF($A$3=" "," ", IFERROR( VLOOKUP($A1786,'SUPPLIER DATA BASE'!$A$2:$F$936,6,0),""))</f>
        <v/>
      </c>
      <c r="D1786" s="70" t="str">
        <f>IF($A$3=" "," ", IFERROR( VLOOKUP($A1786,'SUPPLIER DATA BASE'!$A$2:$G$936,4,0),""))</f>
        <v/>
      </c>
      <c r="E1786" s="71" t="str">
        <f>IF($A$3=" "," ", IFERROR( VLOOKUP($A1786,'SUPPLIER DATA BASE'!$A$2:$H$936,5,0),""))</f>
        <v/>
      </c>
      <c r="F1786" s="72"/>
      <c r="G1786" s="73"/>
      <c r="H1786" s="74"/>
      <c r="I1786" s="75"/>
      <c r="J1786" s="70"/>
      <c r="K1786" s="70"/>
      <c r="L1786" s="73"/>
      <c r="M1786" s="70" t="str">
        <f t="shared" si="3"/>
        <v/>
      </c>
      <c r="N1786" s="70" t="str">
        <f>IF($A$3=" "," ", IFERROR( VLOOKUP($A1786,'SUPPLIER DATA BASE'!$A$2:$O$936,11,0),""))</f>
        <v/>
      </c>
      <c r="O1786" s="70" t="str">
        <f>IF($A$3=" "," ", IFERROR( VLOOKUP($A1786,'SUPPLIER DATA BASE'!$A$2:$O$936,12,0),""))</f>
        <v/>
      </c>
      <c r="P1786" s="70" t="str">
        <f>IF($A$3=" "," ", IFERROR( VLOOKUP($A1786,'SUPPLIER DATA BASE'!$A$2:$O$936,13,0),""))</f>
        <v/>
      </c>
      <c r="Q1786" s="77"/>
      <c r="R1786" s="73"/>
      <c r="S1786" s="77"/>
      <c r="T1786" s="70"/>
      <c r="U1786" s="78"/>
      <c r="V1786" s="70" t="str">
        <f t="shared" si="6"/>
        <v/>
      </c>
      <c r="W1786" s="23"/>
      <c r="X1786" s="23"/>
    </row>
    <row r="1787">
      <c r="A1787" s="70"/>
      <c r="B1787" s="70" t="str">
        <f>IF($A$3=" "," ", IFERROR( VLOOKUP($A1787,'SUPPLIER DATA BASE'!$A$2:$M$936,3,0),""))</f>
        <v/>
      </c>
      <c r="C1787" s="70" t="str">
        <f>IF($A$3=" "," ", IFERROR( VLOOKUP($A1787,'SUPPLIER DATA BASE'!$A$2:$F$936,6,0),""))</f>
        <v/>
      </c>
      <c r="D1787" s="70" t="str">
        <f>IF($A$3=" "," ", IFERROR( VLOOKUP($A1787,'SUPPLIER DATA BASE'!$A$2:$G$936,4,0),""))</f>
        <v/>
      </c>
      <c r="E1787" s="71" t="str">
        <f>IF($A$3=" "," ", IFERROR( VLOOKUP($A1787,'SUPPLIER DATA BASE'!$A$2:$H$936,5,0),""))</f>
        <v/>
      </c>
      <c r="F1787" s="72"/>
      <c r="G1787" s="73"/>
      <c r="H1787" s="74"/>
      <c r="I1787" s="75"/>
      <c r="J1787" s="70"/>
      <c r="K1787" s="70"/>
      <c r="L1787" s="73"/>
      <c r="M1787" s="70" t="str">
        <f t="shared" si="3"/>
        <v/>
      </c>
      <c r="N1787" s="70" t="str">
        <f>IF($A$3=" "," ", IFERROR( VLOOKUP($A1787,'SUPPLIER DATA BASE'!$A$2:$O$936,11,0),""))</f>
        <v/>
      </c>
      <c r="O1787" s="70" t="str">
        <f>IF($A$3=" "," ", IFERROR( VLOOKUP($A1787,'SUPPLIER DATA BASE'!$A$2:$O$936,12,0),""))</f>
        <v/>
      </c>
      <c r="P1787" s="70" t="str">
        <f>IF($A$3=" "," ", IFERROR( VLOOKUP($A1787,'SUPPLIER DATA BASE'!$A$2:$O$936,13,0),""))</f>
        <v/>
      </c>
      <c r="Q1787" s="77"/>
      <c r="R1787" s="73"/>
      <c r="S1787" s="77"/>
      <c r="T1787" s="70"/>
      <c r="U1787" s="78"/>
      <c r="V1787" s="70" t="str">
        <f t="shared" si="6"/>
        <v/>
      </c>
      <c r="W1787" s="23"/>
      <c r="X1787" s="23"/>
    </row>
    <row r="1788">
      <c r="A1788" s="70"/>
      <c r="B1788" s="70" t="str">
        <f>IF($A$3=" "," ", IFERROR( VLOOKUP($A1788,'SUPPLIER DATA BASE'!$A$2:$M$936,3,0),""))</f>
        <v/>
      </c>
      <c r="C1788" s="70" t="str">
        <f>IF($A$3=" "," ", IFERROR( VLOOKUP($A1788,'SUPPLIER DATA BASE'!$A$2:$F$936,6,0),""))</f>
        <v/>
      </c>
      <c r="D1788" s="70" t="str">
        <f>IF($A$3=" "," ", IFERROR( VLOOKUP($A1788,'SUPPLIER DATA BASE'!$A$2:$G$936,4,0),""))</f>
        <v/>
      </c>
      <c r="E1788" s="71" t="str">
        <f>IF($A$3=" "," ", IFERROR( VLOOKUP($A1788,'SUPPLIER DATA BASE'!$A$2:$H$936,5,0),""))</f>
        <v/>
      </c>
      <c r="F1788" s="72"/>
      <c r="G1788" s="73"/>
      <c r="H1788" s="74"/>
      <c r="I1788" s="75"/>
      <c r="J1788" s="70"/>
      <c r="K1788" s="70"/>
      <c r="L1788" s="73"/>
      <c r="M1788" s="70" t="str">
        <f t="shared" si="3"/>
        <v/>
      </c>
      <c r="N1788" s="70" t="str">
        <f>IF($A$3=" "," ", IFERROR( VLOOKUP($A1788,'SUPPLIER DATA BASE'!$A$2:$O$936,11,0),""))</f>
        <v/>
      </c>
      <c r="O1788" s="70" t="str">
        <f>IF($A$3=" "," ", IFERROR( VLOOKUP($A1788,'SUPPLIER DATA BASE'!$A$2:$O$936,12,0),""))</f>
        <v/>
      </c>
      <c r="P1788" s="70" t="str">
        <f>IF($A$3=" "," ", IFERROR( VLOOKUP($A1788,'SUPPLIER DATA BASE'!$A$2:$O$936,13,0),""))</f>
        <v/>
      </c>
      <c r="Q1788" s="77"/>
      <c r="R1788" s="73"/>
      <c r="S1788" s="77"/>
      <c r="T1788" s="70"/>
      <c r="U1788" s="78"/>
      <c r="V1788" s="70" t="str">
        <f t="shared" si="6"/>
        <v/>
      </c>
      <c r="W1788" s="23"/>
      <c r="X1788" s="23"/>
    </row>
    <row r="1789">
      <c r="A1789" s="70"/>
      <c r="B1789" s="70" t="str">
        <f>IF($A$3=" "," ", IFERROR( VLOOKUP($A1789,'SUPPLIER DATA BASE'!$A$2:$M$936,3,0),""))</f>
        <v/>
      </c>
      <c r="C1789" s="70" t="str">
        <f>IF($A$3=" "," ", IFERROR( VLOOKUP($A1789,'SUPPLIER DATA BASE'!$A$2:$F$936,6,0),""))</f>
        <v/>
      </c>
      <c r="D1789" s="70" t="str">
        <f>IF($A$3=" "," ", IFERROR( VLOOKUP($A1789,'SUPPLIER DATA BASE'!$A$2:$G$936,4,0),""))</f>
        <v/>
      </c>
      <c r="E1789" s="71" t="str">
        <f>IF($A$3=" "," ", IFERROR( VLOOKUP($A1789,'SUPPLIER DATA BASE'!$A$2:$H$936,5,0),""))</f>
        <v/>
      </c>
      <c r="F1789" s="72"/>
      <c r="G1789" s="73"/>
      <c r="H1789" s="74"/>
      <c r="I1789" s="75"/>
      <c r="J1789" s="70"/>
      <c r="K1789" s="70"/>
      <c r="L1789" s="73"/>
      <c r="M1789" s="70" t="str">
        <f t="shared" si="3"/>
        <v/>
      </c>
      <c r="N1789" s="70" t="str">
        <f>IF($A$3=" "," ", IFERROR( VLOOKUP($A1789,'SUPPLIER DATA BASE'!$A$2:$O$936,11,0),""))</f>
        <v/>
      </c>
      <c r="O1789" s="70" t="str">
        <f>IF($A$3=" "," ", IFERROR( VLOOKUP($A1789,'SUPPLIER DATA BASE'!$A$2:$O$936,12,0),""))</f>
        <v/>
      </c>
      <c r="P1789" s="70" t="str">
        <f>IF($A$3=" "," ", IFERROR( VLOOKUP($A1789,'SUPPLIER DATA BASE'!$A$2:$O$936,13,0),""))</f>
        <v/>
      </c>
      <c r="Q1789" s="77"/>
      <c r="R1789" s="73"/>
      <c r="S1789" s="77"/>
      <c r="T1789" s="70"/>
      <c r="U1789" s="78"/>
      <c r="V1789" s="70" t="str">
        <f t="shared" si="6"/>
        <v/>
      </c>
      <c r="W1789" s="23"/>
      <c r="X1789" s="23"/>
    </row>
    <row r="1790">
      <c r="A1790" s="70"/>
      <c r="B1790" s="70" t="str">
        <f>IF($A$3=" "," ", IFERROR( VLOOKUP($A1790,'SUPPLIER DATA BASE'!$A$2:$M$936,3,0),""))</f>
        <v/>
      </c>
      <c r="C1790" s="70" t="str">
        <f>IF($A$3=" "," ", IFERROR( VLOOKUP($A1790,'SUPPLIER DATA BASE'!$A$2:$F$936,6,0),""))</f>
        <v/>
      </c>
      <c r="D1790" s="70" t="str">
        <f>IF($A$3=" "," ", IFERROR( VLOOKUP($A1790,'SUPPLIER DATA BASE'!$A$2:$G$936,4,0),""))</f>
        <v/>
      </c>
      <c r="E1790" s="71" t="str">
        <f>IF($A$3=" "," ", IFERROR( VLOOKUP($A1790,'SUPPLIER DATA BASE'!$A$2:$H$936,5,0),""))</f>
        <v/>
      </c>
      <c r="F1790" s="72"/>
      <c r="G1790" s="73"/>
      <c r="H1790" s="74"/>
      <c r="I1790" s="75"/>
      <c r="J1790" s="70"/>
      <c r="K1790" s="70"/>
      <c r="L1790" s="73"/>
      <c r="M1790" s="70" t="str">
        <f t="shared" si="3"/>
        <v/>
      </c>
      <c r="N1790" s="70" t="str">
        <f>IF($A$3=" "," ", IFERROR( VLOOKUP($A1790,'SUPPLIER DATA BASE'!$A$2:$O$936,11,0),""))</f>
        <v/>
      </c>
      <c r="O1790" s="70" t="str">
        <f>IF($A$3=" "," ", IFERROR( VLOOKUP($A1790,'SUPPLIER DATA BASE'!$A$2:$O$936,12,0),""))</f>
        <v/>
      </c>
      <c r="P1790" s="70" t="str">
        <f>IF($A$3=" "," ", IFERROR( VLOOKUP($A1790,'SUPPLIER DATA BASE'!$A$2:$O$936,13,0),""))</f>
        <v/>
      </c>
      <c r="Q1790" s="77"/>
      <c r="R1790" s="73"/>
      <c r="S1790" s="77"/>
      <c r="T1790" s="70"/>
      <c r="U1790" s="78"/>
      <c r="V1790" s="70" t="str">
        <f t="shared" si="6"/>
        <v/>
      </c>
      <c r="W1790" s="23"/>
      <c r="X1790" s="23"/>
    </row>
    <row r="1791">
      <c r="A1791" s="70"/>
      <c r="B1791" s="70" t="str">
        <f>IF($A$3=" "," ", IFERROR( VLOOKUP($A1791,'SUPPLIER DATA BASE'!$A$2:$M$936,3,0),""))</f>
        <v/>
      </c>
      <c r="C1791" s="70" t="str">
        <f>IF($A$3=" "," ", IFERROR( VLOOKUP($A1791,'SUPPLIER DATA BASE'!$A$2:$F$936,6,0),""))</f>
        <v/>
      </c>
      <c r="D1791" s="70" t="str">
        <f>IF($A$3=" "," ", IFERROR( VLOOKUP($A1791,'SUPPLIER DATA BASE'!$A$2:$G$936,4,0),""))</f>
        <v/>
      </c>
      <c r="E1791" s="71" t="str">
        <f>IF($A$3=" "," ", IFERROR( VLOOKUP($A1791,'SUPPLIER DATA BASE'!$A$2:$H$936,5,0),""))</f>
        <v/>
      </c>
      <c r="F1791" s="72"/>
      <c r="G1791" s="73"/>
      <c r="H1791" s="74"/>
      <c r="I1791" s="75"/>
      <c r="J1791" s="70"/>
      <c r="K1791" s="70"/>
      <c r="L1791" s="73"/>
      <c r="M1791" s="70" t="str">
        <f t="shared" si="3"/>
        <v/>
      </c>
      <c r="N1791" s="70" t="str">
        <f>IF($A$3=" "," ", IFERROR( VLOOKUP($A1791,'SUPPLIER DATA BASE'!$A$2:$O$936,11,0),""))</f>
        <v/>
      </c>
      <c r="O1791" s="70" t="str">
        <f>IF($A$3=" "," ", IFERROR( VLOOKUP($A1791,'SUPPLIER DATA BASE'!$A$2:$O$936,12,0),""))</f>
        <v/>
      </c>
      <c r="P1791" s="70" t="str">
        <f>IF($A$3=" "," ", IFERROR( VLOOKUP($A1791,'SUPPLIER DATA BASE'!$A$2:$O$936,13,0),""))</f>
        <v/>
      </c>
      <c r="Q1791" s="77"/>
      <c r="R1791" s="73"/>
      <c r="S1791" s="77"/>
      <c r="T1791" s="70"/>
      <c r="U1791" s="78"/>
      <c r="V1791" s="70" t="str">
        <f t="shared" si="6"/>
        <v/>
      </c>
      <c r="W1791" s="23"/>
      <c r="X1791" s="23"/>
    </row>
    <row r="1792">
      <c r="A1792" s="70"/>
      <c r="B1792" s="70" t="str">
        <f>IF($A$3=" "," ", IFERROR( VLOOKUP($A1792,'SUPPLIER DATA BASE'!$A$2:$M$936,3,0),""))</f>
        <v/>
      </c>
      <c r="C1792" s="70" t="str">
        <f>IF($A$3=" "," ", IFERROR( VLOOKUP($A1792,'SUPPLIER DATA BASE'!$A$2:$F$936,6,0),""))</f>
        <v/>
      </c>
      <c r="D1792" s="70" t="str">
        <f>IF($A$3=" "," ", IFERROR( VLOOKUP($A1792,'SUPPLIER DATA BASE'!$A$2:$G$936,4,0),""))</f>
        <v/>
      </c>
      <c r="E1792" s="71" t="str">
        <f>IF($A$3=" "," ", IFERROR( VLOOKUP($A1792,'SUPPLIER DATA BASE'!$A$2:$H$936,5,0),""))</f>
        <v/>
      </c>
      <c r="F1792" s="72"/>
      <c r="G1792" s="73"/>
      <c r="H1792" s="74"/>
      <c r="I1792" s="75"/>
      <c r="J1792" s="70"/>
      <c r="K1792" s="70"/>
      <c r="L1792" s="73"/>
      <c r="M1792" s="70" t="str">
        <f t="shared" si="3"/>
        <v/>
      </c>
      <c r="N1792" s="70" t="str">
        <f>IF($A$3=" "," ", IFERROR( VLOOKUP($A1792,'SUPPLIER DATA BASE'!$A$2:$O$936,11,0),""))</f>
        <v/>
      </c>
      <c r="O1792" s="70" t="str">
        <f>IF($A$3=" "," ", IFERROR( VLOOKUP($A1792,'SUPPLIER DATA BASE'!$A$2:$O$936,12,0),""))</f>
        <v/>
      </c>
      <c r="P1792" s="70" t="str">
        <f>IF($A$3=" "," ", IFERROR( VLOOKUP($A1792,'SUPPLIER DATA BASE'!$A$2:$O$936,13,0),""))</f>
        <v/>
      </c>
      <c r="Q1792" s="77"/>
      <c r="R1792" s="73"/>
      <c r="S1792" s="77"/>
      <c r="T1792" s="70"/>
      <c r="U1792" s="78"/>
      <c r="V1792" s="70" t="str">
        <f t="shared" si="6"/>
        <v/>
      </c>
      <c r="W1792" s="23"/>
      <c r="X1792" s="23"/>
    </row>
    <row r="1793">
      <c r="A1793" s="70"/>
      <c r="B1793" s="70" t="str">
        <f>IF($A$3=" "," ", IFERROR( VLOOKUP($A1793,'SUPPLIER DATA BASE'!$A$2:$M$936,3,0),""))</f>
        <v/>
      </c>
      <c r="C1793" s="70" t="str">
        <f>IF($A$3=" "," ", IFERROR( VLOOKUP($A1793,'SUPPLIER DATA BASE'!$A$2:$F$936,6,0),""))</f>
        <v/>
      </c>
      <c r="D1793" s="70" t="str">
        <f>IF($A$3=" "," ", IFERROR( VLOOKUP($A1793,'SUPPLIER DATA BASE'!$A$2:$G$936,4,0),""))</f>
        <v/>
      </c>
      <c r="E1793" s="71" t="str">
        <f>IF($A$3=" "," ", IFERROR( VLOOKUP($A1793,'SUPPLIER DATA BASE'!$A$2:$H$936,5,0),""))</f>
        <v/>
      </c>
      <c r="F1793" s="72"/>
      <c r="G1793" s="73"/>
      <c r="H1793" s="74"/>
      <c r="I1793" s="75"/>
      <c r="J1793" s="70"/>
      <c r="K1793" s="70"/>
      <c r="L1793" s="73"/>
      <c r="M1793" s="70" t="str">
        <f t="shared" si="3"/>
        <v/>
      </c>
      <c r="N1793" s="70" t="str">
        <f>IF($A$3=" "," ", IFERROR( VLOOKUP($A1793,'SUPPLIER DATA BASE'!$A$2:$O$936,11,0),""))</f>
        <v/>
      </c>
      <c r="O1793" s="70" t="str">
        <f>IF($A$3=" "," ", IFERROR( VLOOKUP($A1793,'SUPPLIER DATA BASE'!$A$2:$O$936,12,0),""))</f>
        <v/>
      </c>
      <c r="P1793" s="70" t="str">
        <f>IF($A$3=" "," ", IFERROR( VLOOKUP($A1793,'SUPPLIER DATA BASE'!$A$2:$O$936,13,0),""))</f>
        <v/>
      </c>
      <c r="Q1793" s="77"/>
      <c r="R1793" s="73"/>
      <c r="S1793" s="77"/>
      <c r="T1793" s="70"/>
      <c r="U1793" s="78"/>
      <c r="V1793" s="70" t="str">
        <f t="shared" si="6"/>
        <v/>
      </c>
      <c r="W1793" s="23"/>
      <c r="X1793" s="23"/>
    </row>
    <row r="1794">
      <c r="A1794" s="70"/>
      <c r="B1794" s="70" t="str">
        <f>IF($A$3=" "," ", IFERROR( VLOOKUP($A1794,'SUPPLIER DATA BASE'!$A$2:$M$936,3,0),""))</f>
        <v/>
      </c>
      <c r="C1794" s="70" t="str">
        <f>IF($A$3=" "," ", IFERROR( VLOOKUP($A1794,'SUPPLIER DATA BASE'!$A$2:$F$936,6,0),""))</f>
        <v/>
      </c>
      <c r="D1794" s="70" t="str">
        <f>IF($A$3=" "," ", IFERROR( VLOOKUP($A1794,'SUPPLIER DATA BASE'!$A$2:$G$936,4,0),""))</f>
        <v/>
      </c>
      <c r="E1794" s="71" t="str">
        <f>IF($A$3=" "," ", IFERROR( VLOOKUP($A1794,'SUPPLIER DATA BASE'!$A$2:$H$936,5,0),""))</f>
        <v/>
      </c>
      <c r="F1794" s="72"/>
      <c r="G1794" s="73"/>
      <c r="H1794" s="74"/>
      <c r="I1794" s="75"/>
      <c r="J1794" s="70"/>
      <c r="K1794" s="70"/>
      <c r="L1794" s="73"/>
      <c r="M1794" s="70" t="str">
        <f t="shared" si="3"/>
        <v/>
      </c>
      <c r="N1794" s="70" t="str">
        <f>IF($A$3=" "," ", IFERROR( VLOOKUP($A1794,'SUPPLIER DATA BASE'!$A$2:$O$936,11,0),""))</f>
        <v/>
      </c>
      <c r="O1794" s="70" t="str">
        <f>IF($A$3=" "," ", IFERROR( VLOOKUP($A1794,'SUPPLIER DATA BASE'!$A$2:$O$936,12,0),""))</f>
        <v/>
      </c>
      <c r="P1794" s="70" t="str">
        <f>IF($A$3=" "," ", IFERROR( VLOOKUP($A1794,'SUPPLIER DATA BASE'!$A$2:$O$936,13,0),""))</f>
        <v/>
      </c>
      <c r="Q1794" s="77"/>
      <c r="R1794" s="73"/>
      <c r="S1794" s="77"/>
      <c r="T1794" s="70"/>
      <c r="U1794" s="78"/>
      <c r="V1794" s="70" t="str">
        <f t="shared" si="6"/>
        <v/>
      </c>
      <c r="W1794" s="23"/>
      <c r="X1794" s="23"/>
    </row>
    <row r="1795">
      <c r="A1795" s="70"/>
      <c r="B1795" s="70" t="str">
        <f>IF($A$3=" "," ", IFERROR( VLOOKUP($A1795,'SUPPLIER DATA BASE'!$A$2:$M$936,3,0),""))</f>
        <v/>
      </c>
      <c r="C1795" s="70" t="str">
        <f>IF($A$3=" "," ", IFERROR( VLOOKUP($A1795,'SUPPLIER DATA BASE'!$A$2:$F$936,6,0),""))</f>
        <v/>
      </c>
      <c r="D1795" s="70" t="str">
        <f>IF($A$3=" "," ", IFERROR( VLOOKUP($A1795,'SUPPLIER DATA BASE'!$A$2:$G$936,4,0),""))</f>
        <v/>
      </c>
      <c r="E1795" s="71" t="str">
        <f>IF($A$3=" "," ", IFERROR( VLOOKUP($A1795,'SUPPLIER DATA BASE'!$A$2:$H$936,5,0),""))</f>
        <v/>
      </c>
      <c r="F1795" s="72"/>
      <c r="G1795" s="73"/>
      <c r="H1795" s="74"/>
      <c r="I1795" s="75"/>
      <c r="J1795" s="70"/>
      <c r="K1795" s="70"/>
      <c r="L1795" s="73"/>
      <c r="M1795" s="70" t="str">
        <f t="shared" si="3"/>
        <v/>
      </c>
      <c r="N1795" s="70" t="str">
        <f>IF($A$3=" "," ", IFERROR( VLOOKUP($A1795,'SUPPLIER DATA BASE'!$A$2:$O$936,11,0),""))</f>
        <v/>
      </c>
      <c r="O1795" s="70" t="str">
        <f>IF($A$3=" "," ", IFERROR( VLOOKUP($A1795,'SUPPLIER DATA BASE'!$A$2:$O$936,12,0),""))</f>
        <v/>
      </c>
      <c r="P1795" s="70" t="str">
        <f>IF($A$3=" "," ", IFERROR( VLOOKUP($A1795,'SUPPLIER DATA BASE'!$A$2:$O$936,13,0),""))</f>
        <v/>
      </c>
      <c r="Q1795" s="77"/>
      <c r="R1795" s="73"/>
      <c r="S1795" s="77"/>
      <c r="T1795" s="70"/>
      <c r="U1795" s="78"/>
      <c r="V1795" s="70" t="str">
        <f t="shared" si="6"/>
        <v/>
      </c>
      <c r="W1795" s="23"/>
      <c r="X1795" s="23"/>
    </row>
    <row r="1796">
      <c r="A1796" s="70"/>
      <c r="B1796" s="70" t="str">
        <f>IF($A$3=" "," ", IFERROR( VLOOKUP($A1796,'SUPPLIER DATA BASE'!$A$2:$M$936,3,0),""))</f>
        <v/>
      </c>
      <c r="C1796" s="70" t="str">
        <f>IF($A$3=" "," ", IFERROR( VLOOKUP($A1796,'SUPPLIER DATA BASE'!$A$2:$F$936,6,0),""))</f>
        <v/>
      </c>
      <c r="D1796" s="70" t="str">
        <f>IF($A$3=" "," ", IFERROR( VLOOKUP($A1796,'SUPPLIER DATA BASE'!$A$2:$G$936,4,0),""))</f>
        <v/>
      </c>
      <c r="E1796" s="71" t="str">
        <f>IF($A$3=" "," ", IFERROR( VLOOKUP($A1796,'SUPPLIER DATA BASE'!$A$2:$H$936,5,0),""))</f>
        <v/>
      </c>
      <c r="F1796" s="72"/>
      <c r="G1796" s="73"/>
      <c r="H1796" s="74"/>
      <c r="I1796" s="75"/>
      <c r="J1796" s="70"/>
      <c r="K1796" s="70"/>
      <c r="L1796" s="73"/>
      <c r="M1796" s="70" t="str">
        <f t="shared" si="3"/>
        <v/>
      </c>
      <c r="N1796" s="70" t="str">
        <f>IF($A$3=" "," ", IFERROR( VLOOKUP($A1796,'SUPPLIER DATA BASE'!$A$2:$O$936,11,0),""))</f>
        <v/>
      </c>
      <c r="O1796" s="70" t="str">
        <f>IF($A$3=" "," ", IFERROR( VLOOKUP($A1796,'SUPPLIER DATA BASE'!$A$2:$O$936,12,0),""))</f>
        <v/>
      </c>
      <c r="P1796" s="70" t="str">
        <f>IF($A$3=" "," ", IFERROR( VLOOKUP($A1796,'SUPPLIER DATA BASE'!$A$2:$O$936,13,0),""))</f>
        <v/>
      </c>
      <c r="Q1796" s="77"/>
      <c r="R1796" s="73"/>
      <c r="S1796" s="77"/>
      <c r="T1796" s="70"/>
      <c r="U1796" s="78"/>
      <c r="V1796" s="70" t="str">
        <f t="shared" si="6"/>
        <v/>
      </c>
      <c r="W1796" s="23"/>
      <c r="X1796" s="23"/>
    </row>
    <row r="1797">
      <c r="A1797" s="70"/>
      <c r="B1797" s="70" t="str">
        <f>IF($A$3=" "," ", IFERROR( VLOOKUP($A1797,'SUPPLIER DATA BASE'!$A$2:$M$936,3,0),""))</f>
        <v/>
      </c>
      <c r="C1797" s="70" t="str">
        <f>IF($A$3=" "," ", IFERROR( VLOOKUP($A1797,'SUPPLIER DATA BASE'!$A$2:$F$936,6,0),""))</f>
        <v/>
      </c>
      <c r="D1797" s="70" t="str">
        <f>IF($A$3=" "," ", IFERROR( VLOOKUP($A1797,'SUPPLIER DATA BASE'!$A$2:$G$936,4,0),""))</f>
        <v/>
      </c>
      <c r="E1797" s="71" t="str">
        <f>IF($A$3=" "," ", IFERROR( VLOOKUP($A1797,'SUPPLIER DATA BASE'!$A$2:$H$936,5,0),""))</f>
        <v/>
      </c>
      <c r="F1797" s="72"/>
      <c r="G1797" s="73"/>
      <c r="H1797" s="74"/>
      <c r="I1797" s="75"/>
      <c r="J1797" s="70"/>
      <c r="K1797" s="70"/>
      <c r="L1797" s="73"/>
      <c r="M1797" s="70" t="str">
        <f t="shared" si="3"/>
        <v/>
      </c>
      <c r="N1797" s="70" t="str">
        <f>IF($A$3=" "," ", IFERROR( VLOOKUP($A1797,'SUPPLIER DATA BASE'!$A$2:$O$936,11,0),""))</f>
        <v/>
      </c>
      <c r="O1797" s="70" t="str">
        <f>IF($A$3=" "," ", IFERROR( VLOOKUP($A1797,'SUPPLIER DATA BASE'!$A$2:$O$936,12,0),""))</f>
        <v/>
      </c>
      <c r="P1797" s="70" t="str">
        <f>IF($A$3=" "," ", IFERROR( VLOOKUP($A1797,'SUPPLIER DATA BASE'!$A$2:$O$936,13,0),""))</f>
        <v/>
      </c>
      <c r="Q1797" s="77"/>
      <c r="R1797" s="73"/>
      <c r="S1797" s="77"/>
      <c r="T1797" s="70"/>
      <c r="U1797" s="78"/>
      <c r="V1797" s="70" t="str">
        <f t="shared" si="6"/>
        <v/>
      </c>
      <c r="W1797" s="23"/>
      <c r="X1797" s="23"/>
    </row>
    <row r="1798">
      <c r="A1798" s="70"/>
      <c r="B1798" s="70" t="str">
        <f>IF($A$3=" "," ", IFERROR( VLOOKUP($A1798,'SUPPLIER DATA BASE'!$A$2:$M$936,3,0),""))</f>
        <v/>
      </c>
      <c r="C1798" s="70" t="str">
        <f>IF($A$3=" "," ", IFERROR( VLOOKUP($A1798,'SUPPLIER DATA BASE'!$A$2:$F$936,6,0),""))</f>
        <v/>
      </c>
      <c r="D1798" s="70" t="str">
        <f>IF($A$3=" "," ", IFERROR( VLOOKUP($A1798,'SUPPLIER DATA BASE'!$A$2:$G$936,4,0),""))</f>
        <v/>
      </c>
      <c r="E1798" s="71" t="str">
        <f>IF($A$3=" "," ", IFERROR( VLOOKUP($A1798,'SUPPLIER DATA BASE'!$A$2:$H$936,5,0),""))</f>
        <v/>
      </c>
      <c r="F1798" s="72"/>
      <c r="G1798" s="73"/>
      <c r="H1798" s="74"/>
      <c r="I1798" s="75"/>
      <c r="J1798" s="70"/>
      <c r="K1798" s="70"/>
      <c r="L1798" s="73"/>
      <c r="M1798" s="70" t="str">
        <f t="shared" si="3"/>
        <v/>
      </c>
      <c r="N1798" s="70" t="str">
        <f>IF($A$3=" "," ", IFERROR( VLOOKUP($A1798,'SUPPLIER DATA BASE'!$A$2:$O$936,11,0),""))</f>
        <v/>
      </c>
      <c r="O1798" s="70" t="str">
        <f>IF($A$3=" "," ", IFERROR( VLOOKUP($A1798,'SUPPLIER DATA BASE'!$A$2:$O$936,12,0),""))</f>
        <v/>
      </c>
      <c r="P1798" s="70" t="str">
        <f>IF($A$3=" "," ", IFERROR( VLOOKUP($A1798,'SUPPLIER DATA BASE'!$A$2:$O$936,13,0),""))</f>
        <v/>
      </c>
      <c r="Q1798" s="77"/>
      <c r="R1798" s="73"/>
      <c r="S1798" s="77"/>
      <c r="T1798" s="70"/>
      <c r="U1798" s="78"/>
      <c r="V1798" s="70" t="str">
        <f t="shared" si="6"/>
        <v/>
      </c>
      <c r="W1798" s="23"/>
      <c r="X1798" s="23"/>
    </row>
    <row r="1799">
      <c r="A1799" s="70"/>
      <c r="B1799" s="70" t="str">
        <f>IF($A$3=" "," ", IFERROR( VLOOKUP($A1799,'SUPPLIER DATA BASE'!$A$2:$M$936,3,0),""))</f>
        <v/>
      </c>
      <c r="C1799" s="70" t="str">
        <f>IF($A$3=" "," ", IFERROR( VLOOKUP($A1799,'SUPPLIER DATA BASE'!$A$2:$F$936,6,0),""))</f>
        <v/>
      </c>
      <c r="D1799" s="70" t="str">
        <f>IF($A$3=" "," ", IFERROR( VLOOKUP($A1799,'SUPPLIER DATA BASE'!$A$2:$G$936,4,0),""))</f>
        <v/>
      </c>
      <c r="E1799" s="71" t="str">
        <f>IF($A$3=" "," ", IFERROR( VLOOKUP($A1799,'SUPPLIER DATA BASE'!$A$2:$H$936,5,0),""))</f>
        <v/>
      </c>
      <c r="F1799" s="72"/>
      <c r="G1799" s="73"/>
      <c r="H1799" s="74"/>
      <c r="I1799" s="75"/>
      <c r="J1799" s="70"/>
      <c r="K1799" s="70"/>
      <c r="L1799" s="73"/>
      <c r="M1799" s="70" t="str">
        <f t="shared" si="3"/>
        <v/>
      </c>
      <c r="N1799" s="70" t="str">
        <f>IF($A$3=" "," ", IFERROR( VLOOKUP($A1799,'SUPPLIER DATA BASE'!$A$2:$O$936,11,0),""))</f>
        <v/>
      </c>
      <c r="O1799" s="70" t="str">
        <f>IF($A$3=" "," ", IFERROR( VLOOKUP($A1799,'SUPPLIER DATA BASE'!$A$2:$O$936,12,0),""))</f>
        <v/>
      </c>
      <c r="P1799" s="70" t="str">
        <f>IF($A$3=" "," ", IFERROR( VLOOKUP($A1799,'SUPPLIER DATA BASE'!$A$2:$O$936,13,0),""))</f>
        <v/>
      </c>
      <c r="Q1799" s="77"/>
      <c r="R1799" s="73"/>
      <c r="S1799" s="77"/>
      <c r="T1799" s="70"/>
      <c r="U1799" s="78"/>
      <c r="V1799" s="70" t="str">
        <f t="shared" si="6"/>
        <v/>
      </c>
      <c r="W1799" s="23"/>
      <c r="X1799" s="23"/>
    </row>
    <row r="1800">
      <c r="A1800" s="70"/>
      <c r="B1800" s="70" t="str">
        <f>IF($A$3=" "," ", IFERROR( VLOOKUP($A1800,'SUPPLIER DATA BASE'!$A$2:$M$936,3,0),""))</f>
        <v/>
      </c>
      <c r="C1800" s="70" t="str">
        <f>IF($A$3=" "," ", IFERROR( VLOOKUP($A1800,'SUPPLIER DATA BASE'!$A$2:$F$936,6,0),""))</f>
        <v/>
      </c>
      <c r="D1800" s="70" t="str">
        <f>IF($A$3=" "," ", IFERROR( VLOOKUP($A1800,'SUPPLIER DATA BASE'!$A$2:$G$936,4,0),""))</f>
        <v/>
      </c>
      <c r="E1800" s="71" t="str">
        <f>IF($A$3=" "," ", IFERROR( VLOOKUP($A1800,'SUPPLIER DATA BASE'!$A$2:$H$936,5,0),""))</f>
        <v/>
      </c>
      <c r="F1800" s="72"/>
      <c r="G1800" s="73"/>
      <c r="H1800" s="74"/>
      <c r="I1800" s="75"/>
      <c r="J1800" s="70"/>
      <c r="K1800" s="70"/>
      <c r="L1800" s="73"/>
      <c r="M1800" s="70" t="str">
        <f t="shared" si="3"/>
        <v/>
      </c>
      <c r="N1800" s="70" t="str">
        <f>IF($A$3=" "," ", IFERROR( VLOOKUP($A1800,'SUPPLIER DATA BASE'!$A$2:$O$936,11,0),""))</f>
        <v/>
      </c>
      <c r="O1800" s="70" t="str">
        <f>IF($A$3=" "," ", IFERROR( VLOOKUP($A1800,'SUPPLIER DATA BASE'!$A$2:$O$936,12,0),""))</f>
        <v/>
      </c>
      <c r="P1800" s="70" t="str">
        <f>IF($A$3=" "," ", IFERROR( VLOOKUP($A1800,'SUPPLIER DATA BASE'!$A$2:$O$936,13,0),""))</f>
        <v/>
      </c>
      <c r="Q1800" s="77"/>
      <c r="R1800" s="73"/>
      <c r="S1800" s="77"/>
      <c r="T1800" s="70"/>
      <c r="U1800" s="78"/>
      <c r="V1800" s="70" t="str">
        <f t="shared" si="6"/>
        <v/>
      </c>
      <c r="W1800" s="23"/>
      <c r="X1800" s="23"/>
    </row>
    <row r="1801">
      <c r="A1801" s="70"/>
      <c r="B1801" s="70" t="str">
        <f>IF($A$3=" "," ", IFERROR( VLOOKUP($A1801,'SUPPLIER DATA BASE'!$A$2:$M$936,3,0),""))</f>
        <v/>
      </c>
      <c r="C1801" s="70" t="str">
        <f>IF($A$3=" "," ", IFERROR( VLOOKUP($A1801,'SUPPLIER DATA BASE'!$A$2:$F$936,6,0),""))</f>
        <v/>
      </c>
      <c r="D1801" s="70" t="str">
        <f>IF($A$3=" "," ", IFERROR( VLOOKUP($A1801,'SUPPLIER DATA BASE'!$A$2:$G$936,4,0),""))</f>
        <v/>
      </c>
      <c r="E1801" s="71" t="str">
        <f>IF($A$3=" "," ", IFERROR( VLOOKUP($A1801,'SUPPLIER DATA BASE'!$A$2:$H$936,5,0),""))</f>
        <v/>
      </c>
      <c r="F1801" s="72"/>
      <c r="G1801" s="73"/>
      <c r="H1801" s="74"/>
      <c r="I1801" s="75"/>
      <c r="J1801" s="70"/>
      <c r="K1801" s="70"/>
      <c r="L1801" s="73"/>
      <c r="M1801" s="70" t="str">
        <f t="shared" si="3"/>
        <v/>
      </c>
      <c r="N1801" s="70" t="str">
        <f>IF($A$3=" "," ", IFERROR( VLOOKUP($A1801,'SUPPLIER DATA BASE'!$A$2:$O$936,11,0),""))</f>
        <v/>
      </c>
      <c r="O1801" s="70" t="str">
        <f>IF($A$3=" "," ", IFERROR( VLOOKUP($A1801,'SUPPLIER DATA BASE'!$A$2:$O$936,12,0),""))</f>
        <v/>
      </c>
      <c r="P1801" s="70" t="str">
        <f>IF($A$3=" "," ", IFERROR( VLOOKUP($A1801,'SUPPLIER DATA BASE'!$A$2:$O$936,13,0),""))</f>
        <v/>
      </c>
      <c r="Q1801" s="77"/>
      <c r="R1801" s="73"/>
      <c r="S1801" s="77"/>
      <c r="T1801" s="70"/>
      <c r="U1801" s="78"/>
      <c r="V1801" s="70" t="str">
        <f t="shared" si="6"/>
        <v/>
      </c>
      <c r="W1801" s="23"/>
      <c r="X1801" s="23"/>
    </row>
    <row r="1802">
      <c r="A1802" s="70"/>
      <c r="B1802" s="70" t="str">
        <f>IF($A$3=" "," ", IFERROR( VLOOKUP($A1802,'SUPPLIER DATA BASE'!$A$2:$M$936,3,0),""))</f>
        <v/>
      </c>
      <c r="C1802" s="70" t="str">
        <f>IF($A$3=" "," ", IFERROR( VLOOKUP($A1802,'SUPPLIER DATA BASE'!$A$2:$F$936,6,0),""))</f>
        <v/>
      </c>
      <c r="D1802" s="70" t="str">
        <f>IF($A$3=" "," ", IFERROR( VLOOKUP($A1802,'SUPPLIER DATA BASE'!$A$2:$G$936,4,0),""))</f>
        <v/>
      </c>
      <c r="E1802" s="71" t="str">
        <f>IF($A$3=" "," ", IFERROR( VLOOKUP($A1802,'SUPPLIER DATA BASE'!$A$2:$H$936,5,0),""))</f>
        <v/>
      </c>
      <c r="F1802" s="72"/>
      <c r="G1802" s="73"/>
      <c r="H1802" s="74"/>
      <c r="I1802" s="75"/>
      <c r="J1802" s="70"/>
      <c r="K1802" s="70"/>
      <c r="L1802" s="73"/>
      <c r="M1802" s="70" t="str">
        <f t="shared" si="3"/>
        <v/>
      </c>
      <c r="N1802" s="70" t="str">
        <f>IF($A$3=" "," ", IFERROR( VLOOKUP($A1802,'SUPPLIER DATA BASE'!$A$2:$O$936,11,0),""))</f>
        <v/>
      </c>
      <c r="O1802" s="70" t="str">
        <f>IF($A$3=" "," ", IFERROR( VLOOKUP($A1802,'SUPPLIER DATA BASE'!$A$2:$O$936,12,0),""))</f>
        <v/>
      </c>
      <c r="P1802" s="70" t="str">
        <f>IF($A$3=" "," ", IFERROR( VLOOKUP($A1802,'SUPPLIER DATA BASE'!$A$2:$O$936,13,0),""))</f>
        <v/>
      </c>
      <c r="Q1802" s="77"/>
      <c r="R1802" s="73"/>
      <c r="S1802" s="77"/>
      <c r="T1802" s="70"/>
      <c r="U1802" s="78"/>
      <c r="V1802" s="70" t="str">
        <f t="shared" si="6"/>
        <v/>
      </c>
      <c r="W1802" s="23"/>
      <c r="X1802" s="23"/>
    </row>
    <row r="1803">
      <c r="A1803" s="70"/>
      <c r="B1803" s="70" t="str">
        <f>IF($A$3=" "," ", IFERROR( VLOOKUP($A1803,'SUPPLIER DATA BASE'!$A$2:$M$936,3,0),""))</f>
        <v/>
      </c>
      <c r="C1803" s="70" t="str">
        <f>IF($A$3=" "," ", IFERROR( VLOOKUP($A1803,'SUPPLIER DATA BASE'!$A$2:$F$936,6,0),""))</f>
        <v/>
      </c>
      <c r="D1803" s="70" t="str">
        <f>IF($A$3=" "," ", IFERROR( VLOOKUP($A1803,'SUPPLIER DATA BASE'!$A$2:$G$936,4,0),""))</f>
        <v/>
      </c>
      <c r="E1803" s="71" t="str">
        <f>IF($A$3=" "," ", IFERROR( VLOOKUP($A1803,'SUPPLIER DATA BASE'!$A$2:$H$936,5,0),""))</f>
        <v/>
      </c>
      <c r="F1803" s="72"/>
      <c r="G1803" s="73"/>
      <c r="H1803" s="74"/>
      <c r="I1803" s="75"/>
      <c r="J1803" s="70"/>
      <c r="K1803" s="70"/>
      <c r="L1803" s="73"/>
      <c r="M1803" s="70" t="str">
        <f t="shared" si="3"/>
        <v/>
      </c>
      <c r="N1803" s="70" t="str">
        <f>IF($A$3=" "," ", IFERROR( VLOOKUP($A1803,'SUPPLIER DATA BASE'!$A$2:$O$936,11,0),""))</f>
        <v/>
      </c>
      <c r="O1803" s="70" t="str">
        <f>IF($A$3=" "," ", IFERROR( VLOOKUP($A1803,'SUPPLIER DATA BASE'!$A$2:$O$936,12,0),""))</f>
        <v/>
      </c>
      <c r="P1803" s="70" t="str">
        <f>IF($A$3=" "," ", IFERROR( VLOOKUP($A1803,'SUPPLIER DATA BASE'!$A$2:$O$936,13,0),""))</f>
        <v/>
      </c>
      <c r="Q1803" s="77"/>
      <c r="R1803" s="73"/>
      <c r="S1803" s="77"/>
      <c r="T1803" s="70"/>
      <c r="U1803" s="78"/>
      <c r="V1803" s="70" t="str">
        <f t="shared" si="6"/>
        <v/>
      </c>
      <c r="W1803" s="23"/>
      <c r="X1803" s="23"/>
    </row>
    <row r="1804">
      <c r="A1804" s="70"/>
      <c r="B1804" s="70" t="str">
        <f>IF($A$3=" "," ", IFERROR( VLOOKUP($A1804,'SUPPLIER DATA BASE'!$A$2:$M$936,3,0),""))</f>
        <v/>
      </c>
      <c r="C1804" s="70" t="str">
        <f>IF($A$3=" "," ", IFERROR( VLOOKUP($A1804,'SUPPLIER DATA BASE'!$A$2:$F$936,6,0),""))</f>
        <v/>
      </c>
      <c r="D1804" s="70" t="str">
        <f>IF($A$3=" "," ", IFERROR( VLOOKUP($A1804,'SUPPLIER DATA BASE'!$A$2:$G$936,4,0),""))</f>
        <v/>
      </c>
      <c r="E1804" s="71" t="str">
        <f>IF($A$3=" "," ", IFERROR( VLOOKUP($A1804,'SUPPLIER DATA BASE'!$A$2:$H$936,5,0),""))</f>
        <v/>
      </c>
      <c r="F1804" s="72"/>
      <c r="G1804" s="73"/>
      <c r="H1804" s="74"/>
      <c r="I1804" s="75"/>
      <c r="J1804" s="70"/>
      <c r="K1804" s="70"/>
      <c r="L1804" s="73"/>
      <c r="M1804" s="70" t="str">
        <f t="shared" si="3"/>
        <v/>
      </c>
      <c r="N1804" s="70" t="str">
        <f>IF($A$3=" "," ", IFERROR( VLOOKUP($A1804,'SUPPLIER DATA BASE'!$A$2:$O$936,11,0),""))</f>
        <v/>
      </c>
      <c r="O1804" s="70" t="str">
        <f>IF($A$3=" "," ", IFERROR( VLOOKUP($A1804,'SUPPLIER DATA BASE'!$A$2:$O$936,12,0),""))</f>
        <v/>
      </c>
      <c r="P1804" s="70" t="str">
        <f>IF($A$3=" "," ", IFERROR( VLOOKUP($A1804,'SUPPLIER DATA BASE'!$A$2:$O$936,13,0),""))</f>
        <v/>
      </c>
      <c r="Q1804" s="77"/>
      <c r="R1804" s="73"/>
      <c r="S1804" s="77"/>
      <c r="T1804" s="70"/>
      <c r="U1804" s="78"/>
      <c r="V1804" s="70" t="str">
        <f t="shared" si="6"/>
        <v/>
      </c>
      <c r="W1804" s="23"/>
      <c r="X1804" s="23"/>
    </row>
    <row r="1805">
      <c r="A1805" s="70"/>
      <c r="B1805" s="70" t="str">
        <f>IF($A$3=" "," ", IFERROR( VLOOKUP($A1805,'SUPPLIER DATA BASE'!$A$2:$M$936,3,0),""))</f>
        <v/>
      </c>
      <c r="C1805" s="70" t="str">
        <f>IF($A$3=" "," ", IFERROR( VLOOKUP($A1805,'SUPPLIER DATA BASE'!$A$2:$F$936,6,0),""))</f>
        <v/>
      </c>
      <c r="D1805" s="70" t="str">
        <f>IF($A$3=" "," ", IFERROR( VLOOKUP($A1805,'SUPPLIER DATA BASE'!$A$2:$G$936,4,0),""))</f>
        <v/>
      </c>
      <c r="E1805" s="71" t="str">
        <f>IF($A$3=" "," ", IFERROR( VLOOKUP($A1805,'SUPPLIER DATA BASE'!$A$2:$H$936,5,0),""))</f>
        <v/>
      </c>
      <c r="F1805" s="72"/>
      <c r="G1805" s="73"/>
      <c r="H1805" s="74"/>
      <c r="I1805" s="75"/>
      <c r="J1805" s="70"/>
      <c r="K1805" s="70"/>
      <c r="L1805" s="73"/>
      <c r="M1805" s="70" t="str">
        <f t="shared" si="3"/>
        <v/>
      </c>
      <c r="N1805" s="70" t="str">
        <f>IF($A$3=" "," ", IFERROR( VLOOKUP($A1805,'SUPPLIER DATA BASE'!$A$2:$O$936,11,0),""))</f>
        <v/>
      </c>
      <c r="O1805" s="70" t="str">
        <f>IF($A$3=" "," ", IFERROR( VLOOKUP($A1805,'SUPPLIER DATA BASE'!$A$2:$O$936,12,0),""))</f>
        <v/>
      </c>
      <c r="P1805" s="70" t="str">
        <f>IF($A$3=" "," ", IFERROR( VLOOKUP($A1805,'SUPPLIER DATA BASE'!$A$2:$O$936,13,0),""))</f>
        <v/>
      </c>
      <c r="Q1805" s="77"/>
      <c r="R1805" s="73"/>
      <c r="S1805" s="77"/>
      <c r="T1805" s="70"/>
      <c r="U1805" s="78"/>
      <c r="V1805" s="70" t="str">
        <f t="shared" si="6"/>
        <v/>
      </c>
      <c r="W1805" s="23"/>
      <c r="X1805" s="23"/>
    </row>
    <row r="1806">
      <c r="A1806" s="70"/>
      <c r="B1806" s="70" t="str">
        <f>IF($A$3=" "," ", IFERROR( VLOOKUP($A1806,'SUPPLIER DATA BASE'!$A$2:$M$936,3,0),""))</f>
        <v/>
      </c>
      <c r="C1806" s="70" t="str">
        <f>IF($A$3=" "," ", IFERROR( VLOOKUP($A1806,'SUPPLIER DATA BASE'!$A$2:$F$936,6,0),""))</f>
        <v/>
      </c>
      <c r="D1806" s="70" t="str">
        <f>IF($A$3=" "," ", IFERROR( VLOOKUP($A1806,'SUPPLIER DATA BASE'!$A$2:$G$936,4,0),""))</f>
        <v/>
      </c>
      <c r="E1806" s="71" t="str">
        <f>IF($A$3=" "," ", IFERROR( VLOOKUP($A1806,'SUPPLIER DATA BASE'!$A$2:$H$936,5,0),""))</f>
        <v/>
      </c>
      <c r="F1806" s="72"/>
      <c r="G1806" s="73"/>
      <c r="H1806" s="74"/>
      <c r="I1806" s="75"/>
      <c r="J1806" s="70"/>
      <c r="K1806" s="70"/>
      <c r="L1806" s="73"/>
      <c r="M1806" s="70" t="str">
        <f t="shared" si="3"/>
        <v/>
      </c>
      <c r="N1806" s="70" t="str">
        <f>IF($A$3=" "," ", IFERROR( VLOOKUP($A1806,'SUPPLIER DATA BASE'!$A$2:$O$936,11,0),""))</f>
        <v/>
      </c>
      <c r="O1806" s="70" t="str">
        <f>IF($A$3=" "," ", IFERROR( VLOOKUP($A1806,'SUPPLIER DATA BASE'!$A$2:$O$936,12,0),""))</f>
        <v/>
      </c>
      <c r="P1806" s="70" t="str">
        <f>IF($A$3=" "," ", IFERROR( VLOOKUP($A1806,'SUPPLIER DATA BASE'!$A$2:$O$936,13,0),""))</f>
        <v/>
      </c>
      <c r="Q1806" s="77"/>
      <c r="R1806" s="73"/>
      <c r="S1806" s="77"/>
      <c r="T1806" s="70"/>
      <c r="U1806" s="78"/>
      <c r="V1806" s="70" t="str">
        <f t="shared" si="6"/>
        <v/>
      </c>
      <c r="W1806" s="23"/>
      <c r="X1806" s="23"/>
    </row>
    <row r="1807">
      <c r="A1807" s="70"/>
      <c r="B1807" s="70" t="str">
        <f>IF($A$3=" "," ", IFERROR( VLOOKUP($A1807,'SUPPLIER DATA BASE'!$A$2:$M$936,3,0),""))</f>
        <v/>
      </c>
      <c r="C1807" s="70" t="str">
        <f>IF($A$3=" "," ", IFERROR( VLOOKUP($A1807,'SUPPLIER DATA BASE'!$A$2:$F$936,6,0),""))</f>
        <v/>
      </c>
      <c r="D1807" s="70" t="str">
        <f>IF($A$3=" "," ", IFERROR( VLOOKUP($A1807,'SUPPLIER DATA BASE'!$A$2:$G$936,4,0),""))</f>
        <v/>
      </c>
      <c r="E1807" s="71" t="str">
        <f>IF($A$3=" "," ", IFERROR( VLOOKUP($A1807,'SUPPLIER DATA BASE'!$A$2:$H$936,5,0),""))</f>
        <v/>
      </c>
      <c r="F1807" s="72"/>
      <c r="G1807" s="73"/>
      <c r="H1807" s="74"/>
      <c r="I1807" s="75"/>
      <c r="J1807" s="70"/>
      <c r="K1807" s="70"/>
      <c r="L1807" s="73"/>
      <c r="M1807" s="70" t="str">
        <f t="shared" si="3"/>
        <v/>
      </c>
      <c r="N1807" s="70" t="str">
        <f>IF($A$3=" "," ", IFERROR( VLOOKUP($A1807,'SUPPLIER DATA BASE'!$A$2:$O$936,11,0),""))</f>
        <v/>
      </c>
      <c r="O1807" s="70" t="str">
        <f>IF($A$3=" "," ", IFERROR( VLOOKUP($A1807,'SUPPLIER DATA BASE'!$A$2:$O$936,12,0),""))</f>
        <v/>
      </c>
      <c r="P1807" s="70" t="str">
        <f>IF($A$3=" "," ", IFERROR( VLOOKUP($A1807,'SUPPLIER DATA BASE'!$A$2:$O$936,13,0),""))</f>
        <v/>
      </c>
      <c r="Q1807" s="77"/>
      <c r="R1807" s="73"/>
      <c r="S1807" s="77"/>
      <c r="T1807" s="70"/>
      <c r="U1807" s="78"/>
      <c r="V1807" s="70" t="str">
        <f t="shared" si="6"/>
        <v/>
      </c>
      <c r="W1807" s="23"/>
      <c r="X1807" s="23"/>
    </row>
    <row r="1808">
      <c r="A1808" s="70"/>
      <c r="B1808" s="70" t="str">
        <f>IF($A$3=" "," ", IFERROR( VLOOKUP($A1808,'SUPPLIER DATA BASE'!$A$2:$M$936,3,0),""))</f>
        <v/>
      </c>
      <c r="C1808" s="70" t="str">
        <f>IF($A$3=" "," ", IFERROR( VLOOKUP($A1808,'SUPPLIER DATA BASE'!$A$2:$F$936,6,0),""))</f>
        <v/>
      </c>
      <c r="D1808" s="70" t="str">
        <f>IF($A$3=" "," ", IFERROR( VLOOKUP($A1808,'SUPPLIER DATA BASE'!$A$2:$G$936,4,0),""))</f>
        <v/>
      </c>
      <c r="E1808" s="71" t="str">
        <f>IF($A$3=" "," ", IFERROR( VLOOKUP($A1808,'SUPPLIER DATA BASE'!$A$2:$H$936,5,0),""))</f>
        <v/>
      </c>
      <c r="F1808" s="72"/>
      <c r="G1808" s="73"/>
      <c r="H1808" s="74"/>
      <c r="I1808" s="75"/>
      <c r="J1808" s="70"/>
      <c r="K1808" s="70"/>
      <c r="L1808" s="73"/>
      <c r="M1808" s="70" t="str">
        <f t="shared" si="3"/>
        <v/>
      </c>
      <c r="N1808" s="70" t="str">
        <f>IF($A$3=" "," ", IFERROR( VLOOKUP($A1808,'SUPPLIER DATA BASE'!$A$2:$O$936,11,0),""))</f>
        <v/>
      </c>
      <c r="O1808" s="70" t="str">
        <f>IF($A$3=" "," ", IFERROR( VLOOKUP($A1808,'SUPPLIER DATA BASE'!$A$2:$O$936,12,0),""))</f>
        <v/>
      </c>
      <c r="P1808" s="70" t="str">
        <f>IF($A$3=" "," ", IFERROR( VLOOKUP($A1808,'SUPPLIER DATA BASE'!$A$2:$O$936,13,0),""))</f>
        <v/>
      </c>
      <c r="Q1808" s="77"/>
      <c r="R1808" s="73"/>
      <c r="S1808" s="77"/>
      <c r="T1808" s="70"/>
      <c r="U1808" s="78"/>
      <c r="V1808" s="70" t="str">
        <f t="shared" si="6"/>
        <v/>
      </c>
      <c r="W1808" s="23"/>
      <c r="X1808" s="23"/>
    </row>
    <row r="1809">
      <c r="A1809" s="70"/>
      <c r="B1809" s="70" t="str">
        <f>IF($A$3=" "," ", IFERROR( VLOOKUP($A1809,'SUPPLIER DATA BASE'!$A$2:$M$936,3,0),""))</f>
        <v/>
      </c>
      <c r="C1809" s="70" t="str">
        <f>IF($A$3=" "," ", IFERROR( VLOOKUP($A1809,'SUPPLIER DATA BASE'!$A$2:$F$936,6,0),""))</f>
        <v/>
      </c>
      <c r="D1809" s="70" t="str">
        <f>IF($A$3=" "," ", IFERROR( VLOOKUP($A1809,'SUPPLIER DATA BASE'!$A$2:$G$936,4,0),""))</f>
        <v/>
      </c>
      <c r="E1809" s="71" t="str">
        <f>IF($A$3=" "," ", IFERROR( VLOOKUP($A1809,'SUPPLIER DATA BASE'!$A$2:$H$936,5,0),""))</f>
        <v/>
      </c>
      <c r="F1809" s="72"/>
      <c r="G1809" s="73"/>
      <c r="H1809" s="74"/>
      <c r="I1809" s="75"/>
      <c r="J1809" s="70"/>
      <c r="K1809" s="70"/>
      <c r="L1809" s="73"/>
      <c r="M1809" s="70" t="str">
        <f t="shared" si="3"/>
        <v/>
      </c>
      <c r="N1809" s="70" t="str">
        <f>IF($A$3=" "," ", IFERROR( VLOOKUP($A1809,'SUPPLIER DATA BASE'!$A$2:$O$936,11,0),""))</f>
        <v/>
      </c>
      <c r="O1809" s="70" t="str">
        <f>IF($A$3=" "," ", IFERROR( VLOOKUP($A1809,'SUPPLIER DATA BASE'!$A$2:$O$936,12,0),""))</f>
        <v/>
      </c>
      <c r="P1809" s="70" t="str">
        <f>IF($A$3=" "," ", IFERROR( VLOOKUP($A1809,'SUPPLIER DATA BASE'!$A$2:$O$936,13,0),""))</f>
        <v/>
      </c>
      <c r="Q1809" s="77"/>
      <c r="R1809" s="73"/>
      <c r="S1809" s="77"/>
      <c r="T1809" s="70"/>
      <c r="U1809" s="78"/>
      <c r="V1809" s="70" t="str">
        <f t="shared" si="6"/>
        <v/>
      </c>
      <c r="W1809" s="23"/>
      <c r="X1809" s="23"/>
    </row>
    <row r="1810">
      <c r="A1810" s="70"/>
      <c r="B1810" s="70" t="str">
        <f>IF($A$3=" "," ", IFERROR( VLOOKUP($A1810,'SUPPLIER DATA BASE'!$A$2:$M$936,3,0),""))</f>
        <v/>
      </c>
      <c r="C1810" s="70" t="str">
        <f>IF($A$3=" "," ", IFERROR( VLOOKUP($A1810,'SUPPLIER DATA BASE'!$A$2:$F$936,6,0),""))</f>
        <v/>
      </c>
      <c r="D1810" s="70" t="str">
        <f>IF($A$3=" "," ", IFERROR( VLOOKUP($A1810,'SUPPLIER DATA BASE'!$A$2:$G$936,4,0),""))</f>
        <v/>
      </c>
      <c r="E1810" s="71" t="str">
        <f>IF($A$3=" "," ", IFERROR( VLOOKUP($A1810,'SUPPLIER DATA BASE'!$A$2:$H$936,5,0),""))</f>
        <v/>
      </c>
      <c r="F1810" s="72"/>
      <c r="G1810" s="73"/>
      <c r="H1810" s="74"/>
      <c r="I1810" s="75"/>
      <c r="J1810" s="70"/>
      <c r="K1810" s="70"/>
      <c r="L1810" s="73"/>
      <c r="M1810" s="70" t="str">
        <f t="shared" si="3"/>
        <v/>
      </c>
      <c r="N1810" s="70" t="str">
        <f>IF($A$3=" "," ", IFERROR( VLOOKUP($A1810,'SUPPLIER DATA BASE'!$A$2:$O$936,11,0),""))</f>
        <v/>
      </c>
      <c r="O1810" s="70" t="str">
        <f>IF($A$3=" "," ", IFERROR( VLOOKUP($A1810,'SUPPLIER DATA BASE'!$A$2:$O$936,12,0),""))</f>
        <v/>
      </c>
      <c r="P1810" s="70" t="str">
        <f>IF($A$3=" "," ", IFERROR( VLOOKUP($A1810,'SUPPLIER DATA BASE'!$A$2:$O$936,13,0),""))</f>
        <v/>
      </c>
      <c r="Q1810" s="77"/>
      <c r="R1810" s="73"/>
      <c r="S1810" s="77"/>
      <c r="T1810" s="70"/>
      <c r="U1810" s="78"/>
      <c r="V1810" s="70" t="str">
        <f t="shared" si="6"/>
        <v/>
      </c>
      <c r="W1810" s="23"/>
      <c r="X1810" s="23"/>
    </row>
    <row r="1811">
      <c r="A1811" s="70"/>
      <c r="B1811" s="70" t="str">
        <f>IF($A$3=" "," ", IFERROR( VLOOKUP($A1811,'SUPPLIER DATA BASE'!$A$2:$M$936,3,0),""))</f>
        <v/>
      </c>
      <c r="C1811" s="70" t="str">
        <f>IF($A$3=" "," ", IFERROR( VLOOKUP($A1811,'SUPPLIER DATA BASE'!$A$2:$F$936,6,0),""))</f>
        <v/>
      </c>
      <c r="D1811" s="70" t="str">
        <f>IF($A$3=" "," ", IFERROR( VLOOKUP($A1811,'SUPPLIER DATA BASE'!$A$2:$G$936,4,0),""))</f>
        <v/>
      </c>
      <c r="E1811" s="71" t="str">
        <f>IF($A$3=" "," ", IFERROR( VLOOKUP($A1811,'SUPPLIER DATA BASE'!$A$2:$H$936,5,0),""))</f>
        <v/>
      </c>
      <c r="F1811" s="72"/>
      <c r="G1811" s="73"/>
      <c r="H1811" s="74"/>
      <c r="I1811" s="75"/>
      <c r="J1811" s="70"/>
      <c r="K1811" s="70"/>
      <c r="L1811" s="73"/>
      <c r="M1811" s="70" t="str">
        <f t="shared" si="3"/>
        <v/>
      </c>
      <c r="N1811" s="70" t="str">
        <f>IF($A$3=" "," ", IFERROR( VLOOKUP($A1811,'SUPPLIER DATA BASE'!$A$2:$O$936,11,0),""))</f>
        <v/>
      </c>
      <c r="O1811" s="70" t="str">
        <f>IF($A$3=" "," ", IFERROR( VLOOKUP($A1811,'SUPPLIER DATA BASE'!$A$2:$O$936,12,0),""))</f>
        <v/>
      </c>
      <c r="P1811" s="70" t="str">
        <f>IF($A$3=" "," ", IFERROR( VLOOKUP($A1811,'SUPPLIER DATA BASE'!$A$2:$O$936,13,0),""))</f>
        <v/>
      </c>
      <c r="Q1811" s="77"/>
      <c r="R1811" s="73"/>
      <c r="S1811" s="77"/>
      <c r="T1811" s="70"/>
      <c r="U1811" s="78"/>
      <c r="V1811" s="70" t="str">
        <f t="shared" si="6"/>
        <v/>
      </c>
      <c r="W1811" s="23"/>
      <c r="X1811" s="23"/>
    </row>
    <row r="1812">
      <c r="A1812" s="70"/>
      <c r="B1812" s="70" t="str">
        <f>IF($A$3=" "," ", IFERROR( VLOOKUP($A1812,'SUPPLIER DATA BASE'!$A$2:$M$936,3,0),""))</f>
        <v/>
      </c>
      <c r="C1812" s="70" t="str">
        <f>IF($A$3=" "," ", IFERROR( VLOOKUP($A1812,'SUPPLIER DATA BASE'!$A$2:$F$936,6,0),""))</f>
        <v/>
      </c>
      <c r="D1812" s="70" t="str">
        <f>IF($A$3=" "," ", IFERROR( VLOOKUP($A1812,'SUPPLIER DATA BASE'!$A$2:$G$936,4,0),""))</f>
        <v/>
      </c>
      <c r="E1812" s="71" t="str">
        <f>IF($A$3=" "," ", IFERROR( VLOOKUP($A1812,'SUPPLIER DATA BASE'!$A$2:$H$936,5,0),""))</f>
        <v/>
      </c>
      <c r="F1812" s="72"/>
      <c r="G1812" s="73"/>
      <c r="H1812" s="74"/>
      <c r="I1812" s="75"/>
      <c r="J1812" s="70"/>
      <c r="K1812" s="70"/>
      <c r="L1812" s="73"/>
      <c r="M1812" s="70" t="str">
        <f t="shared" si="3"/>
        <v/>
      </c>
      <c r="N1812" s="70" t="str">
        <f>IF($A$3=" "," ", IFERROR( VLOOKUP($A1812,'SUPPLIER DATA BASE'!$A$2:$O$936,11,0),""))</f>
        <v/>
      </c>
      <c r="O1812" s="70" t="str">
        <f>IF($A$3=" "," ", IFERROR( VLOOKUP($A1812,'SUPPLIER DATA BASE'!$A$2:$O$936,12,0),""))</f>
        <v/>
      </c>
      <c r="P1812" s="70" t="str">
        <f>IF($A$3=" "," ", IFERROR( VLOOKUP($A1812,'SUPPLIER DATA BASE'!$A$2:$O$936,13,0),""))</f>
        <v/>
      </c>
      <c r="Q1812" s="77"/>
      <c r="R1812" s="73"/>
      <c r="S1812" s="77"/>
      <c r="T1812" s="70"/>
      <c r="U1812" s="78"/>
      <c r="V1812" s="70" t="str">
        <f t="shared" si="6"/>
        <v/>
      </c>
      <c r="W1812" s="23"/>
      <c r="X1812" s="23"/>
    </row>
    <row r="1813">
      <c r="A1813" s="70"/>
      <c r="B1813" s="70" t="str">
        <f>IF($A$3=" "," ", IFERROR( VLOOKUP($A1813,'SUPPLIER DATA BASE'!$A$2:$M$936,3,0),""))</f>
        <v/>
      </c>
      <c r="C1813" s="70" t="str">
        <f>IF($A$3=" "," ", IFERROR( VLOOKUP($A1813,'SUPPLIER DATA BASE'!$A$2:$F$936,6,0),""))</f>
        <v/>
      </c>
      <c r="D1813" s="70" t="str">
        <f>IF($A$3=" "," ", IFERROR( VLOOKUP($A1813,'SUPPLIER DATA BASE'!$A$2:$G$936,4,0),""))</f>
        <v/>
      </c>
      <c r="E1813" s="71" t="str">
        <f>IF($A$3=" "," ", IFERROR( VLOOKUP($A1813,'SUPPLIER DATA BASE'!$A$2:$H$936,5,0),""))</f>
        <v/>
      </c>
      <c r="F1813" s="72"/>
      <c r="G1813" s="73"/>
      <c r="H1813" s="74"/>
      <c r="I1813" s="75"/>
      <c r="J1813" s="70"/>
      <c r="K1813" s="70"/>
      <c r="L1813" s="73"/>
      <c r="M1813" s="70" t="str">
        <f t="shared" si="3"/>
        <v/>
      </c>
      <c r="N1813" s="70" t="str">
        <f>IF($A$3=" "," ", IFERROR( VLOOKUP($A1813,'SUPPLIER DATA BASE'!$A$2:$O$936,11,0),""))</f>
        <v/>
      </c>
      <c r="O1813" s="70" t="str">
        <f>IF($A$3=" "," ", IFERROR( VLOOKUP($A1813,'SUPPLIER DATA BASE'!$A$2:$O$936,12,0),""))</f>
        <v/>
      </c>
      <c r="P1813" s="70" t="str">
        <f>IF($A$3=" "," ", IFERROR( VLOOKUP($A1813,'SUPPLIER DATA BASE'!$A$2:$O$936,13,0),""))</f>
        <v/>
      </c>
      <c r="Q1813" s="77"/>
      <c r="R1813" s="73"/>
      <c r="S1813" s="77"/>
      <c r="T1813" s="70"/>
      <c r="U1813" s="78"/>
      <c r="V1813" s="70" t="str">
        <f t="shared" si="6"/>
        <v/>
      </c>
      <c r="W1813" s="23"/>
      <c r="X1813" s="23"/>
    </row>
    <row r="1814">
      <c r="A1814" s="70"/>
      <c r="B1814" s="70" t="str">
        <f>IF($A$3=" "," ", IFERROR( VLOOKUP($A1814,'SUPPLIER DATA BASE'!$A$2:$M$936,3,0),""))</f>
        <v/>
      </c>
      <c r="C1814" s="70" t="str">
        <f>IF($A$3=" "," ", IFERROR( VLOOKUP($A1814,'SUPPLIER DATA BASE'!$A$2:$F$936,6,0),""))</f>
        <v/>
      </c>
      <c r="D1814" s="70" t="str">
        <f>IF($A$3=" "," ", IFERROR( VLOOKUP($A1814,'SUPPLIER DATA BASE'!$A$2:$G$936,4,0),""))</f>
        <v/>
      </c>
      <c r="E1814" s="71" t="str">
        <f>IF($A$3=" "," ", IFERROR( VLOOKUP($A1814,'SUPPLIER DATA BASE'!$A$2:$H$936,5,0),""))</f>
        <v/>
      </c>
      <c r="F1814" s="72"/>
      <c r="G1814" s="73"/>
      <c r="H1814" s="74"/>
      <c r="I1814" s="75"/>
      <c r="J1814" s="70"/>
      <c r="K1814" s="70"/>
      <c r="L1814" s="73"/>
      <c r="M1814" s="70" t="str">
        <f t="shared" si="3"/>
        <v/>
      </c>
      <c r="N1814" s="70" t="str">
        <f>IF($A$3=" "," ", IFERROR( VLOOKUP($A1814,'SUPPLIER DATA BASE'!$A$2:$O$936,11,0),""))</f>
        <v/>
      </c>
      <c r="O1814" s="70" t="str">
        <f>IF($A$3=" "," ", IFERROR( VLOOKUP($A1814,'SUPPLIER DATA BASE'!$A$2:$O$936,12,0),""))</f>
        <v/>
      </c>
      <c r="P1814" s="70" t="str">
        <f>IF($A$3=" "," ", IFERROR( VLOOKUP($A1814,'SUPPLIER DATA BASE'!$A$2:$O$936,13,0),""))</f>
        <v/>
      </c>
      <c r="Q1814" s="77"/>
      <c r="R1814" s="73"/>
      <c r="S1814" s="77"/>
      <c r="T1814" s="70"/>
      <c r="U1814" s="78"/>
      <c r="V1814" s="70" t="str">
        <f t="shared" si="6"/>
        <v/>
      </c>
      <c r="W1814" s="23"/>
      <c r="X1814" s="23"/>
    </row>
    <row r="1815">
      <c r="A1815" s="70"/>
      <c r="B1815" s="70" t="str">
        <f>IF($A$3=" "," ", IFERROR( VLOOKUP($A1815,'SUPPLIER DATA BASE'!$A$2:$M$936,3,0),""))</f>
        <v/>
      </c>
      <c r="C1815" s="70" t="str">
        <f>IF($A$3=" "," ", IFERROR( VLOOKUP($A1815,'SUPPLIER DATA BASE'!$A$2:$F$936,6,0),""))</f>
        <v/>
      </c>
      <c r="D1815" s="70" t="str">
        <f>IF($A$3=" "," ", IFERROR( VLOOKUP($A1815,'SUPPLIER DATA BASE'!$A$2:$G$936,4,0),""))</f>
        <v/>
      </c>
      <c r="E1815" s="71" t="str">
        <f>IF($A$3=" "," ", IFERROR( VLOOKUP($A1815,'SUPPLIER DATA BASE'!$A$2:$H$936,5,0),""))</f>
        <v/>
      </c>
      <c r="F1815" s="72"/>
      <c r="G1815" s="73"/>
      <c r="H1815" s="74"/>
      <c r="I1815" s="75"/>
      <c r="J1815" s="70"/>
      <c r="K1815" s="70"/>
      <c r="L1815" s="73"/>
      <c r="M1815" s="70" t="str">
        <f t="shared" si="3"/>
        <v/>
      </c>
      <c r="N1815" s="70" t="str">
        <f>IF($A$3=" "," ", IFERROR( VLOOKUP($A1815,'SUPPLIER DATA BASE'!$A$2:$O$936,11,0),""))</f>
        <v/>
      </c>
      <c r="O1815" s="70" t="str">
        <f>IF($A$3=" "," ", IFERROR( VLOOKUP($A1815,'SUPPLIER DATA BASE'!$A$2:$O$936,12,0),""))</f>
        <v/>
      </c>
      <c r="P1815" s="70" t="str">
        <f>IF($A$3=" "," ", IFERROR( VLOOKUP($A1815,'SUPPLIER DATA BASE'!$A$2:$O$936,13,0),""))</f>
        <v/>
      </c>
      <c r="Q1815" s="77"/>
      <c r="R1815" s="73"/>
      <c r="S1815" s="77"/>
      <c r="T1815" s="70"/>
      <c r="U1815" s="78"/>
      <c r="V1815" s="70" t="str">
        <f t="shared" si="6"/>
        <v/>
      </c>
      <c r="W1815" s="23"/>
      <c r="X1815" s="23"/>
    </row>
    <row r="1816">
      <c r="A1816" s="70"/>
      <c r="B1816" s="70" t="str">
        <f>IF($A$3=" "," ", IFERROR( VLOOKUP($A1816,'SUPPLIER DATA BASE'!$A$2:$M$936,3,0),""))</f>
        <v/>
      </c>
      <c r="C1816" s="70" t="str">
        <f>IF($A$3=" "," ", IFERROR( VLOOKUP($A1816,'SUPPLIER DATA BASE'!$A$2:$F$936,6,0),""))</f>
        <v/>
      </c>
      <c r="D1816" s="70" t="str">
        <f>IF($A$3=" "," ", IFERROR( VLOOKUP($A1816,'SUPPLIER DATA BASE'!$A$2:$G$936,4,0),""))</f>
        <v/>
      </c>
      <c r="E1816" s="71" t="str">
        <f>IF($A$3=" "," ", IFERROR( VLOOKUP($A1816,'SUPPLIER DATA BASE'!$A$2:$H$936,5,0),""))</f>
        <v/>
      </c>
      <c r="F1816" s="72"/>
      <c r="G1816" s="73"/>
      <c r="H1816" s="74"/>
      <c r="I1816" s="75"/>
      <c r="J1816" s="70"/>
      <c r="K1816" s="70"/>
      <c r="L1816" s="73"/>
      <c r="M1816" s="70" t="str">
        <f t="shared" si="3"/>
        <v/>
      </c>
      <c r="N1816" s="70" t="str">
        <f>IF($A$3=" "," ", IFERROR( VLOOKUP($A1816,'SUPPLIER DATA BASE'!$A$2:$O$936,11,0),""))</f>
        <v/>
      </c>
      <c r="O1816" s="70" t="str">
        <f>IF($A$3=" "," ", IFERROR( VLOOKUP($A1816,'SUPPLIER DATA BASE'!$A$2:$O$936,12,0),""))</f>
        <v/>
      </c>
      <c r="P1816" s="70" t="str">
        <f>IF($A$3=" "," ", IFERROR( VLOOKUP($A1816,'SUPPLIER DATA BASE'!$A$2:$O$936,13,0),""))</f>
        <v/>
      </c>
      <c r="Q1816" s="77"/>
      <c r="R1816" s="73"/>
      <c r="S1816" s="77"/>
      <c r="T1816" s="70"/>
      <c r="U1816" s="78"/>
      <c r="V1816" s="70" t="str">
        <f t="shared" si="6"/>
        <v/>
      </c>
      <c r="W1816" s="23"/>
      <c r="X1816" s="23"/>
    </row>
    <row r="1817">
      <c r="A1817" s="70"/>
      <c r="B1817" s="70" t="str">
        <f>IF($A$3=" "," ", IFERROR( VLOOKUP($A1817,'SUPPLIER DATA BASE'!$A$2:$M$936,3,0),""))</f>
        <v/>
      </c>
      <c r="C1817" s="70" t="str">
        <f>IF($A$3=" "," ", IFERROR( VLOOKUP($A1817,'SUPPLIER DATA BASE'!$A$2:$F$936,6,0),""))</f>
        <v/>
      </c>
      <c r="D1817" s="70" t="str">
        <f>IF($A$3=" "," ", IFERROR( VLOOKUP($A1817,'SUPPLIER DATA BASE'!$A$2:$G$936,4,0),""))</f>
        <v/>
      </c>
      <c r="E1817" s="71" t="str">
        <f>IF($A$3=" "," ", IFERROR( VLOOKUP($A1817,'SUPPLIER DATA BASE'!$A$2:$H$936,5,0),""))</f>
        <v/>
      </c>
      <c r="F1817" s="72"/>
      <c r="G1817" s="73"/>
      <c r="H1817" s="74"/>
      <c r="I1817" s="75"/>
      <c r="J1817" s="70"/>
      <c r="K1817" s="70"/>
      <c r="L1817" s="73"/>
      <c r="M1817" s="70" t="str">
        <f t="shared" si="3"/>
        <v/>
      </c>
      <c r="N1817" s="70" t="str">
        <f>IF($A$3=" "," ", IFERROR( VLOOKUP($A1817,'SUPPLIER DATA BASE'!$A$2:$O$936,11,0),""))</f>
        <v/>
      </c>
      <c r="O1817" s="70" t="str">
        <f>IF($A$3=" "," ", IFERROR( VLOOKUP($A1817,'SUPPLIER DATA BASE'!$A$2:$O$936,12,0),""))</f>
        <v/>
      </c>
      <c r="P1817" s="70" t="str">
        <f>IF($A$3=" "," ", IFERROR( VLOOKUP($A1817,'SUPPLIER DATA BASE'!$A$2:$O$936,13,0),""))</f>
        <v/>
      </c>
      <c r="Q1817" s="77"/>
      <c r="R1817" s="73"/>
      <c r="S1817" s="77"/>
      <c r="T1817" s="70"/>
      <c r="U1817" s="78"/>
      <c r="V1817" s="70" t="str">
        <f t="shared" si="6"/>
        <v/>
      </c>
      <c r="W1817" s="23"/>
      <c r="X1817" s="23"/>
    </row>
    <row r="1818">
      <c r="A1818" s="70"/>
      <c r="B1818" s="70" t="str">
        <f>IF($A$3=" "," ", IFERROR( VLOOKUP($A1818,'SUPPLIER DATA BASE'!$A$2:$M$936,3,0),""))</f>
        <v/>
      </c>
      <c r="C1818" s="70" t="str">
        <f>IF($A$3=" "," ", IFERROR( VLOOKUP($A1818,'SUPPLIER DATA BASE'!$A$2:$F$936,6,0),""))</f>
        <v/>
      </c>
      <c r="D1818" s="70" t="str">
        <f>IF($A$3=" "," ", IFERROR( VLOOKUP($A1818,'SUPPLIER DATA BASE'!$A$2:$G$936,4,0),""))</f>
        <v/>
      </c>
      <c r="E1818" s="71" t="str">
        <f>IF($A$3=" "," ", IFERROR( VLOOKUP($A1818,'SUPPLIER DATA BASE'!$A$2:$H$936,5,0),""))</f>
        <v/>
      </c>
      <c r="F1818" s="72"/>
      <c r="G1818" s="73"/>
      <c r="H1818" s="74"/>
      <c r="I1818" s="75"/>
      <c r="J1818" s="70"/>
      <c r="K1818" s="70"/>
      <c r="L1818" s="73"/>
      <c r="M1818" s="70" t="str">
        <f t="shared" si="3"/>
        <v/>
      </c>
      <c r="N1818" s="70" t="str">
        <f>IF($A$3=" "," ", IFERROR( VLOOKUP($A1818,'SUPPLIER DATA BASE'!$A$2:$O$936,11,0),""))</f>
        <v/>
      </c>
      <c r="O1818" s="70" t="str">
        <f>IF($A$3=" "," ", IFERROR( VLOOKUP($A1818,'SUPPLIER DATA BASE'!$A$2:$O$936,12,0),""))</f>
        <v/>
      </c>
      <c r="P1818" s="70" t="str">
        <f>IF($A$3=" "," ", IFERROR( VLOOKUP($A1818,'SUPPLIER DATA BASE'!$A$2:$O$936,13,0),""))</f>
        <v/>
      </c>
      <c r="Q1818" s="77"/>
      <c r="R1818" s="73"/>
      <c r="S1818" s="77"/>
      <c r="T1818" s="70"/>
      <c r="U1818" s="78"/>
      <c r="V1818" s="70" t="str">
        <f t="shared" si="6"/>
        <v/>
      </c>
      <c r="W1818" s="23"/>
      <c r="X1818" s="23"/>
    </row>
    <row r="1819">
      <c r="A1819" s="70"/>
      <c r="B1819" s="70" t="str">
        <f>IF($A$3=" "," ", IFERROR( VLOOKUP($A1819,'SUPPLIER DATA BASE'!$A$2:$M$936,3,0),""))</f>
        <v/>
      </c>
      <c r="C1819" s="70" t="str">
        <f>IF($A$3=" "," ", IFERROR( VLOOKUP($A1819,'SUPPLIER DATA BASE'!$A$2:$F$936,6,0),""))</f>
        <v/>
      </c>
      <c r="D1819" s="70" t="str">
        <f>IF($A$3=" "," ", IFERROR( VLOOKUP($A1819,'SUPPLIER DATA BASE'!$A$2:$G$936,4,0),""))</f>
        <v/>
      </c>
      <c r="E1819" s="71" t="str">
        <f>IF($A$3=" "," ", IFERROR( VLOOKUP($A1819,'SUPPLIER DATA BASE'!$A$2:$H$936,5,0),""))</f>
        <v/>
      </c>
      <c r="F1819" s="72"/>
      <c r="G1819" s="73"/>
      <c r="H1819" s="74"/>
      <c r="I1819" s="75"/>
      <c r="J1819" s="70"/>
      <c r="K1819" s="70"/>
      <c r="L1819" s="73"/>
      <c r="M1819" s="70" t="str">
        <f t="shared" si="3"/>
        <v/>
      </c>
      <c r="N1819" s="70" t="str">
        <f>IF($A$3=" "," ", IFERROR( VLOOKUP($A1819,'SUPPLIER DATA BASE'!$A$2:$O$936,11,0),""))</f>
        <v/>
      </c>
      <c r="O1819" s="70" t="str">
        <f>IF($A$3=" "," ", IFERROR( VLOOKUP($A1819,'SUPPLIER DATA BASE'!$A$2:$O$936,12,0),""))</f>
        <v/>
      </c>
      <c r="P1819" s="70" t="str">
        <f>IF($A$3=" "," ", IFERROR( VLOOKUP($A1819,'SUPPLIER DATA BASE'!$A$2:$O$936,13,0),""))</f>
        <v/>
      </c>
      <c r="Q1819" s="77"/>
      <c r="R1819" s="73"/>
      <c r="S1819" s="77"/>
      <c r="T1819" s="70"/>
      <c r="U1819" s="78"/>
      <c r="V1819" s="70" t="str">
        <f t="shared" si="6"/>
        <v/>
      </c>
      <c r="W1819" s="23"/>
      <c r="X1819" s="23"/>
    </row>
    <row r="1820">
      <c r="A1820" s="70"/>
      <c r="B1820" s="70" t="str">
        <f>IF($A$3=" "," ", IFERROR( VLOOKUP($A1820,'SUPPLIER DATA BASE'!$A$2:$M$936,3,0),""))</f>
        <v/>
      </c>
      <c r="C1820" s="70" t="str">
        <f>IF($A$3=" "," ", IFERROR( VLOOKUP($A1820,'SUPPLIER DATA BASE'!$A$2:$F$936,6,0),""))</f>
        <v/>
      </c>
      <c r="D1820" s="70" t="str">
        <f>IF($A$3=" "," ", IFERROR( VLOOKUP($A1820,'SUPPLIER DATA BASE'!$A$2:$G$936,4,0),""))</f>
        <v/>
      </c>
      <c r="E1820" s="71" t="str">
        <f>IF($A$3=" "," ", IFERROR( VLOOKUP($A1820,'SUPPLIER DATA BASE'!$A$2:$H$936,5,0),""))</f>
        <v/>
      </c>
      <c r="F1820" s="72"/>
      <c r="G1820" s="73"/>
      <c r="H1820" s="74"/>
      <c r="I1820" s="75"/>
      <c r="J1820" s="70"/>
      <c r="K1820" s="70"/>
      <c r="L1820" s="73"/>
      <c r="M1820" s="70" t="str">
        <f t="shared" si="3"/>
        <v/>
      </c>
      <c r="N1820" s="70" t="str">
        <f>IF($A$3=" "," ", IFERROR( VLOOKUP($A1820,'SUPPLIER DATA BASE'!$A$2:$O$936,11,0),""))</f>
        <v/>
      </c>
      <c r="O1820" s="70" t="str">
        <f>IF($A$3=" "," ", IFERROR( VLOOKUP($A1820,'SUPPLIER DATA BASE'!$A$2:$O$936,12,0),""))</f>
        <v/>
      </c>
      <c r="P1820" s="70" t="str">
        <f>IF($A$3=" "," ", IFERROR( VLOOKUP($A1820,'SUPPLIER DATA BASE'!$A$2:$O$936,13,0),""))</f>
        <v/>
      </c>
      <c r="Q1820" s="77"/>
      <c r="R1820" s="73"/>
      <c r="S1820" s="77"/>
      <c r="T1820" s="70"/>
      <c r="U1820" s="78"/>
      <c r="V1820" s="70" t="str">
        <f t="shared" si="6"/>
        <v/>
      </c>
      <c r="W1820" s="23"/>
      <c r="X1820" s="23"/>
    </row>
    <row r="1821">
      <c r="A1821" s="70"/>
      <c r="B1821" s="70" t="str">
        <f>IF($A$3=" "," ", IFERROR( VLOOKUP($A1821,'SUPPLIER DATA BASE'!$A$2:$M$936,3,0),""))</f>
        <v/>
      </c>
      <c r="C1821" s="70" t="str">
        <f>IF($A$3=" "," ", IFERROR( VLOOKUP($A1821,'SUPPLIER DATA BASE'!$A$2:$F$936,6,0),""))</f>
        <v/>
      </c>
      <c r="D1821" s="70" t="str">
        <f>IF($A$3=" "," ", IFERROR( VLOOKUP($A1821,'SUPPLIER DATA BASE'!$A$2:$G$936,4,0),""))</f>
        <v/>
      </c>
      <c r="E1821" s="71" t="str">
        <f>IF($A$3=" "," ", IFERROR( VLOOKUP($A1821,'SUPPLIER DATA BASE'!$A$2:$H$936,5,0),""))</f>
        <v/>
      </c>
      <c r="F1821" s="72"/>
      <c r="G1821" s="73"/>
      <c r="H1821" s="74"/>
      <c r="I1821" s="75"/>
      <c r="J1821" s="70"/>
      <c r="K1821" s="70"/>
      <c r="L1821" s="73"/>
      <c r="M1821" s="70" t="str">
        <f t="shared" si="3"/>
        <v/>
      </c>
      <c r="N1821" s="70" t="str">
        <f>IF($A$3=" "," ", IFERROR( VLOOKUP($A1821,'SUPPLIER DATA BASE'!$A$2:$O$936,11,0),""))</f>
        <v/>
      </c>
      <c r="O1821" s="70" t="str">
        <f>IF($A$3=" "," ", IFERROR( VLOOKUP($A1821,'SUPPLIER DATA BASE'!$A$2:$O$936,12,0),""))</f>
        <v/>
      </c>
      <c r="P1821" s="70" t="str">
        <f>IF($A$3=" "," ", IFERROR( VLOOKUP($A1821,'SUPPLIER DATA BASE'!$A$2:$O$936,13,0),""))</f>
        <v/>
      </c>
      <c r="Q1821" s="77"/>
      <c r="R1821" s="73"/>
      <c r="S1821" s="77"/>
      <c r="T1821" s="70"/>
      <c r="U1821" s="78"/>
      <c r="V1821" s="70" t="str">
        <f t="shared" si="6"/>
        <v/>
      </c>
      <c r="W1821" s="23"/>
      <c r="X1821" s="23"/>
    </row>
    <row r="1822">
      <c r="A1822" s="70"/>
      <c r="B1822" s="70" t="str">
        <f>IF($A$3=" "," ", IFERROR( VLOOKUP($A1822,'SUPPLIER DATA BASE'!$A$2:$M$936,3,0),""))</f>
        <v/>
      </c>
      <c r="C1822" s="70" t="str">
        <f>IF($A$3=" "," ", IFERROR( VLOOKUP($A1822,'SUPPLIER DATA BASE'!$A$2:$F$936,6,0),""))</f>
        <v/>
      </c>
      <c r="D1822" s="70" t="str">
        <f>IF($A$3=" "," ", IFERROR( VLOOKUP($A1822,'SUPPLIER DATA BASE'!$A$2:$G$936,4,0),""))</f>
        <v/>
      </c>
      <c r="E1822" s="71" t="str">
        <f>IF($A$3=" "," ", IFERROR( VLOOKUP($A1822,'SUPPLIER DATA BASE'!$A$2:$H$936,5,0),""))</f>
        <v/>
      </c>
      <c r="F1822" s="72"/>
      <c r="G1822" s="73"/>
      <c r="H1822" s="74"/>
      <c r="I1822" s="75"/>
      <c r="J1822" s="70"/>
      <c r="K1822" s="70"/>
      <c r="L1822" s="73"/>
      <c r="M1822" s="70" t="str">
        <f t="shared" si="3"/>
        <v/>
      </c>
      <c r="N1822" s="70" t="str">
        <f>IF($A$3=" "," ", IFERROR( VLOOKUP($A1822,'SUPPLIER DATA BASE'!$A$2:$O$936,11,0),""))</f>
        <v/>
      </c>
      <c r="O1822" s="70" t="str">
        <f>IF($A$3=" "," ", IFERROR( VLOOKUP($A1822,'SUPPLIER DATA BASE'!$A$2:$O$936,12,0),""))</f>
        <v/>
      </c>
      <c r="P1822" s="70" t="str">
        <f>IF($A$3=" "," ", IFERROR( VLOOKUP($A1822,'SUPPLIER DATA BASE'!$A$2:$O$936,13,0),""))</f>
        <v/>
      </c>
      <c r="Q1822" s="77"/>
      <c r="R1822" s="73"/>
      <c r="S1822" s="77"/>
      <c r="T1822" s="70"/>
      <c r="U1822" s="78"/>
      <c r="V1822" s="70" t="str">
        <f t="shared" si="6"/>
        <v/>
      </c>
      <c r="W1822" s="23"/>
      <c r="X1822" s="23"/>
    </row>
    <row r="1823">
      <c r="A1823" s="70"/>
      <c r="B1823" s="70" t="str">
        <f>IF($A$3=" "," ", IFERROR( VLOOKUP($A1823,'SUPPLIER DATA BASE'!$A$2:$M$936,3,0),""))</f>
        <v/>
      </c>
      <c r="C1823" s="70" t="str">
        <f>IF($A$3=" "," ", IFERROR( VLOOKUP($A1823,'SUPPLIER DATA BASE'!$A$2:$F$936,6,0),""))</f>
        <v/>
      </c>
      <c r="D1823" s="70" t="str">
        <f>IF($A$3=" "," ", IFERROR( VLOOKUP($A1823,'SUPPLIER DATA BASE'!$A$2:$G$936,4,0),""))</f>
        <v/>
      </c>
      <c r="E1823" s="71" t="str">
        <f>IF($A$3=" "," ", IFERROR( VLOOKUP($A1823,'SUPPLIER DATA BASE'!$A$2:$H$936,5,0),""))</f>
        <v/>
      </c>
      <c r="F1823" s="72"/>
      <c r="G1823" s="73"/>
      <c r="H1823" s="74"/>
      <c r="I1823" s="75"/>
      <c r="J1823" s="70"/>
      <c r="K1823" s="70"/>
      <c r="L1823" s="73"/>
      <c r="M1823" s="70" t="str">
        <f t="shared" si="3"/>
        <v/>
      </c>
      <c r="N1823" s="70" t="str">
        <f>IF($A$3=" "," ", IFERROR( VLOOKUP($A1823,'SUPPLIER DATA BASE'!$A$2:$O$936,11,0),""))</f>
        <v/>
      </c>
      <c r="O1823" s="70" t="str">
        <f>IF($A$3=" "," ", IFERROR( VLOOKUP($A1823,'SUPPLIER DATA BASE'!$A$2:$O$936,12,0),""))</f>
        <v/>
      </c>
      <c r="P1823" s="70" t="str">
        <f>IF($A$3=" "," ", IFERROR( VLOOKUP($A1823,'SUPPLIER DATA BASE'!$A$2:$O$936,13,0),""))</f>
        <v/>
      </c>
      <c r="Q1823" s="77"/>
      <c r="R1823" s="73"/>
      <c r="S1823" s="77"/>
      <c r="T1823" s="70"/>
      <c r="U1823" s="78"/>
      <c r="V1823" s="70" t="str">
        <f t="shared" si="6"/>
        <v/>
      </c>
      <c r="W1823" s="23"/>
      <c r="X1823" s="23"/>
    </row>
    <row r="1824">
      <c r="A1824" s="70"/>
      <c r="B1824" s="70" t="str">
        <f>IF($A$3=" "," ", IFERROR( VLOOKUP($A1824,'SUPPLIER DATA BASE'!$A$2:$M$936,3,0),""))</f>
        <v/>
      </c>
      <c r="C1824" s="70" t="str">
        <f>IF($A$3=" "," ", IFERROR( VLOOKUP($A1824,'SUPPLIER DATA BASE'!$A$2:$F$936,6,0),""))</f>
        <v/>
      </c>
      <c r="D1824" s="70" t="str">
        <f>IF($A$3=" "," ", IFERROR( VLOOKUP($A1824,'SUPPLIER DATA BASE'!$A$2:$G$936,4,0),""))</f>
        <v/>
      </c>
      <c r="E1824" s="71" t="str">
        <f>IF($A$3=" "," ", IFERROR( VLOOKUP($A1824,'SUPPLIER DATA BASE'!$A$2:$H$936,5,0),""))</f>
        <v/>
      </c>
      <c r="F1824" s="72"/>
      <c r="G1824" s="73"/>
      <c r="H1824" s="74"/>
      <c r="I1824" s="75"/>
      <c r="J1824" s="70"/>
      <c r="K1824" s="70"/>
      <c r="L1824" s="73"/>
      <c r="M1824" s="70" t="str">
        <f t="shared" si="3"/>
        <v/>
      </c>
      <c r="N1824" s="70" t="str">
        <f>IF($A$3=" "," ", IFERROR( VLOOKUP($A1824,'SUPPLIER DATA BASE'!$A$2:$O$936,11,0),""))</f>
        <v/>
      </c>
      <c r="O1824" s="70" t="str">
        <f>IF($A$3=" "," ", IFERROR( VLOOKUP($A1824,'SUPPLIER DATA BASE'!$A$2:$O$936,12,0),""))</f>
        <v/>
      </c>
      <c r="P1824" s="70" t="str">
        <f>IF($A$3=" "," ", IFERROR( VLOOKUP($A1824,'SUPPLIER DATA BASE'!$A$2:$O$936,13,0),""))</f>
        <v/>
      </c>
      <c r="Q1824" s="77"/>
      <c r="R1824" s="73"/>
      <c r="S1824" s="77"/>
      <c r="T1824" s="70"/>
      <c r="U1824" s="78"/>
      <c r="V1824" s="70" t="str">
        <f t="shared" si="6"/>
        <v/>
      </c>
      <c r="W1824" s="23"/>
      <c r="X1824" s="23"/>
    </row>
    <row r="1825">
      <c r="A1825" s="70"/>
      <c r="B1825" s="70" t="str">
        <f>IF($A$3=" "," ", IFERROR( VLOOKUP($A1825,'SUPPLIER DATA BASE'!$A$2:$M$936,3,0),""))</f>
        <v/>
      </c>
      <c r="C1825" s="70" t="str">
        <f>IF($A$3=" "," ", IFERROR( VLOOKUP($A1825,'SUPPLIER DATA BASE'!$A$2:$F$936,6,0),""))</f>
        <v/>
      </c>
      <c r="D1825" s="70" t="str">
        <f>IF($A$3=" "," ", IFERROR( VLOOKUP($A1825,'SUPPLIER DATA BASE'!$A$2:$G$936,4,0),""))</f>
        <v/>
      </c>
      <c r="E1825" s="71" t="str">
        <f>IF($A$3=" "," ", IFERROR( VLOOKUP($A1825,'SUPPLIER DATA BASE'!$A$2:$H$936,5,0),""))</f>
        <v/>
      </c>
      <c r="F1825" s="72"/>
      <c r="G1825" s="73"/>
      <c r="H1825" s="74"/>
      <c r="I1825" s="75"/>
      <c r="J1825" s="70"/>
      <c r="K1825" s="70"/>
      <c r="L1825" s="73"/>
      <c r="M1825" s="70" t="str">
        <f t="shared" si="3"/>
        <v/>
      </c>
      <c r="N1825" s="70" t="str">
        <f>IF($A$3=" "," ", IFERROR( VLOOKUP($A1825,'SUPPLIER DATA BASE'!$A$2:$O$936,11,0),""))</f>
        <v/>
      </c>
      <c r="O1825" s="70" t="str">
        <f>IF($A$3=" "," ", IFERROR( VLOOKUP($A1825,'SUPPLIER DATA BASE'!$A$2:$O$936,12,0),""))</f>
        <v/>
      </c>
      <c r="P1825" s="70" t="str">
        <f>IF($A$3=" "," ", IFERROR( VLOOKUP($A1825,'SUPPLIER DATA BASE'!$A$2:$O$936,13,0),""))</f>
        <v/>
      </c>
      <c r="Q1825" s="77"/>
      <c r="R1825" s="73"/>
      <c r="S1825" s="77"/>
      <c r="T1825" s="70"/>
      <c r="U1825" s="78"/>
      <c r="V1825" s="70" t="str">
        <f t="shared" si="6"/>
        <v/>
      </c>
      <c r="W1825" s="23"/>
      <c r="X1825" s="23"/>
    </row>
    <row r="1826">
      <c r="A1826" s="70"/>
      <c r="B1826" s="70" t="str">
        <f>IF($A$3=" "," ", IFERROR( VLOOKUP($A1826,'SUPPLIER DATA BASE'!$A$2:$M$936,3,0),""))</f>
        <v/>
      </c>
      <c r="C1826" s="70" t="str">
        <f>IF($A$3=" "," ", IFERROR( VLOOKUP($A1826,'SUPPLIER DATA BASE'!$A$2:$F$936,6,0),""))</f>
        <v/>
      </c>
      <c r="D1826" s="70" t="str">
        <f>IF($A$3=" "," ", IFERROR( VLOOKUP($A1826,'SUPPLIER DATA BASE'!$A$2:$G$936,4,0),""))</f>
        <v/>
      </c>
      <c r="E1826" s="71" t="str">
        <f>IF($A$3=" "," ", IFERROR( VLOOKUP($A1826,'SUPPLIER DATA BASE'!$A$2:$H$936,5,0),""))</f>
        <v/>
      </c>
      <c r="F1826" s="72"/>
      <c r="G1826" s="73"/>
      <c r="H1826" s="74"/>
      <c r="I1826" s="75"/>
      <c r="J1826" s="70"/>
      <c r="K1826" s="70"/>
      <c r="L1826" s="73"/>
      <c r="M1826" s="70" t="str">
        <f t="shared" si="3"/>
        <v/>
      </c>
      <c r="N1826" s="70" t="str">
        <f>IF($A$3=" "," ", IFERROR( VLOOKUP($A1826,'SUPPLIER DATA BASE'!$A$2:$O$936,11,0),""))</f>
        <v/>
      </c>
      <c r="O1826" s="70" t="str">
        <f>IF($A$3=" "," ", IFERROR( VLOOKUP($A1826,'SUPPLIER DATA BASE'!$A$2:$O$936,12,0),""))</f>
        <v/>
      </c>
      <c r="P1826" s="70" t="str">
        <f>IF($A$3=" "," ", IFERROR( VLOOKUP($A1826,'SUPPLIER DATA BASE'!$A$2:$O$936,13,0),""))</f>
        <v/>
      </c>
      <c r="Q1826" s="77"/>
      <c r="R1826" s="73"/>
      <c r="S1826" s="77"/>
      <c r="T1826" s="70"/>
      <c r="U1826" s="78"/>
      <c r="V1826" s="70" t="str">
        <f t="shared" si="6"/>
        <v/>
      </c>
      <c r="W1826" s="23"/>
      <c r="X1826" s="23"/>
    </row>
    <row r="1827">
      <c r="A1827" s="70"/>
      <c r="B1827" s="70" t="str">
        <f>IF($A$3=" "," ", IFERROR( VLOOKUP($A1827,'SUPPLIER DATA BASE'!$A$2:$M$936,3,0),""))</f>
        <v/>
      </c>
      <c r="C1827" s="70" t="str">
        <f>IF($A$3=" "," ", IFERROR( VLOOKUP($A1827,'SUPPLIER DATA BASE'!$A$2:$F$936,6,0),""))</f>
        <v/>
      </c>
      <c r="D1827" s="70" t="str">
        <f>IF($A$3=" "," ", IFERROR( VLOOKUP($A1827,'SUPPLIER DATA BASE'!$A$2:$G$936,4,0),""))</f>
        <v/>
      </c>
      <c r="E1827" s="71" t="str">
        <f>IF($A$3=" "," ", IFERROR( VLOOKUP($A1827,'SUPPLIER DATA BASE'!$A$2:$H$936,5,0),""))</f>
        <v/>
      </c>
      <c r="F1827" s="72"/>
      <c r="G1827" s="73"/>
      <c r="H1827" s="74"/>
      <c r="I1827" s="75"/>
      <c r="J1827" s="70"/>
      <c r="K1827" s="70"/>
      <c r="L1827" s="73"/>
      <c r="M1827" s="70" t="str">
        <f t="shared" si="3"/>
        <v/>
      </c>
      <c r="N1827" s="70" t="str">
        <f>IF($A$3=" "," ", IFERROR( VLOOKUP($A1827,'SUPPLIER DATA BASE'!$A$2:$O$936,11,0),""))</f>
        <v/>
      </c>
      <c r="O1827" s="70" t="str">
        <f>IF($A$3=" "," ", IFERROR( VLOOKUP($A1827,'SUPPLIER DATA BASE'!$A$2:$O$936,12,0),""))</f>
        <v/>
      </c>
      <c r="P1827" s="70" t="str">
        <f>IF($A$3=" "," ", IFERROR( VLOOKUP($A1827,'SUPPLIER DATA BASE'!$A$2:$O$936,13,0),""))</f>
        <v/>
      </c>
      <c r="Q1827" s="77"/>
      <c r="R1827" s="73"/>
      <c r="S1827" s="77"/>
      <c r="T1827" s="70"/>
      <c r="U1827" s="78"/>
      <c r="V1827" s="70" t="str">
        <f t="shared" si="6"/>
        <v/>
      </c>
      <c r="W1827" s="23"/>
      <c r="X1827" s="23"/>
    </row>
    <row r="1828">
      <c r="A1828" s="70"/>
      <c r="B1828" s="70" t="str">
        <f>IF($A$3=" "," ", IFERROR( VLOOKUP($A1828,'SUPPLIER DATA BASE'!$A$2:$M$936,3,0),""))</f>
        <v/>
      </c>
      <c r="C1828" s="70" t="str">
        <f>IF($A$3=" "," ", IFERROR( VLOOKUP($A1828,'SUPPLIER DATA BASE'!$A$2:$F$936,6,0),""))</f>
        <v/>
      </c>
      <c r="D1828" s="70" t="str">
        <f>IF($A$3=" "," ", IFERROR( VLOOKUP($A1828,'SUPPLIER DATA BASE'!$A$2:$G$936,4,0),""))</f>
        <v/>
      </c>
      <c r="E1828" s="71" t="str">
        <f>IF($A$3=" "," ", IFERROR( VLOOKUP($A1828,'SUPPLIER DATA BASE'!$A$2:$H$936,5,0),""))</f>
        <v/>
      </c>
      <c r="F1828" s="72"/>
      <c r="G1828" s="73"/>
      <c r="H1828" s="74"/>
      <c r="I1828" s="75"/>
      <c r="J1828" s="70"/>
      <c r="K1828" s="70"/>
      <c r="L1828" s="73"/>
      <c r="M1828" s="70" t="str">
        <f t="shared" si="3"/>
        <v/>
      </c>
      <c r="N1828" s="70" t="str">
        <f>IF($A$3=" "," ", IFERROR( VLOOKUP($A1828,'SUPPLIER DATA BASE'!$A$2:$O$936,11,0),""))</f>
        <v/>
      </c>
      <c r="O1828" s="70" t="str">
        <f>IF($A$3=" "," ", IFERROR( VLOOKUP($A1828,'SUPPLIER DATA BASE'!$A$2:$O$936,12,0),""))</f>
        <v/>
      </c>
      <c r="P1828" s="70" t="str">
        <f>IF($A$3=" "," ", IFERROR( VLOOKUP($A1828,'SUPPLIER DATA BASE'!$A$2:$O$936,13,0),""))</f>
        <v/>
      </c>
      <c r="Q1828" s="77"/>
      <c r="R1828" s="73"/>
      <c r="S1828" s="77"/>
      <c r="T1828" s="70"/>
      <c r="U1828" s="78"/>
      <c r="V1828" s="70" t="str">
        <f t="shared" si="6"/>
        <v/>
      </c>
      <c r="W1828" s="23"/>
      <c r="X1828" s="23"/>
    </row>
    <row r="1829">
      <c r="A1829" s="70"/>
      <c r="B1829" s="70" t="str">
        <f>IF($A$3=" "," ", IFERROR( VLOOKUP($A1829,'SUPPLIER DATA BASE'!$A$2:$M$936,3,0),""))</f>
        <v/>
      </c>
      <c r="C1829" s="70" t="str">
        <f>IF($A$3=" "," ", IFERROR( VLOOKUP($A1829,'SUPPLIER DATA BASE'!$A$2:$F$936,6,0),""))</f>
        <v/>
      </c>
      <c r="D1829" s="70" t="str">
        <f>IF($A$3=" "," ", IFERROR( VLOOKUP($A1829,'SUPPLIER DATA BASE'!$A$2:$G$936,4,0),""))</f>
        <v/>
      </c>
      <c r="E1829" s="71" t="str">
        <f>IF($A$3=" "," ", IFERROR( VLOOKUP($A1829,'SUPPLIER DATA BASE'!$A$2:$H$936,5,0),""))</f>
        <v/>
      </c>
      <c r="F1829" s="72"/>
      <c r="G1829" s="73"/>
      <c r="H1829" s="74"/>
      <c r="I1829" s="75"/>
      <c r="J1829" s="70"/>
      <c r="K1829" s="70"/>
      <c r="L1829" s="73"/>
      <c r="M1829" s="70" t="str">
        <f t="shared" si="3"/>
        <v/>
      </c>
      <c r="N1829" s="70" t="str">
        <f>IF($A$3=" "," ", IFERROR( VLOOKUP($A1829,'SUPPLIER DATA BASE'!$A$2:$O$936,11,0),""))</f>
        <v/>
      </c>
      <c r="O1829" s="70" t="str">
        <f>IF($A$3=" "," ", IFERROR( VLOOKUP($A1829,'SUPPLIER DATA BASE'!$A$2:$O$936,12,0),""))</f>
        <v/>
      </c>
      <c r="P1829" s="70" t="str">
        <f>IF($A$3=" "," ", IFERROR( VLOOKUP($A1829,'SUPPLIER DATA BASE'!$A$2:$O$936,13,0),""))</f>
        <v/>
      </c>
      <c r="Q1829" s="77"/>
      <c r="R1829" s="73"/>
      <c r="S1829" s="77"/>
      <c r="T1829" s="70"/>
      <c r="U1829" s="78"/>
      <c r="V1829" s="70" t="str">
        <f t="shared" si="6"/>
        <v/>
      </c>
      <c r="W1829" s="23"/>
      <c r="X1829" s="23"/>
    </row>
    <row r="1830">
      <c r="A1830" s="70"/>
      <c r="B1830" s="70" t="str">
        <f>IF($A$3=" "," ", IFERROR( VLOOKUP($A1830,'SUPPLIER DATA BASE'!$A$2:$M$936,3,0),""))</f>
        <v/>
      </c>
      <c r="C1830" s="70" t="str">
        <f>IF($A$3=" "," ", IFERROR( VLOOKUP($A1830,'SUPPLIER DATA BASE'!$A$2:$F$936,6,0),""))</f>
        <v/>
      </c>
      <c r="D1830" s="70" t="str">
        <f>IF($A$3=" "," ", IFERROR( VLOOKUP($A1830,'SUPPLIER DATA BASE'!$A$2:$G$936,4,0),""))</f>
        <v/>
      </c>
      <c r="E1830" s="71" t="str">
        <f>IF($A$3=" "," ", IFERROR( VLOOKUP($A1830,'SUPPLIER DATA BASE'!$A$2:$H$936,5,0),""))</f>
        <v/>
      </c>
      <c r="F1830" s="72"/>
      <c r="G1830" s="73"/>
      <c r="H1830" s="74"/>
      <c r="I1830" s="75"/>
      <c r="J1830" s="70"/>
      <c r="K1830" s="70"/>
      <c r="L1830" s="73"/>
      <c r="M1830" s="70" t="str">
        <f t="shared" si="3"/>
        <v/>
      </c>
      <c r="N1830" s="70" t="str">
        <f>IF($A$3=" "," ", IFERROR( VLOOKUP($A1830,'SUPPLIER DATA BASE'!$A$2:$O$936,11,0),""))</f>
        <v/>
      </c>
      <c r="O1830" s="70" t="str">
        <f>IF($A$3=" "," ", IFERROR( VLOOKUP($A1830,'SUPPLIER DATA BASE'!$A$2:$O$936,12,0),""))</f>
        <v/>
      </c>
      <c r="P1830" s="70" t="str">
        <f>IF($A$3=" "," ", IFERROR( VLOOKUP($A1830,'SUPPLIER DATA BASE'!$A$2:$O$936,13,0),""))</f>
        <v/>
      </c>
      <c r="Q1830" s="77"/>
      <c r="R1830" s="73"/>
      <c r="S1830" s="77"/>
      <c r="T1830" s="70"/>
      <c r="U1830" s="78"/>
      <c r="V1830" s="70" t="str">
        <f t="shared" si="6"/>
        <v/>
      </c>
      <c r="W1830" s="23"/>
      <c r="X1830" s="23"/>
    </row>
    <row r="1831">
      <c r="A1831" s="70"/>
      <c r="B1831" s="70" t="str">
        <f>IF($A$3=" "," ", IFERROR( VLOOKUP($A1831,'SUPPLIER DATA BASE'!$A$2:$M$936,3,0),""))</f>
        <v/>
      </c>
      <c r="C1831" s="70" t="str">
        <f>IF($A$3=" "," ", IFERROR( VLOOKUP($A1831,'SUPPLIER DATA BASE'!$A$2:$F$936,6,0),""))</f>
        <v/>
      </c>
      <c r="D1831" s="70" t="str">
        <f>IF($A$3=" "," ", IFERROR( VLOOKUP($A1831,'SUPPLIER DATA BASE'!$A$2:$G$936,4,0),""))</f>
        <v/>
      </c>
      <c r="E1831" s="71" t="str">
        <f>IF($A$3=" "," ", IFERROR( VLOOKUP($A1831,'SUPPLIER DATA BASE'!$A$2:$H$936,5,0),""))</f>
        <v/>
      </c>
      <c r="F1831" s="72"/>
      <c r="G1831" s="73"/>
      <c r="H1831" s="74"/>
      <c r="I1831" s="75"/>
      <c r="J1831" s="70"/>
      <c r="K1831" s="70"/>
      <c r="L1831" s="73"/>
      <c r="M1831" s="70" t="str">
        <f t="shared" si="3"/>
        <v/>
      </c>
      <c r="N1831" s="70" t="str">
        <f>IF($A$3=" "," ", IFERROR( VLOOKUP($A1831,'SUPPLIER DATA BASE'!$A$2:$O$936,11,0),""))</f>
        <v/>
      </c>
      <c r="O1831" s="70" t="str">
        <f>IF($A$3=" "," ", IFERROR( VLOOKUP($A1831,'SUPPLIER DATA BASE'!$A$2:$O$936,12,0),""))</f>
        <v/>
      </c>
      <c r="P1831" s="70" t="str">
        <f>IF($A$3=" "," ", IFERROR( VLOOKUP($A1831,'SUPPLIER DATA BASE'!$A$2:$O$936,13,0),""))</f>
        <v/>
      </c>
      <c r="Q1831" s="77"/>
      <c r="R1831" s="73"/>
      <c r="S1831" s="77"/>
      <c r="T1831" s="70"/>
      <c r="U1831" s="78"/>
      <c r="V1831" s="70" t="str">
        <f t="shared" si="6"/>
        <v/>
      </c>
      <c r="W1831" s="23"/>
      <c r="X1831" s="23"/>
    </row>
    <row r="1832">
      <c r="A1832" s="70"/>
      <c r="B1832" s="70" t="str">
        <f>IF($A$3=" "," ", IFERROR( VLOOKUP($A1832,'SUPPLIER DATA BASE'!$A$2:$M$936,3,0),""))</f>
        <v/>
      </c>
      <c r="C1832" s="70" t="str">
        <f>IF($A$3=" "," ", IFERROR( VLOOKUP($A1832,'SUPPLIER DATA BASE'!$A$2:$F$936,6,0),""))</f>
        <v/>
      </c>
      <c r="D1832" s="70" t="str">
        <f>IF($A$3=" "," ", IFERROR( VLOOKUP($A1832,'SUPPLIER DATA BASE'!$A$2:$G$936,4,0),""))</f>
        <v/>
      </c>
      <c r="E1832" s="71" t="str">
        <f>IF($A$3=" "," ", IFERROR( VLOOKUP($A1832,'SUPPLIER DATA BASE'!$A$2:$H$936,5,0),""))</f>
        <v/>
      </c>
      <c r="F1832" s="72"/>
      <c r="G1832" s="73"/>
      <c r="H1832" s="74"/>
      <c r="I1832" s="75"/>
      <c r="J1832" s="70"/>
      <c r="K1832" s="70"/>
      <c r="L1832" s="73"/>
      <c r="M1832" s="70" t="str">
        <f t="shared" si="3"/>
        <v/>
      </c>
      <c r="N1832" s="70" t="str">
        <f>IF($A$3=" "," ", IFERROR( VLOOKUP($A1832,'SUPPLIER DATA BASE'!$A$2:$O$936,11,0),""))</f>
        <v/>
      </c>
      <c r="O1832" s="70" t="str">
        <f>IF($A$3=" "," ", IFERROR( VLOOKUP($A1832,'SUPPLIER DATA BASE'!$A$2:$O$936,12,0),""))</f>
        <v/>
      </c>
      <c r="P1832" s="70" t="str">
        <f>IF($A$3=" "," ", IFERROR( VLOOKUP($A1832,'SUPPLIER DATA BASE'!$A$2:$O$936,13,0),""))</f>
        <v/>
      </c>
      <c r="Q1832" s="77"/>
      <c r="R1832" s="73"/>
      <c r="S1832" s="77"/>
      <c r="T1832" s="70"/>
      <c r="U1832" s="78"/>
      <c r="V1832" s="70" t="str">
        <f t="shared" si="6"/>
        <v/>
      </c>
      <c r="W1832" s="23"/>
      <c r="X1832" s="23"/>
    </row>
    <row r="1833">
      <c r="A1833" s="70"/>
      <c r="B1833" s="70" t="str">
        <f>IF($A$3=" "," ", IFERROR( VLOOKUP($A1833,'SUPPLIER DATA BASE'!$A$2:$M$936,3,0),""))</f>
        <v/>
      </c>
      <c r="C1833" s="70" t="str">
        <f>IF($A$3=" "," ", IFERROR( VLOOKUP($A1833,'SUPPLIER DATA BASE'!$A$2:$F$936,6,0),""))</f>
        <v/>
      </c>
      <c r="D1833" s="70" t="str">
        <f>IF($A$3=" "," ", IFERROR( VLOOKUP($A1833,'SUPPLIER DATA BASE'!$A$2:$G$936,4,0),""))</f>
        <v/>
      </c>
      <c r="E1833" s="71" t="str">
        <f>IF($A$3=" "," ", IFERROR( VLOOKUP($A1833,'SUPPLIER DATA BASE'!$A$2:$H$936,5,0),""))</f>
        <v/>
      </c>
      <c r="F1833" s="72"/>
      <c r="G1833" s="73"/>
      <c r="H1833" s="74"/>
      <c r="I1833" s="75"/>
      <c r="J1833" s="70"/>
      <c r="K1833" s="70"/>
      <c r="L1833" s="73"/>
      <c r="M1833" s="70" t="str">
        <f t="shared" si="3"/>
        <v/>
      </c>
      <c r="N1833" s="70" t="str">
        <f>IF($A$3=" "," ", IFERROR( VLOOKUP($A1833,'SUPPLIER DATA BASE'!$A$2:$O$936,11,0),""))</f>
        <v/>
      </c>
      <c r="O1833" s="70" t="str">
        <f>IF($A$3=" "," ", IFERROR( VLOOKUP($A1833,'SUPPLIER DATA BASE'!$A$2:$O$936,12,0),""))</f>
        <v/>
      </c>
      <c r="P1833" s="70" t="str">
        <f>IF($A$3=" "," ", IFERROR( VLOOKUP($A1833,'SUPPLIER DATA BASE'!$A$2:$O$936,13,0),""))</f>
        <v/>
      </c>
      <c r="Q1833" s="77"/>
      <c r="R1833" s="73"/>
      <c r="S1833" s="77"/>
      <c r="T1833" s="70"/>
      <c r="U1833" s="78"/>
      <c r="V1833" s="70" t="str">
        <f t="shared" si="6"/>
        <v/>
      </c>
      <c r="W1833" s="23"/>
      <c r="X1833" s="23"/>
    </row>
    <row r="1834">
      <c r="A1834" s="70"/>
      <c r="B1834" s="70" t="str">
        <f>IF($A$3=" "," ", IFERROR( VLOOKUP($A1834,'SUPPLIER DATA BASE'!$A$2:$M$936,3,0),""))</f>
        <v/>
      </c>
      <c r="C1834" s="70" t="str">
        <f>IF($A$3=" "," ", IFERROR( VLOOKUP($A1834,'SUPPLIER DATA BASE'!$A$2:$F$936,6,0),""))</f>
        <v/>
      </c>
      <c r="D1834" s="70" t="str">
        <f>IF($A$3=" "," ", IFERROR( VLOOKUP($A1834,'SUPPLIER DATA BASE'!$A$2:$G$936,4,0),""))</f>
        <v/>
      </c>
      <c r="E1834" s="71" t="str">
        <f>IF($A$3=" "," ", IFERROR( VLOOKUP($A1834,'SUPPLIER DATA BASE'!$A$2:$H$936,5,0),""))</f>
        <v/>
      </c>
      <c r="F1834" s="72"/>
      <c r="G1834" s="73"/>
      <c r="H1834" s="74"/>
      <c r="I1834" s="75"/>
      <c r="J1834" s="70"/>
      <c r="K1834" s="70"/>
      <c r="L1834" s="73"/>
      <c r="M1834" s="70" t="str">
        <f t="shared" si="3"/>
        <v/>
      </c>
      <c r="N1834" s="70" t="str">
        <f>IF($A$3=" "," ", IFERROR( VLOOKUP($A1834,'SUPPLIER DATA BASE'!$A$2:$O$936,11,0),""))</f>
        <v/>
      </c>
      <c r="O1834" s="70" t="str">
        <f>IF($A$3=" "," ", IFERROR( VLOOKUP($A1834,'SUPPLIER DATA BASE'!$A$2:$O$936,12,0),""))</f>
        <v/>
      </c>
      <c r="P1834" s="70" t="str">
        <f>IF($A$3=" "," ", IFERROR( VLOOKUP($A1834,'SUPPLIER DATA BASE'!$A$2:$O$936,13,0),""))</f>
        <v/>
      </c>
      <c r="Q1834" s="77"/>
      <c r="R1834" s="73"/>
      <c r="S1834" s="77"/>
      <c r="T1834" s="70"/>
      <c r="U1834" s="78"/>
      <c r="V1834" s="70" t="str">
        <f t="shared" si="6"/>
        <v/>
      </c>
      <c r="W1834" s="23"/>
      <c r="X1834" s="23"/>
    </row>
    <row r="1835">
      <c r="A1835" s="70"/>
      <c r="B1835" s="70" t="str">
        <f>IF($A$3=" "," ", IFERROR( VLOOKUP($A1835,'SUPPLIER DATA BASE'!$A$2:$M$936,3,0),""))</f>
        <v/>
      </c>
      <c r="C1835" s="70" t="str">
        <f>IF($A$3=" "," ", IFERROR( VLOOKUP($A1835,'SUPPLIER DATA BASE'!$A$2:$F$936,6,0),""))</f>
        <v/>
      </c>
      <c r="D1835" s="70" t="str">
        <f>IF($A$3=" "," ", IFERROR( VLOOKUP($A1835,'SUPPLIER DATA BASE'!$A$2:$G$936,4,0),""))</f>
        <v/>
      </c>
      <c r="E1835" s="71" t="str">
        <f>IF($A$3=" "," ", IFERROR( VLOOKUP($A1835,'SUPPLIER DATA BASE'!$A$2:$H$936,5,0),""))</f>
        <v/>
      </c>
      <c r="F1835" s="72"/>
      <c r="G1835" s="73"/>
      <c r="H1835" s="74"/>
      <c r="I1835" s="75"/>
      <c r="J1835" s="70"/>
      <c r="K1835" s="70"/>
      <c r="L1835" s="73"/>
      <c r="M1835" s="70" t="str">
        <f t="shared" si="3"/>
        <v/>
      </c>
      <c r="N1835" s="70" t="str">
        <f>IF($A$3=" "," ", IFERROR( VLOOKUP($A1835,'SUPPLIER DATA BASE'!$A$2:$O$936,11,0),""))</f>
        <v/>
      </c>
      <c r="O1835" s="70" t="str">
        <f>IF($A$3=" "," ", IFERROR( VLOOKUP($A1835,'SUPPLIER DATA BASE'!$A$2:$O$936,12,0),""))</f>
        <v/>
      </c>
      <c r="P1835" s="70" t="str">
        <f>IF($A$3=" "," ", IFERROR( VLOOKUP($A1835,'SUPPLIER DATA BASE'!$A$2:$O$936,13,0),""))</f>
        <v/>
      </c>
      <c r="Q1835" s="77"/>
      <c r="R1835" s="73"/>
      <c r="S1835" s="77"/>
      <c r="T1835" s="70"/>
      <c r="U1835" s="78"/>
      <c r="V1835" s="70" t="str">
        <f t="shared" si="6"/>
        <v/>
      </c>
      <c r="W1835" s="23"/>
      <c r="X1835" s="23"/>
    </row>
    <row r="1836">
      <c r="A1836" s="70"/>
      <c r="B1836" s="70" t="str">
        <f>IF($A$3=" "," ", IFERROR( VLOOKUP($A1836,'SUPPLIER DATA BASE'!$A$2:$M$936,3,0),""))</f>
        <v/>
      </c>
      <c r="C1836" s="70" t="str">
        <f>IF($A$3=" "," ", IFERROR( VLOOKUP($A1836,'SUPPLIER DATA BASE'!$A$2:$F$936,6,0),""))</f>
        <v/>
      </c>
      <c r="D1836" s="70" t="str">
        <f>IF($A$3=" "," ", IFERROR( VLOOKUP($A1836,'SUPPLIER DATA BASE'!$A$2:$G$936,4,0),""))</f>
        <v/>
      </c>
      <c r="E1836" s="71" t="str">
        <f>IF($A$3=" "," ", IFERROR( VLOOKUP($A1836,'SUPPLIER DATA BASE'!$A$2:$H$936,5,0),""))</f>
        <v/>
      </c>
      <c r="F1836" s="72"/>
      <c r="G1836" s="73"/>
      <c r="H1836" s="74"/>
      <c r="I1836" s="75"/>
      <c r="J1836" s="70"/>
      <c r="K1836" s="70"/>
      <c r="L1836" s="73"/>
      <c r="M1836" s="70" t="str">
        <f t="shared" si="3"/>
        <v/>
      </c>
      <c r="N1836" s="70" t="str">
        <f>IF($A$3=" "," ", IFERROR( VLOOKUP($A1836,'SUPPLIER DATA BASE'!$A$2:$O$936,11,0),""))</f>
        <v/>
      </c>
      <c r="O1836" s="70" t="str">
        <f>IF($A$3=" "," ", IFERROR( VLOOKUP($A1836,'SUPPLIER DATA BASE'!$A$2:$O$936,12,0),""))</f>
        <v/>
      </c>
      <c r="P1836" s="70" t="str">
        <f>IF($A$3=" "," ", IFERROR( VLOOKUP($A1836,'SUPPLIER DATA BASE'!$A$2:$O$936,13,0),""))</f>
        <v/>
      </c>
      <c r="Q1836" s="77"/>
      <c r="R1836" s="73"/>
      <c r="S1836" s="77"/>
      <c r="T1836" s="70"/>
      <c r="U1836" s="78"/>
      <c r="V1836" s="70" t="str">
        <f t="shared" si="6"/>
        <v/>
      </c>
      <c r="W1836" s="23"/>
      <c r="X1836" s="23"/>
    </row>
    <row r="1837">
      <c r="A1837" s="70"/>
      <c r="B1837" s="70" t="str">
        <f>IF($A$3=" "," ", IFERROR( VLOOKUP($A1837,'SUPPLIER DATA BASE'!$A$2:$M$936,3,0),""))</f>
        <v/>
      </c>
      <c r="C1837" s="70" t="str">
        <f>IF($A$3=" "," ", IFERROR( VLOOKUP($A1837,'SUPPLIER DATA BASE'!$A$2:$F$936,6,0),""))</f>
        <v/>
      </c>
      <c r="D1837" s="70" t="str">
        <f>IF($A$3=" "," ", IFERROR( VLOOKUP($A1837,'SUPPLIER DATA BASE'!$A$2:$G$936,4,0),""))</f>
        <v/>
      </c>
      <c r="E1837" s="71" t="str">
        <f>IF($A$3=" "," ", IFERROR( VLOOKUP($A1837,'SUPPLIER DATA BASE'!$A$2:$H$936,5,0),""))</f>
        <v/>
      </c>
      <c r="F1837" s="72"/>
      <c r="G1837" s="73"/>
      <c r="H1837" s="74"/>
      <c r="I1837" s="75"/>
      <c r="J1837" s="70"/>
      <c r="K1837" s="70"/>
      <c r="L1837" s="73"/>
      <c r="M1837" s="70" t="str">
        <f t="shared" si="3"/>
        <v/>
      </c>
      <c r="N1837" s="70" t="str">
        <f>IF($A$3=" "," ", IFERROR( VLOOKUP($A1837,'SUPPLIER DATA BASE'!$A$2:$O$936,11,0),""))</f>
        <v/>
      </c>
      <c r="O1837" s="70" t="str">
        <f>IF($A$3=" "," ", IFERROR( VLOOKUP($A1837,'SUPPLIER DATA BASE'!$A$2:$O$936,12,0),""))</f>
        <v/>
      </c>
      <c r="P1837" s="70" t="str">
        <f>IF($A$3=" "," ", IFERROR( VLOOKUP($A1837,'SUPPLIER DATA BASE'!$A$2:$O$936,13,0),""))</f>
        <v/>
      </c>
      <c r="Q1837" s="77"/>
      <c r="R1837" s="73"/>
      <c r="S1837" s="77"/>
      <c r="T1837" s="70"/>
      <c r="U1837" s="78"/>
      <c r="V1837" s="70" t="str">
        <f t="shared" si="6"/>
        <v/>
      </c>
      <c r="W1837" s="23"/>
      <c r="X1837" s="23"/>
    </row>
    <row r="1838">
      <c r="A1838" s="70"/>
      <c r="B1838" s="70" t="str">
        <f>IF($A$3=" "," ", IFERROR( VLOOKUP($A1838,'SUPPLIER DATA BASE'!$A$2:$M$936,3,0),""))</f>
        <v/>
      </c>
      <c r="C1838" s="70" t="str">
        <f>IF($A$3=" "," ", IFERROR( VLOOKUP($A1838,'SUPPLIER DATA BASE'!$A$2:$F$936,6,0),""))</f>
        <v/>
      </c>
      <c r="D1838" s="70" t="str">
        <f>IF($A$3=" "," ", IFERROR( VLOOKUP($A1838,'SUPPLIER DATA BASE'!$A$2:$G$936,4,0),""))</f>
        <v/>
      </c>
      <c r="E1838" s="71" t="str">
        <f>IF($A$3=" "," ", IFERROR( VLOOKUP($A1838,'SUPPLIER DATA BASE'!$A$2:$H$936,5,0),""))</f>
        <v/>
      </c>
      <c r="F1838" s="72"/>
      <c r="G1838" s="73"/>
      <c r="H1838" s="74"/>
      <c r="I1838" s="75"/>
      <c r="J1838" s="70"/>
      <c r="K1838" s="70"/>
      <c r="L1838" s="73"/>
      <c r="M1838" s="70" t="str">
        <f t="shared" si="3"/>
        <v/>
      </c>
      <c r="N1838" s="70" t="str">
        <f>IF($A$3=" "," ", IFERROR( VLOOKUP($A1838,'SUPPLIER DATA BASE'!$A$2:$O$936,11,0),""))</f>
        <v/>
      </c>
      <c r="O1838" s="70" t="str">
        <f>IF($A$3=" "," ", IFERROR( VLOOKUP($A1838,'SUPPLIER DATA BASE'!$A$2:$O$936,12,0),""))</f>
        <v/>
      </c>
      <c r="P1838" s="70" t="str">
        <f>IF($A$3=" "," ", IFERROR( VLOOKUP($A1838,'SUPPLIER DATA BASE'!$A$2:$O$936,13,0),""))</f>
        <v/>
      </c>
      <c r="Q1838" s="77"/>
      <c r="R1838" s="73"/>
      <c r="S1838" s="77"/>
      <c r="T1838" s="70"/>
      <c r="U1838" s="78"/>
      <c r="V1838" s="70" t="str">
        <f t="shared" si="6"/>
        <v/>
      </c>
      <c r="W1838" s="23"/>
      <c r="X1838" s="23"/>
    </row>
    <row r="1839">
      <c r="A1839" s="70"/>
      <c r="B1839" s="70" t="str">
        <f>IF($A$3=" "," ", IFERROR( VLOOKUP($A1839,'SUPPLIER DATA BASE'!$A$2:$M$936,3,0),""))</f>
        <v/>
      </c>
      <c r="C1839" s="70" t="str">
        <f>IF($A$3=" "," ", IFERROR( VLOOKUP($A1839,'SUPPLIER DATA BASE'!$A$2:$F$936,6,0),""))</f>
        <v/>
      </c>
      <c r="D1839" s="70" t="str">
        <f>IF($A$3=" "," ", IFERROR( VLOOKUP($A1839,'SUPPLIER DATA BASE'!$A$2:$G$936,4,0),""))</f>
        <v/>
      </c>
      <c r="E1839" s="71" t="str">
        <f>IF($A$3=" "," ", IFERROR( VLOOKUP($A1839,'SUPPLIER DATA BASE'!$A$2:$H$936,5,0),""))</f>
        <v/>
      </c>
      <c r="F1839" s="72"/>
      <c r="G1839" s="73"/>
      <c r="H1839" s="74"/>
      <c r="I1839" s="75"/>
      <c r="J1839" s="70"/>
      <c r="K1839" s="70"/>
      <c r="L1839" s="73"/>
      <c r="M1839" s="70" t="str">
        <f t="shared" si="3"/>
        <v/>
      </c>
      <c r="N1839" s="70" t="str">
        <f>IF($A$3=" "," ", IFERROR( VLOOKUP($A1839,'SUPPLIER DATA BASE'!$A$2:$O$936,11,0),""))</f>
        <v/>
      </c>
      <c r="O1839" s="70" t="str">
        <f>IF($A$3=" "," ", IFERROR( VLOOKUP($A1839,'SUPPLIER DATA BASE'!$A$2:$O$936,12,0),""))</f>
        <v/>
      </c>
      <c r="P1839" s="70" t="str">
        <f>IF($A$3=" "," ", IFERROR( VLOOKUP($A1839,'SUPPLIER DATA BASE'!$A$2:$O$936,13,0),""))</f>
        <v/>
      </c>
      <c r="Q1839" s="77"/>
      <c r="R1839" s="73"/>
      <c r="S1839" s="77"/>
      <c r="T1839" s="70"/>
      <c r="U1839" s="78"/>
      <c r="V1839" s="70" t="str">
        <f t="shared" si="6"/>
        <v/>
      </c>
      <c r="W1839" s="23"/>
      <c r="X1839" s="23"/>
    </row>
    <row r="1840">
      <c r="A1840" s="70"/>
      <c r="B1840" s="70" t="str">
        <f>IF($A$3=" "," ", IFERROR( VLOOKUP($A1840,'SUPPLIER DATA BASE'!$A$2:$M$936,3,0),""))</f>
        <v/>
      </c>
      <c r="C1840" s="70" t="str">
        <f>IF($A$3=" "," ", IFERROR( VLOOKUP($A1840,'SUPPLIER DATA BASE'!$A$2:$F$936,6,0),""))</f>
        <v/>
      </c>
      <c r="D1840" s="70" t="str">
        <f>IF($A$3=" "," ", IFERROR( VLOOKUP($A1840,'SUPPLIER DATA BASE'!$A$2:$G$936,4,0),""))</f>
        <v/>
      </c>
      <c r="E1840" s="71" t="str">
        <f>IF($A$3=" "," ", IFERROR( VLOOKUP($A1840,'SUPPLIER DATA BASE'!$A$2:$H$936,5,0),""))</f>
        <v/>
      </c>
      <c r="F1840" s="72"/>
      <c r="G1840" s="73"/>
      <c r="H1840" s="74"/>
      <c r="I1840" s="75"/>
      <c r="J1840" s="70"/>
      <c r="K1840" s="70"/>
      <c r="L1840" s="73"/>
      <c r="M1840" s="70" t="str">
        <f t="shared" si="3"/>
        <v/>
      </c>
      <c r="N1840" s="70" t="str">
        <f>IF($A$3=" "," ", IFERROR( VLOOKUP($A1840,'SUPPLIER DATA BASE'!$A$2:$O$936,11,0),""))</f>
        <v/>
      </c>
      <c r="O1840" s="70" t="str">
        <f>IF($A$3=" "," ", IFERROR( VLOOKUP($A1840,'SUPPLIER DATA BASE'!$A$2:$O$936,12,0),""))</f>
        <v/>
      </c>
      <c r="P1840" s="70" t="str">
        <f>IF($A$3=" "," ", IFERROR( VLOOKUP($A1840,'SUPPLIER DATA BASE'!$A$2:$O$936,13,0),""))</f>
        <v/>
      </c>
      <c r="Q1840" s="77"/>
      <c r="R1840" s="73"/>
      <c r="S1840" s="77"/>
      <c r="T1840" s="70"/>
      <c r="U1840" s="78"/>
      <c r="V1840" s="70" t="str">
        <f t="shared" si="6"/>
        <v/>
      </c>
      <c r="W1840" s="23"/>
      <c r="X1840" s="23"/>
    </row>
    <row r="1841">
      <c r="A1841" s="70"/>
      <c r="B1841" s="70" t="str">
        <f>IF($A$3=" "," ", IFERROR( VLOOKUP($A1841,'SUPPLIER DATA BASE'!$A$2:$M$936,3,0),""))</f>
        <v/>
      </c>
      <c r="C1841" s="70" t="str">
        <f>IF($A$3=" "," ", IFERROR( VLOOKUP($A1841,'SUPPLIER DATA BASE'!$A$2:$F$936,6,0),""))</f>
        <v/>
      </c>
      <c r="D1841" s="70" t="str">
        <f>IF($A$3=" "," ", IFERROR( VLOOKUP($A1841,'SUPPLIER DATA BASE'!$A$2:$G$936,4,0),""))</f>
        <v/>
      </c>
      <c r="E1841" s="71" t="str">
        <f>IF($A$3=" "," ", IFERROR( VLOOKUP($A1841,'SUPPLIER DATA BASE'!$A$2:$H$936,5,0),""))</f>
        <v/>
      </c>
      <c r="F1841" s="72"/>
      <c r="G1841" s="73"/>
      <c r="H1841" s="74"/>
      <c r="I1841" s="75"/>
      <c r="J1841" s="70"/>
      <c r="K1841" s="70"/>
      <c r="L1841" s="73"/>
      <c r="M1841" s="70" t="str">
        <f t="shared" si="3"/>
        <v/>
      </c>
      <c r="N1841" s="70" t="str">
        <f>IF($A$3=" "," ", IFERROR( VLOOKUP($A1841,'SUPPLIER DATA BASE'!$A$2:$O$936,11,0),""))</f>
        <v/>
      </c>
      <c r="O1841" s="70" t="str">
        <f>IF($A$3=" "," ", IFERROR( VLOOKUP($A1841,'SUPPLIER DATA BASE'!$A$2:$O$936,12,0),""))</f>
        <v/>
      </c>
      <c r="P1841" s="70" t="str">
        <f>IF($A$3=" "," ", IFERROR( VLOOKUP($A1841,'SUPPLIER DATA BASE'!$A$2:$O$936,13,0),""))</f>
        <v/>
      </c>
      <c r="Q1841" s="77"/>
      <c r="R1841" s="73"/>
      <c r="S1841" s="77"/>
      <c r="T1841" s="70"/>
      <c r="U1841" s="78"/>
      <c r="V1841" s="70" t="str">
        <f t="shared" si="6"/>
        <v/>
      </c>
      <c r="W1841" s="23"/>
      <c r="X1841" s="23"/>
    </row>
    <row r="1842">
      <c r="A1842" s="70"/>
      <c r="B1842" s="70" t="str">
        <f>IF($A$3=" "," ", IFERROR( VLOOKUP($A1842,'SUPPLIER DATA BASE'!$A$2:$M$936,3,0),""))</f>
        <v/>
      </c>
      <c r="C1842" s="70" t="str">
        <f>IF($A$3=" "," ", IFERROR( VLOOKUP($A1842,'SUPPLIER DATA BASE'!$A$2:$F$936,6,0),""))</f>
        <v/>
      </c>
      <c r="D1842" s="70" t="str">
        <f>IF($A$3=" "," ", IFERROR( VLOOKUP($A1842,'SUPPLIER DATA BASE'!$A$2:$G$936,4,0),""))</f>
        <v/>
      </c>
      <c r="E1842" s="71" t="str">
        <f>IF($A$3=" "," ", IFERROR( VLOOKUP($A1842,'SUPPLIER DATA BASE'!$A$2:$H$936,5,0),""))</f>
        <v/>
      </c>
      <c r="F1842" s="72"/>
      <c r="G1842" s="73"/>
      <c r="H1842" s="74"/>
      <c r="I1842" s="75"/>
      <c r="J1842" s="70"/>
      <c r="K1842" s="70"/>
      <c r="L1842" s="73"/>
      <c r="M1842" s="70" t="str">
        <f t="shared" si="3"/>
        <v/>
      </c>
      <c r="N1842" s="70" t="str">
        <f>IF($A$3=" "," ", IFERROR( VLOOKUP($A1842,'SUPPLIER DATA BASE'!$A$2:$O$936,11,0),""))</f>
        <v/>
      </c>
      <c r="O1842" s="70" t="str">
        <f>IF($A$3=" "," ", IFERROR( VLOOKUP($A1842,'SUPPLIER DATA BASE'!$A$2:$O$936,12,0),""))</f>
        <v/>
      </c>
      <c r="P1842" s="70" t="str">
        <f>IF($A$3=" "," ", IFERROR( VLOOKUP($A1842,'SUPPLIER DATA BASE'!$A$2:$O$936,13,0),""))</f>
        <v/>
      </c>
      <c r="Q1842" s="77"/>
      <c r="R1842" s="73"/>
      <c r="S1842" s="77"/>
      <c r="T1842" s="70"/>
      <c r="U1842" s="78"/>
      <c r="V1842" s="70" t="str">
        <f t="shared" si="6"/>
        <v/>
      </c>
      <c r="W1842" s="23"/>
      <c r="X1842" s="23"/>
    </row>
    <row r="1843">
      <c r="A1843" s="70"/>
      <c r="B1843" s="70" t="str">
        <f>IF($A$3=" "," ", IFERROR( VLOOKUP($A1843,'SUPPLIER DATA BASE'!$A$2:$M$936,3,0),""))</f>
        <v/>
      </c>
      <c r="C1843" s="70" t="str">
        <f>IF($A$3=" "," ", IFERROR( VLOOKUP($A1843,'SUPPLIER DATA BASE'!$A$2:$F$936,6,0),""))</f>
        <v/>
      </c>
      <c r="D1843" s="70" t="str">
        <f>IF($A$3=" "," ", IFERROR( VLOOKUP($A1843,'SUPPLIER DATA BASE'!$A$2:$G$936,4,0),""))</f>
        <v/>
      </c>
      <c r="E1843" s="71" t="str">
        <f>IF($A$3=" "," ", IFERROR( VLOOKUP($A1843,'SUPPLIER DATA BASE'!$A$2:$H$936,5,0),""))</f>
        <v/>
      </c>
      <c r="F1843" s="72"/>
      <c r="G1843" s="73"/>
      <c r="H1843" s="74"/>
      <c r="I1843" s="75"/>
      <c r="J1843" s="70"/>
      <c r="K1843" s="70"/>
      <c r="L1843" s="73"/>
      <c r="M1843" s="70" t="str">
        <f t="shared" si="3"/>
        <v/>
      </c>
      <c r="N1843" s="70" t="str">
        <f>IF($A$3=" "," ", IFERROR( VLOOKUP($A1843,'SUPPLIER DATA BASE'!$A$2:$O$936,11,0),""))</f>
        <v/>
      </c>
      <c r="O1843" s="70" t="str">
        <f>IF($A$3=" "," ", IFERROR( VLOOKUP($A1843,'SUPPLIER DATA BASE'!$A$2:$O$936,12,0),""))</f>
        <v/>
      </c>
      <c r="P1843" s="70" t="str">
        <f>IF($A$3=" "," ", IFERROR( VLOOKUP($A1843,'SUPPLIER DATA BASE'!$A$2:$O$936,13,0),""))</f>
        <v/>
      </c>
      <c r="Q1843" s="77"/>
      <c r="R1843" s="73"/>
      <c r="S1843" s="77"/>
      <c r="T1843" s="70"/>
      <c r="U1843" s="78"/>
      <c r="V1843" s="70" t="str">
        <f t="shared" si="6"/>
        <v/>
      </c>
      <c r="W1843" s="23"/>
      <c r="X1843" s="23"/>
    </row>
    <row r="1844">
      <c r="A1844" s="70"/>
      <c r="B1844" s="70" t="str">
        <f>IF($A$3=" "," ", IFERROR( VLOOKUP($A1844,'SUPPLIER DATA BASE'!$A$2:$M$936,3,0),""))</f>
        <v/>
      </c>
      <c r="C1844" s="70" t="str">
        <f>IF($A$3=" "," ", IFERROR( VLOOKUP($A1844,'SUPPLIER DATA BASE'!$A$2:$F$936,6,0),""))</f>
        <v/>
      </c>
      <c r="D1844" s="70" t="str">
        <f>IF($A$3=" "," ", IFERROR( VLOOKUP($A1844,'SUPPLIER DATA BASE'!$A$2:$G$936,4,0),""))</f>
        <v/>
      </c>
      <c r="E1844" s="71" t="str">
        <f>IF($A$3=" "," ", IFERROR( VLOOKUP($A1844,'SUPPLIER DATA BASE'!$A$2:$H$936,5,0),""))</f>
        <v/>
      </c>
      <c r="F1844" s="72"/>
      <c r="G1844" s="73"/>
      <c r="H1844" s="74"/>
      <c r="I1844" s="75"/>
      <c r="J1844" s="70"/>
      <c r="K1844" s="70"/>
      <c r="L1844" s="73"/>
      <c r="M1844" s="70" t="str">
        <f t="shared" si="3"/>
        <v/>
      </c>
      <c r="N1844" s="70" t="str">
        <f>IF($A$3=" "," ", IFERROR( VLOOKUP($A1844,'SUPPLIER DATA BASE'!$A$2:$O$936,11,0),""))</f>
        <v/>
      </c>
      <c r="O1844" s="70" t="str">
        <f>IF($A$3=" "," ", IFERROR( VLOOKUP($A1844,'SUPPLIER DATA BASE'!$A$2:$O$936,12,0),""))</f>
        <v/>
      </c>
      <c r="P1844" s="70" t="str">
        <f>IF($A$3=" "," ", IFERROR( VLOOKUP($A1844,'SUPPLIER DATA BASE'!$A$2:$O$936,13,0),""))</f>
        <v/>
      </c>
      <c r="Q1844" s="77"/>
      <c r="R1844" s="73"/>
      <c r="S1844" s="77"/>
      <c r="T1844" s="70"/>
      <c r="U1844" s="78"/>
      <c r="V1844" s="70" t="str">
        <f t="shared" si="6"/>
        <v/>
      </c>
      <c r="W1844" s="23"/>
      <c r="X1844" s="23"/>
    </row>
    <row r="1845">
      <c r="A1845" s="70"/>
      <c r="B1845" s="70" t="str">
        <f>IF($A$3=" "," ", IFERROR( VLOOKUP($A1845,'SUPPLIER DATA BASE'!$A$2:$M$936,3,0),""))</f>
        <v/>
      </c>
      <c r="C1845" s="70" t="str">
        <f>IF($A$3=" "," ", IFERROR( VLOOKUP($A1845,'SUPPLIER DATA BASE'!$A$2:$F$936,6,0),""))</f>
        <v/>
      </c>
      <c r="D1845" s="70" t="str">
        <f>IF($A$3=" "," ", IFERROR( VLOOKUP($A1845,'SUPPLIER DATA BASE'!$A$2:$G$936,4,0),""))</f>
        <v/>
      </c>
      <c r="E1845" s="71" t="str">
        <f>IF($A$3=" "," ", IFERROR( VLOOKUP($A1845,'SUPPLIER DATA BASE'!$A$2:$H$936,5,0),""))</f>
        <v/>
      </c>
      <c r="F1845" s="72"/>
      <c r="G1845" s="73"/>
      <c r="H1845" s="74"/>
      <c r="I1845" s="75"/>
      <c r="J1845" s="70"/>
      <c r="K1845" s="70"/>
      <c r="L1845" s="73"/>
      <c r="M1845" s="70" t="str">
        <f t="shared" si="3"/>
        <v/>
      </c>
      <c r="N1845" s="70" t="str">
        <f>IF($A$3=" "," ", IFERROR( VLOOKUP($A1845,'SUPPLIER DATA BASE'!$A$2:$O$936,11,0),""))</f>
        <v/>
      </c>
      <c r="O1845" s="70" t="str">
        <f>IF($A$3=" "," ", IFERROR( VLOOKUP($A1845,'SUPPLIER DATA BASE'!$A$2:$O$936,12,0),""))</f>
        <v/>
      </c>
      <c r="P1845" s="70" t="str">
        <f>IF($A$3=" "," ", IFERROR( VLOOKUP($A1845,'SUPPLIER DATA BASE'!$A$2:$O$936,13,0),""))</f>
        <v/>
      </c>
      <c r="Q1845" s="77"/>
      <c r="R1845" s="73"/>
      <c r="S1845" s="77"/>
      <c r="T1845" s="70"/>
      <c r="U1845" s="78"/>
      <c r="V1845" s="70" t="str">
        <f t="shared" si="6"/>
        <v/>
      </c>
      <c r="W1845" s="23"/>
      <c r="X1845" s="23"/>
    </row>
    <row r="1846">
      <c r="A1846" s="70"/>
      <c r="B1846" s="70" t="str">
        <f>IF($A$3=" "," ", IFERROR( VLOOKUP($A1846,'SUPPLIER DATA BASE'!$A$2:$M$936,3,0),""))</f>
        <v/>
      </c>
      <c r="C1846" s="70" t="str">
        <f>IF($A$3=" "," ", IFERROR( VLOOKUP($A1846,'SUPPLIER DATA BASE'!$A$2:$F$936,6,0),""))</f>
        <v/>
      </c>
      <c r="D1846" s="70" t="str">
        <f>IF($A$3=" "," ", IFERROR( VLOOKUP($A1846,'SUPPLIER DATA BASE'!$A$2:$G$936,4,0),""))</f>
        <v/>
      </c>
      <c r="E1846" s="71" t="str">
        <f>IF($A$3=" "," ", IFERROR( VLOOKUP($A1846,'SUPPLIER DATA BASE'!$A$2:$H$936,5,0),""))</f>
        <v/>
      </c>
      <c r="F1846" s="72"/>
      <c r="G1846" s="73"/>
      <c r="H1846" s="74"/>
      <c r="I1846" s="75"/>
      <c r="J1846" s="70"/>
      <c r="K1846" s="70"/>
      <c r="L1846" s="73"/>
      <c r="M1846" s="70" t="str">
        <f t="shared" si="3"/>
        <v/>
      </c>
      <c r="N1846" s="70" t="str">
        <f>IF($A$3=" "," ", IFERROR( VLOOKUP($A1846,'SUPPLIER DATA BASE'!$A$2:$O$936,11,0),""))</f>
        <v/>
      </c>
      <c r="O1846" s="70" t="str">
        <f>IF($A$3=" "," ", IFERROR( VLOOKUP($A1846,'SUPPLIER DATA BASE'!$A$2:$O$936,12,0),""))</f>
        <v/>
      </c>
      <c r="P1846" s="70" t="str">
        <f>IF($A$3=" "," ", IFERROR( VLOOKUP($A1846,'SUPPLIER DATA BASE'!$A$2:$O$936,13,0),""))</f>
        <v/>
      </c>
      <c r="Q1846" s="77"/>
      <c r="R1846" s="73"/>
      <c r="S1846" s="77"/>
      <c r="T1846" s="70"/>
      <c r="U1846" s="78"/>
      <c r="V1846" s="70" t="str">
        <f t="shared" si="6"/>
        <v/>
      </c>
      <c r="W1846" s="23"/>
      <c r="X1846" s="23"/>
    </row>
    <row r="1847">
      <c r="A1847" s="70"/>
      <c r="B1847" s="70" t="str">
        <f>IF($A$3=" "," ", IFERROR( VLOOKUP($A1847,'SUPPLIER DATA BASE'!$A$2:$M$936,3,0),""))</f>
        <v/>
      </c>
      <c r="C1847" s="70" t="str">
        <f>IF($A$3=" "," ", IFERROR( VLOOKUP($A1847,'SUPPLIER DATA BASE'!$A$2:$F$936,6,0),""))</f>
        <v/>
      </c>
      <c r="D1847" s="70" t="str">
        <f>IF($A$3=" "," ", IFERROR( VLOOKUP($A1847,'SUPPLIER DATA BASE'!$A$2:$G$936,4,0),""))</f>
        <v/>
      </c>
      <c r="E1847" s="71" t="str">
        <f>IF($A$3=" "," ", IFERROR( VLOOKUP($A1847,'SUPPLIER DATA BASE'!$A$2:$H$936,5,0),""))</f>
        <v/>
      </c>
      <c r="F1847" s="72"/>
      <c r="G1847" s="73"/>
      <c r="H1847" s="74"/>
      <c r="I1847" s="75"/>
      <c r="J1847" s="70"/>
      <c r="K1847" s="70"/>
      <c r="L1847" s="73"/>
      <c r="M1847" s="70" t="str">
        <f t="shared" si="3"/>
        <v/>
      </c>
      <c r="N1847" s="70" t="str">
        <f>IF($A$3=" "," ", IFERROR( VLOOKUP($A1847,'SUPPLIER DATA BASE'!$A$2:$O$936,11,0),""))</f>
        <v/>
      </c>
      <c r="O1847" s="70" t="str">
        <f>IF($A$3=" "," ", IFERROR( VLOOKUP($A1847,'SUPPLIER DATA BASE'!$A$2:$O$936,12,0),""))</f>
        <v/>
      </c>
      <c r="P1847" s="70" t="str">
        <f>IF($A$3=" "," ", IFERROR( VLOOKUP($A1847,'SUPPLIER DATA BASE'!$A$2:$O$936,13,0),""))</f>
        <v/>
      </c>
      <c r="Q1847" s="77"/>
      <c r="R1847" s="73"/>
      <c r="S1847" s="77"/>
      <c r="T1847" s="70"/>
      <c r="U1847" s="78"/>
      <c r="V1847" s="70" t="str">
        <f t="shared" si="6"/>
        <v/>
      </c>
      <c r="W1847" s="23"/>
      <c r="X1847" s="23"/>
    </row>
    <row r="1848">
      <c r="A1848" s="70"/>
      <c r="B1848" s="70" t="str">
        <f>IF($A$3=" "," ", IFERROR( VLOOKUP($A1848,'SUPPLIER DATA BASE'!$A$2:$M$936,3,0),""))</f>
        <v/>
      </c>
      <c r="C1848" s="70" t="str">
        <f>IF($A$3=" "," ", IFERROR( VLOOKUP($A1848,'SUPPLIER DATA BASE'!$A$2:$F$936,6,0),""))</f>
        <v/>
      </c>
      <c r="D1848" s="70" t="str">
        <f>IF($A$3=" "," ", IFERROR( VLOOKUP($A1848,'SUPPLIER DATA BASE'!$A$2:$G$936,4,0),""))</f>
        <v/>
      </c>
      <c r="E1848" s="71" t="str">
        <f>IF($A$3=" "," ", IFERROR( VLOOKUP($A1848,'SUPPLIER DATA BASE'!$A$2:$H$936,5,0),""))</f>
        <v/>
      </c>
      <c r="F1848" s="72"/>
      <c r="G1848" s="73"/>
      <c r="H1848" s="74"/>
      <c r="I1848" s="75"/>
      <c r="J1848" s="70"/>
      <c r="K1848" s="70"/>
      <c r="L1848" s="73"/>
      <c r="M1848" s="70" t="str">
        <f t="shared" si="3"/>
        <v/>
      </c>
      <c r="N1848" s="70" t="str">
        <f>IF($A$3=" "," ", IFERROR( VLOOKUP($A1848,'SUPPLIER DATA BASE'!$A$2:$O$936,11,0),""))</f>
        <v/>
      </c>
      <c r="O1848" s="70" t="str">
        <f>IF($A$3=" "," ", IFERROR( VLOOKUP($A1848,'SUPPLIER DATA BASE'!$A$2:$O$936,12,0),""))</f>
        <v/>
      </c>
      <c r="P1848" s="70" t="str">
        <f>IF($A$3=" "," ", IFERROR( VLOOKUP($A1848,'SUPPLIER DATA BASE'!$A$2:$O$936,13,0),""))</f>
        <v/>
      </c>
      <c r="Q1848" s="77"/>
      <c r="R1848" s="73"/>
      <c r="S1848" s="77"/>
      <c r="T1848" s="70"/>
      <c r="U1848" s="78"/>
      <c r="V1848" s="70" t="str">
        <f t="shared" si="6"/>
        <v/>
      </c>
      <c r="W1848" s="23"/>
      <c r="X1848" s="23"/>
    </row>
    <row r="1849">
      <c r="A1849" s="70"/>
      <c r="B1849" s="70" t="str">
        <f>IF($A$3=" "," ", IFERROR( VLOOKUP($A1849,'SUPPLIER DATA BASE'!$A$2:$M$936,3,0),""))</f>
        <v/>
      </c>
      <c r="C1849" s="70" t="str">
        <f>IF($A$3=" "," ", IFERROR( VLOOKUP($A1849,'SUPPLIER DATA BASE'!$A$2:$F$936,6,0),""))</f>
        <v/>
      </c>
      <c r="D1849" s="70" t="str">
        <f>IF($A$3=" "," ", IFERROR( VLOOKUP($A1849,'SUPPLIER DATA BASE'!$A$2:$G$936,4,0),""))</f>
        <v/>
      </c>
      <c r="E1849" s="71" t="str">
        <f>IF($A$3=" "," ", IFERROR( VLOOKUP($A1849,'SUPPLIER DATA BASE'!$A$2:$H$936,5,0),""))</f>
        <v/>
      </c>
      <c r="F1849" s="72"/>
      <c r="G1849" s="73"/>
      <c r="H1849" s="74"/>
      <c r="I1849" s="75"/>
      <c r="J1849" s="70"/>
      <c r="K1849" s="70"/>
      <c r="L1849" s="73"/>
      <c r="M1849" s="70" t="str">
        <f t="shared" si="3"/>
        <v/>
      </c>
      <c r="N1849" s="70" t="str">
        <f>IF($A$3=" "," ", IFERROR( VLOOKUP($A1849,'SUPPLIER DATA BASE'!$A$2:$O$936,11,0),""))</f>
        <v/>
      </c>
      <c r="O1849" s="70" t="str">
        <f>IF($A$3=" "," ", IFERROR( VLOOKUP($A1849,'SUPPLIER DATA BASE'!$A$2:$O$936,12,0),""))</f>
        <v/>
      </c>
      <c r="P1849" s="70" t="str">
        <f>IF($A$3=" "," ", IFERROR( VLOOKUP($A1849,'SUPPLIER DATA BASE'!$A$2:$O$936,13,0),""))</f>
        <v/>
      </c>
      <c r="Q1849" s="77"/>
      <c r="R1849" s="73"/>
      <c r="S1849" s="77"/>
      <c r="T1849" s="70"/>
      <c r="U1849" s="78"/>
      <c r="V1849" s="70" t="str">
        <f t="shared" si="6"/>
        <v/>
      </c>
      <c r="W1849" s="23"/>
      <c r="X1849" s="23"/>
    </row>
    <row r="1850">
      <c r="A1850" s="70"/>
      <c r="B1850" s="70" t="str">
        <f>IF($A$3=" "," ", IFERROR( VLOOKUP($A1850,'SUPPLIER DATA BASE'!$A$2:$M$936,3,0),""))</f>
        <v/>
      </c>
      <c r="C1850" s="70" t="str">
        <f>IF($A$3=" "," ", IFERROR( VLOOKUP($A1850,'SUPPLIER DATA BASE'!$A$2:$F$936,6,0),""))</f>
        <v/>
      </c>
      <c r="D1850" s="70" t="str">
        <f>IF($A$3=" "," ", IFERROR( VLOOKUP($A1850,'SUPPLIER DATA BASE'!$A$2:$G$936,4,0),""))</f>
        <v/>
      </c>
      <c r="E1850" s="71" t="str">
        <f>IF($A$3=" "," ", IFERROR( VLOOKUP($A1850,'SUPPLIER DATA BASE'!$A$2:$H$936,5,0),""))</f>
        <v/>
      </c>
      <c r="F1850" s="72"/>
      <c r="G1850" s="73"/>
      <c r="H1850" s="74"/>
      <c r="I1850" s="75"/>
      <c r="J1850" s="70"/>
      <c r="K1850" s="70"/>
      <c r="L1850" s="73"/>
      <c r="M1850" s="70" t="str">
        <f t="shared" si="3"/>
        <v/>
      </c>
      <c r="N1850" s="70" t="str">
        <f>IF($A$3=" "," ", IFERROR( VLOOKUP($A1850,'SUPPLIER DATA BASE'!$A$2:$O$936,11,0),""))</f>
        <v/>
      </c>
      <c r="O1850" s="70" t="str">
        <f>IF($A$3=" "," ", IFERROR( VLOOKUP($A1850,'SUPPLIER DATA BASE'!$A$2:$O$936,12,0),""))</f>
        <v/>
      </c>
      <c r="P1850" s="70" t="str">
        <f>IF($A$3=" "," ", IFERROR( VLOOKUP($A1850,'SUPPLIER DATA BASE'!$A$2:$O$936,13,0),""))</f>
        <v/>
      </c>
      <c r="Q1850" s="77"/>
      <c r="R1850" s="73"/>
      <c r="S1850" s="77"/>
      <c r="T1850" s="70"/>
      <c r="U1850" s="78"/>
      <c r="V1850" s="70" t="str">
        <f t="shared" si="6"/>
        <v/>
      </c>
      <c r="W1850" s="23"/>
      <c r="X1850" s="23"/>
    </row>
    <row r="1851">
      <c r="A1851" s="70"/>
      <c r="B1851" s="70" t="str">
        <f>IF($A$3=" "," ", IFERROR( VLOOKUP($A1851,'SUPPLIER DATA BASE'!$A$2:$M$936,3,0),""))</f>
        <v/>
      </c>
      <c r="C1851" s="70" t="str">
        <f>IF($A$3=" "," ", IFERROR( VLOOKUP($A1851,'SUPPLIER DATA BASE'!$A$2:$F$936,6,0),""))</f>
        <v/>
      </c>
      <c r="D1851" s="70" t="str">
        <f>IF($A$3=" "," ", IFERROR( VLOOKUP($A1851,'SUPPLIER DATA BASE'!$A$2:$G$936,4,0),""))</f>
        <v/>
      </c>
      <c r="E1851" s="71" t="str">
        <f>IF($A$3=" "," ", IFERROR( VLOOKUP($A1851,'SUPPLIER DATA BASE'!$A$2:$H$936,5,0),""))</f>
        <v/>
      </c>
      <c r="F1851" s="72"/>
      <c r="G1851" s="73"/>
      <c r="H1851" s="74"/>
      <c r="I1851" s="75"/>
      <c r="J1851" s="70"/>
      <c r="K1851" s="70"/>
      <c r="L1851" s="73"/>
      <c r="M1851" s="70" t="str">
        <f t="shared" si="3"/>
        <v/>
      </c>
      <c r="N1851" s="70" t="str">
        <f>IF($A$3=" "," ", IFERROR( VLOOKUP($A1851,'SUPPLIER DATA BASE'!$A$2:$O$936,11,0),""))</f>
        <v/>
      </c>
      <c r="O1851" s="70" t="str">
        <f>IF($A$3=" "," ", IFERROR( VLOOKUP($A1851,'SUPPLIER DATA BASE'!$A$2:$O$936,12,0),""))</f>
        <v/>
      </c>
      <c r="P1851" s="70" t="str">
        <f>IF($A$3=" "," ", IFERROR( VLOOKUP($A1851,'SUPPLIER DATA BASE'!$A$2:$O$936,13,0),""))</f>
        <v/>
      </c>
      <c r="Q1851" s="77"/>
      <c r="R1851" s="73"/>
      <c r="S1851" s="77"/>
      <c r="T1851" s="70"/>
      <c r="U1851" s="78"/>
      <c r="V1851" s="70" t="str">
        <f t="shared" si="6"/>
        <v/>
      </c>
      <c r="W1851" s="23"/>
      <c r="X1851" s="23"/>
    </row>
    <row r="1852">
      <c r="A1852" s="70"/>
      <c r="B1852" s="70" t="str">
        <f>IF($A$3=" "," ", IFERROR( VLOOKUP($A1852,'SUPPLIER DATA BASE'!$A$2:$M$936,3,0),""))</f>
        <v/>
      </c>
      <c r="C1852" s="70" t="str">
        <f>IF($A$3=" "," ", IFERROR( VLOOKUP($A1852,'SUPPLIER DATA BASE'!$A$2:$F$936,6,0),""))</f>
        <v/>
      </c>
      <c r="D1852" s="70" t="str">
        <f>IF($A$3=" "," ", IFERROR( VLOOKUP($A1852,'SUPPLIER DATA BASE'!$A$2:$G$936,4,0),""))</f>
        <v/>
      </c>
      <c r="E1852" s="71" t="str">
        <f>IF($A$3=" "," ", IFERROR( VLOOKUP($A1852,'SUPPLIER DATA BASE'!$A$2:$H$936,5,0),""))</f>
        <v/>
      </c>
      <c r="F1852" s="72"/>
      <c r="G1852" s="73"/>
      <c r="H1852" s="74"/>
      <c r="I1852" s="75"/>
      <c r="J1852" s="70"/>
      <c r="K1852" s="70"/>
      <c r="L1852" s="73"/>
      <c r="M1852" s="70" t="str">
        <f t="shared" si="3"/>
        <v/>
      </c>
      <c r="N1852" s="70" t="str">
        <f>IF($A$3=" "," ", IFERROR( VLOOKUP($A1852,'SUPPLIER DATA BASE'!$A$2:$O$936,11,0),""))</f>
        <v/>
      </c>
      <c r="O1852" s="70" t="str">
        <f>IF($A$3=" "," ", IFERROR( VLOOKUP($A1852,'SUPPLIER DATA BASE'!$A$2:$O$936,12,0),""))</f>
        <v/>
      </c>
      <c r="P1852" s="70" t="str">
        <f>IF($A$3=" "," ", IFERROR( VLOOKUP($A1852,'SUPPLIER DATA BASE'!$A$2:$O$936,13,0),""))</f>
        <v/>
      </c>
      <c r="Q1852" s="77"/>
      <c r="R1852" s="73"/>
      <c r="S1852" s="77"/>
      <c r="T1852" s="70"/>
      <c r="U1852" s="78"/>
      <c r="V1852" s="70" t="str">
        <f t="shared" si="6"/>
        <v/>
      </c>
      <c r="W1852" s="23"/>
      <c r="X1852" s="23"/>
    </row>
    <row r="1853">
      <c r="A1853" s="70"/>
      <c r="B1853" s="70" t="str">
        <f>IF($A$3=" "," ", IFERROR( VLOOKUP($A1853,'SUPPLIER DATA BASE'!$A$2:$M$936,3,0),""))</f>
        <v/>
      </c>
      <c r="C1853" s="70" t="str">
        <f>IF($A$3=" "," ", IFERROR( VLOOKUP($A1853,'SUPPLIER DATA BASE'!$A$2:$F$936,6,0),""))</f>
        <v/>
      </c>
      <c r="D1853" s="70" t="str">
        <f>IF($A$3=" "," ", IFERROR( VLOOKUP($A1853,'SUPPLIER DATA BASE'!$A$2:$G$936,4,0),""))</f>
        <v/>
      </c>
      <c r="E1853" s="71" t="str">
        <f>IF($A$3=" "," ", IFERROR( VLOOKUP($A1853,'SUPPLIER DATA BASE'!$A$2:$H$936,5,0),""))</f>
        <v/>
      </c>
      <c r="F1853" s="72"/>
      <c r="G1853" s="73"/>
      <c r="H1853" s="74"/>
      <c r="I1853" s="75"/>
      <c r="J1853" s="70"/>
      <c r="K1853" s="70"/>
      <c r="L1853" s="73"/>
      <c r="M1853" s="70" t="str">
        <f t="shared" si="3"/>
        <v/>
      </c>
      <c r="N1853" s="70" t="str">
        <f>IF($A$3=" "," ", IFERROR( VLOOKUP($A1853,'SUPPLIER DATA BASE'!$A$2:$O$936,11,0),""))</f>
        <v/>
      </c>
      <c r="O1853" s="70" t="str">
        <f>IF($A$3=" "," ", IFERROR( VLOOKUP($A1853,'SUPPLIER DATA BASE'!$A$2:$O$936,12,0),""))</f>
        <v/>
      </c>
      <c r="P1853" s="70" t="str">
        <f>IF($A$3=" "," ", IFERROR( VLOOKUP($A1853,'SUPPLIER DATA BASE'!$A$2:$O$936,13,0),""))</f>
        <v/>
      </c>
      <c r="Q1853" s="77"/>
      <c r="R1853" s="73"/>
      <c r="S1853" s="77"/>
      <c r="T1853" s="70"/>
      <c r="U1853" s="78"/>
      <c r="V1853" s="70" t="str">
        <f t="shared" si="6"/>
        <v/>
      </c>
      <c r="W1853" s="23"/>
      <c r="X1853" s="23"/>
    </row>
    <row r="1854">
      <c r="A1854" s="70"/>
      <c r="B1854" s="70" t="str">
        <f>IF($A$3=" "," ", IFERROR( VLOOKUP($A1854,'SUPPLIER DATA BASE'!$A$2:$M$936,3,0),""))</f>
        <v/>
      </c>
      <c r="C1854" s="70" t="str">
        <f>IF($A$3=" "," ", IFERROR( VLOOKUP($A1854,'SUPPLIER DATA BASE'!$A$2:$F$936,6,0),""))</f>
        <v/>
      </c>
      <c r="D1854" s="70" t="str">
        <f>IF($A$3=" "," ", IFERROR( VLOOKUP($A1854,'SUPPLIER DATA BASE'!$A$2:$G$936,4,0),""))</f>
        <v/>
      </c>
      <c r="E1854" s="71" t="str">
        <f>IF($A$3=" "," ", IFERROR( VLOOKUP($A1854,'SUPPLIER DATA BASE'!$A$2:$H$936,5,0),""))</f>
        <v/>
      </c>
      <c r="F1854" s="72"/>
      <c r="G1854" s="73"/>
      <c r="H1854" s="74"/>
      <c r="I1854" s="75"/>
      <c r="J1854" s="70"/>
      <c r="K1854" s="70"/>
      <c r="L1854" s="73"/>
      <c r="M1854" s="70" t="str">
        <f t="shared" si="3"/>
        <v/>
      </c>
      <c r="N1854" s="70" t="str">
        <f>IF($A$3=" "," ", IFERROR( VLOOKUP($A1854,'SUPPLIER DATA BASE'!$A$2:$O$936,11,0),""))</f>
        <v/>
      </c>
      <c r="O1854" s="70" t="str">
        <f>IF($A$3=" "," ", IFERROR( VLOOKUP($A1854,'SUPPLIER DATA BASE'!$A$2:$O$936,12,0),""))</f>
        <v/>
      </c>
      <c r="P1854" s="70" t="str">
        <f>IF($A$3=" "," ", IFERROR( VLOOKUP($A1854,'SUPPLIER DATA BASE'!$A$2:$O$936,13,0),""))</f>
        <v/>
      </c>
      <c r="Q1854" s="77"/>
      <c r="R1854" s="73"/>
      <c r="S1854" s="77"/>
      <c r="T1854" s="70"/>
      <c r="U1854" s="78"/>
      <c r="V1854" s="70" t="str">
        <f t="shared" si="6"/>
        <v/>
      </c>
      <c r="W1854" s="23"/>
      <c r="X1854" s="23"/>
    </row>
    <row r="1855">
      <c r="A1855" s="70"/>
      <c r="B1855" s="70" t="str">
        <f>IF($A$3=" "," ", IFERROR( VLOOKUP($A1855,'SUPPLIER DATA BASE'!$A$2:$M$936,3,0),""))</f>
        <v/>
      </c>
      <c r="C1855" s="70" t="str">
        <f>IF($A$3=" "," ", IFERROR( VLOOKUP($A1855,'SUPPLIER DATA BASE'!$A$2:$F$936,6,0),""))</f>
        <v/>
      </c>
      <c r="D1855" s="70" t="str">
        <f>IF($A$3=" "," ", IFERROR( VLOOKUP($A1855,'SUPPLIER DATA BASE'!$A$2:$G$936,4,0),""))</f>
        <v/>
      </c>
      <c r="E1855" s="71" t="str">
        <f>IF($A$3=" "," ", IFERROR( VLOOKUP($A1855,'SUPPLIER DATA BASE'!$A$2:$H$936,5,0),""))</f>
        <v/>
      </c>
      <c r="F1855" s="72"/>
      <c r="G1855" s="73"/>
      <c r="H1855" s="74"/>
      <c r="I1855" s="75"/>
      <c r="J1855" s="70"/>
      <c r="K1855" s="70"/>
      <c r="L1855" s="73"/>
      <c r="M1855" s="70" t="str">
        <f t="shared" si="3"/>
        <v/>
      </c>
      <c r="N1855" s="70" t="str">
        <f>IF($A$3=" "," ", IFERROR( VLOOKUP($A1855,'SUPPLIER DATA BASE'!$A$2:$O$936,11,0),""))</f>
        <v/>
      </c>
      <c r="O1855" s="70" t="str">
        <f>IF($A$3=" "," ", IFERROR( VLOOKUP($A1855,'SUPPLIER DATA BASE'!$A$2:$O$936,12,0),""))</f>
        <v/>
      </c>
      <c r="P1855" s="70" t="str">
        <f>IF($A$3=" "," ", IFERROR( VLOOKUP($A1855,'SUPPLIER DATA BASE'!$A$2:$O$936,13,0),""))</f>
        <v/>
      </c>
      <c r="Q1855" s="77"/>
      <c r="R1855" s="73"/>
      <c r="S1855" s="77"/>
      <c r="T1855" s="70"/>
      <c r="U1855" s="78"/>
      <c r="V1855" s="70" t="str">
        <f t="shared" si="6"/>
        <v/>
      </c>
      <c r="W1855" s="23"/>
      <c r="X1855" s="23"/>
    </row>
    <row r="1856">
      <c r="A1856" s="70"/>
      <c r="B1856" s="70" t="str">
        <f>IF($A$3=" "," ", IFERROR( VLOOKUP($A1856,'SUPPLIER DATA BASE'!$A$2:$M$936,3,0),""))</f>
        <v/>
      </c>
      <c r="C1856" s="70" t="str">
        <f>IF($A$3=" "," ", IFERROR( VLOOKUP($A1856,'SUPPLIER DATA BASE'!$A$2:$F$936,6,0),""))</f>
        <v/>
      </c>
      <c r="D1856" s="70" t="str">
        <f>IF($A$3=" "," ", IFERROR( VLOOKUP($A1856,'SUPPLIER DATA BASE'!$A$2:$G$936,4,0),""))</f>
        <v/>
      </c>
      <c r="E1856" s="71" t="str">
        <f>IF($A$3=" "," ", IFERROR( VLOOKUP($A1856,'SUPPLIER DATA BASE'!$A$2:$H$936,5,0),""))</f>
        <v/>
      </c>
      <c r="F1856" s="72"/>
      <c r="G1856" s="73"/>
      <c r="H1856" s="74"/>
      <c r="I1856" s="75"/>
      <c r="J1856" s="70"/>
      <c r="K1856" s="70"/>
      <c r="L1856" s="73"/>
      <c r="M1856" s="70" t="str">
        <f t="shared" si="3"/>
        <v/>
      </c>
      <c r="N1856" s="70" t="str">
        <f>IF($A$3=" "," ", IFERROR( VLOOKUP($A1856,'SUPPLIER DATA BASE'!$A$2:$O$936,11,0),""))</f>
        <v/>
      </c>
      <c r="O1856" s="70" t="str">
        <f>IF($A$3=" "," ", IFERROR( VLOOKUP($A1856,'SUPPLIER DATA BASE'!$A$2:$O$936,12,0),""))</f>
        <v/>
      </c>
      <c r="P1856" s="70" t="str">
        <f>IF($A$3=" "," ", IFERROR( VLOOKUP($A1856,'SUPPLIER DATA BASE'!$A$2:$O$936,13,0),""))</f>
        <v/>
      </c>
      <c r="Q1856" s="77"/>
      <c r="R1856" s="73"/>
      <c r="S1856" s="77"/>
      <c r="T1856" s="70"/>
      <c r="U1856" s="78"/>
      <c r="V1856" s="70" t="str">
        <f t="shared" si="6"/>
        <v/>
      </c>
      <c r="W1856" s="23"/>
      <c r="X1856" s="23"/>
    </row>
    <row r="1857">
      <c r="A1857" s="70"/>
      <c r="B1857" s="70" t="str">
        <f>IF($A$3=" "," ", IFERROR( VLOOKUP($A1857,'SUPPLIER DATA BASE'!$A$2:$M$936,3,0),""))</f>
        <v/>
      </c>
      <c r="C1857" s="70" t="str">
        <f>IF($A$3=" "," ", IFERROR( VLOOKUP($A1857,'SUPPLIER DATA BASE'!$A$2:$F$936,6,0),""))</f>
        <v/>
      </c>
      <c r="D1857" s="70" t="str">
        <f>IF($A$3=" "," ", IFERROR( VLOOKUP($A1857,'SUPPLIER DATA BASE'!$A$2:$G$936,4,0),""))</f>
        <v/>
      </c>
      <c r="E1857" s="71" t="str">
        <f>IF($A$3=" "," ", IFERROR( VLOOKUP($A1857,'SUPPLIER DATA BASE'!$A$2:$H$936,5,0),""))</f>
        <v/>
      </c>
      <c r="F1857" s="72"/>
      <c r="G1857" s="73"/>
      <c r="H1857" s="74"/>
      <c r="I1857" s="75"/>
      <c r="J1857" s="70"/>
      <c r="K1857" s="70"/>
      <c r="L1857" s="73"/>
      <c r="M1857" s="70" t="str">
        <f t="shared" si="3"/>
        <v/>
      </c>
      <c r="N1857" s="70" t="str">
        <f>IF($A$3=" "," ", IFERROR( VLOOKUP($A1857,'SUPPLIER DATA BASE'!$A$2:$O$936,11,0),""))</f>
        <v/>
      </c>
      <c r="O1857" s="70" t="str">
        <f>IF($A$3=" "," ", IFERROR( VLOOKUP($A1857,'SUPPLIER DATA BASE'!$A$2:$O$936,12,0),""))</f>
        <v/>
      </c>
      <c r="P1857" s="70" t="str">
        <f>IF($A$3=" "," ", IFERROR( VLOOKUP($A1857,'SUPPLIER DATA BASE'!$A$2:$O$936,13,0),""))</f>
        <v/>
      </c>
      <c r="Q1857" s="77"/>
      <c r="R1857" s="73"/>
      <c r="S1857" s="77"/>
      <c r="T1857" s="70"/>
      <c r="U1857" s="78"/>
      <c r="V1857" s="70" t="str">
        <f t="shared" si="6"/>
        <v/>
      </c>
      <c r="W1857" s="23"/>
      <c r="X1857" s="23"/>
    </row>
    <row r="1858">
      <c r="A1858" s="70"/>
      <c r="B1858" s="70" t="str">
        <f>IF($A$3=" "," ", IFERROR( VLOOKUP($A1858,'SUPPLIER DATA BASE'!$A$2:$M$936,3,0),""))</f>
        <v/>
      </c>
      <c r="C1858" s="70" t="str">
        <f>IF($A$3=" "," ", IFERROR( VLOOKUP($A1858,'SUPPLIER DATA BASE'!$A$2:$F$936,6,0),""))</f>
        <v/>
      </c>
      <c r="D1858" s="70" t="str">
        <f>IF($A$3=" "," ", IFERROR( VLOOKUP($A1858,'SUPPLIER DATA BASE'!$A$2:$G$936,4,0),""))</f>
        <v/>
      </c>
      <c r="E1858" s="71" t="str">
        <f>IF($A$3=" "," ", IFERROR( VLOOKUP($A1858,'SUPPLIER DATA BASE'!$A$2:$H$936,5,0),""))</f>
        <v/>
      </c>
      <c r="F1858" s="72"/>
      <c r="G1858" s="73"/>
      <c r="H1858" s="74"/>
      <c r="I1858" s="75"/>
      <c r="J1858" s="70"/>
      <c r="K1858" s="70"/>
      <c r="L1858" s="73"/>
      <c r="M1858" s="70" t="str">
        <f t="shared" si="3"/>
        <v/>
      </c>
      <c r="N1858" s="70" t="str">
        <f>IF($A$3=" "," ", IFERROR( VLOOKUP($A1858,'SUPPLIER DATA BASE'!$A$2:$O$936,11,0),""))</f>
        <v/>
      </c>
      <c r="O1858" s="70" t="str">
        <f>IF($A$3=" "," ", IFERROR( VLOOKUP($A1858,'SUPPLIER DATA BASE'!$A$2:$O$936,12,0),""))</f>
        <v/>
      </c>
      <c r="P1858" s="70" t="str">
        <f>IF($A$3=" "," ", IFERROR( VLOOKUP($A1858,'SUPPLIER DATA BASE'!$A$2:$O$936,13,0),""))</f>
        <v/>
      </c>
      <c r="Q1858" s="77"/>
      <c r="R1858" s="73"/>
      <c r="S1858" s="77"/>
      <c r="T1858" s="70"/>
      <c r="U1858" s="78"/>
      <c r="V1858" s="70" t="str">
        <f t="shared" si="6"/>
        <v/>
      </c>
      <c r="W1858" s="23"/>
      <c r="X1858" s="23"/>
    </row>
    <row r="1859">
      <c r="A1859" s="70"/>
      <c r="B1859" s="70" t="str">
        <f>IF($A$3=" "," ", IFERROR( VLOOKUP($A1859,'SUPPLIER DATA BASE'!$A$2:$M$936,3,0),""))</f>
        <v/>
      </c>
      <c r="C1859" s="70" t="str">
        <f>IF($A$3=" "," ", IFERROR( VLOOKUP($A1859,'SUPPLIER DATA BASE'!$A$2:$F$936,6,0),""))</f>
        <v/>
      </c>
      <c r="D1859" s="70" t="str">
        <f>IF($A$3=" "," ", IFERROR( VLOOKUP($A1859,'SUPPLIER DATA BASE'!$A$2:$G$936,4,0),""))</f>
        <v/>
      </c>
      <c r="E1859" s="71" t="str">
        <f>IF($A$3=" "," ", IFERROR( VLOOKUP($A1859,'SUPPLIER DATA BASE'!$A$2:$H$936,5,0),""))</f>
        <v/>
      </c>
      <c r="F1859" s="72"/>
      <c r="G1859" s="73"/>
      <c r="H1859" s="74"/>
      <c r="I1859" s="75"/>
      <c r="J1859" s="70"/>
      <c r="K1859" s="70"/>
      <c r="L1859" s="73"/>
      <c r="M1859" s="70" t="str">
        <f t="shared" si="3"/>
        <v/>
      </c>
      <c r="N1859" s="70" t="str">
        <f>IF($A$3=" "," ", IFERROR( VLOOKUP($A1859,'SUPPLIER DATA BASE'!$A$2:$O$936,11,0),""))</f>
        <v/>
      </c>
      <c r="O1859" s="70" t="str">
        <f>IF($A$3=" "," ", IFERROR( VLOOKUP($A1859,'SUPPLIER DATA BASE'!$A$2:$O$936,12,0),""))</f>
        <v/>
      </c>
      <c r="P1859" s="70" t="str">
        <f>IF($A$3=" "," ", IFERROR( VLOOKUP($A1859,'SUPPLIER DATA BASE'!$A$2:$O$936,13,0),""))</f>
        <v/>
      </c>
      <c r="Q1859" s="77"/>
      <c r="R1859" s="73"/>
      <c r="S1859" s="77"/>
      <c r="T1859" s="70"/>
      <c r="U1859" s="78"/>
      <c r="V1859" s="70" t="str">
        <f t="shared" si="6"/>
        <v/>
      </c>
      <c r="W1859" s="23"/>
      <c r="X1859" s="23"/>
    </row>
    <row r="1860">
      <c r="A1860" s="70"/>
      <c r="B1860" s="70" t="str">
        <f>IF($A$3=" "," ", IFERROR( VLOOKUP($A1860,'SUPPLIER DATA BASE'!$A$2:$M$936,3,0),""))</f>
        <v/>
      </c>
      <c r="C1860" s="70" t="str">
        <f>IF($A$3=" "," ", IFERROR( VLOOKUP($A1860,'SUPPLIER DATA BASE'!$A$2:$F$936,6,0),""))</f>
        <v/>
      </c>
      <c r="D1860" s="70" t="str">
        <f>IF($A$3=" "," ", IFERROR( VLOOKUP($A1860,'SUPPLIER DATA BASE'!$A$2:$G$936,4,0),""))</f>
        <v/>
      </c>
      <c r="E1860" s="71" t="str">
        <f>IF($A$3=" "," ", IFERROR( VLOOKUP($A1860,'SUPPLIER DATA BASE'!$A$2:$H$936,5,0),""))</f>
        <v/>
      </c>
      <c r="F1860" s="72"/>
      <c r="G1860" s="73"/>
      <c r="H1860" s="74"/>
      <c r="I1860" s="75"/>
      <c r="J1860" s="70"/>
      <c r="K1860" s="70"/>
      <c r="L1860" s="73"/>
      <c r="M1860" s="70" t="str">
        <f t="shared" si="3"/>
        <v/>
      </c>
      <c r="N1860" s="70" t="str">
        <f>IF($A$3=" "," ", IFERROR( VLOOKUP($A1860,'SUPPLIER DATA BASE'!$A$2:$O$936,11,0),""))</f>
        <v/>
      </c>
      <c r="O1860" s="70" t="str">
        <f>IF($A$3=" "," ", IFERROR( VLOOKUP($A1860,'SUPPLIER DATA BASE'!$A$2:$O$936,12,0),""))</f>
        <v/>
      </c>
      <c r="P1860" s="70" t="str">
        <f>IF($A$3=" "," ", IFERROR( VLOOKUP($A1860,'SUPPLIER DATA BASE'!$A$2:$O$936,13,0),""))</f>
        <v/>
      </c>
      <c r="Q1860" s="77"/>
      <c r="R1860" s="73"/>
      <c r="S1860" s="77"/>
      <c r="T1860" s="70"/>
      <c r="U1860" s="78"/>
      <c r="V1860" s="70" t="str">
        <f t="shared" si="6"/>
        <v/>
      </c>
      <c r="W1860" s="23"/>
      <c r="X1860" s="23"/>
    </row>
    <row r="1861">
      <c r="A1861" s="70"/>
      <c r="B1861" s="70" t="str">
        <f>IF($A$3=" "," ", IFERROR( VLOOKUP($A1861,'SUPPLIER DATA BASE'!$A$2:$M$936,3,0),""))</f>
        <v/>
      </c>
      <c r="C1861" s="70" t="str">
        <f>IF($A$3=" "," ", IFERROR( VLOOKUP($A1861,'SUPPLIER DATA BASE'!$A$2:$F$936,6,0),""))</f>
        <v/>
      </c>
      <c r="D1861" s="70" t="str">
        <f>IF($A$3=" "," ", IFERROR( VLOOKUP($A1861,'SUPPLIER DATA BASE'!$A$2:$G$936,4,0),""))</f>
        <v/>
      </c>
      <c r="E1861" s="71" t="str">
        <f>IF($A$3=" "," ", IFERROR( VLOOKUP($A1861,'SUPPLIER DATA BASE'!$A$2:$H$936,5,0),""))</f>
        <v/>
      </c>
      <c r="F1861" s="72"/>
      <c r="G1861" s="73"/>
      <c r="H1861" s="74"/>
      <c r="I1861" s="75"/>
      <c r="J1861" s="70"/>
      <c r="K1861" s="70"/>
      <c r="L1861" s="73"/>
      <c r="M1861" s="70" t="str">
        <f t="shared" si="3"/>
        <v/>
      </c>
      <c r="N1861" s="70" t="str">
        <f>IF($A$3=" "," ", IFERROR( VLOOKUP($A1861,'SUPPLIER DATA BASE'!$A$2:$O$936,11,0),""))</f>
        <v/>
      </c>
      <c r="O1861" s="70" t="str">
        <f>IF($A$3=" "," ", IFERROR( VLOOKUP($A1861,'SUPPLIER DATA BASE'!$A$2:$O$936,12,0),""))</f>
        <v/>
      </c>
      <c r="P1861" s="70" t="str">
        <f>IF($A$3=" "," ", IFERROR( VLOOKUP($A1861,'SUPPLIER DATA BASE'!$A$2:$O$936,13,0),""))</f>
        <v/>
      </c>
      <c r="Q1861" s="77"/>
      <c r="R1861" s="73"/>
      <c r="S1861" s="77"/>
      <c r="T1861" s="70"/>
      <c r="U1861" s="78"/>
      <c r="V1861" s="70" t="str">
        <f t="shared" si="6"/>
        <v/>
      </c>
      <c r="W1861" s="23"/>
      <c r="X1861" s="23"/>
    </row>
    <row r="1862">
      <c r="A1862" s="70"/>
      <c r="B1862" s="70" t="str">
        <f>IF($A$3=" "," ", IFERROR( VLOOKUP($A1862,'SUPPLIER DATA BASE'!$A$2:$M$936,3,0),""))</f>
        <v/>
      </c>
      <c r="C1862" s="70" t="str">
        <f>IF($A$3=" "," ", IFERROR( VLOOKUP($A1862,'SUPPLIER DATA BASE'!$A$2:$F$936,6,0),""))</f>
        <v/>
      </c>
      <c r="D1862" s="70" t="str">
        <f>IF($A$3=" "," ", IFERROR( VLOOKUP($A1862,'SUPPLIER DATA BASE'!$A$2:$G$936,4,0),""))</f>
        <v/>
      </c>
      <c r="E1862" s="71" t="str">
        <f>IF($A$3=" "," ", IFERROR( VLOOKUP($A1862,'SUPPLIER DATA BASE'!$A$2:$H$936,5,0),""))</f>
        <v/>
      </c>
      <c r="F1862" s="72"/>
      <c r="G1862" s="73"/>
      <c r="H1862" s="74"/>
      <c r="I1862" s="75"/>
      <c r="J1862" s="70"/>
      <c r="K1862" s="70"/>
      <c r="L1862" s="73"/>
      <c r="M1862" s="70" t="str">
        <f t="shared" si="3"/>
        <v/>
      </c>
      <c r="N1862" s="70" t="str">
        <f>IF($A$3=" "," ", IFERROR( VLOOKUP($A1862,'SUPPLIER DATA BASE'!$A$2:$O$936,11,0),""))</f>
        <v/>
      </c>
      <c r="O1862" s="70" t="str">
        <f>IF($A$3=" "," ", IFERROR( VLOOKUP($A1862,'SUPPLIER DATA BASE'!$A$2:$O$936,12,0),""))</f>
        <v/>
      </c>
      <c r="P1862" s="70" t="str">
        <f>IF($A$3=" "," ", IFERROR( VLOOKUP($A1862,'SUPPLIER DATA BASE'!$A$2:$O$936,13,0),""))</f>
        <v/>
      </c>
      <c r="Q1862" s="77"/>
      <c r="R1862" s="73"/>
      <c r="S1862" s="77"/>
      <c r="T1862" s="70"/>
      <c r="U1862" s="78"/>
      <c r="V1862" s="70" t="str">
        <f t="shared" si="6"/>
        <v/>
      </c>
      <c r="W1862" s="23"/>
      <c r="X1862" s="23"/>
    </row>
    <row r="1863">
      <c r="A1863" s="70"/>
      <c r="B1863" s="70" t="str">
        <f>IF($A$3=" "," ", IFERROR( VLOOKUP($A1863,'SUPPLIER DATA BASE'!$A$2:$M$936,3,0),""))</f>
        <v/>
      </c>
      <c r="C1863" s="70" t="str">
        <f>IF($A$3=" "," ", IFERROR( VLOOKUP($A1863,'SUPPLIER DATA BASE'!$A$2:$F$936,6,0),""))</f>
        <v/>
      </c>
      <c r="D1863" s="70" t="str">
        <f>IF($A$3=" "," ", IFERROR( VLOOKUP($A1863,'SUPPLIER DATA BASE'!$A$2:$G$936,4,0),""))</f>
        <v/>
      </c>
      <c r="E1863" s="71" t="str">
        <f>IF($A$3=" "," ", IFERROR( VLOOKUP($A1863,'SUPPLIER DATA BASE'!$A$2:$H$936,5,0),""))</f>
        <v/>
      </c>
      <c r="F1863" s="72"/>
      <c r="G1863" s="73"/>
      <c r="H1863" s="74"/>
      <c r="I1863" s="75"/>
      <c r="J1863" s="70"/>
      <c r="K1863" s="70"/>
      <c r="L1863" s="73"/>
      <c r="M1863" s="70" t="str">
        <f t="shared" si="3"/>
        <v/>
      </c>
      <c r="N1863" s="70" t="str">
        <f>IF($A$3=" "," ", IFERROR( VLOOKUP($A1863,'SUPPLIER DATA BASE'!$A$2:$O$936,11,0),""))</f>
        <v/>
      </c>
      <c r="O1863" s="70" t="str">
        <f>IF($A$3=" "," ", IFERROR( VLOOKUP($A1863,'SUPPLIER DATA BASE'!$A$2:$O$936,12,0),""))</f>
        <v/>
      </c>
      <c r="P1863" s="70" t="str">
        <f>IF($A$3=" "," ", IFERROR( VLOOKUP($A1863,'SUPPLIER DATA BASE'!$A$2:$O$936,13,0),""))</f>
        <v/>
      </c>
      <c r="Q1863" s="77"/>
      <c r="R1863" s="73"/>
      <c r="S1863" s="77"/>
      <c r="T1863" s="70"/>
      <c r="U1863" s="78"/>
      <c r="V1863" s="70" t="str">
        <f t="shared" si="6"/>
        <v/>
      </c>
      <c r="W1863" s="23"/>
      <c r="X1863" s="23"/>
    </row>
    <row r="1864">
      <c r="A1864" s="70"/>
      <c r="B1864" s="70" t="str">
        <f>IF($A$3=" "," ", IFERROR( VLOOKUP($A1864,'SUPPLIER DATA BASE'!$A$2:$M$936,3,0),""))</f>
        <v/>
      </c>
      <c r="C1864" s="70" t="str">
        <f>IF($A$3=" "," ", IFERROR( VLOOKUP($A1864,'SUPPLIER DATA BASE'!$A$2:$F$936,6,0),""))</f>
        <v/>
      </c>
      <c r="D1864" s="70" t="str">
        <f>IF($A$3=" "," ", IFERROR( VLOOKUP($A1864,'SUPPLIER DATA BASE'!$A$2:$G$936,4,0),""))</f>
        <v/>
      </c>
      <c r="E1864" s="71" t="str">
        <f>IF($A$3=" "," ", IFERROR( VLOOKUP($A1864,'SUPPLIER DATA BASE'!$A$2:$H$936,5,0),""))</f>
        <v/>
      </c>
      <c r="F1864" s="72"/>
      <c r="G1864" s="73"/>
      <c r="H1864" s="74"/>
      <c r="I1864" s="75"/>
      <c r="J1864" s="70"/>
      <c r="K1864" s="70"/>
      <c r="L1864" s="73"/>
      <c r="M1864" s="70" t="str">
        <f t="shared" si="3"/>
        <v/>
      </c>
      <c r="N1864" s="70" t="str">
        <f>IF($A$3=" "," ", IFERROR( VLOOKUP($A1864,'SUPPLIER DATA BASE'!$A$2:$O$936,11,0),""))</f>
        <v/>
      </c>
      <c r="O1864" s="70" t="str">
        <f>IF($A$3=" "," ", IFERROR( VLOOKUP($A1864,'SUPPLIER DATA BASE'!$A$2:$O$936,12,0),""))</f>
        <v/>
      </c>
      <c r="P1864" s="70" t="str">
        <f>IF($A$3=" "," ", IFERROR( VLOOKUP($A1864,'SUPPLIER DATA BASE'!$A$2:$O$936,13,0),""))</f>
        <v/>
      </c>
      <c r="Q1864" s="77"/>
      <c r="R1864" s="73"/>
      <c r="S1864" s="77"/>
      <c r="T1864" s="70"/>
      <c r="U1864" s="78"/>
      <c r="V1864" s="70" t="str">
        <f t="shared" si="6"/>
        <v/>
      </c>
      <c r="W1864" s="23"/>
      <c r="X1864" s="23"/>
    </row>
    <row r="1865">
      <c r="A1865" s="70"/>
      <c r="B1865" s="70" t="str">
        <f>IF($A$3=" "," ", IFERROR( VLOOKUP($A1865,'SUPPLIER DATA BASE'!$A$2:$M$936,3,0),""))</f>
        <v/>
      </c>
      <c r="C1865" s="70" t="str">
        <f>IF($A$3=" "," ", IFERROR( VLOOKUP($A1865,'SUPPLIER DATA BASE'!$A$2:$F$936,6,0),""))</f>
        <v/>
      </c>
      <c r="D1865" s="70" t="str">
        <f>IF($A$3=" "," ", IFERROR( VLOOKUP($A1865,'SUPPLIER DATA BASE'!$A$2:$G$936,4,0),""))</f>
        <v/>
      </c>
      <c r="E1865" s="71" t="str">
        <f>IF($A$3=" "," ", IFERROR( VLOOKUP($A1865,'SUPPLIER DATA BASE'!$A$2:$H$936,5,0),""))</f>
        <v/>
      </c>
      <c r="F1865" s="72"/>
      <c r="G1865" s="73"/>
      <c r="H1865" s="74"/>
      <c r="I1865" s="75"/>
      <c r="J1865" s="70"/>
      <c r="K1865" s="70"/>
      <c r="L1865" s="73"/>
      <c r="M1865" s="70" t="str">
        <f t="shared" si="3"/>
        <v/>
      </c>
      <c r="N1865" s="70" t="str">
        <f>IF($A$3=" "," ", IFERROR( VLOOKUP($A1865,'SUPPLIER DATA BASE'!$A$2:$O$936,11,0),""))</f>
        <v/>
      </c>
      <c r="O1865" s="70" t="str">
        <f>IF($A$3=" "," ", IFERROR( VLOOKUP($A1865,'SUPPLIER DATA BASE'!$A$2:$O$936,12,0),""))</f>
        <v/>
      </c>
      <c r="P1865" s="70" t="str">
        <f>IF($A$3=" "," ", IFERROR( VLOOKUP($A1865,'SUPPLIER DATA BASE'!$A$2:$O$936,13,0),""))</f>
        <v/>
      </c>
      <c r="Q1865" s="77"/>
      <c r="R1865" s="73"/>
      <c r="S1865" s="77"/>
      <c r="T1865" s="70"/>
      <c r="U1865" s="78"/>
      <c r="V1865" s="70" t="str">
        <f t="shared" si="6"/>
        <v/>
      </c>
      <c r="W1865" s="23"/>
      <c r="X1865" s="23"/>
    </row>
    <row r="1866">
      <c r="A1866" s="70"/>
      <c r="B1866" s="70" t="str">
        <f>IF($A$3=" "," ", IFERROR( VLOOKUP($A1866,'SUPPLIER DATA BASE'!$A$2:$M$936,3,0),""))</f>
        <v/>
      </c>
      <c r="C1866" s="70" t="str">
        <f>IF($A$3=" "," ", IFERROR( VLOOKUP($A1866,'SUPPLIER DATA BASE'!$A$2:$F$936,6,0),""))</f>
        <v/>
      </c>
      <c r="D1866" s="70" t="str">
        <f>IF($A$3=" "," ", IFERROR( VLOOKUP($A1866,'SUPPLIER DATA BASE'!$A$2:$G$936,4,0),""))</f>
        <v/>
      </c>
      <c r="E1866" s="71" t="str">
        <f>IF($A$3=" "," ", IFERROR( VLOOKUP($A1866,'SUPPLIER DATA BASE'!$A$2:$H$936,5,0),""))</f>
        <v/>
      </c>
      <c r="F1866" s="72"/>
      <c r="G1866" s="73"/>
      <c r="H1866" s="74"/>
      <c r="I1866" s="75"/>
      <c r="J1866" s="70"/>
      <c r="K1866" s="70"/>
      <c r="L1866" s="73"/>
      <c r="M1866" s="70" t="str">
        <f t="shared" si="3"/>
        <v/>
      </c>
      <c r="N1866" s="70" t="str">
        <f>IF($A$3=" "," ", IFERROR( VLOOKUP($A1866,'SUPPLIER DATA BASE'!$A$2:$O$936,11,0),""))</f>
        <v/>
      </c>
      <c r="O1866" s="70" t="str">
        <f>IF($A$3=" "," ", IFERROR( VLOOKUP($A1866,'SUPPLIER DATA BASE'!$A$2:$O$936,12,0),""))</f>
        <v/>
      </c>
      <c r="P1866" s="70" t="str">
        <f>IF($A$3=" "," ", IFERROR( VLOOKUP($A1866,'SUPPLIER DATA BASE'!$A$2:$O$936,13,0),""))</f>
        <v/>
      </c>
      <c r="Q1866" s="77"/>
      <c r="R1866" s="73"/>
      <c r="S1866" s="77"/>
      <c r="T1866" s="70"/>
      <c r="U1866" s="78"/>
      <c r="V1866" s="70" t="str">
        <f t="shared" si="6"/>
        <v/>
      </c>
      <c r="W1866" s="23"/>
      <c r="X1866" s="23"/>
    </row>
    <row r="1867">
      <c r="A1867" s="70"/>
      <c r="B1867" s="70" t="str">
        <f>IF($A$3=" "," ", IFERROR( VLOOKUP($A1867,'SUPPLIER DATA BASE'!$A$2:$M$936,3,0),""))</f>
        <v/>
      </c>
      <c r="C1867" s="70" t="str">
        <f>IF($A$3=" "," ", IFERROR( VLOOKUP($A1867,'SUPPLIER DATA BASE'!$A$2:$F$936,6,0),""))</f>
        <v/>
      </c>
      <c r="D1867" s="70" t="str">
        <f>IF($A$3=" "," ", IFERROR( VLOOKUP($A1867,'SUPPLIER DATA BASE'!$A$2:$G$936,4,0),""))</f>
        <v/>
      </c>
      <c r="E1867" s="71" t="str">
        <f>IF($A$3=" "," ", IFERROR( VLOOKUP($A1867,'SUPPLIER DATA BASE'!$A$2:$H$936,5,0),""))</f>
        <v/>
      </c>
      <c r="F1867" s="72"/>
      <c r="G1867" s="73"/>
      <c r="H1867" s="74"/>
      <c r="I1867" s="75"/>
      <c r="J1867" s="70"/>
      <c r="K1867" s="70"/>
      <c r="L1867" s="73"/>
      <c r="M1867" s="70" t="str">
        <f t="shared" si="3"/>
        <v/>
      </c>
      <c r="N1867" s="70" t="str">
        <f>IF($A$3=" "," ", IFERROR( VLOOKUP($A1867,'SUPPLIER DATA BASE'!$A$2:$O$936,11,0),""))</f>
        <v/>
      </c>
      <c r="O1867" s="70" t="str">
        <f>IF($A$3=" "," ", IFERROR( VLOOKUP($A1867,'SUPPLIER DATA BASE'!$A$2:$O$936,12,0),""))</f>
        <v/>
      </c>
      <c r="P1867" s="70" t="str">
        <f>IF($A$3=" "," ", IFERROR( VLOOKUP($A1867,'SUPPLIER DATA BASE'!$A$2:$O$936,13,0),""))</f>
        <v/>
      </c>
      <c r="Q1867" s="77"/>
      <c r="R1867" s="73"/>
      <c r="S1867" s="77"/>
      <c r="T1867" s="70"/>
      <c r="U1867" s="78"/>
      <c r="V1867" s="70" t="str">
        <f t="shared" si="6"/>
        <v/>
      </c>
      <c r="W1867" s="23"/>
      <c r="X1867" s="23"/>
    </row>
    <row r="1868">
      <c r="A1868" s="70"/>
      <c r="B1868" s="70" t="str">
        <f>IF($A$3=" "," ", IFERROR( VLOOKUP($A1868,'SUPPLIER DATA BASE'!$A$2:$M$936,3,0),""))</f>
        <v/>
      </c>
      <c r="C1868" s="70" t="str">
        <f>IF($A$3=" "," ", IFERROR( VLOOKUP($A1868,'SUPPLIER DATA BASE'!$A$2:$F$936,6,0),""))</f>
        <v/>
      </c>
      <c r="D1868" s="70" t="str">
        <f>IF($A$3=" "," ", IFERROR( VLOOKUP($A1868,'SUPPLIER DATA BASE'!$A$2:$G$936,4,0),""))</f>
        <v/>
      </c>
      <c r="E1868" s="71" t="str">
        <f>IF($A$3=" "," ", IFERROR( VLOOKUP($A1868,'SUPPLIER DATA BASE'!$A$2:$H$936,5,0),""))</f>
        <v/>
      </c>
      <c r="F1868" s="72"/>
      <c r="G1868" s="73"/>
      <c r="H1868" s="74"/>
      <c r="I1868" s="75"/>
      <c r="J1868" s="70"/>
      <c r="K1868" s="70"/>
      <c r="L1868" s="73"/>
      <c r="M1868" s="70" t="str">
        <f t="shared" si="3"/>
        <v/>
      </c>
      <c r="N1868" s="70" t="str">
        <f>IF($A$3=" "," ", IFERROR( VLOOKUP($A1868,'SUPPLIER DATA BASE'!$A$2:$O$936,11,0),""))</f>
        <v/>
      </c>
      <c r="O1868" s="70" t="str">
        <f>IF($A$3=" "," ", IFERROR( VLOOKUP($A1868,'SUPPLIER DATA BASE'!$A$2:$O$936,12,0),""))</f>
        <v/>
      </c>
      <c r="P1868" s="70" t="str">
        <f>IF($A$3=" "," ", IFERROR( VLOOKUP($A1868,'SUPPLIER DATA BASE'!$A$2:$O$936,13,0),""))</f>
        <v/>
      </c>
      <c r="Q1868" s="77"/>
      <c r="R1868" s="73"/>
      <c r="S1868" s="77"/>
      <c r="T1868" s="70"/>
      <c r="U1868" s="78"/>
      <c r="V1868" s="70" t="str">
        <f t="shared" si="6"/>
        <v/>
      </c>
      <c r="W1868" s="23"/>
      <c r="X1868" s="23"/>
    </row>
    <row r="1869">
      <c r="A1869" s="70"/>
      <c r="B1869" s="70" t="str">
        <f>IF($A$3=" "," ", IFERROR( VLOOKUP($A1869,'SUPPLIER DATA BASE'!$A$2:$M$936,3,0),""))</f>
        <v/>
      </c>
      <c r="C1869" s="70" t="str">
        <f>IF($A$3=" "," ", IFERROR( VLOOKUP($A1869,'SUPPLIER DATA BASE'!$A$2:$F$936,6,0),""))</f>
        <v/>
      </c>
      <c r="D1869" s="70" t="str">
        <f>IF($A$3=" "," ", IFERROR( VLOOKUP($A1869,'SUPPLIER DATA BASE'!$A$2:$G$936,4,0),""))</f>
        <v/>
      </c>
      <c r="E1869" s="71" t="str">
        <f>IF($A$3=" "," ", IFERROR( VLOOKUP($A1869,'SUPPLIER DATA BASE'!$A$2:$H$936,5,0),""))</f>
        <v/>
      </c>
      <c r="F1869" s="72"/>
      <c r="G1869" s="73"/>
      <c r="H1869" s="74"/>
      <c r="I1869" s="75"/>
      <c r="J1869" s="70"/>
      <c r="K1869" s="70"/>
      <c r="L1869" s="73"/>
      <c r="M1869" s="70" t="str">
        <f t="shared" si="3"/>
        <v/>
      </c>
      <c r="N1869" s="70" t="str">
        <f>IF($A$3=" "," ", IFERROR( VLOOKUP($A1869,'SUPPLIER DATA BASE'!$A$2:$O$936,11,0),""))</f>
        <v/>
      </c>
      <c r="O1869" s="70" t="str">
        <f>IF($A$3=" "," ", IFERROR( VLOOKUP($A1869,'SUPPLIER DATA BASE'!$A$2:$O$936,12,0),""))</f>
        <v/>
      </c>
      <c r="P1869" s="70" t="str">
        <f>IF($A$3=" "," ", IFERROR( VLOOKUP($A1869,'SUPPLIER DATA BASE'!$A$2:$O$936,13,0),""))</f>
        <v/>
      </c>
      <c r="Q1869" s="77"/>
      <c r="R1869" s="73"/>
      <c r="S1869" s="77"/>
      <c r="T1869" s="70"/>
      <c r="U1869" s="78"/>
      <c r="V1869" s="70" t="str">
        <f t="shared" si="6"/>
        <v/>
      </c>
      <c r="W1869" s="23"/>
      <c r="X1869" s="23"/>
    </row>
    <row r="1870">
      <c r="A1870" s="70"/>
      <c r="B1870" s="70" t="str">
        <f>IF($A$3=" "," ", IFERROR( VLOOKUP($A1870,'SUPPLIER DATA BASE'!$A$2:$M$936,3,0),""))</f>
        <v/>
      </c>
      <c r="C1870" s="70" t="str">
        <f>IF($A$3=" "," ", IFERROR( VLOOKUP($A1870,'SUPPLIER DATA BASE'!$A$2:$F$936,6,0),""))</f>
        <v/>
      </c>
      <c r="D1870" s="70" t="str">
        <f>IF($A$3=" "," ", IFERROR( VLOOKUP($A1870,'SUPPLIER DATA BASE'!$A$2:$G$936,4,0),""))</f>
        <v/>
      </c>
      <c r="E1870" s="71" t="str">
        <f>IF($A$3=" "," ", IFERROR( VLOOKUP($A1870,'SUPPLIER DATA BASE'!$A$2:$H$936,5,0),""))</f>
        <v/>
      </c>
      <c r="F1870" s="72"/>
      <c r="G1870" s="73"/>
      <c r="H1870" s="74"/>
      <c r="I1870" s="75"/>
      <c r="J1870" s="70"/>
      <c r="K1870" s="70"/>
      <c r="L1870" s="73"/>
      <c r="M1870" s="70" t="str">
        <f t="shared" si="3"/>
        <v/>
      </c>
      <c r="N1870" s="70" t="str">
        <f>IF($A$3=" "," ", IFERROR( VLOOKUP($A1870,'SUPPLIER DATA BASE'!$A$2:$O$936,11,0),""))</f>
        <v/>
      </c>
      <c r="O1870" s="70" t="str">
        <f>IF($A$3=" "," ", IFERROR( VLOOKUP($A1870,'SUPPLIER DATA BASE'!$A$2:$O$936,12,0),""))</f>
        <v/>
      </c>
      <c r="P1870" s="70" t="str">
        <f>IF($A$3=" "," ", IFERROR( VLOOKUP($A1870,'SUPPLIER DATA BASE'!$A$2:$O$936,13,0),""))</f>
        <v/>
      </c>
      <c r="Q1870" s="77"/>
      <c r="R1870" s="73"/>
      <c r="S1870" s="77"/>
      <c r="T1870" s="70"/>
      <c r="U1870" s="78"/>
      <c r="V1870" s="70" t="str">
        <f t="shared" si="6"/>
        <v/>
      </c>
      <c r="W1870" s="23"/>
      <c r="X1870" s="23"/>
    </row>
    <row r="1871">
      <c r="A1871" s="70"/>
      <c r="B1871" s="70" t="str">
        <f>IF($A$3=" "," ", IFERROR( VLOOKUP($A1871,'SUPPLIER DATA BASE'!$A$2:$M$936,3,0),""))</f>
        <v/>
      </c>
      <c r="C1871" s="70" t="str">
        <f>IF($A$3=" "," ", IFERROR( VLOOKUP($A1871,'SUPPLIER DATA BASE'!$A$2:$F$936,6,0),""))</f>
        <v/>
      </c>
      <c r="D1871" s="70" t="str">
        <f>IF($A$3=" "," ", IFERROR( VLOOKUP($A1871,'SUPPLIER DATA BASE'!$A$2:$G$936,4,0),""))</f>
        <v/>
      </c>
      <c r="E1871" s="71" t="str">
        <f>IF($A$3=" "," ", IFERROR( VLOOKUP($A1871,'SUPPLIER DATA BASE'!$A$2:$H$936,5,0),""))</f>
        <v/>
      </c>
      <c r="F1871" s="72"/>
      <c r="G1871" s="73"/>
      <c r="H1871" s="74"/>
      <c r="I1871" s="75"/>
      <c r="J1871" s="70"/>
      <c r="K1871" s="70"/>
      <c r="L1871" s="73"/>
      <c r="M1871" s="70" t="str">
        <f t="shared" si="3"/>
        <v/>
      </c>
      <c r="N1871" s="70" t="str">
        <f>IF($A$3=" "," ", IFERROR( VLOOKUP($A1871,'SUPPLIER DATA BASE'!$A$2:$O$936,11,0),""))</f>
        <v/>
      </c>
      <c r="O1871" s="70" t="str">
        <f>IF($A$3=" "," ", IFERROR( VLOOKUP($A1871,'SUPPLIER DATA BASE'!$A$2:$O$936,12,0),""))</f>
        <v/>
      </c>
      <c r="P1871" s="70" t="str">
        <f>IF($A$3=" "," ", IFERROR( VLOOKUP($A1871,'SUPPLIER DATA BASE'!$A$2:$O$936,13,0),""))</f>
        <v/>
      </c>
      <c r="Q1871" s="77"/>
      <c r="R1871" s="73"/>
      <c r="S1871" s="77"/>
      <c r="T1871" s="70"/>
      <c r="U1871" s="78"/>
      <c r="V1871" s="70" t="str">
        <f t="shared" si="6"/>
        <v/>
      </c>
      <c r="W1871" s="23"/>
      <c r="X1871" s="23"/>
    </row>
    <row r="1872">
      <c r="A1872" s="70"/>
      <c r="B1872" s="70" t="str">
        <f>IF($A$3=" "," ", IFERROR( VLOOKUP($A1872,'SUPPLIER DATA BASE'!$A$2:$M$936,3,0),""))</f>
        <v/>
      </c>
      <c r="C1872" s="70" t="str">
        <f>IF($A$3=" "," ", IFERROR( VLOOKUP($A1872,'SUPPLIER DATA BASE'!$A$2:$F$936,6,0),""))</f>
        <v/>
      </c>
      <c r="D1872" s="70" t="str">
        <f>IF($A$3=" "," ", IFERROR( VLOOKUP($A1872,'SUPPLIER DATA BASE'!$A$2:$G$936,4,0),""))</f>
        <v/>
      </c>
      <c r="E1872" s="71" t="str">
        <f>IF($A$3=" "," ", IFERROR( VLOOKUP($A1872,'SUPPLIER DATA BASE'!$A$2:$H$936,5,0),""))</f>
        <v/>
      </c>
      <c r="F1872" s="72"/>
      <c r="G1872" s="73"/>
      <c r="H1872" s="74"/>
      <c r="I1872" s="75"/>
      <c r="J1872" s="70"/>
      <c r="K1872" s="70"/>
      <c r="L1872" s="73"/>
      <c r="M1872" s="70" t="str">
        <f t="shared" si="3"/>
        <v/>
      </c>
      <c r="N1872" s="70" t="str">
        <f>IF($A$3=" "," ", IFERROR( VLOOKUP($A1872,'SUPPLIER DATA BASE'!$A$2:$O$936,11,0),""))</f>
        <v/>
      </c>
      <c r="O1872" s="70" t="str">
        <f>IF($A$3=" "," ", IFERROR( VLOOKUP($A1872,'SUPPLIER DATA BASE'!$A$2:$O$936,12,0),""))</f>
        <v/>
      </c>
      <c r="P1872" s="70" t="str">
        <f>IF($A$3=" "," ", IFERROR( VLOOKUP($A1872,'SUPPLIER DATA BASE'!$A$2:$O$936,13,0),""))</f>
        <v/>
      </c>
      <c r="Q1872" s="77"/>
      <c r="R1872" s="73"/>
      <c r="S1872" s="77"/>
      <c r="T1872" s="70"/>
      <c r="U1872" s="78"/>
      <c r="V1872" s="70" t="str">
        <f t="shared" si="6"/>
        <v/>
      </c>
      <c r="W1872" s="23"/>
      <c r="X1872" s="23"/>
    </row>
    <row r="1873">
      <c r="A1873" s="70"/>
      <c r="B1873" s="70" t="str">
        <f>IF($A$3=" "," ", IFERROR( VLOOKUP($A1873,'SUPPLIER DATA BASE'!$A$2:$M$936,3,0),""))</f>
        <v/>
      </c>
      <c r="C1873" s="70" t="str">
        <f>IF($A$3=" "," ", IFERROR( VLOOKUP($A1873,'SUPPLIER DATA BASE'!$A$2:$F$936,6,0),""))</f>
        <v/>
      </c>
      <c r="D1873" s="70" t="str">
        <f>IF($A$3=" "," ", IFERROR( VLOOKUP($A1873,'SUPPLIER DATA BASE'!$A$2:$G$936,4,0),""))</f>
        <v/>
      </c>
      <c r="E1873" s="71" t="str">
        <f>IF($A$3=" "," ", IFERROR( VLOOKUP($A1873,'SUPPLIER DATA BASE'!$A$2:$H$936,5,0),""))</f>
        <v/>
      </c>
      <c r="F1873" s="72"/>
      <c r="G1873" s="73"/>
      <c r="H1873" s="74"/>
      <c r="I1873" s="75"/>
      <c r="J1873" s="70"/>
      <c r="K1873" s="70"/>
      <c r="L1873" s="73"/>
      <c r="M1873" s="70" t="str">
        <f t="shared" si="3"/>
        <v/>
      </c>
      <c r="N1873" s="70" t="str">
        <f>IF($A$3=" "," ", IFERROR( VLOOKUP($A1873,'SUPPLIER DATA BASE'!$A$2:$O$936,11,0),""))</f>
        <v/>
      </c>
      <c r="O1873" s="70" t="str">
        <f>IF($A$3=" "," ", IFERROR( VLOOKUP($A1873,'SUPPLIER DATA BASE'!$A$2:$O$936,12,0),""))</f>
        <v/>
      </c>
      <c r="P1873" s="70" t="str">
        <f>IF($A$3=" "," ", IFERROR( VLOOKUP($A1873,'SUPPLIER DATA BASE'!$A$2:$O$936,13,0),""))</f>
        <v/>
      </c>
      <c r="Q1873" s="77"/>
      <c r="R1873" s="73"/>
      <c r="S1873" s="77"/>
      <c r="T1873" s="70"/>
      <c r="U1873" s="78"/>
      <c r="V1873" s="70" t="str">
        <f t="shared" si="6"/>
        <v/>
      </c>
      <c r="W1873" s="23"/>
      <c r="X1873" s="23"/>
    </row>
    <row r="1874">
      <c r="A1874" s="70"/>
      <c r="B1874" s="70" t="str">
        <f>IF($A$3=" "," ", IFERROR( VLOOKUP($A1874,'SUPPLIER DATA BASE'!$A$2:$M$936,3,0),""))</f>
        <v/>
      </c>
      <c r="C1874" s="70" t="str">
        <f>IF($A$3=" "," ", IFERROR( VLOOKUP($A1874,'SUPPLIER DATA BASE'!$A$2:$F$936,6,0),""))</f>
        <v/>
      </c>
      <c r="D1874" s="70" t="str">
        <f>IF($A$3=" "," ", IFERROR( VLOOKUP($A1874,'SUPPLIER DATA BASE'!$A$2:$G$936,4,0),""))</f>
        <v/>
      </c>
      <c r="E1874" s="71" t="str">
        <f>IF($A$3=" "," ", IFERROR( VLOOKUP($A1874,'SUPPLIER DATA BASE'!$A$2:$H$936,5,0),""))</f>
        <v/>
      </c>
      <c r="F1874" s="72"/>
      <c r="G1874" s="73"/>
      <c r="H1874" s="74"/>
      <c r="I1874" s="75"/>
      <c r="J1874" s="70"/>
      <c r="K1874" s="70"/>
      <c r="L1874" s="73"/>
      <c r="M1874" s="70" t="str">
        <f t="shared" si="3"/>
        <v/>
      </c>
      <c r="N1874" s="70" t="str">
        <f>IF($A$3=" "," ", IFERROR( VLOOKUP($A1874,'SUPPLIER DATA BASE'!$A$2:$O$936,11,0),""))</f>
        <v/>
      </c>
      <c r="O1874" s="70" t="str">
        <f>IF($A$3=" "," ", IFERROR( VLOOKUP($A1874,'SUPPLIER DATA BASE'!$A$2:$O$936,12,0),""))</f>
        <v/>
      </c>
      <c r="P1874" s="70" t="str">
        <f>IF($A$3=" "," ", IFERROR( VLOOKUP($A1874,'SUPPLIER DATA BASE'!$A$2:$O$936,13,0),""))</f>
        <v/>
      </c>
      <c r="Q1874" s="77"/>
      <c r="R1874" s="73"/>
      <c r="S1874" s="77"/>
      <c r="T1874" s="70"/>
      <c r="U1874" s="78"/>
      <c r="V1874" s="70" t="str">
        <f t="shared" si="6"/>
        <v/>
      </c>
      <c r="W1874" s="23"/>
      <c r="X1874" s="23"/>
    </row>
    <row r="1875">
      <c r="A1875" s="70"/>
      <c r="B1875" s="70" t="str">
        <f>IF($A$3=" "," ", IFERROR( VLOOKUP($A1875,'SUPPLIER DATA BASE'!$A$2:$M$936,3,0),""))</f>
        <v/>
      </c>
      <c r="C1875" s="70" t="str">
        <f>IF($A$3=" "," ", IFERROR( VLOOKUP($A1875,'SUPPLIER DATA BASE'!$A$2:$F$936,6,0),""))</f>
        <v/>
      </c>
      <c r="D1875" s="70" t="str">
        <f>IF($A$3=" "," ", IFERROR( VLOOKUP($A1875,'SUPPLIER DATA BASE'!$A$2:$G$936,4,0),""))</f>
        <v/>
      </c>
      <c r="E1875" s="71" t="str">
        <f>IF($A$3=" "," ", IFERROR( VLOOKUP($A1875,'SUPPLIER DATA BASE'!$A$2:$H$936,5,0),""))</f>
        <v/>
      </c>
      <c r="F1875" s="72"/>
      <c r="G1875" s="73"/>
      <c r="H1875" s="74"/>
      <c r="I1875" s="75"/>
      <c r="J1875" s="70"/>
      <c r="K1875" s="70"/>
      <c r="L1875" s="73"/>
      <c r="M1875" s="70" t="str">
        <f t="shared" si="3"/>
        <v/>
      </c>
      <c r="N1875" s="70" t="str">
        <f>IF($A$3=" "," ", IFERROR( VLOOKUP($A1875,'SUPPLIER DATA BASE'!$A$2:$O$936,11,0),""))</f>
        <v/>
      </c>
      <c r="O1875" s="70" t="str">
        <f>IF($A$3=" "," ", IFERROR( VLOOKUP($A1875,'SUPPLIER DATA BASE'!$A$2:$O$936,12,0),""))</f>
        <v/>
      </c>
      <c r="P1875" s="70" t="str">
        <f>IF($A$3=" "," ", IFERROR( VLOOKUP($A1875,'SUPPLIER DATA BASE'!$A$2:$O$936,13,0),""))</f>
        <v/>
      </c>
      <c r="Q1875" s="77"/>
      <c r="R1875" s="73"/>
      <c r="S1875" s="77"/>
      <c r="T1875" s="70"/>
      <c r="U1875" s="78"/>
      <c r="V1875" s="70" t="str">
        <f t="shared" si="6"/>
        <v/>
      </c>
      <c r="W1875" s="23"/>
      <c r="X1875" s="23"/>
    </row>
    <row r="1876">
      <c r="A1876" s="70"/>
      <c r="B1876" s="70" t="str">
        <f>IF($A$3=" "," ", IFERROR( VLOOKUP($A1876,'SUPPLIER DATA BASE'!$A$2:$M$936,3,0),""))</f>
        <v/>
      </c>
      <c r="C1876" s="70" t="str">
        <f>IF($A$3=" "," ", IFERROR( VLOOKUP($A1876,'SUPPLIER DATA BASE'!$A$2:$F$936,6,0),""))</f>
        <v/>
      </c>
      <c r="D1876" s="70" t="str">
        <f>IF($A$3=" "," ", IFERROR( VLOOKUP($A1876,'SUPPLIER DATA BASE'!$A$2:$G$936,4,0),""))</f>
        <v/>
      </c>
      <c r="E1876" s="71" t="str">
        <f>IF($A$3=" "," ", IFERROR( VLOOKUP($A1876,'SUPPLIER DATA BASE'!$A$2:$H$936,5,0),""))</f>
        <v/>
      </c>
      <c r="F1876" s="72"/>
      <c r="G1876" s="73"/>
      <c r="H1876" s="74"/>
      <c r="I1876" s="75"/>
      <c r="J1876" s="70"/>
      <c r="K1876" s="70"/>
      <c r="L1876" s="73"/>
      <c r="M1876" s="70" t="str">
        <f t="shared" si="3"/>
        <v/>
      </c>
      <c r="N1876" s="70" t="str">
        <f>IF($A$3=" "," ", IFERROR( VLOOKUP($A1876,'SUPPLIER DATA BASE'!$A$2:$O$936,11,0),""))</f>
        <v/>
      </c>
      <c r="O1876" s="70" t="str">
        <f>IF($A$3=" "," ", IFERROR( VLOOKUP($A1876,'SUPPLIER DATA BASE'!$A$2:$O$936,12,0),""))</f>
        <v/>
      </c>
      <c r="P1876" s="70" t="str">
        <f>IF($A$3=" "," ", IFERROR( VLOOKUP($A1876,'SUPPLIER DATA BASE'!$A$2:$O$936,13,0),""))</f>
        <v/>
      </c>
      <c r="Q1876" s="77"/>
      <c r="R1876" s="73"/>
      <c r="S1876" s="77"/>
      <c r="T1876" s="70"/>
      <c r="U1876" s="78"/>
      <c r="V1876" s="70" t="str">
        <f t="shared" si="6"/>
        <v/>
      </c>
      <c r="W1876" s="23"/>
      <c r="X1876" s="23"/>
    </row>
    <row r="1877">
      <c r="A1877" s="70"/>
      <c r="B1877" s="70" t="str">
        <f>IF($A$3=" "," ", IFERROR( VLOOKUP($A1877,'SUPPLIER DATA BASE'!$A$2:$M$936,3,0),""))</f>
        <v/>
      </c>
      <c r="C1877" s="70" t="str">
        <f>IF($A$3=" "," ", IFERROR( VLOOKUP($A1877,'SUPPLIER DATA BASE'!$A$2:$F$936,6,0),""))</f>
        <v/>
      </c>
      <c r="D1877" s="70" t="str">
        <f>IF($A$3=" "," ", IFERROR( VLOOKUP($A1877,'SUPPLIER DATA BASE'!$A$2:$G$936,4,0),""))</f>
        <v/>
      </c>
      <c r="E1877" s="71" t="str">
        <f>IF($A$3=" "," ", IFERROR( VLOOKUP($A1877,'SUPPLIER DATA BASE'!$A$2:$H$936,5,0),""))</f>
        <v/>
      </c>
      <c r="F1877" s="72"/>
      <c r="G1877" s="73"/>
      <c r="H1877" s="74"/>
      <c r="I1877" s="75"/>
      <c r="J1877" s="70"/>
      <c r="K1877" s="70"/>
      <c r="L1877" s="73"/>
      <c r="M1877" s="70" t="str">
        <f t="shared" si="3"/>
        <v/>
      </c>
      <c r="N1877" s="70" t="str">
        <f>IF($A$3=" "," ", IFERROR( VLOOKUP($A1877,'SUPPLIER DATA BASE'!$A$2:$O$936,11,0),""))</f>
        <v/>
      </c>
      <c r="O1877" s="70" t="str">
        <f>IF($A$3=" "," ", IFERROR( VLOOKUP($A1877,'SUPPLIER DATA BASE'!$A$2:$O$936,12,0),""))</f>
        <v/>
      </c>
      <c r="P1877" s="70" t="str">
        <f>IF($A$3=" "," ", IFERROR( VLOOKUP($A1877,'SUPPLIER DATA BASE'!$A$2:$O$936,13,0),""))</f>
        <v/>
      </c>
      <c r="Q1877" s="77"/>
      <c r="R1877" s="73"/>
      <c r="S1877" s="77"/>
      <c r="T1877" s="70"/>
      <c r="U1877" s="78"/>
      <c r="V1877" s="70" t="str">
        <f t="shared" si="6"/>
        <v/>
      </c>
      <c r="W1877" s="23"/>
      <c r="X1877" s="23"/>
    </row>
    <row r="1878">
      <c r="A1878" s="70"/>
      <c r="B1878" s="70" t="str">
        <f>IF($A$3=" "," ", IFERROR( VLOOKUP($A1878,'SUPPLIER DATA BASE'!$A$2:$M$936,3,0),""))</f>
        <v/>
      </c>
      <c r="C1878" s="70" t="str">
        <f>IF($A$3=" "," ", IFERROR( VLOOKUP($A1878,'SUPPLIER DATA BASE'!$A$2:$F$936,6,0),""))</f>
        <v/>
      </c>
      <c r="D1878" s="70" t="str">
        <f>IF($A$3=" "," ", IFERROR( VLOOKUP($A1878,'SUPPLIER DATA BASE'!$A$2:$G$936,4,0),""))</f>
        <v/>
      </c>
      <c r="E1878" s="71" t="str">
        <f>IF($A$3=" "," ", IFERROR( VLOOKUP($A1878,'SUPPLIER DATA BASE'!$A$2:$H$936,5,0),""))</f>
        <v/>
      </c>
      <c r="F1878" s="72"/>
      <c r="G1878" s="73"/>
      <c r="H1878" s="74"/>
      <c r="I1878" s="75"/>
      <c r="J1878" s="70"/>
      <c r="K1878" s="70"/>
      <c r="L1878" s="73"/>
      <c r="M1878" s="70" t="str">
        <f t="shared" si="3"/>
        <v/>
      </c>
      <c r="N1878" s="70" t="str">
        <f>IF($A$3=" "," ", IFERROR( VLOOKUP($A1878,'SUPPLIER DATA BASE'!$A$2:$O$936,11,0),""))</f>
        <v/>
      </c>
      <c r="O1878" s="70" t="str">
        <f>IF($A$3=" "," ", IFERROR( VLOOKUP($A1878,'SUPPLIER DATA BASE'!$A$2:$O$936,12,0),""))</f>
        <v/>
      </c>
      <c r="P1878" s="70" t="str">
        <f>IF($A$3=" "," ", IFERROR( VLOOKUP($A1878,'SUPPLIER DATA BASE'!$A$2:$O$936,13,0),""))</f>
        <v/>
      </c>
      <c r="Q1878" s="77"/>
      <c r="R1878" s="73"/>
      <c r="S1878" s="77"/>
      <c r="T1878" s="70"/>
      <c r="U1878" s="78"/>
      <c r="V1878" s="70" t="str">
        <f t="shared" si="6"/>
        <v/>
      </c>
      <c r="W1878" s="23"/>
      <c r="X1878" s="23"/>
    </row>
    <row r="1879">
      <c r="A1879" s="70"/>
      <c r="B1879" s="70" t="str">
        <f>IF($A$3=" "," ", IFERROR( VLOOKUP($A1879,'SUPPLIER DATA BASE'!$A$2:$M$936,3,0),""))</f>
        <v/>
      </c>
      <c r="C1879" s="70" t="str">
        <f>IF($A$3=" "," ", IFERROR( VLOOKUP($A1879,'SUPPLIER DATA BASE'!$A$2:$F$936,6,0),""))</f>
        <v/>
      </c>
      <c r="D1879" s="70" t="str">
        <f>IF($A$3=" "," ", IFERROR( VLOOKUP($A1879,'SUPPLIER DATA BASE'!$A$2:$G$936,4,0),""))</f>
        <v/>
      </c>
      <c r="E1879" s="71" t="str">
        <f>IF($A$3=" "," ", IFERROR( VLOOKUP($A1879,'SUPPLIER DATA BASE'!$A$2:$H$936,5,0),""))</f>
        <v/>
      </c>
      <c r="F1879" s="72"/>
      <c r="G1879" s="73"/>
      <c r="H1879" s="74"/>
      <c r="I1879" s="75"/>
      <c r="J1879" s="70"/>
      <c r="K1879" s="70"/>
      <c r="L1879" s="73"/>
      <c r="M1879" s="70" t="str">
        <f t="shared" si="3"/>
        <v/>
      </c>
      <c r="N1879" s="70" t="str">
        <f>IF($A$3=" "," ", IFERROR( VLOOKUP($A1879,'SUPPLIER DATA BASE'!$A$2:$O$936,11,0),""))</f>
        <v/>
      </c>
      <c r="O1879" s="70" t="str">
        <f>IF($A$3=" "," ", IFERROR( VLOOKUP($A1879,'SUPPLIER DATA BASE'!$A$2:$O$936,12,0),""))</f>
        <v/>
      </c>
      <c r="P1879" s="70" t="str">
        <f>IF($A$3=" "," ", IFERROR( VLOOKUP($A1879,'SUPPLIER DATA BASE'!$A$2:$O$936,13,0),""))</f>
        <v/>
      </c>
      <c r="Q1879" s="77"/>
      <c r="R1879" s="73"/>
      <c r="S1879" s="77"/>
      <c r="T1879" s="70"/>
      <c r="U1879" s="78"/>
      <c r="V1879" s="70" t="str">
        <f t="shared" si="6"/>
        <v/>
      </c>
      <c r="W1879" s="23"/>
      <c r="X1879" s="23"/>
    </row>
    <row r="1880">
      <c r="A1880" s="70"/>
      <c r="B1880" s="70" t="str">
        <f>IF($A$3=" "," ", IFERROR( VLOOKUP($A1880,'SUPPLIER DATA BASE'!$A$2:$M$936,3,0),""))</f>
        <v/>
      </c>
      <c r="C1880" s="70" t="str">
        <f>IF($A$3=" "," ", IFERROR( VLOOKUP($A1880,'SUPPLIER DATA BASE'!$A$2:$F$936,6,0),""))</f>
        <v/>
      </c>
      <c r="D1880" s="70" t="str">
        <f>IF($A$3=" "," ", IFERROR( VLOOKUP($A1880,'SUPPLIER DATA BASE'!$A$2:$G$936,4,0),""))</f>
        <v/>
      </c>
      <c r="E1880" s="71" t="str">
        <f>IF($A$3=" "," ", IFERROR( VLOOKUP($A1880,'SUPPLIER DATA BASE'!$A$2:$H$936,5,0),""))</f>
        <v/>
      </c>
      <c r="F1880" s="72"/>
      <c r="G1880" s="73"/>
      <c r="H1880" s="74"/>
      <c r="I1880" s="75"/>
      <c r="J1880" s="70"/>
      <c r="K1880" s="70"/>
      <c r="L1880" s="73"/>
      <c r="M1880" s="70" t="str">
        <f t="shared" si="3"/>
        <v/>
      </c>
      <c r="N1880" s="70" t="str">
        <f>IF($A$3=" "," ", IFERROR( VLOOKUP($A1880,'SUPPLIER DATA BASE'!$A$2:$O$936,11,0),""))</f>
        <v/>
      </c>
      <c r="O1880" s="70" t="str">
        <f>IF($A$3=" "," ", IFERROR( VLOOKUP($A1880,'SUPPLIER DATA BASE'!$A$2:$O$936,12,0),""))</f>
        <v/>
      </c>
      <c r="P1880" s="70" t="str">
        <f>IF($A$3=" "," ", IFERROR( VLOOKUP($A1880,'SUPPLIER DATA BASE'!$A$2:$O$936,13,0),""))</f>
        <v/>
      </c>
      <c r="Q1880" s="77"/>
      <c r="R1880" s="73"/>
      <c r="S1880" s="77"/>
      <c r="T1880" s="70"/>
      <c r="U1880" s="78"/>
      <c r="V1880" s="70" t="str">
        <f t="shared" si="6"/>
        <v/>
      </c>
      <c r="W1880" s="23"/>
      <c r="X1880" s="23"/>
    </row>
    <row r="1881">
      <c r="A1881" s="70"/>
      <c r="B1881" s="70" t="str">
        <f>IF($A$3=" "," ", IFERROR( VLOOKUP($A1881,'SUPPLIER DATA BASE'!$A$2:$M$936,3,0),""))</f>
        <v/>
      </c>
      <c r="C1881" s="70" t="str">
        <f>IF($A$3=" "," ", IFERROR( VLOOKUP($A1881,'SUPPLIER DATA BASE'!$A$2:$F$936,6,0),""))</f>
        <v/>
      </c>
      <c r="D1881" s="70" t="str">
        <f>IF($A$3=" "," ", IFERROR( VLOOKUP($A1881,'SUPPLIER DATA BASE'!$A$2:$G$936,4,0),""))</f>
        <v/>
      </c>
      <c r="E1881" s="71" t="str">
        <f>IF($A$3=" "," ", IFERROR( VLOOKUP($A1881,'SUPPLIER DATA BASE'!$A$2:$H$936,5,0),""))</f>
        <v/>
      </c>
      <c r="F1881" s="72"/>
      <c r="G1881" s="73"/>
      <c r="H1881" s="74"/>
      <c r="I1881" s="75"/>
      <c r="J1881" s="70"/>
      <c r="K1881" s="70"/>
      <c r="L1881" s="73"/>
      <c r="M1881" s="70" t="str">
        <f t="shared" si="3"/>
        <v/>
      </c>
      <c r="N1881" s="70" t="str">
        <f>IF($A$3=" "," ", IFERROR( VLOOKUP($A1881,'SUPPLIER DATA BASE'!$A$2:$O$936,11,0),""))</f>
        <v/>
      </c>
      <c r="O1881" s="70" t="str">
        <f>IF($A$3=" "," ", IFERROR( VLOOKUP($A1881,'SUPPLIER DATA BASE'!$A$2:$O$936,12,0),""))</f>
        <v/>
      </c>
      <c r="P1881" s="70" t="str">
        <f>IF($A$3=" "," ", IFERROR( VLOOKUP($A1881,'SUPPLIER DATA BASE'!$A$2:$O$936,13,0),""))</f>
        <v/>
      </c>
      <c r="Q1881" s="77"/>
      <c r="R1881" s="73"/>
      <c r="S1881" s="77"/>
      <c r="T1881" s="70"/>
      <c r="U1881" s="78"/>
      <c r="V1881" s="70" t="str">
        <f t="shared" si="6"/>
        <v/>
      </c>
      <c r="W1881" s="23"/>
      <c r="X1881" s="23"/>
    </row>
    <row r="1882">
      <c r="A1882" s="70"/>
      <c r="B1882" s="70" t="str">
        <f>IF($A$3=" "," ", IFERROR( VLOOKUP($A1882,'SUPPLIER DATA BASE'!$A$2:$M$936,3,0),""))</f>
        <v/>
      </c>
      <c r="C1882" s="70" t="str">
        <f>IF($A$3=" "," ", IFERROR( VLOOKUP($A1882,'SUPPLIER DATA BASE'!$A$2:$F$936,6,0),""))</f>
        <v/>
      </c>
      <c r="D1882" s="70" t="str">
        <f>IF($A$3=" "," ", IFERROR( VLOOKUP($A1882,'SUPPLIER DATA BASE'!$A$2:$G$936,4,0),""))</f>
        <v/>
      </c>
      <c r="E1882" s="71" t="str">
        <f>IF($A$3=" "," ", IFERROR( VLOOKUP($A1882,'SUPPLIER DATA BASE'!$A$2:$H$936,5,0),""))</f>
        <v/>
      </c>
      <c r="F1882" s="72"/>
      <c r="G1882" s="73"/>
      <c r="H1882" s="74"/>
      <c r="I1882" s="75"/>
      <c r="J1882" s="70"/>
      <c r="K1882" s="70"/>
      <c r="L1882" s="73"/>
      <c r="M1882" s="70" t="str">
        <f t="shared" si="3"/>
        <v/>
      </c>
      <c r="N1882" s="70" t="str">
        <f>IF($A$3=" "," ", IFERROR( VLOOKUP($A1882,'SUPPLIER DATA BASE'!$A$2:$O$936,11,0),""))</f>
        <v/>
      </c>
      <c r="O1882" s="70" t="str">
        <f>IF($A$3=" "," ", IFERROR( VLOOKUP($A1882,'SUPPLIER DATA BASE'!$A$2:$O$936,12,0),""))</f>
        <v/>
      </c>
      <c r="P1882" s="70" t="str">
        <f>IF($A$3=" "," ", IFERROR( VLOOKUP($A1882,'SUPPLIER DATA BASE'!$A$2:$O$936,13,0),""))</f>
        <v/>
      </c>
      <c r="Q1882" s="77"/>
      <c r="R1882" s="73"/>
      <c r="S1882" s="77"/>
      <c r="T1882" s="70"/>
      <c r="U1882" s="78"/>
      <c r="V1882" s="70" t="str">
        <f t="shared" si="6"/>
        <v/>
      </c>
      <c r="W1882" s="23"/>
      <c r="X1882" s="23"/>
    </row>
    <row r="1883">
      <c r="A1883" s="70"/>
      <c r="B1883" s="70" t="str">
        <f>IF($A$3=" "," ", IFERROR( VLOOKUP($A1883,'SUPPLIER DATA BASE'!$A$2:$M$936,3,0),""))</f>
        <v/>
      </c>
      <c r="C1883" s="70" t="str">
        <f>IF($A$3=" "," ", IFERROR( VLOOKUP($A1883,'SUPPLIER DATA BASE'!$A$2:$F$936,6,0),""))</f>
        <v/>
      </c>
      <c r="D1883" s="70" t="str">
        <f>IF($A$3=" "," ", IFERROR( VLOOKUP($A1883,'SUPPLIER DATA BASE'!$A$2:$G$936,4,0),""))</f>
        <v/>
      </c>
      <c r="E1883" s="71" t="str">
        <f>IF($A$3=" "," ", IFERROR( VLOOKUP($A1883,'SUPPLIER DATA BASE'!$A$2:$H$936,5,0),""))</f>
        <v/>
      </c>
      <c r="F1883" s="72"/>
      <c r="G1883" s="73"/>
      <c r="H1883" s="74"/>
      <c r="I1883" s="75"/>
      <c r="J1883" s="70"/>
      <c r="K1883" s="70"/>
      <c r="L1883" s="73"/>
      <c r="M1883" s="70" t="str">
        <f t="shared" si="3"/>
        <v/>
      </c>
      <c r="N1883" s="70" t="str">
        <f>IF($A$3=" "," ", IFERROR( VLOOKUP($A1883,'SUPPLIER DATA BASE'!$A$2:$O$936,11,0),""))</f>
        <v/>
      </c>
      <c r="O1883" s="70" t="str">
        <f>IF($A$3=" "," ", IFERROR( VLOOKUP($A1883,'SUPPLIER DATA BASE'!$A$2:$O$936,12,0),""))</f>
        <v/>
      </c>
      <c r="P1883" s="70" t="str">
        <f>IF($A$3=" "," ", IFERROR( VLOOKUP($A1883,'SUPPLIER DATA BASE'!$A$2:$O$936,13,0),""))</f>
        <v/>
      </c>
      <c r="Q1883" s="77"/>
      <c r="R1883" s="73"/>
      <c r="S1883" s="77"/>
      <c r="T1883" s="70"/>
      <c r="U1883" s="78"/>
      <c r="V1883" s="70" t="str">
        <f t="shared" si="6"/>
        <v/>
      </c>
      <c r="W1883" s="23"/>
      <c r="X1883" s="23"/>
    </row>
    <row r="1884">
      <c r="A1884" s="70"/>
      <c r="B1884" s="70" t="str">
        <f>IF($A$3=" "," ", IFERROR( VLOOKUP($A1884,'SUPPLIER DATA BASE'!$A$2:$M$936,3,0),""))</f>
        <v/>
      </c>
      <c r="C1884" s="70" t="str">
        <f>IF($A$3=" "," ", IFERROR( VLOOKUP($A1884,'SUPPLIER DATA BASE'!$A$2:$F$936,6,0),""))</f>
        <v/>
      </c>
      <c r="D1884" s="70" t="str">
        <f>IF($A$3=" "," ", IFERROR( VLOOKUP($A1884,'SUPPLIER DATA BASE'!$A$2:$G$936,4,0),""))</f>
        <v/>
      </c>
      <c r="E1884" s="71" t="str">
        <f>IF($A$3=" "," ", IFERROR( VLOOKUP($A1884,'SUPPLIER DATA BASE'!$A$2:$H$936,5,0),""))</f>
        <v/>
      </c>
      <c r="F1884" s="72"/>
      <c r="G1884" s="73"/>
      <c r="H1884" s="74"/>
      <c r="I1884" s="75"/>
      <c r="J1884" s="70"/>
      <c r="K1884" s="70"/>
      <c r="L1884" s="73"/>
      <c r="M1884" s="70" t="str">
        <f t="shared" si="3"/>
        <v/>
      </c>
      <c r="N1884" s="70" t="str">
        <f>IF($A$3=" "," ", IFERROR( VLOOKUP($A1884,'SUPPLIER DATA BASE'!$A$2:$O$936,11,0),""))</f>
        <v/>
      </c>
      <c r="O1884" s="70" t="str">
        <f>IF($A$3=" "," ", IFERROR( VLOOKUP($A1884,'SUPPLIER DATA BASE'!$A$2:$O$936,12,0),""))</f>
        <v/>
      </c>
      <c r="P1884" s="70" t="str">
        <f>IF($A$3=" "," ", IFERROR( VLOOKUP($A1884,'SUPPLIER DATA BASE'!$A$2:$O$936,13,0),""))</f>
        <v/>
      </c>
      <c r="Q1884" s="77"/>
      <c r="R1884" s="73"/>
      <c r="S1884" s="77"/>
      <c r="T1884" s="70"/>
      <c r="U1884" s="78"/>
      <c r="V1884" s="70" t="str">
        <f t="shared" si="6"/>
        <v/>
      </c>
      <c r="W1884" s="23"/>
      <c r="X1884" s="23"/>
    </row>
    <row r="1885">
      <c r="A1885" s="70"/>
      <c r="B1885" s="70" t="str">
        <f>IF($A$3=" "," ", IFERROR( VLOOKUP($A1885,'SUPPLIER DATA BASE'!$A$2:$M$936,3,0),""))</f>
        <v/>
      </c>
      <c r="C1885" s="70" t="str">
        <f>IF($A$3=" "," ", IFERROR( VLOOKUP($A1885,'SUPPLIER DATA BASE'!$A$2:$F$936,6,0),""))</f>
        <v/>
      </c>
      <c r="D1885" s="70" t="str">
        <f>IF($A$3=" "," ", IFERROR( VLOOKUP($A1885,'SUPPLIER DATA BASE'!$A$2:$G$936,4,0),""))</f>
        <v/>
      </c>
      <c r="E1885" s="71" t="str">
        <f>IF($A$3=" "," ", IFERROR( VLOOKUP($A1885,'SUPPLIER DATA BASE'!$A$2:$H$936,5,0),""))</f>
        <v/>
      </c>
      <c r="F1885" s="72"/>
      <c r="G1885" s="73"/>
      <c r="H1885" s="74"/>
      <c r="I1885" s="75"/>
      <c r="J1885" s="70"/>
      <c r="K1885" s="70"/>
      <c r="L1885" s="73"/>
      <c r="M1885" s="70" t="str">
        <f t="shared" si="3"/>
        <v/>
      </c>
      <c r="N1885" s="70" t="str">
        <f>IF($A$3=" "," ", IFERROR( VLOOKUP($A1885,'SUPPLIER DATA BASE'!$A$2:$O$936,11,0),""))</f>
        <v/>
      </c>
      <c r="O1885" s="70" t="str">
        <f>IF($A$3=" "," ", IFERROR( VLOOKUP($A1885,'SUPPLIER DATA BASE'!$A$2:$O$936,12,0),""))</f>
        <v/>
      </c>
      <c r="P1885" s="70" t="str">
        <f>IF($A$3=" "," ", IFERROR( VLOOKUP($A1885,'SUPPLIER DATA BASE'!$A$2:$O$936,13,0),""))</f>
        <v/>
      </c>
      <c r="Q1885" s="77"/>
      <c r="R1885" s="73"/>
      <c r="S1885" s="77"/>
      <c r="T1885" s="70"/>
      <c r="U1885" s="78"/>
      <c r="V1885" s="70" t="str">
        <f t="shared" si="6"/>
        <v/>
      </c>
      <c r="W1885" s="23"/>
      <c r="X1885" s="23"/>
    </row>
    <row r="1886">
      <c r="A1886" s="70"/>
      <c r="B1886" s="70" t="str">
        <f>IF($A$3=" "," ", IFERROR( VLOOKUP($A1886,'SUPPLIER DATA BASE'!$A$2:$M$936,3,0),""))</f>
        <v/>
      </c>
      <c r="C1886" s="70" t="str">
        <f>IF($A$3=" "," ", IFERROR( VLOOKUP($A1886,'SUPPLIER DATA BASE'!$A$2:$F$936,6,0),""))</f>
        <v/>
      </c>
      <c r="D1886" s="70" t="str">
        <f>IF($A$3=" "," ", IFERROR( VLOOKUP($A1886,'SUPPLIER DATA BASE'!$A$2:$G$936,4,0),""))</f>
        <v/>
      </c>
      <c r="E1886" s="71" t="str">
        <f>IF($A$3=" "," ", IFERROR( VLOOKUP($A1886,'SUPPLIER DATA BASE'!$A$2:$H$936,5,0),""))</f>
        <v/>
      </c>
      <c r="F1886" s="72"/>
      <c r="G1886" s="73"/>
      <c r="H1886" s="74"/>
      <c r="I1886" s="75"/>
      <c r="J1886" s="70"/>
      <c r="K1886" s="70"/>
      <c r="L1886" s="73"/>
      <c r="M1886" s="70" t="str">
        <f t="shared" si="3"/>
        <v/>
      </c>
      <c r="N1886" s="70" t="str">
        <f>IF($A$3=" "," ", IFERROR( VLOOKUP($A1886,'SUPPLIER DATA BASE'!$A$2:$O$936,11,0),""))</f>
        <v/>
      </c>
      <c r="O1886" s="70" t="str">
        <f>IF($A$3=" "," ", IFERROR( VLOOKUP($A1886,'SUPPLIER DATA BASE'!$A$2:$O$936,12,0),""))</f>
        <v/>
      </c>
      <c r="P1886" s="70" t="str">
        <f>IF($A$3=" "," ", IFERROR( VLOOKUP($A1886,'SUPPLIER DATA BASE'!$A$2:$O$936,13,0),""))</f>
        <v/>
      </c>
      <c r="Q1886" s="77"/>
      <c r="R1886" s="73"/>
      <c r="S1886" s="77"/>
      <c r="T1886" s="70"/>
      <c r="U1886" s="78"/>
      <c r="V1886" s="70" t="str">
        <f t="shared" si="6"/>
        <v/>
      </c>
      <c r="W1886" s="23"/>
      <c r="X1886" s="23"/>
    </row>
    <row r="1887">
      <c r="A1887" s="70"/>
      <c r="B1887" s="70" t="str">
        <f>IF($A$3=" "," ", IFERROR( VLOOKUP($A1887,'SUPPLIER DATA BASE'!$A$2:$M$936,3,0),""))</f>
        <v/>
      </c>
      <c r="C1887" s="70" t="str">
        <f>IF($A$3=" "," ", IFERROR( VLOOKUP($A1887,'SUPPLIER DATA BASE'!$A$2:$F$936,6,0),""))</f>
        <v/>
      </c>
      <c r="D1887" s="70" t="str">
        <f>IF($A$3=" "," ", IFERROR( VLOOKUP($A1887,'SUPPLIER DATA BASE'!$A$2:$G$936,4,0),""))</f>
        <v/>
      </c>
      <c r="E1887" s="71" t="str">
        <f>IF($A$3=" "," ", IFERROR( VLOOKUP($A1887,'SUPPLIER DATA BASE'!$A$2:$H$936,5,0),""))</f>
        <v/>
      </c>
      <c r="F1887" s="72"/>
      <c r="G1887" s="73"/>
      <c r="H1887" s="74"/>
      <c r="I1887" s="75"/>
      <c r="J1887" s="70"/>
      <c r="K1887" s="70"/>
      <c r="L1887" s="73"/>
      <c r="M1887" s="70" t="str">
        <f t="shared" si="3"/>
        <v/>
      </c>
      <c r="N1887" s="70" t="str">
        <f>IF($A$3=" "," ", IFERROR( VLOOKUP($A1887,'SUPPLIER DATA BASE'!$A$2:$O$936,11,0),""))</f>
        <v/>
      </c>
      <c r="O1887" s="70" t="str">
        <f>IF($A$3=" "," ", IFERROR( VLOOKUP($A1887,'SUPPLIER DATA BASE'!$A$2:$O$936,12,0),""))</f>
        <v/>
      </c>
      <c r="P1887" s="70" t="str">
        <f>IF($A$3=" "," ", IFERROR( VLOOKUP($A1887,'SUPPLIER DATA BASE'!$A$2:$O$936,13,0),""))</f>
        <v/>
      </c>
      <c r="Q1887" s="77"/>
      <c r="R1887" s="73"/>
      <c r="S1887" s="77"/>
      <c r="T1887" s="70"/>
      <c r="U1887" s="78"/>
      <c r="V1887" s="70" t="str">
        <f t="shared" si="6"/>
        <v/>
      </c>
      <c r="W1887" s="23"/>
      <c r="X1887" s="23"/>
    </row>
    <row r="1888">
      <c r="A1888" s="70"/>
      <c r="B1888" s="70" t="str">
        <f>IF($A$3=" "," ", IFERROR( VLOOKUP($A1888,'SUPPLIER DATA BASE'!$A$2:$M$936,3,0),""))</f>
        <v/>
      </c>
      <c r="C1888" s="70" t="str">
        <f>IF($A$3=" "," ", IFERROR( VLOOKUP($A1888,'SUPPLIER DATA BASE'!$A$2:$F$936,6,0),""))</f>
        <v/>
      </c>
      <c r="D1888" s="70" t="str">
        <f>IF($A$3=" "," ", IFERROR( VLOOKUP($A1888,'SUPPLIER DATA BASE'!$A$2:$G$936,4,0),""))</f>
        <v/>
      </c>
      <c r="E1888" s="71" t="str">
        <f>IF($A$3=" "," ", IFERROR( VLOOKUP($A1888,'SUPPLIER DATA BASE'!$A$2:$H$936,5,0),""))</f>
        <v/>
      </c>
      <c r="F1888" s="72"/>
      <c r="G1888" s="73"/>
      <c r="H1888" s="74"/>
      <c r="I1888" s="75"/>
      <c r="J1888" s="70"/>
      <c r="K1888" s="70"/>
      <c r="L1888" s="73"/>
      <c r="M1888" s="70" t="str">
        <f t="shared" si="3"/>
        <v/>
      </c>
      <c r="N1888" s="70" t="str">
        <f>IF($A$3=" "," ", IFERROR( VLOOKUP($A1888,'SUPPLIER DATA BASE'!$A$2:$O$936,11,0),""))</f>
        <v/>
      </c>
      <c r="O1888" s="70" t="str">
        <f>IF($A$3=" "," ", IFERROR( VLOOKUP($A1888,'SUPPLIER DATA BASE'!$A$2:$O$936,12,0),""))</f>
        <v/>
      </c>
      <c r="P1888" s="70" t="str">
        <f>IF($A$3=" "," ", IFERROR( VLOOKUP($A1888,'SUPPLIER DATA BASE'!$A$2:$O$936,13,0),""))</f>
        <v/>
      </c>
      <c r="Q1888" s="77"/>
      <c r="R1888" s="73"/>
      <c r="S1888" s="77"/>
      <c r="T1888" s="70"/>
      <c r="U1888" s="78"/>
      <c r="V1888" s="70" t="str">
        <f t="shared" si="6"/>
        <v/>
      </c>
      <c r="W1888" s="23"/>
      <c r="X1888" s="23"/>
    </row>
    <row r="1889">
      <c r="A1889" s="70"/>
      <c r="B1889" s="70" t="str">
        <f>IF($A$3=" "," ", IFERROR( VLOOKUP($A1889,'SUPPLIER DATA BASE'!$A$2:$M$936,3,0),""))</f>
        <v/>
      </c>
      <c r="C1889" s="70" t="str">
        <f>IF($A$3=" "," ", IFERROR( VLOOKUP($A1889,'SUPPLIER DATA BASE'!$A$2:$F$936,6,0),""))</f>
        <v/>
      </c>
      <c r="D1889" s="70" t="str">
        <f>IF($A$3=" "," ", IFERROR( VLOOKUP($A1889,'SUPPLIER DATA BASE'!$A$2:$G$936,4,0),""))</f>
        <v/>
      </c>
      <c r="E1889" s="71" t="str">
        <f>IF($A$3=" "," ", IFERROR( VLOOKUP($A1889,'SUPPLIER DATA BASE'!$A$2:$H$936,5,0),""))</f>
        <v/>
      </c>
      <c r="F1889" s="72"/>
      <c r="G1889" s="73"/>
      <c r="H1889" s="74"/>
      <c r="I1889" s="75"/>
      <c r="J1889" s="70"/>
      <c r="K1889" s="70"/>
      <c r="L1889" s="73"/>
      <c r="M1889" s="70" t="str">
        <f t="shared" si="3"/>
        <v/>
      </c>
      <c r="N1889" s="70" t="str">
        <f>IF($A$3=" "," ", IFERROR( VLOOKUP($A1889,'SUPPLIER DATA BASE'!$A$2:$O$936,11,0),""))</f>
        <v/>
      </c>
      <c r="O1889" s="70" t="str">
        <f>IF($A$3=" "," ", IFERROR( VLOOKUP($A1889,'SUPPLIER DATA BASE'!$A$2:$O$936,12,0),""))</f>
        <v/>
      </c>
      <c r="P1889" s="70" t="str">
        <f>IF($A$3=" "," ", IFERROR( VLOOKUP($A1889,'SUPPLIER DATA BASE'!$A$2:$O$936,13,0),""))</f>
        <v/>
      </c>
      <c r="Q1889" s="77"/>
      <c r="R1889" s="73"/>
      <c r="S1889" s="77"/>
      <c r="T1889" s="70"/>
      <c r="U1889" s="78"/>
      <c r="V1889" s="70" t="str">
        <f t="shared" si="6"/>
        <v/>
      </c>
      <c r="W1889" s="23"/>
      <c r="X1889" s="23"/>
    </row>
    <row r="1890">
      <c r="A1890" s="70"/>
      <c r="B1890" s="70" t="str">
        <f>IF($A$3=" "," ", IFERROR( VLOOKUP($A1890,'SUPPLIER DATA BASE'!$A$2:$M$936,3,0),""))</f>
        <v/>
      </c>
      <c r="C1890" s="70" t="str">
        <f>IF($A$3=" "," ", IFERROR( VLOOKUP($A1890,'SUPPLIER DATA BASE'!$A$2:$F$936,6,0),""))</f>
        <v/>
      </c>
      <c r="D1890" s="70" t="str">
        <f>IF($A$3=" "," ", IFERROR( VLOOKUP($A1890,'SUPPLIER DATA BASE'!$A$2:$G$936,4,0),""))</f>
        <v/>
      </c>
      <c r="E1890" s="71" t="str">
        <f>IF($A$3=" "," ", IFERROR( VLOOKUP($A1890,'SUPPLIER DATA BASE'!$A$2:$H$936,5,0),""))</f>
        <v/>
      </c>
      <c r="F1890" s="72"/>
      <c r="G1890" s="73"/>
      <c r="H1890" s="74"/>
      <c r="I1890" s="75"/>
      <c r="J1890" s="70"/>
      <c r="K1890" s="70"/>
      <c r="L1890" s="73"/>
      <c r="M1890" s="70" t="str">
        <f t="shared" si="3"/>
        <v/>
      </c>
      <c r="N1890" s="70" t="str">
        <f>IF($A$3=" "," ", IFERROR( VLOOKUP($A1890,'SUPPLIER DATA BASE'!$A$2:$O$936,11,0),""))</f>
        <v/>
      </c>
      <c r="O1890" s="70" t="str">
        <f>IF($A$3=" "," ", IFERROR( VLOOKUP($A1890,'SUPPLIER DATA BASE'!$A$2:$O$936,12,0),""))</f>
        <v/>
      </c>
      <c r="P1890" s="70" t="str">
        <f>IF($A$3=" "," ", IFERROR( VLOOKUP($A1890,'SUPPLIER DATA BASE'!$A$2:$O$936,13,0),""))</f>
        <v/>
      </c>
      <c r="Q1890" s="77"/>
      <c r="R1890" s="73"/>
      <c r="S1890" s="77"/>
      <c r="T1890" s="70"/>
      <c r="U1890" s="78"/>
      <c r="V1890" s="70" t="str">
        <f t="shared" si="6"/>
        <v/>
      </c>
      <c r="W1890" s="23"/>
      <c r="X1890" s="23"/>
    </row>
    <row r="1891">
      <c r="A1891" s="70"/>
      <c r="B1891" s="70" t="str">
        <f>IF($A$3=" "," ", IFERROR( VLOOKUP($A1891,'SUPPLIER DATA BASE'!$A$2:$M$936,3,0),""))</f>
        <v/>
      </c>
      <c r="C1891" s="70" t="str">
        <f>IF($A$3=" "," ", IFERROR( VLOOKUP($A1891,'SUPPLIER DATA BASE'!$A$2:$F$936,6,0),""))</f>
        <v/>
      </c>
      <c r="D1891" s="70" t="str">
        <f>IF($A$3=" "," ", IFERROR( VLOOKUP($A1891,'SUPPLIER DATA BASE'!$A$2:$G$936,4,0),""))</f>
        <v/>
      </c>
      <c r="E1891" s="71" t="str">
        <f>IF($A$3=" "," ", IFERROR( VLOOKUP($A1891,'SUPPLIER DATA BASE'!$A$2:$H$936,5,0),""))</f>
        <v/>
      </c>
      <c r="F1891" s="72"/>
      <c r="G1891" s="73"/>
      <c r="H1891" s="74"/>
      <c r="I1891" s="75"/>
      <c r="J1891" s="70"/>
      <c r="K1891" s="70"/>
      <c r="L1891" s="73"/>
      <c r="M1891" s="70" t="str">
        <f t="shared" si="3"/>
        <v/>
      </c>
      <c r="N1891" s="70" t="str">
        <f>IF($A$3=" "," ", IFERROR( VLOOKUP($A1891,'SUPPLIER DATA BASE'!$A$2:$O$936,11,0),""))</f>
        <v/>
      </c>
      <c r="O1891" s="70" t="str">
        <f>IF($A$3=" "," ", IFERROR( VLOOKUP($A1891,'SUPPLIER DATA BASE'!$A$2:$O$936,12,0),""))</f>
        <v/>
      </c>
      <c r="P1891" s="70" t="str">
        <f>IF($A$3=" "," ", IFERROR( VLOOKUP($A1891,'SUPPLIER DATA BASE'!$A$2:$O$936,13,0),""))</f>
        <v/>
      </c>
      <c r="Q1891" s="77"/>
      <c r="R1891" s="73"/>
      <c r="S1891" s="77"/>
      <c r="T1891" s="70"/>
      <c r="U1891" s="78"/>
      <c r="V1891" s="70" t="str">
        <f t="shared" si="6"/>
        <v/>
      </c>
      <c r="W1891" s="23"/>
      <c r="X1891" s="23"/>
    </row>
    <row r="1892">
      <c r="A1892" s="70"/>
      <c r="B1892" s="70" t="str">
        <f>IF($A$3=" "," ", IFERROR( VLOOKUP($A1892,'SUPPLIER DATA BASE'!$A$2:$M$936,3,0),""))</f>
        <v/>
      </c>
      <c r="C1892" s="70" t="str">
        <f>IF($A$3=" "," ", IFERROR( VLOOKUP($A1892,'SUPPLIER DATA BASE'!$A$2:$F$936,6,0),""))</f>
        <v/>
      </c>
      <c r="D1892" s="70" t="str">
        <f>IF($A$3=" "," ", IFERROR( VLOOKUP($A1892,'SUPPLIER DATA BASE'!$A$2:$G$936,4,0),""))</f>
        <v/>
      </c>
      <c r="E1892" s="71" t="str">
        <f>IF($A$3=" "," ", IFERROR( VLOOKUP($A1892,'SUPPLIER DATA BASE'!$A$2:$H$936,5,0),""))</f>
        <v/>
      </c>
      <c r="F1892" s="72"/>
      <c r="G1892" s="73"/>
      <c r="H1892" s="74"/>
      <c r="I1892" s="75"/>
      <c r="J1892" s="70"/>
      <c r="K1892" s="70"/>
      <c r="L1892" s="73"/>
      <c r="M1892" s="70" t="str">
        <f t="shared" si="3"/>
        <v/>
      </c>
      <c r="N1892" s="70" t="str">
        <f>IF($A$3=" "," ", IFERROR( VLOOKUP($A1892,'SUPPLIER DATA BASE'!$A$2:$O$936,11,0),""))</f>
        <v/>
      </c>
      <c r="O1892" s="70" t="str">
        <f>IF($A$3=" "," ", IFERROR( VLOOKUP($A1892,'SUPPLIER DATA BASE'!$A$2:$O$936,12,0),""))</f>
        <v/>
      </c>
      <c r="P1892" s="70" t="str">
        <f>IF($A$3=" "," ", IFERROR( VLOOKUP($A1892,'SUPPLIER DATA BASE'!$A$2:$O$936,13,0),""))</f>
        <v/>
      </c>
      <c r="Q1892" s="77"/>
      <c r="R1892" s="73"/>
      <c r="S1892" s="77"/>
      <c r="T1892" s="70"/>
      <c r="U1892" s="78"/>
      <c r="V1892" s="70" t="str">
        <f t="shared" si="6"/>
        <v/>
      </c>
      <c r="W1892" s="23"/>
      <c r="X1892" s="23"/>
    </row>
    <row r="1893">
      <c r="A1893" s="70"/>
      <c r="B1893" s="70" t="str">
        <f>IF($A$3=" "," ", IFERROR( VLOOKUP($A1893,'SUPPLIER DATA BASE'!$A$2:$M$936,3,0),""))</f>
        <v/>
      </c>
      <c r="C1893" s="70" t="str">
        <f>IF($A$3=" "," ", IFERROR( VLOOKUP($A1893,'SUPPLIER DATA BASE'!$A$2:$F$936,6,0),""))</f>
        <v/>
      </c>
      <c r="D1893" s="70" t="str">
        <f>IF($A$3=" "," ", IFERROR( VLOOKUP($A1893,'SUPPLIER DATA BASE'!$A$2:$G$936,4,0),""))</f>
        <v/>
      </c>
      <c r="E1893" s="71" t="str">
        <f>IF($A$3=" "," ", IFERROR( VLOOKUP($A1893,'SUPPLIER DATA BASE'!$A$2:$H$936,5,0),""))</f>
        <v/>
      </c>
      <c r="F1893" s="72"/>
      <c r="G1893" s="73"/>
      <c r="H1893" s="74"/>
      <c r="I1893" s="75"/>
      <c r="J1893" s="70"/>
      <c r="K1893" s="70"/>
      <c r="L1893" s="73"/>
      <c r="M1893" s="70" t="str">
        <f t="shared" si="3"/>
        <v/>
      </c>
      <c r="N1893" s="70" t="str">
        <f>IF($A$3=" "," ", IFERROR( VLOOKUP($A1893,'SUPPLIER DATA BASE'!$A$2:$O$936,11,0),""))</f>
        <v/>
      </c>
      <c r="O1893" s="70" t="str">
        <f>IF($A$3=" "," ", IFERROR( VLOOKUP($A1893,'SUPPLIER DATA BASE'!$A$2:$O$936,12,0),""))</f>
        <v/>
      </c>
      <c r="P1893" s="70" t="str">
        <f>IF($A$3=" "," ", IFERROR( VLOOKUP($A1893,'SUPPLIER DATA BASE'!$A$2:$O$936,13,0),""))</f>
        <v/>
      </c>
      <c r="Q1893" s="77"/>
      <c r="R1893" s="73"/>
      <c r="S1893" s="77"/>
      <c r="T1893" s="70"/>
      <c r="U1893" s="78"/>
      <c r="V1893" s="70" t="str">
        <f t="shared" si="6"/>
        <v/>
      </c>
      <c r="W1893" s="23"/>
      <c r="X1893" s="23"/>
    </row>
    <row r="1894">
      <c r="A1894" s="70"/>
      <c r="B1894" s="70" t="str">
        <f>IF($A$3=" "," ", IFERROR( VLOOKUP($A1894,'SUPPLIER DATA BASE'!$A$2:$M$936,3,0),""))</f>
        <v/>
      </c>
      <c r="C1894" s="70" t="str">
        <f>IF($A$3=" "," ", IFERROR( VLOOKUP($A1894,'SUPPLIER DATA BASE'!$A$2:$F$936,6,0),""))</f>
        <v/>
      </c>
      <c r="D1894" s="70" t="str">
        <f>IF($A$3=" "," ", IFERROR( VLOOKUP($A1894,'SUPPLIER DATA BASE'!$A$2:$G$936,4,0),""))</f>
        <v/>
      </c>
      <c r="E1894" s="71" t="str">
        <f>IF($A$3=" "," ", IFERROR( VLOOKUP($A1894,'SUPPLIER DATA BASE'!$A$2:$H$936,5,0),""))</f>
        <v/>
      </c>
      <c r="F1894" s="72"/>
      <c r="G1894" s="73"/>
      <c r="H1894" s="74"/>
      <c r="I1894" s="75"/>
      <c r="J1894" s="70"/>
      <c r="K1894" s="70"/>
      <c r="L1894" s="73"/>
      <c r="M1894" s="70" t="str">
        <f t="shared" si="3"/>
        <v/>
      </c>
      <c r="N1894" s="70" t="str">
        <f>IF($A$3=" "," ", IFERROR( VLOOKUP($A1894,'SUPPLIER DATA BASE'!$A$2:$O$936,11,0),""))</f>
        <v/>
      </c>
      <c r="O1894" s="70" t="str">
        <f>IF($A$3=" "," ", IFERROR( VLOOKUP($A1894,'SUPPLIER DATA BASE'!$A$2:$O$936,12,0),""))</f>
        <v/>
      </c>
      <c r="P1894" s="70" t="str">
        <f>IF($A$3=" "," ", IFERROR( VLOOKUP($A1894,'SUPPLIER DATA BASE'!$A$2:$O$936,13,0),""))</f>
        <v/>
      </c>
      <c r="Q1894" s="77"/>
      <c r="R1894" s="73"/>
      <c r="S1894" s="77"/>
      <c r="T1894" s="70"/>
      <c r="U1894" s="78"/>
      <c r="V1894" s="70" t="str">
        <f t="shared" si="6"/>
        <v/>
      </c>
      <c r="W1894" s="23"/>
      <c r="X1894" s="23"/>
    </row>
    <row r="1895">
      <c r="A1895" s="70"/>
      <c r="B1895" s="70" t="str">
        <f>IF($A$3=" "," ", IFERROR( VLOOKUP($A1895,'SUPPLIER DATA BASE'!$A$2:$M$936,3,0),""))</f>
        <v/>
      </c>
      <c r="C1895" s="70" t="str">
        <f>IF($A$3=" "," ", IFERROR( VLOOKUP($A1895,'SUPPLIER DATA BASE'!$A$2:$F$936,6,0),""))</f>
        <v/>
      </c>
      <c r="D1895" s="70" t="str">
        <f>IF($A$3=" "," ", IFERROR( VLOOKUP($A1895,'SUPPLIER DATA BASE'!$A$2:$G$936,4,0),""))</f>
        <v/>
      </c>
      <c r="E1895" s="71" t="str">
        <f>IF($A$3=" "," ", IFERROR( VLOOKUP($A1895,'SUPPLIER DATA BASE'!$A$2:$H$936,5,0),""))</f>
        <v/>
      </c>
      <c r="F1895" s="72"/>
      <c r="G1895" s="73"/>
      <c r="H1895" s="74"/>
      <c r="I1895" s="75"/>
      <c r="J1895" s="70"/>
      <c r="K1895" s="70"/>
      <c r="L1895" s="73"/>
      <c r="M1895" s="70" t="str">
        <f t="shared" si="3"/>
        <v/>
      </c>
      <c r="N1895" s="70" t="str">
        <f>IF($A$3=" "," ", IFERROR( VLOOKUP($A1895,'SUPPLIER DATA BASE'!$A$2:$O$936,11,0),""))</f>
        <v/>
      </c>
      <c r="O1895" s="70" t="str">
        <f>IF($A$3=" "," ", IFERROR( VLOOKUP($A1895,'SUPPLIER DATA BASE'!$A$2:$O$936,12,0),""))</f>
        <v/>
      </c>
      <c r="P1895" s="70" t="str">
        <f>IF($A$3=" "," ", IFERROR( VLOOKUP($A1895,'SUPPLIER DATA BASE'!$A$2:$O$936,13,0),""))</f>
        <v/>
      </c>
      <c r="Q1895" s="77"/>
      <c r="R1895" s="73"/>
      <c r="S1895" s="77"/>
      <c r="T1895" s="70"/>
      <c r="U1895" s="78"/>
      <c r="V1895" s="70" t="str">
        <f t="shared" si="6"/>
        <v/>
      </c>
      <c r="W1895" s="23"/>
      <c r="X1895" s="23"/>
    </row>
    <row r="1896">
      <c r="A1896" s="70"/>
      <c r="B1896" s="70" t="str">
        <f>IF($A$3=" "," ", IFERROR( VLOOKUP($A1896,'SUPPLIER DATA BASE'!$A$2:$M$936,3,0),""))</f>
        <v/>
      </c>
      <c r="C1896" s="70" t="str">
        <f>IF($A$3=" "," ", IFERROR( VLOOKUP($A1896,'SUPPLIER DATA BASE'!$A$2:$F$936,6,0),""))</f>
        <v/>
      </c>
      <c r="D1896" s="70" t="str">
        <f>IF($A$3=" "," ", IFERROR( VLOOKUP($A1896,'SUPPLIER DATA BASE'!$A$2:$G$936,4,0),""))</f>
        <v/>
      </c>
      <c r="E1896" s="71" t="str">
        <f>IF($A$3=" "," ", IFERROR( VLOOKUP($A1896,'SUPPLIER DATA BASE'!$A$2:$H$936,5,0),""))</f>
        <v/>
      </c>
      <c r="F1896" s="72"/>
      <c r="G1896" s="73"/>
      <c r="H1896" s="74"/>
      <c r="I1896" s="75"/>
      <c r="J1896" s="70"/>
      <c r="K1896" s="70"/>
      <c r="L1896" s="73"/>
      <c r="M1896" s="70" t="str">
        <f t="shared" si="3"/>
        <v/>
      </c>
      <c r="N1896" s="70" t="str">
        <f>IF($A$3=" "," ", IFERROR( VLOOKUP($A1896,'SUPPLIER DATA BASE'!$A$2:$O$936,11,0),""))</f>
        <v/>
      </c>
      <c r="O1896" s="70" t="str">
        <f>IF($A$3=" "," ", IFERROR( VLOOKUP($A1896,'SUPPLIER DATA BASE'!$A$2:$O$936,12,0),""))</f>
        <v/>
      </c>
      <c r="P1896" s="70" t="str">
        <f>IF($A$3=" "," ", IFERROR( VLOOKUP($A1896,'SUPPLIER DATA BASE'!$A$2:$O$936,13,0),""))</f>
        <v/>
      </c>
      <c r="Q1896" s="77"/>
      <c r="R1896" s="73"/>
      <c r="S1896" s="77"/>
      <c r="T1896" s="70"/>
      <c r="U1896" s="78"/>
      <c r="V1896" s="70" t="str">
        <f t="shared" si="6"/>
        <v/>
      </c>
      <c r="W1896" s="23"/>
      <c r="X1896" s="23"/>
    </row>
    <row r="1897">
      <c r="A1897" s="70"/>
      <c r="B1897" s="70" t="str">
        <f>IF($A$3=" "," ", IFERROR( VLOOKUP($A1897,'SUPPLIER DATA BASE'!$A$2:$M$936,3,0),""))</f>
        <v/>
      </c>
      <c r="C1897" s="70" t="str">
        <f>IF($A$3=" "," ", IFERROR( VLOOKUP($A1897,'SUPPLIER DATA BASE'!$A$2:$F$936,6,0),""))</f>
        <v/>
      </c>
      <c r="D1897" s="70" t="str">
        <f>IF($A$3=" "," ", IFERROR( VLOOKUP($A1897,'SUPPLIER DATA BASE'!$A$2:$G$936,4,0),""))</f>
        <v/>
      </c>
      <c r="E1897" s="71" t="str">
        <f>IF($A$3=" "," ", IFERROR( VLOOKUP($A1897,'SUPPLIER DATA BASE'!$A$2:$H$936,5,0),""))</f>
        <v/>
      </c>
      <c r="F1897" s="72"/>
      <c r="G1897" s="73"/>
      <c r="H1897" s="74"/>
      <c r="I1897" s="75"/>
      <c r="J1897" s="70"/>
      <c r="K1897" s="70"/>
      <c r="L1897" s="73"/>
      <c r="M1897" s="70" t="str">
        <f t="shared" si="3"/>
        <v/>
      </c>
      <c r="N1897" s="70" t="str">
        <f>IF($A$3=" "," ", IFERROR( VLOOKUP($A1897,'SUPPLIER DATA BASE'!$A$2:$O$936,11,0),""))</f>
        <v/>
      </c>
      <c r="O1897" s="70" t="str">
        <f>IF($A$3=" "," ", IFERROR( VLOOKUP($A1897,'SUPPLIER DATA BASE'!$A$2:$O$936,12,0),""))</f>
        <v/>
      </c>
      <c r="P1897" s="70" t="str">
        <f>IF($A$3=" "," ", IFERROR( VLOOKUP($A1897,'SUPPLIER DATA BASE'!$A$2:$O$936,13,0),""))</f>
        <v/>
      </c>
      <c r="Q1897" s="77"/>
      <c r="R1897" s="73"/>
      <c r="S1897" s="77"/>
      <c r="T1897" s="70"/>
      <c r="U1897" s="78"/>
      <c r="V1897" s="70" t="str">
        <f t="shared" si="6"/>
        <v/>
      </c>
      <c r="W1897" s="23"/>
      <c r="X1897" s="23"/>
    </row>
    <row r="1898">
      <c r="A1898" s="70"/>
      <c r="B1898" s="70" t="str">
        <f>IF($A$3=" "," ", IFERROR( VLOOKUP($A1898,'SUPPLIER DATA BASE'!$A$2:$M$936,3,0),""))</f>
        <v/>
      </c>
      <c r="C1898" s="70" t="str">
        <f>IF($A$3=" "," ", IFERROR( VLOOKUP($A1898,'SUPPLIER DATA BASE'!$A$2:$F$936,6,0),""))</f>
        <v/>
      </c>
      <c r="D1898" s="70" t="str">
        <f>IF($A$3=" "," ", IFERROR( VLOOKUP($A1898,'SUPPLIER DATA BASE'!$A$2:$G$936,4,0),""))</f>
        <v/>
      </c>
      <c r="E1898" s="71" t="str">
        <f>IF($A$3=" "," ", IFERROR( VLOOKUP($A1898,'SUPPLIER DATA BASE'!$A$2:$H$936,5,0),""))</f>
        <v/>
      </c>
      <c r="F1898" s="72"/>
      <c r="G1898" s="73"/>
      <c r="H1898" s="74"/>
      <c r="I1898" s="75"/>
      <c r="J1898" s="70"/>
      <c r="K1898" s="70"/>
      <c r="L1898" s="73"/>
      <c r="M1898" s="70" t="str">
        <f t="shared" si="3"/>
        <v/>
      </c>
      <c r="N1898" s="70" t="str">
        <f>IF($A$3=" "," ", IFERROR( VLOOKUP($A1898,'SUPPLIER DATA BASE'!$A$2:$O$936,11,0),""))</f>
        <v/>
      </c>
      <c r="O1898" s="70" t="str">
        <f>IF($A$3=" "," ", IFERROR( VLOOKUP($A1898,'SUPPLIER DATA BASE'!$A$2:$O$936,12,0),""))</f>
        <v/>
      </c>
      <c r="P1898" s="70" t="str">
        <f>IF($A$3=" "," ", IFERROR( VLOOKUP($A1898,'SUPPLIER DATA BASE'!$A$2:$O$936,13,0),""))</f>
        <v/>
      </c>
      <c r="Q1898" s="77"/>
      <c r="R1898" s="73"/>
      <c r="S1898" s="77"/>
      <c r="T1898" s="70"/>
      <c r="U1898" s="78"/>
      <c r="V1898" s="70" t="str">
        <f t="shared" si="6"/>
        <v/>
      </c>
      <c r="W1898" s="23"/>
      <c r="X1898" s="23"/>
    </row>
    <row r="1899">
      <c r="A1899" s="70"/>
      <c r="B1899" s="70" t="str">
        <f>IF($A$3=" "," ", IFERROR( VLOOKUP($A1899,'SUPPLIER DATA BASE'!$A$2:$M$936,3,0),""))</f>
        <v/>
      </c>
      <c r="C1899" s="70" t="str">
        <f>IF($A$3=" "," ", IFERROR( VLOOKUP($A1899,'SUPPLIER DATA BASE'!$A$2:$F$936,6,0),""))</f>
        <v/>
      </c>
      <c r="D1899" s="70" t="str">
        <f>IF($A$3=" "," ", IFERROR( VLOOKUP($A1899,'SUPPLIER DATA BASE'!$A$2:$G$936,4,0),""))</f>
        <v/>
      </c>
      <c r="E1899" s="71" t="str">
        <f>IF($A$3=" "," ", IFERROR( VLOOKUP($A1899,'SUPPLIER DATA BASE'!$A$2:$H$936,5,0),""))</f>
        <v/>
      </c>
      <c r="F1899" s="72"/>
      <c r="G1899" s="73"/>
      <c r="H1899" s="74"/>
      <c r="I1899" s="75"/>
      <c r="J1899" s="70"/>
      <c r="K1899" s="70"/>
      <c r="L1899" s="73"/>
      <c r="M1899" s="70" t="str">
        <f t="shared" si="3"/>
        <v/>
      </c>
      <c r="N1899" s="70" t="str">
        <f>IF($A$3=" "," ", IFERROR( VLOOKUP($A1899,'SUPPLIER DATA BASE'!$A$2:$O$936,11,0),""))</f>
        <v/>
      </c>
      <c r="O1899" s="70" t="str">
        <f>IF($A$3=" "," ", IFERROR( VLOOKUP($A1899,'SUPPLIER DATA BASE'!$A$2:$O$936,12,0),""))</f>
        <v/>
      </c>
      <c r="P1899" s="70" t="str">
        <f>IF($A$3=" "," ", IFERROR( VLOOKUP($A1899,'SUPPLIER DATA BASE'!$A$2:$O$936,13,0),""))</f>
        <v/>
      </c>
      <c r="Q1899" s="77"/>
      <c r="R1899" s="73"/>
      <c r="S1899" s="77"/>
      <c r="T1899" s="70"/>
      <c r="U1899" s="78"/>
      <c r="V1899" s="70" t="str">
        <f t="shared" si="6"/>
        <v/>
      </c>
      <c r="W1899" s="23"/>
      <c r="X1899" s="23"/>
    </row>
    <row r="1900">
      <c r="A1900" s="70"/>
      <c r="B1900" s="70" t="str">
        <f>IF($A$3=" "," ", IFERROR( VLOOKUP($A1900,'SUPPLIER DATA BASE'!$A$2:$M$936,3,0),""))</f>
        <v/>
      </c>
      <c r="C1900" s="70" t="str">
        <f>IF($A$3=" "," ", IFERROR( VLOOKUP($A1900,'SUPPLIER DATA BASE'!$A$2:$F$936,6,0),""))</f>
        <v/>
      </c>
      <c r="D1900" s="70" t="str">
        <f>IF($A$3=" "," ", IFERROR( VLOOKUP($A1900,'SUPPLIER DATA BASE'!$A$2:$G$936,4,0),""))</f>
        <v/>
      </c>
      <c r="E1900" s="71" t="str">
        <f>IF($A$3=" "," ", IFERROR( VLOOKUP($A1900,'SUPPLIER DATA BASE'!$A$2:$H$936,5,0),""))</f>
        <v/>
      </c>
      <c r="F1900" s="72"/>
      <c r="G1900" s="73"/>
      <c r="H1900" s="74"/>
      <c r="I1900" s="75"/>
      <c r="J1900" s="70"/>
      <c r="K1900" s="70"/>
      <c r="L1900" s="73"/>
      <c r="M1900" s="70" t="str">
        <f t="shared" si="3"/>
        <v/>
      </c>
      <c r="N1900" s="70" t="str">
        <f>IF($A$3=" "," ", IFERROR( VLOOKUP($A1900,'SUPPLIER DATA BASE'!$A$2:$O$936,11,0),""))</f>
        <v/>
      </c>
      <c r="O1900" s="70" t="str">
        <f>IF($A$3=" "," ", IFERROR( VLOOKUP($A1900,'SUPPLIER DATA BASE'!$A$2:$O$936,12,0),""))</f>
        <v/>
      </c>
      <c r="P1900" s="70" t="str">
        <f>IF($A$3=" "," ", IFERROR( VLOOKUP($A1900,'SUPPLIER DATA BASE'!$A$2:$O$936,13,0),""))</f>
        <v/>
      </c>
      <c r="Q1900" s="77"/>
      <c r="R1900" s="73"/>
      <c r="S1900" s="77"/>
      <c r="T1900" s="70"/>
      <c r="U1900" s="78"/>
      <c r="V1900" s="70" t="str">
        <f t="shared" si="6"/>
        <v/>
      </c>
      <c r="W1900" s="23"/>
      <c r="X1900" s="23"/>
    </row>
    <row r="1901">
      <c r="A1901" s="70"/>
      <c r="B1901" s="70" t="str">
        <f>IF($A$3=" "," ", IFERROR( VLOOKUP($A1901,'SUPPLIER DATA BASE'!$A$2:$M$936,3,0),""))</f>
        <v/>
      </c>
      <c r="C1901" s="70" t="str">
        <f>IF($A$3=" "," ", IFERROR( VLOOKUP($A1901,'SUPPLIER DATA BASE'!$A$2:$F$936,6,0),""))</f>
        <v/>
      </c>
      <c r="D1901" s="70" t="str">
        <f>IF($A$3=" "," ", IFERROR( VLOOKUP($A1901,'SUPPLIER DATA BASE'!$A$2:$G$936,4,0),""))</f>
        <v/>
      </c>
      <c r="E1901" s="71" t="str">
        <f>IF($A$3=" "," ", IFERROR( VLOOKUP($A1901,'SUPPLIER DATA BASE'!$A$2:$H$936,5,0),""))</f>
        <v/>
      </c>
      <c r="F1901" s="72"/>
      <c r="G1901" s="73"/>
      <c r="H1901" s="74"/>
      <c r="I1901" s="75"/>
      <c r="J1901" s="70"/>
      <c r="K1901" s="70"/>
      <c r="L1901" s="73"/>
      <c r="M1901" s="70" t="str">
        <f t="shared" si="3"/>
        <v/>
      </c>
      <c r="N1901" s="70" t="str">
        <f>IF($A$3=" "," ", IFERROR( VLOOKUP($A1901,'SUPPLIER DATA BASE'!$A$2:$O$936,11,0),""))</f>
        <v/>
      </c>
      <c r="O1901" s="70" t="str">
        <f>IF($A$3=" "," ", IFERROR( VLOOKUP($A1901,'SUPPLIER DATA BASE'!$A$2:$O$936,12,0),""))</f>
        <v/>
      </c>
      <c r="P1901" s="70" t="str">
        <f>IF($A$3=" "," ", IFERROR( VLOOKUP($A1901,'SUPPLIER DATA BASE'!$A$2:$O$936,13,0),""))</f>
        <v/>
      </c>
      <c r="Q1901" s="77"/>
      <c r="R1901" s="73"/>
      <c r="S1901" s="77"/>
      <c r="T1901" s="70"/>
      <c r="U1901" s="78"/>
      <c r="V1901" s="70" t="str">
        <f t="shared" si="6"/>
        <v/>
      </c>
      <c r="W1901" s="23"/>
      <c r="X1901" s="23"/>
    </row>
    <row r="1902">
      <c r="A1902" s="70"/>
      <c r="B1902" s="70" t="str">
        <f>IF($A$3=" "," ", IFERROR( VLOOKUP($A1902,'SUPPLIER DATA BASE'!$A$2:$M$936,3,0),""))</f>
        <v/>
      </c>
      <c r="C1902" s="70" t="str">
        <f>IF($A$3=" "," ", IFERROR( VLOOKUP($A1902,'SUPPLIER DATA BASE'!$A$2:$F$936,6,0),""))</f>
        <v/>
      </c>
      <c r="D1902" s="70" t="str">
        <f>IF($A$3=" "," ", IFERROR( VLOOKUP($A1902,'SUPPLIER DATA BASE'!$A$2:$G$936,4,0),""))</f>
        <v/>
      </c>
      <c r="E1902" s="71" t="str">
        <f>IF($A$3=" "," ", IFERROR( VLOOKUP($A1902,'SUPPLIER DATA BASE'!$A$2:$H$936,5,0),""))</f>
        <v/>
      </c>
      <c r="F1902" s="72"/>
      <c r="G1902" s="73"/>
      <c r="H1902" s="74"/>
      <c r="I1902" s="75"/>
      <c r="J1902" s="70"/>
      <c r="K1902" s="70"/>
      <c r="L1902" s="73"/>
      <c r="M1902" s="70" t="str">
        <f t="shared" si="3"/>
        <v/>
      </c>
      <c r="N1902" s="70" t="str">
        <f>IF($A$3=" "," ", IFERROR( VLOOKUP($A1902,'SUPPLIER DATA BASE'!$A$2:$O$936,11,0),""))</f>
        <v/>
      </c>
      <c r="O1902" s="70" t="str">
        <f>IF($A$3=" "," ", IFERROR( VLOOKUP($A1902,'SUPPLIER DATA BASE'!$A$2:$O$936,12,0),""))</f>
        <v/>
      </c>
      <c r="P1902" s="70" t="str">
        <f>IF($A$3=" "," ", IFERROR( VLOOKUP($A1902,'SUPPLIER DATA BASE'!$A$2:$O$936,13,0),""))</f>
        <v/>
      </c>
      <c r="Q1902" s="77"/>
      <c r="R1902" s="73"/>
      <c r="S1902" s="77"/>
      <c r="T1902" s="70"/>
      <c r="U1902" s="78"/>
      <c r="V1902" s="70" t="str">
        <f t="shared" si="6"/>
        <v/>
      </c>
      <c r="W1902" s="23"/>
      <c r="X1902" s="23"/>
    </row>
    <row r="1903">
      <c r="A1903" s="70"/>
      <c r="B1903" s="70" t="str">
        <f>IF($A$3=" "," ", IFERROR( VLOOKUP($A1903,'SUPPLIER DATA BASE'!$A$2:$M$936,3,0),""))</f>
        <v/>
      </c>
      <c r="C1903" s="70" t="str">
        <f>IF($A$3=" "," ", IFERROR( VLOOKUP($A1903,'SUPPLIER DATA BASE'!$A$2:$F$936,6,0),""))</f>
        <v/>
      </c>
      <c r="D1903" s="70" t="str">
        <f>IF($A$3=" "," ", IFERROR( VLOOKUP($A1903,'SUPPLIER DATA BASE'!$A$2:$G$936,4,0),""))</f>
        <v/>
      </c>
      <c r="E1903" s="71" t="str">
        <f>IF($A$3=" "," ", IFERROR( VLOOKUP($A1903,'SUPPLIER DATA BASE'!$A$2:$H$936,5,0),""))</f>
        <v/>
      </c>
      <c r="F1903" s="72"/>
      <c r="G1903" s="73"/>
      <c r="H1903" s="74"/>
      <c r="I1903" s="75"/>
      <c r="J1903" s="70"/>
      <c r="K1903" s="70"/>
      <c r="L1903" s="73"/>
      <c r="M1903" s="70" t="str">
        <f t="shared" si="3"/>
        <v/>
      </c>
      <c r="N1903" s="70" t="str">
        <f>IF($A$3=" "," ", IFERROR( VLOOKUP($A1903,'SUPPLIER DATA BASE'!$A$2:$O$936,11,0),""))</f>
        <v/>
      </c>
      <c r="O1903" s="70" t="str">
        <f>IF($A$3=" "," ", IFERROR( VLOOKUP($A1903,'SUPPLIER DATA BASE'!$A$2:$O$936,12,0),""))</f>
        <v/>
      </c>
      <c r="P1903" s="70" t="str">
        <f>IF($A$3=" "," ", IFERROR( VLOOKUP($A1903,'SUPPLIER DATA BASE'!$A$2:$O$936,13,0),""))</f>
        <v/>
      </c>
      <c r="Q1903" s="77"/>
      <c r="R1903" s="73"/>
      <c r="S1903" s="77"/>
      <c r="T1903" s="70"/>
      <c r="U1903" s="78"/>
      <c r="V1903" s="70" t="str">
        <f t="shared" si="6"/>
        <v/>
      </c>
      <c r="W1903" s="23"/>
      <c r="X1903" s="23"/>
    </row>
    <row r="1904">
      <c r="A1904" s="70"/>
      <c r="B1904" s="70" t="str">
        <f>IF($A$3=" "," ", IFERROR( VLOOKUP($A1904,'SUPPLIER DATA BASE'!$A$2:$M$936,3,0),""))</f>
        <v/>
      </c>
      <c r="C1904" s="70" t="str">
        <f>IF($A$3=" "," ", IFERROR( VLOOKUP($A1904,'SUPPLIER DATA BASE'!$A$2:$F$936,6,0),""))</f>
        <v/>
      </c>
      <c r="D1904" s="70" t="str">
        <f>IF($A$3=" "," ", IFERROR( VLOOKUP($A1904,'SUPPLIER DATA BASE'!$A$2:$G$936,4,0),""))</f>
        <v/>
      </c>
      <c r="E1904" s="71" t="str">
        <f>IF($A$3=" "," ", IFERROR( VLOOKUP($A1904,'SUPPLIER DATA BASE'!$A$2:$H$936,5,0),""))</f>
        <v/>
      </c>
      <c r="F1904" s="72"/>
      <c r="G1904" s="73"/>
      <c r="H1904" s="74"/>
      <c r="I1904" s="75"/>
      <c r="J1904" s="70"/>
      <c r="K1904" s="70"/>
      <c r="L1904" s="73"/>
      <c r="M1904" s="70" t="str">
        <f t="shared" si="3"/>
        <v/>
      </c>
      <c r="N1904" s="70" t="str">
        <f>IF($A$3=" "," ", IFERROR( VLOOKUP($A1904,'SUPPLIER DATA BASE'!$A$2:$O$936,11,0),""))</f>
        <v/>
      </c>
      <c r="O1904" s="70" t="str">
        <f>IF($A$3=" "," ", IFERROR( VLOOKUP($A1904,'SUPPLIER DATA BASE'!$A$2:$O$936,12,0),""))</f>
        <v/>
      </c>
      <c r="P1904" s="70" t="str">
        <f>IF($A$3=" "," ", IFERROR( VLOOKUP($A1904,'SUPPLIER DATA BASE'!$A$2:$O$936,13,0),""))</f>
        <v/>
      </c>
      <c r="Q1904" s="77"/>
      <c r="R1904" s="73"/>
      <c r="S1904" s="77"/>
      <c r="T1904" s="70"/>
      <c r="U1904" s="78"/>
      <c r="V1904" s="70" t="str">
        <f t="shared" si="6"/>
        <v/>
      </c>
      <c r="W1904" s="23"/>
      <c r="X1904" s="23"/>
    </row>
    <row r="1905">
      <c r="A1905" s="70"/>
      <c r="B1905" s="70" t="str">
        <f>IF($A$3=" "," ", IFERROR( VLOOKUP($A1905,'SUPPLIER DATA BASE'!$A$2:$M$936,3,0),""))</f>
        <v/>
      </c>
      <c r="C1905" s="70" t="str">
        <f>IF($A$3=" "," ", IFERROR( VLOOKUP($A1905,'SUPPLIER DATA BASE'!$A$2:$F$936,6,0),""))</f>
        <v/>
      </c>
      <c r="D1905" s="70" t="str">
        <f>IF($A$3=" "," ", IFERROR( VLOOKUP($A1905,'SUPPLIER DATA BASE'!$A$2:$G$936,4,0),""))</f>
        <v/>
      </c>
      <c r="E1905" s="71" t="str">
        <f>IF($A$3=" "," ", IFERROR( VLOOKUP($A1905,'SUPPLIER DATA BASE'!$A$2:$H$936,5,0),""))</f>
        <v/>
      </c>
      <c r="F1905" s="72"/>
      <c r="G1905" s="73"/>
      <c r="H1905" s="74"/>
      <c r="I1905" s="75"/>
      <c r="J1905" s="70"/>
      <c r="K1905" s="70"/>
      <c r="L1905" s="73"/>
      <c r="M1905" s="70" t="str">
        <f t="shared" si="3"/>
        <v/>
      </c>
      <c r="N1905" s="70" t="str">
        <f>IF($A$3=" "," ", IFERROR( VLOOKUP($A1905,'SUPPLIER DATA BASE'!$A$2:$O$936,11,0),""))</f>
        <v/>
      </c>
      <c r="O1905" s="70" t="str">
        <f>IF($A$3=" "," ", IFERROR( VLOOKUP($A1905,'SUPPLIER DATA BASE'!$A$2:$O$936,12,0),""))</f>
        <v/>
      </c>
      <c r="P1905" s="70" t="str">
        <f>IF($A$3=" "," ", IFERROR( VLOOKUP($A1905,'SUPPLIER DATA BASE'!$A$2:$O$936,13,0),""))</f>
        <v/>
      </c>
      <c r="Q1905" s="77"/>
      <c r="R1905" s="73"/>
      <c r="S1905" s="77"/>
      <c r="T1905" s="70"/>
      <c r="U1905" s="78"/>
      <c r="V1905" s="70" t="str">
        <f t="shared" si="6"/>
        <v/>
      </c>
      <c r="W1905" s="23"/>
      <c r="X1905" s="23"/>
    </row>
    <row r="1906">
      <c r="A1906" s="70"/>
      <c r="B1906" s="70" t="str">
        <f>IF($A$3=" "," ", IFERROR( VLOOKUP($A1906,'SUPPLIER DATA BASE'!$A$2:$M$936,3,0),""))</f>
        <v/>
      </c>
      <c r="C1906" s="70" t="str">
        <f>IF($A$3=" "," ", IFERROR( VLOOKUP($A1906,'SUPPLIER DATA BASE'!$A$2:$F$936,6,0),""))</f>
        <v/>
      </c>
      <c r="D1906" s="70" t="str">
        <f>IF($A$3=" "," ", IFERROR( VLOOKUP($A1906,'SUPPLIER DATA BASE'!$A$2:$G$936,4,0),""))</f>
        <v/>
      </c>
      <c r="E1906" s="71" t="str">
        <f>IF($A$3=" "," ", IFERROR( VLOOKUP($A1906,'SUPPLIER DATA BASE'!$A$2:$H$936,5,0),""))</f>
        <v/>
      </c>
      <c r="F1906" s="72"/>
      <c r="G1906" s="73"/>
      <c r="H1906" s="74"/>
      <c r="I1906" s="75"/>
      <c r="J1906" s="70"/>
      <c r="K1906" s="70"/>
      <c r="L1906" s="73"/>
      <c r="M1906" s="70" t="str">
        <f t="shared" si="3"/>
        <v/>
      </c>
      <c r="N1906" s="70" t="str">
        <f>IF($A$3=" "," ", IFERROR( VLOOKUP($A1906,'SUPPLIER DATA BASE'!$A$2:$O$936,11,0),""))</f>
        <v/>
      </c>
      <c r="O1906" s="70" t="str">
        <f>IF($A$3=" "," ", IFERROR( VLOOKUP($A1906,'SUPPLIER DATA BASE'!$A$2:$O$936,12,0),""))</f>
        <v/>
      </c>
      <c r="P1906" s="70" t="str">
        <f>IF($A$3=" "," ", IFERROR( VLOOKUP($A1906,'SUPPLIER DATA BASE'!$A$2:$O$936,13,0),""))</f>
        <v/>
      </c>
      <c r="Q1906" s="77"/>
      <c r="R1906" s="73"/>
      <c r="S1906" s="77"/>
      <c r="T1906" s="70"/>
      <c r="U1906" s="78"/>
      <c r="V1906" s="70" t="str">
        <f t="shared" si="6"/>
        <v/>
      </c>
      <c r="W1906" s="23"/>
      <c r="X1906" s="23"/>
    </row>
    <row r="1907">
      <c r="A1907" s="70"/>
      <c r="B1907" s="70" t="str">
        <f>IF($A$3=" "," ", IFERROR( VLOOKUP($A1907,'SUPPLIER DATA BASE'!$A$2:$M$936,3,0),""))</f>
        <v/>
      </c>
      <c r="C1907" s="70" t="str">
        <f>IF($A$3=" "," ", IFERROR( VLOOKUP($A1907,'SUPPLIER DATA BASE'!$A$2:$F$936,6,0),""))</f>
        <v/>
      </c>
      <c r="D1907" s="70" t="str">
        <f>IF($A$3=" "," ", IFERROR( VLOOKUP($A1907,'SUPPLIER DATA BASE'!$A$2:$G$936,4,0),""))</f>
        <v/>
      </c>
      <c r="E1907" s="71" t="str">
        <f>IF($A$3=" "," ", IFERROR( VLOOKUP($A1907,'SUPPLIER DATA BASE'!$A$2:$H$936,5,0),""))</f>
        <v/>
      </c>
      <c r="F1907" s="72"/>
      <c r="G1907" s="73"/>
      <c r="H1907" s="74"/>
      <c r="I1907" s="75"/>
      <c r="J1907" s="70"/>
      <c r="K1907" s="70"/>
      <c r="L1907" s="73"/>
      <c r="M1907" s="70" t="str">
        <f t="shared" si="3"/>
        <v/>
      </c>
      <c r="N1907" s="70" t="str">
        <f>IF($A$3=" "," ", IFERROR( VLOOKUP($A1907,'SUPPLIER DATA BASE'!$A$2:$O$936,11,0),""))</f>
        <v/>
      </c>
      <c r="O1907" s="70" t="str">
        <f>IF($A$3=" "," ", IFERROR( VLOOKUP($A1907,'SUPPLIER DATA BASE'!$A$2:$O$936,12,0),""))</f>
        <v/>
      </c>
      <c r="P1907" s="70" t="str">
        <f>IF($A$3=" "," ", IFERROR( VLOOKUP($A1907,'SUPPLIER DATA BASE'!$A$2:$O$936,13,0),""))</f>
        <v/>
      </c>
      <c r="Q1907" s="77"/>
      <c r="R1907" s="73"/>
      <c r="S1907" s="77"/>
      <c r="T1907" s="70"/>
      <c r="U1907" s="78"/>
      <c r="V1907" s="70" t="str">
        <f t="shared" si="6"/>
        <v/>
      </c>
      <c r="W1907" s="23"/>
      <c r="X1907" s="23"/>
    </row>
    <row r="1908">
      <c r="A1908" s="70"/>
      <c r="B1908" s="70" t="str">
        <f>IF($A$3=" "," ", IFERROR( VLOOKUP($A1908,'SUPPLIER DATA BASE'!$A$2:$M$936,3,0),""))</f>
        <v/>
      </c>
      <c r="C1908" s="70" t="str">
        <f>IF($A$3=" "," ", IFERROR( VLOOKUP($A1908,'SUPPLIER DATA BASE'!$A$2:$F$936,6,0),""))</f>
        <v/>
      </c>
      <c r="D1908" s="70" t="str">
        <f>IF($A$3=" "," ", IFERROR( VLOOKUP($A1908,'SUPPLIER DATA BASE'!$A$2:$G$936,4,0),""))</f>
        <v/>
      </c>
      <c r="E1908" s="71" t="str">
        <f>IF($A$3=" "," ", IFERROR( VLOOKUP($A1908,'SUPPLIER DATA BASE'!$A$2:$H$936,5,0),""))</f>
        <v/>
      </c>
      <c r="F1908" s="72"/>
      <c r="G1908" s="73"/>
      <c r="H1908" s="74"/>
      <c r="I1908" s="75"/>
      <c r="J1908" s="70"/>
      <c r="K1908" s="70"/>
      <c r="L1908" s="73"/>
      <c r="M1908" s="70" t="str">
        <f t="shared" si="3"/>
        <v/>
      </c>
      <c r="N1908" s="70" t="str">
        <f>IF($A$3=" "," ", IFERROR( VLOOKUP($A1908,'SUPPLIER DATA BASE'!$A$2:$O$936,11,0),""))</f>
        <v/>
      </c>
      <c r="O1908" s="70" t="str">
        <f>IF($A$3=" "," ", IFERROR( VLOOKUP($A1908,'SUPPLIER DATA BASE'!$A$2:$O$936,12,0),""))</f>
        <v/>
      </c>
      <c r="P1908" s="70" t="str">
        <f>IF($A$3=" "," ", IFERROR( VLOOKUP($A1908,'SUPPLIER DATA BASE'!$A$2:$O$936,13,0),""))</f>
        <v/>
      </c>
      <c r="Q1908" s="77"/>
      <c r="R1908" s="73"/>
      <c r="S1908" s="77"/>
      <c r="T1908" s="70"/>
      <c r="U1908" s="78"/>
      <c r="V1908" s="70" t="str">
        <f t="shared" si="6"/>
        <v/>
      </c>
      <c r="W1908" s="23"/>
      <c r="X1908" s="23"/>
    </row>
    <row r="1909">
      <c r="A1909" s="70"/>
      <c r="B1909" s="70" t="str">
        <f>IF($A$3=" "," ", IFERROR( VLOOKUP($A1909,'SUPPLIER DATA BASE'!$A$2:$M$936,3,0),""))</f>
        <v/>
      </c>
      <c r="C1909" s="70" t="str">
        <f>IF($A$3=" "," ", IFERROR( VLOOKUP($A1909,'SUPPLIER DATA BASE'!$A$2:$F$936,6,0),""))</f>
        <v/>
      </c>
      <c r="D1909" s="70" t="str">
        <f>IF($A$3=" "," ", IFERROR( VLOOKUP($A1909,'SUPPLIER DATA BASE'!$A$2:$G$936,4,0),""))</f>
        <v/>
      </c>
      <c r="E1909" s="71" t="str">
        <f>IF($A$3=" "," ", IFERROR( VLOOKUP($A1909,'SUPPLIER DATA BASE'!$A$2:$H$936,5,0),""))</f>
        <v/>
      </c>
      <c r="F1909" s="72"/>
      <c r="G1909" s="73"/>
      <c r="H1909" s="74"/>
      <c r="I1909" s="75"/>
      <c r="J1909" s="70"/>
      <c r="K1909" s="70"/>
      <c r="L1909" s="73"/>
      <c r="M1909" s="70" t="str">
        <f t="shared" si="3"/>
        <v/>
      </c>
      <c r="N1909" s="70" t="str">
        <f>IF($A$3=" "," ", IFERROR( VLOOKUP($A1909,'SUPPLIER DATA BASE'!$A$2:$O$936,11,0),""))</f>
        <v/>
      </c>
      <c r="O1909" s="70" t="str">
        <f>IF($A$3=" "," ", IFERROR( VLOOKUP($A1909,'SUPPLIER DATA BASE'!$A$2:$O$936,12,0),""))</f>
        <v/>
      </c>
      <c r="P1909" s="70" t="str">
        <f>IF($A$3=" "," ", IFERROR( VLOOKUP($A1909,'SUPPLIER DATA BASE'!$A$2:$O$936,13,0),""))</f>
        <v/>
      </c>
      <c r="Q1909" s="77"/>
      <c r="R1909" s="73"/>
      <c r="S1909" s="77"/>
      <c r="T1909" s="70"/>
      <c r="U1909" s="78"/>
      <c r="V1909" s="70" t="str">
        <f t="shared" si="6"/>
        <v/>
      </c>
      <c r="W1909" s="23"/>
      <c r="X1909" s="23"/>
    </row>
    <row r="1910">
      <c r="A1910" s="70"/>
      <c r="B1910" s="70" t="str">
        <f>IF($A$3=" "," ", IFERROR( VLOOKUP($A1910,'SUPPLIER DATA BASE'!$A$2:$M$936,3,0),""))</f>
        <v/>
      </c>
      <c r="C1910" s="70" t="str">
        <f>IF($A$3=" "," ", IFERROR( VLOOKUP($A1910,'SUPPLIER DATA BASE'!$A$2:$F$936,6,0),""))</f>
        <v/>
      </c>
      <c r="D1910" s="70" t="str">
        <f>IF($A$3=" "," ", IFERROR( VLOOKUP($A1910,'SUPPLIER DATA BASE'!$A$2:$G$936,4,0),""))</f>
        <v/>
      </c>
      <c r="E1910" s="71" t="str">
        <f>IF($A$3=" "," ", IFERROR( VLOOKUP($A1910,'SUPPLIER DATA BASE'!$A$2:$H$936,5,0),""))</f>
        <v/>
      </c>
      <c r="F1910" s="72"/>
      <c r="G1910" s="73"/>
      <c r="H1910" s="74"/>
      <c r="I1910" s="75"/>
      <c r="J1910" s="70"/>
      <c r="K1910" s="70"/>
      <c r="L1910" s="73"/>
      <c r="M1910" s="70" t="str">
        <f t="shared" si="3"/>
        <v/>
      </c>
      <c r="N1910" s="70" t="str">
        <f>IF($A$3=" "," ", IFERROR( VLOOKUP($A1910,'SUPPLIER DATA BASE'!$A$2:$O$936,11,0),""))</f>
        <v/>
      </c>
      <c r="O1910" s="70" t="str">
        <f>IF($A$3=" "," ", IFERROR( VLOOKUP($A1910,'SUPPLIER DATA BASE'!$A$2:$O$936,12,0),""))</f>
        <v/>
      </c>
      <c r="P1910" s="70" t="str">
        <f>IF($A$3=" "," ", IFERROR( VLOOKUP($A1910,'SUPPLIER DATA BASE'!$A$2:$O$936,13,0),""))</f>
        <v/>
      </c>
      <c r="Q1910" s="77"/>
      <c r="R1910" s="73"/>
      <c r="S1910" s="77"/>
      <c r="T1910" s="70"/>
      <c r="U1910" s="78"/>
      <c r="V1910" s="70" t="str">
        <f t="shared" si="6"/>
        <v/>
      </c>
      <c r="W1910" s="23"/>
      <c r="X1910" s="23"/>
    </row>
    <row r="1911">
      <c r="A1911" s="70"/>
      <c r="B1911" s="70" t="str">
        <f>IF($A$3=" "," ", IFERROR( VLOOKUP($A1911,'SUPPLIER DATA BASE'!$A$2:$M$936,3,0),""))</f>
        <v/>
      </c>
      <c r="C1911" s="70" t="str">
        <f>IF($A$3=" "," ", IFERROR( VLOOKUP($A1911,'SUPPLIER DATA BASE'!$A$2:$F$936,6,0),""))</f>
        <v/>
      </c>
      <c r="D1911" s="70" t="str">
        <f>IF($A$3=" "," ", IFERROR( VLOOKUP($A1911,'SUPPLIER DATA BASE'!$A$2:$G$936,4,0),""))</f>
        <v/>
      </c>
      <c r="E1911" s="71" t="str">
        <f>IF($A$3=" "," ", IFERROR( VLOOKUP($A1911,'SUPPLIER DATA BASE'!$A$2:$H$936,5,0),""))</f>
        <v/>
      </c>
      <c r="F1911" s="72"/>
      <c r="G1911" s="73"/>
      <c r="H1911" s="74"/>
      <c r="I1911" s="75"/>
      <c r="J1911" s="70"/>
      <c r="K1911" s="70"/>
      <c r="L1911" s="73"/>
      <c r="M1911" s="70" t="str">
        <f t="shared" si="3"/>
        <v/>
      </c>
      <c r="N1911" s="70" t="str">
        <f>IF($A$3=" "," ", IFERROR( VLOOKUP($A1911,'SUPPLIER DATA BASE'!$A$2:$O$936,11,0),""))</f>
        <v/>
      </c>
      <c r="O1911" s="70" t="str">
        <f>IF($A$3=" "," ", IFERROR( VLOOKUP($A1911,'SUPPLIER DATA BASE'!$A$2:$O$936,12,0),""))</f>
        <v/>
      </c>
      <c r="P1911" s="70" t="str">
        <f>IF($A$3=" "," ", IFERROR( VLOOKUP($A1911,'SUPPLIER DATA BASE'!$A$2:$O$936,13,0),""))</f>
        <v/>
      </c>
      <c r="Q1911" s="77"/>
      <c r="R1911" s="73"/>
      <c r="S1911" s="77"/>
      <c r="T1911" s="70"/>
      <c r="U1911" s="78"/>
      <c r="V1911" s="70" t="str">
        <f t="shared" si="6"/>
        <v/>
      </c>
      <c r="W1911" s="23"/>
      <c r="X1911" s="23"/>
    </row>
    <row r="1912">
      <c r="A1912" s="70"/>
      <c r="B1912" s="70" t="str">
        <f>IF($A$3=" "," ", IFERROR( VLOOKUP($A1912,'SUPPLIER DATA BASE'!$A$2:$M$936,3,0),""))</f>
        <v/>
      </c>
      <c r="C1912" s="70" t="str">
        <f>IF($A$3=" "," ", IFERROR( VLOOKUP($A1912,'SUPPLIER DATA BASE'!$A$2:$F$936,6,0),""))</f>
        <v/>
      </c>
      <c r="D1912" s="70" t="str">
        <f>IF($A$3=" "," ", IFERROR( VLOOKUP($A1912,'SUPPLIER DATA BASE'!$A$2:$G$936,4,0),""))</f>
        <v/>
      </c>
      <c r="E1912" s="71" t="str">
        <f>IF($A$3=" "," ", IFERROR( VLOOKUP($A1912,'SUPPLIER DATA BASE'!$A$2:$H$936,5,0),""))</f>
        <v/>
      </c>
      <c r="F1912" s="72"/>
      <c r="G1912" s="73"/>
      <c r="H1912" s="74"/>
      <c r="I1912" s="75"/>
      <c r="J1912" s="70"/>
      <c r="K1912" s="70"/>
      <c r="L1912" s="73"/>
      <c r="M1912" s="70" t="str">
        <f t="shared" si="3"/>
        <v/>
      </c>
      <c r="N1912" s="70" t="str">
        <f>IF($A$3=" "," ", IFERROR( VLOOKUP($A1912,'SUPPLIER DATA BASE'!$A$2:$O$936,11,0),""))</f>
        <v/>
      </c>
      <c r="O1912" s="70" t="str">
        <f>IF($A$3=" "," ", IFERROR( VLOOKUP($A1912,'SUPPLIER DATA BASE'!$A$2:$O$936,12,0),""))</f>
        <v/>
      </c>
      <c r="P1912" s="70" t="str">
        <f>IF($A$3=" "," ", IFERROR( VLOOKUP($A1912,'SUPPLIER DATA BASE'!$A$2:$O$936,13,0),""))</f>
        <v/>
      </c>
      <c r="Q1912" s="77"/>
      <c r="R1912" s="73"/>
      <c r="S1912" s="77"/>
      <c r="T1912" s="70"/>
      <c r="U1912" s="78"/>
      <c r="V1912" s="70" t="str">
        <f t="shared" si="6"/>
        <v/>
      </c>
      <c r="W1912" s="23"/>
      <c r="X1912" s="23"/>
    </row>
    <row r="1913">
      <c r="A1913" s="70"/>
      <c r="B1913" s="70" t="str">
        <f>IF($A$3=" "," ", IFERROR( VLOOKUP($A1913,'SUPPLIER DATA BASE'!$A$2:$M$936,3,0),""))</f>
        <v/>
      </c>
      <c r="C1913" s="70" t="str">
        <f>IF($A$3=" "," ", IFERROR( VLOOKUP($A1913,'SUPPLIER DATA BASE'!$A$2:$F$936,6,0),""))</f>
        <v/>
      </c>
      <c r="D1913" s="70" t="str">
        <f>IF($A$3=" "," ", IFERROR( VLOOKUP($A1913,'SUPPLIER DATA BASE'!$A$2:$G$936,4,0),""))</f>
        <v/>
      </c>
      <c r="E1913" s="71" t="str">
        <f>IF($A$3=" "," ", IFERROR( VLOOKUP($A1913,'SUPPLIER DATA BASE'!$A$2:$H$936,5,0),""))</f>
        <v/>
      </c>
      <c r="F1913" s="72"/>
      <c r="G1913" s="73"/>
      <c r="H1913" s="74"/>
      <c r="I1913" s="75"/>
      <c r="J1913" s="70"/>
      <c r="K1913" s="70"/>
      <c r="L1913" s="73"/>
      <c r="M1913" s="70" t="str">
        <f t="shared" si="3"/>
        <v/>
      </c>
      <c r="N1913" s="70" t="str">
        <f>IF($A$3=" "," ", IFERROR( VLOOKUP($A1913,'SUPPLIER DATA BASE'!$A$2:$O$936,11,0),""))</f>
        <v/>
      </c>
      <c r="O1913" s="70" t="str">
        <f>IF($A$3=" "," ", IFERROR( VLOOKUP($A1913,'SUPPLIER DATA BASE'!$A$2:$O$936,12,0),""))</f>
        <v/>
      </c>
      <c r="P1913" s="70" t="str">
        <f>IF($A$3=" "," ", IFERROR( VLOOKUP($A1913,'SUPPLIER DATA BASE'!$A$2:$O$936,13,0),""))</f>
        <v/>
      </c>
      <c r="Q1913" s="77"/>
      <c r="R1913" s="73"/>
      <c r="S1913" s="77"/>
      <c r="T1913" s="70"/>
      <c r="U1913" s="78"/>
      <c r="V1913" s="70" t="str">
        <f t="shared" si="6"/>
        <v/>
      </c>
      <c r="W1913" s="23"/>
      <c r="X1913" s="23"/>
    </row>
    <row r="1914">
      <c r="A1914" s="70"/>
      <c r="B1914" s="70" t="str">
        <f>IF($A$3=" "," ", IFERROR( VLOOKUP($A1914,'SUPPLIER DATA BASE'!$A$2:$M$936,3,0),""))</f>
        <v/>
      </c>
      <c r="C1914" s="70" t="str">
        <f>IF($A$3=" "," ", IFERROR( VLOOKUP($A1914,'SUPPLIER DATA BASE'!$A$2:$F$936,6,0),""))</f>
        <v/>
      </c>
      <c r="D1914" s="70" t="str">
        <f>IF($A$3=" "," ", IFERROR( VLOOKUP($A1914,'SUPPLIER DATA BASE'!$A$2:$G$936,4,0),""))</f>
        <v/>
      </c>
      <c r="E1914" s="71" t="str">
        <f>IF($A$3=" "," ", IFERROR( VLOOKUP($A1914,'SUPPLIER DATA BASE'!$A$2:$H$936,5,0),""))</f>
        <v/>
      </c>
      <c r="F1914" s="72"/>
      <c r="G1914" s="73"/>
      <c r="H1914" s="74"/>
      <c r="I1914" s="75"/>
      <c r="J1914" s="70"/>
      <c r="K1914" s="70"/>
      <c r="L1914" s="73"/>
      <c r="M1914" s="70" t="str">
        <f t="shared" si="3"/>
        <v/>
      </c>
      <c r="N1914" s="70" t="str">
        <f>IF($A$3=" "," ", IFERROR( VLOOKUP($A1914,'SUPPLIER DATA BASE'!$A$2:$O$936,11,0),""))</f>
        <v/>
      </c>
      <c r="O1914" s="70" t="str">
        <f>IF($A$3=" "," ", IFERROR( VLOOKUP($A1914,'SUPPLIER DATA BASE'!$A$2:$O$936,12,0),""))</f>
        <v/>
      </c>
      <c r="P1914" s="70" t="str">
        <f>IF($A$3=" "," ", IFERROR( VLOOKUP($A1914,'SUPPLIER DATA BASE'!$A$2:$O$936,13,0),""))</f>
        <v/>
      </c>
      <c r="Q1914" s="77"/>
      <c r="R1914" s="73"/>
      <c r="S1914" s="77"/>
      <c r="T1914" s="70"/>
      <c r="U1914" s="78"/>
      <c r="V1914" s="70" t="str">
        <f t="shared" si="6"/>
        <v/>
      </c>
      <c r="W1914" s="23"/>
      <c r="X1914" s="23"/>
    </row>
    <row r="1915">
      <c r="A1915" s="70"/>
      <c r="B1915" s="70" t="str">
        <f>IF($A$3=" "," ", IFERROR( VLOOKUP($A1915,'SUPPLIER DATA BASE'!$A$2:$M$936,3,0),""))</f>
        <v/>
      </c>
      <c r="C1915" s="70" t="str">
        <f>IF($A$3=" "," ", IFERROR( VLOOKUP($A1915,'SUPPLIER DATA BASE'!$A$2:$F$936,6,0),""))</f>
        <v/>
      </c>
      <c r="D1915" s="70" t="str">
        <f>IF($A$3=" "," ", IFERROR( VLOOKUP($A1915,'SUPPLIER DATA BASE'!$A$2:$G$936,4,0),""))</f>
        <v/>
      </c>
      <c r="E1915" s="71" t="str">
        <f>IF($A$3=" "," ", IFERROR( VLOOKUP($A1915,'SUPPLIER DATA BASE'!$A$2:$H$936,5,0),""))</f>
        <v/>
      </c>
      <c r="F1915" s="72"/>
      <c r="G1915" s="73"/>
      <c r="H1915" s="74"/>
      <c r="I1915" s="75"/>
      <c r="J1915" s="70"/>
      <c r="K1915" s="70"/>
      <c r="L1915" s="73"/>
      <c r="M1915" s="70" t="str">
        <f t="shared" si="3"/>
        <v/>
      </c>
      <c r="N1915" s="70" t="str">
        <f>IF($A$3=" "," ", IFERROR( VLOOKUP($A1915,'SUPPLIER DATA BASE'!$A$2:$O$936,11,0),""))</f>
        <v/>
      </c>
      <c r="O1915" s="70" t="str">
        <f>IF($A$3=" "," ", IFERROR( VLOOKUP($A1915,'SUPPLIER DATA BASE'!$A$2:$O$936,12,0),""))</f>
        <v/>
      </c>
      <c r="P1915" s="70" t="str">
        <f>IF($A$3=" "," ", IFERROR( VLOOKUP($A1915,'SUPPLIER DATA BASE'!$A$2:$O$936,13,0),""))</f>
        <v/>
      </c>
      <c r="Q1915" s="77"/>
      <c r="R1915" s="73"/>
      <c r="S1915" s="77"/>
      <c r="T1915" s="70"/>
      <c r="U1915" s="78"/>
      <c r="V1915" s="70" t="str">
        <f t="shared" si="6"/>
        <v/>
      </c>
      <c r="W1915" s="23"/>
      <c r="X1915" s="23"/>
    </row>
    <row r="1916">
      <c r="A1916" s="70"/>
      <c r="B1916" s="70" t="str">
        <f>IF($A$3=" "," ", IFERROR( VLOOKUP($A1916,'SUPPLIER DATA BASE'!$A$2:$M$936,3,0),""))</f>
        <v/>
      </c>
      <c r="C1916" s="70" t="str">
        <f>IF($A$3=" "," ", IFERROR( VLOOKUP($A1916,'SUPPLIER DATA BASE'!$A$2:$F$936,6,0),""))</f>
        <v/>
      </c>
      <c r="D1916" s="70" t="str">
        <f>IF($A$3=" "," ", IFERROR( VLOOKUP($A1916,'SUPPLIER DATA BASE'!$A$2:$G$936,4,0),""))</f>
        <v/>
      </c>
      <c r="E1916" s="71" t="str">
        <f>IF($A$3=" "," ", IFERROR( VLOOKUP($A1916,'SUPPLIER DATA BASE'!$A$2:$H$936,5,0),""))</f>
        <v/>
      </c>
      <c r="F1916" s="72"/>
      <c r="G1916" s="73"/>
      <c r="H1916" s="74"/>
      <c r="I1916" s="75"/>
      <c r="J1916" s="70"/>
      <c r="K1916" s="70"/>
      <c r="L1916" s="73"/>
      <c r="M1916" s="70" t="str">
        <f t="shared" si="3"/>
        <v/>
      </c>
      <c r="N1916" s="70" t="str">
        <f>IF($A$3=" "," ", IFERROR( VLOOKUP($A1916,'SUPPLIER DATA BASE'!$A$2:$O$936,11,0),""))</f>
        <v/>
      </c>
      <c r="O1916" s="70" t="str">
        <f>IF($A$3=" "," ", IFERROR( VLOOKUP($A1916,'SUPPLIER DATA BASE'!$A$2:$O$936,12,0),""))</f>
        <v/>
      </c>
      <c r="P1916" s="70" t="str">
        <f>IF($A$3=" "," ", IFERROR( VLOOKUP($A1916,'SUPPLIER DATA BASE'!$A$2:$O$936,13,0),""))</f>
        <v/>
      </c>
      <c r="Q1916" s="77"/>
      <c r="R1916" s="73"/>
      <c r="S1916" s="77"/>
      <c r="T1916" s="70"/>
      <c r="U1916" s="78"/>
      <c r="V1916" s="70" t="str">
        <f t="shared" si="6"/>
        <v/>
      </c>
      <c r="W1916" s="23"/>
      <c r="X1916" s="23"/>
    </row>
    <row r="1917">
      <c r="A1917" s="70"/>
      <c r="B1917" s="70" t="str">
        <f>IF($A$3=" "," ", IFERROR( VLOOKUP($A1917,'SUPPLIER DATA BASE'!$A$2:$M$936,3,0),""))</f>
        <v/>
      </c>
      <c r="C1917" s="70" t="str">
        <f>IF($A$3=" "," ", IFERROR( VLOOKUP($A1917,'SUPPLIER DATA BASE'!$A$2:$F$936,6,0),""))</f>
        <v/>
      </c>
      <c r="D1917" s="70" t="str">
        <f>IF($A$3=" "," ", IFERROR( VLOOKUP($A1917,'SUPPLIER DATA BASE'!$A$2:$G$936,4,0),""))</f>
        <v/>
      </c>
      <c r="E1917" s="71" t="str">
        <f>IF($A$3=" "," ", IFERROR( VLOOKUP($A1917,'SUPPLIER DATA BASE'!$A$2:$H$936,5,0),""))</f>
        <v/>
      </c>
      <c r="F1917" s="72"/>
      <c r="G1917" s="73"/>
      <c r="H1917" s="74"/>
      <c r="I1917" s="75"/>
      <c r="J1917" s="70"/>
      <c r="K1917" s="70"/>
      <c r="L1917" s="73"/>
      <c r="M1917" s="70" t="str">
        <f t="shared" si="3"/>
        <v/>
      </c>
      <c r="N1917" s="70" t="str">
        <f>IF($A$3=" "," ", IFERROR( VLOOKUP($A1917,'SUPPLIER DATA BASE'!$A$2:$O$936,11,0),""))</f>
        <v/>
      </c>
      <c r="O1917" s="70" t="str">
        <f>IF($A$3=" "," ", IFERROR( VLOOKUP($A1917,'SUPPLIER DATA BASE'!$A$2:$O$936,12,0),""))</f>
        <v/>
      </c>
      <c r="P1917" s="70" t="str">
        <f>IF($A$3=" "," ", IFERROR( VLOOKUP($A1917,'SUPPLIER DATA BASE'!$A$2:$O$936,13,0),""))</f>
        <v/>
      </c>
      <c r="Q1917" s="77"/>
      <c r="R1917" s="73"/>
      <c r="S1917" s="77"/>
      <c r="T1917" s="70"/>
      <c r="U1917" s="78"/>
      <c r="V1917" s="70" t="str">
        <f t="shared" si="6"/>
        <v/>
      </c>
      <c r="W1917" s="23"/>
      <c r="X1917" s="23"/>
    </row>
    <row r="1918">
      <c r="A1918" s="70"/>
      <c r="B1918" s="70" t="str">
        <f>IF($A$3=" "," ", IFERROR( VLOOKUP($A1918,'SUPPLIER DATA BASE'!$A$2:$M$936,3,0),""))</f>
        <v/>
      </c>
      <c r="C1918" s="70" t="str">
        <f>IF($A$3=" "," ", IFERROR( VLOOKUP($A1918,'SUPPLIER DATA BASE'!$A$2:$F$936,6,0),""))</f>
        <v/>
      </c>
      <c r="D1918" s="70" t="str">
        <f>IF($A$3=" "," ", IFERROR( VLOOKUP($A1918,'SUPPLIER DATA BASE'!$A$2:$G$936,4,0),""))</f>
        <v/>
      </c>
      <c r="E1918" s="71" t="str">
        <f>IF($A$3=" "," ", IFERROR( VLOOKUP($A1918,'SUPPLIER DATA BASE'!$A$2:$H$936,5,0),""))</f>
        <v/>
      </c>
      <c r="F1918" s="72"/>
      <c r="G1918" s="73"/>
      <c r="H1918" s="74"/>
      <c r="I1918" s="75"/>
      <c r="J1918" s="70"/>
      <c r="K1918" s="70"/>
      <c r="L1918" s="73"/>
      <c r="M1918" s="70" t="str">
        <f t="shared" si="3"/>
        <v/>
      </c>
      <c r="N1918" s="70" t="str">
        <f>IF($A$3=" "," ", IFERROR( VLOOKUP($A1918,'SUPPLIER DATA BASE'!$A$2:$O$936,11,0),""))</f>
        <v/>
      </c>
      <c r="O1918" s="70" t="str">
        <f>IF($A$3=" "," ", IFERROR( VLOOKUP($A1918,'SUPPLIER DATA BASE'!$A$2:$O$936,12,0),""))</f>
        <v/>
      </c>
      <c r="P1918" s="70" t="str">
        <f>IF($A$3=" "," ", IFERROR( VLOOKUP($A1918,'SUPPLIER DATA BASE'!$A$2:$O$936,13,0),""))</f>
        <v/>
      </c>
      <c r="Q1918" s="77"/>
      <c r="R1918" s="73"/>
      <c r="S1918" s="77"/>
      <c r="T1918" s="70"/>
      <c r="U1918" s="78"/>
      <c r="V1918" s="70" t="str">
        <f t="shared" si="6"/>
        <v/>
      </c>
      <c r="W1918" s="23"/>
      <c r="X1918" s="23"/>
    </row>
    <row r="1919">
      <c r="A1919" s="70"/>
      <c r="B1919" s="70" t="str">
        <f>IF($A$3=" "," ", IFERROR( VLOOKUP($A1919,'SUPPLIER DATA BASE'!$A$2:$M$936,3,0),""))</f>
        <v/>
      </c>
      <c r="C1919" s="70" t="str">
        <f>IF($A$3=" "," ", IFERROR( VLOOKUP($A1919,'SUPPLIER DATA BASE'!$A$2:$F$936,6,0),""))</f>
        <v/>
      </c>
      <c r="D1919" s="70" t="str">
        <f>IF($A$3=" "," ", IFERROR( VLOOKUP($A1919,'SUPPLIER DATA BASE'!$A$2:$G$936,4,0),""))</f>
        <v/>
      </c>
      <c r="E1919" s="71" t="str">
        <f>IF($A$3=" "," ", IFERROR( VLOOKUP($A1919,'SUPPLIER DATA BASE'!$A$2:$H$936,5,0),""))</f>
        <v/>
      </c>
      <c r="F1919" s="72"/>
      <c r="G1919" s="73"/>
      <c r="H1919" s="74"/>
      <c r="I1919" s="75"/>
      <c r="J1919" s="70"/>
      <c r="K1919" s="70"/>
      <c r="L1919" s="73"/>
      <c r="M1919" s="70" t="str">
        <f t="shared" si="3"/>
        <v/>
      </c>
      <c r="N1919" s="70" t="str">
        <f>IF($A$3=" "," ", IFERROR( VLOOKUP($A1919,'SUPPLIER DATA BASE'!$A$2:$O$936,11,0),""))</f>
        <v/>
      </c>
      <c r="O1919" s="70" t="str">
        <f>IF($A$3=" "," ", IFERROR( VLOOKUP($A1919,'SUPPLIER DATA BASE'!$A$2:$O$936,12,0),""))</f>
        <v/>
      </c>
      <c r="P1919" s="70" t="str">
        <f>IF($A$3=" "," ", IFERROR( VLOOKUP($A1919,'SUPPLIER DATA BASE'!$A$2:$O$936,13,0),""))</f>
        <v/>
      </c>
      <c r="Q1919" s="77"/>
      <c r="R1919" s="73"/>
      <c r="S1919" s="77"/>
      <c r="T1919" s="70"/>
      <c r="U1919" s="78"/>
      <c r="V1919" s="70" t="str">
        <f t="shared" si="6"/>
        <v/>
      </c>
      <c r="W1919" s="23"/>
      <c r="X1919" s="23"/>
    </row>
    <row r="1920">
      <c r="A1920" s="70"/>
      <c r="B1920" s="70" t="str">
        <f>IF($A$3=" "," ", IFERROR( VLOOKUP($A1920,'SUPPLIER DATA BASE'!$A$2:$M$936,3,0),""))</f>
        <v/>
      </c>
      <c r="C1920" s="70" t="str">
        <f>IF($A$3=" "," ", IFERROR( VLOOKUP($A1920,'SUPPLIER DATA BASE'!$A$2:$F$936,6,0),""))</f>
        <v/>
      </c>
      <c r="D1920" s="70" t="str">
        <f>IF($A$3=" "," ", IFERROR( VLOOKUP($A1920,'SUPPLIER DATA BASE'!$A$2:$G$936,4,0),""))</f>
        <v/>
      </c>
      <c r="E1920" s="71" t="str">
        <f>IF($A$3=" "," ", IFERROR( VLOOKUP($A1920,'SUPPLIER DATA BASE'!$A$2:$H$936,5,0),""))</f>
        <v/>
      </c>
      <c r="F1920" s="72"/>
      <c r="G1920" s="73"/>
      <c r="H1920" s="74"/>
      <c r="I1920" s="75"/>
      <c r="J1920" s="70"/>
      <c r="K1920" s="70"/>
      <c r="L1920" s="73"/>
      <c r="M1920" s="70" t="str">
        <f t="shared" si="3"/>
        <v/>
      </c>
      <c r="N1920" s="70" t="str">
        <f>IF($A$3=" "," ", IFERROR( VLOOKUP($A1920,'SUPPLIER DATA BASE'!$A$2:$O$936,11,0),""))</f>
        <v/>
      </c>
      <c r="O1920" s="70" t="str">
        <f>IF($A$3=" "," ", IFERROR( VLOOKUP($A1920,'SUPPLIER DATA BASE'!$A$2:$O$936,12,0),""))</f>
        <v/>
      </c>
      <c r="P1920" s="70" t="str">
        <f>IF($A$3=" "," ", IFERROR( VLOOKUP($A1920,'SUPPLIER DATA BASE'!$A$2:$O$936,13,0),""))</f>
        <v/>
      </c>
      <c r="Q1920" s="77"/>
      <c r="R1920" s="73"/>
      <c r="S1920" s="77"/>
      <c r="T1920" s="70"/>
      <c r="U1920" s="78"/>
      <c r="V1920" s="70" t="str">
        <f t="shared" si="6"/>
        <v/>
      </c>
      <c r="W1920" s="23"/>
      <c r="X1920" s="23"/>
    </row>
    <row r="1921">
      <c r="A1921" s="70"/>
      <c r="B1921" s="70" t="str">
        <f>IF($A$3=" "," ", IFERROR( VLOOKUP($A1921,'SUPPLIER DATA BASE'!$A$2:$M$936,3,0),""))</f>
        <v/>
      </c>
      <c r="C1921" s="70" t="str">
        <f>IF($A$3=" "," ", IFERROR( VLOOKUP($A1921,'SUPPLIER DATA BASE'!$A$2:$F$936,6,0),""))</f>
        <v/>
      </c>
      <c r="D1921" s="70" t="str">
        <f>IF($A$3=" "," ", IFERROR( VLOOKUP($A1921,'SUPPLIER DATA BASE'!$A$2:$G$936,4,0),""))</f>
        <v/>
      </c>
      <c r="E1921" s="71" t="str">
        <f>IF($A$3=" "," ", IFERROR( VLOOKUP($A1921,'SUPPLIER DATA BASE'!$A$2:$H$936,5,0),""))</f>
        <v/>
      </c>
      <c r="F1921" s="72"/>
      <c r="G1921" s="73"/>
      <c r="H1921" s="74"/>
      <c r="I1921" s="75"/>
      <c r="J1921" s="70"/>
      <c r="K1921" s="70"/>
      <c r="L1921" s="73"/>
      <c r="M1921" s="70" t="str">
        <f t="shared" si="3"/>
        <v/>
      </c>
      <c r="N1921" s="70" t="str">
        <f>IF($A$3=" "," ", IFERROR( VLOOKUP($A1921,'SUPPLIER DATA BASE'!$A$2:$O$936,11,0),""))</f>
        <v/>
      </c>
      <c r="O1921" s="70" t="str">
        <f>IF($A$3=" "," ", IFERROR( VLOOKUP($A1921,'SUPPLIER DATA BASE'!$A$2:$O$936,12,0),""))</f>
        <v/>
      </c>
      <c r="P1921" s="70" t="str">
        <f>IF($A$3=" "," ", IFERROR( VLOOKUP($A1921,'SUPPLIER DATA BASE'!$A$2:$O$936,13,0),""))</f>
        <v/>
      </c>
      <c r="Q1921" s="77"/>
      <c r="R1921" s="73"/>
      <c r="S1921" s="77"/>
      <c r="T1921" s="70"/>
      <c r="U1921" s="78"/>
      <c r="V1921" s="70" t="str">
        <f t="shared" si="6"/>
        <v/>
      </c>
      <c r="W1921" s="23"/>
      <c r="X1921" s="23"/>
    </row>
    <row r="1922">
      <c r="A1922" s="70"/>
      <c r="B1922" s="70" t="str">
        <f>IF($A$3=" "," ", IFERROR( VLOOKUP($A1922,'SUPPLIER DATA BASE'!$A$2:$M$936,3,0),""))</f>
        <v/>
      </c>
      <c r="C1922" s="70" t="str">
        <f>IF($A$3=" "," ", IFERROR( VLOOKUP($A1922,'SUPPLIER DATA BASE'!$A$2:$F$936,6,0),""))</f>
        <v/>
      </c>
      <c r="D1922" s="70" t="str">
        <f>IF($A$3=" "," ", IFERROR( VLOOKUP($A1922,'SUPPLIER DATA BASE'!$A$2:$G$936,4,0),""))</f>
        <v/>
      </c>
      <c r="E1922" s="71" t="str">
        <f>IF($A$3=" "," ", IFERROR( VLOOKUP($A1922,'SUPPLIER DATA BASE'!$A$2:$H$936,5,0),""))</f>
        <v/>
      </c>
      <c r="F1922" s="72"/>
      <c r="G1922" s="73"/>
      <c r="H1922" s="74"/>
      <c r="I1922" s="75"/>
      <c r="J1922" s="70"/>
      <c r="K1922" s="70"/>
      <c r="L1922" s="73"/>
      <c r="M1922" s="70" t="str">
        <f t="shared" si="3"/>
        <v/>
      </c>
      <c r="N1922" s="70" t="str">
        <f>IF($A$3=" "," ", IFERROR( VLOOKUP($A1922,'SUPPLIER DATA BASE'!$A$2:$O$936,11,0),""))</f>
        <v/>
      </c>
      <c r="O1922" s="70" t="str">
        <f>IF($A$3=" "," ", IFERROR( VLOOKUP($A1922,'SUPPLIER DATA BASE'!$A$2:$O$936,12,0),""))</f>
        <v/>
      </c>
      <c r="P1922" s="70" t="str">
        <f>IF($A$3=" "," ", IFERROR( VLOOKUP($A1922,'SUPPLIER DATA BASE'!$A$2:$O$936,13,0),""))</f>
        <v/>
      </c>
      <c r="Q1922" s="77"/>
      <c r="R1922" s="73"/>
      <c r="S1922" s="77"/>
      <c r="T1922" s="70"/>
      <c r="U1922" s="78"/>
      <c r="V1922" s="70" t="str">
        <f t="shared" si="6"/>
        <v/>
      </c>
      <c r="W1922" s="23"/>
      <c r="X1922" s="23"/>
    </row>
    <row r="1923">
      <c r="A1923" s="70"/>
      <c r="B1923" s="70" t="str">
        <f>IF($A$3=" "," ", IFERROR( VLOOKUP($A1923,'SUPPLIER DATA BASE'!$A$2:$M$936,3,0),""))</f>
        <v/>
      </c>
      <c r="C1923" s="70" t="str">
        <f>IF($A$3=" "," ", IFERROR( VLOOKUP($A1923,'SUPPLIER DATA BASE'!$A$2:$F$936,6,0),""))</f>
        <v/>
      </c>
      <c r="D1923" s="70" t="str">
        <f>IF($A$3=" "," ", IFERROR( VLOOKUP($A1923,'SUPPLIER DATA BASE'!$A$2:$G$936,4,0),""))</f>
        <v/>
      </c>
      <c r="E1923" s="71" t="str">
        <f>IF($A$3=" "," ", IFERROR( VLOOKUP($A1923,'SUPPLIER DATA BASE'!$A$2:$H$936,5,0),""))</f>
        <v/>
      </c>
      <c r="F1923" s="72"/>
      <c r="G1923" s="73"/>
      <c r="H1923" s="74"/>
      <c r="I1923" s="75"/>
      <c r="J1923" s="70"/>
      <c r="K1923" s="70"/>
      <c r="L1923" s="73"/>
      <c r="M1923" s="70" t="str">
        <f t="shared" si="3"/>
        <v/>
      </c>
      <c r="N1923" s="70" t="str">
        <f>IF($A$3=" "," ", IFERROR( VLOOKUP($A1923,'SUPPLIER DATA BASE'!$A$2:$O$936,11,0),""))</f>
        <v/>
      </c>
      <c r="O1923" s="70" t="str">
        <f>IF($A$3=" "," ", IFERROR( VLOOKUP($A1923,'SUPPLIER DATA BASE'!$A$2:$O$936,12,0),""))</f>
        <v/>
      </c>
      <c r="P1923" s="70" t="str">
        <f>IF($A$3=" "," ", IFERROR( VLOOKUP($A1923,'SUPPLIER DATA BASE'!$A$2:$O$936,13,0),""))</f>
        <v/>
      </c>
      <c r="Q1923" s="77"/>
      <c r="R1923" s="73"/>
      <c r="S1923" s="77"/>
      <c r="T1923" s="70"/>
      <c r="U1923" s="78"/>
      <c r="V1923" s="70" t="str">
        <f t="shared" si="6"/>
        <v/>
      </c>
      <c r="W1923" s="23"/>
      <c r="X1923" s="23"/>
    </row>
    <row r="1924">
      <c r="A1924" s="70"/>
      <c r="B1924" s="70" t="str">
        <f>IF($A$3=" "," ", IFERROR( VLOOKUP($A1924,'SUPPLIER DATA BASE'!$A$2:$M$936,3,0),""))</f>
        <v/>
      </c>
      <c r="C1924" s="70" t="str">
        <f>IF($A$3=" "," ", IFERROR( VLOOKUP($A1924,'SUPPLIER DATA BASE'!$A$2:$F$936,6,0),""))</f>
        <v/>
      </c>
      <c r="D1924" s="70" t="str">
        <f>IF($A$3=" "," ", IFERROR( VLOOKUP($A1924,'SUPPLIER DATA BASE'!$A$2:$G$936,4,0),""))</f>
        <v/>
      </c>
      <c r="E1924" s="71" t="str">
        <f>IF($A$3=" "," ", IFERROR( VLOOKUP($A1924,'SUPPLIER DATA BASE'!$A$2:$H$936,5,0),""))</f>
        <v/>
      </c>
      <c r="F1924" s="72"/>
      <c r="G1924" s="73"/>
      <c r="H1924" s="74"/>
      <c r="I1924" s="75"/>
      <c r="J1924" s="70"/>
      <c r="K1924" s="70"/>
      <c r="L1924" s="73"/>
      <c r="M1924" s="70" t="str">
        <f t="shared" si="3"/>
        <v/>
      </c>
      <c r="N1924" s="70" t="str">
        <f>IF($A$3=" "," ", IFERROR( VLOOKUP($A1924,'SUPPLIER DATA BASE'!$A$2:$O$936,11,0),""))</f>
        <v/>
      </c>
      <c r="O1924" s="70" t="str">
        <f>IF($A$3=" "," ", IFERROR( VLOOKUP($A1924,'SUPPLIER DATA BASE'!$A$2:$O$936,12,0),""))</f>
        <v/>
      </c>
      <c r="P1924" s="70" t="str">
        <f>IF($A$3=" "," ", IFERROR( VLOOKUP($A1924,'SUPPLIER DATA BASE'!$A$2:$O$936,13,0),""))</f>
        <v/>
      </c>
      <c r="Q1924" s="77"/>
      <c r="R1924" s="73"/>
      <c r="S1924" s="77"/>
      <c r="T1924" s="70"/>
      <c r="U1924" s="78"/>
      <c r="V1924" s="70" t="str">
        <f t="shared" si="6"/>
        <v/>
      </c>
      <c r="W1924" s="23"/>
      <c r="X1924" s="23"/>
    </row>
    <row r="1925">
      <c r="A1925" s="70"/>
      <c r="B1925" s="70" t="str">
        <f>IF($A$3=" "," ", IFERROR( VLOOKUP($A1925,'SUPPLIER DATA BASE'!$A$2:$M$936,3,0),""))</f>
        <v/>
      </c>
      <c r="C1925" s="70" t="str">
        <f>IF($A$3=" "," ", IFERROR( VLOOKUP($A1925,'SUPPLIER DATA BASE'!$A$2:$F$936,6,0),""))</f>
        <v/>
      </c>
      <c r="D1925" s="70" t="str">
        <f>IF($A$3=" "," ", IFERROR( VLOOKUP($A1925,'SUPPLIER DATA BASE'!$A$2:$G$936,4,0),""))</f>
        <v/>
      </c>
      <c r="E1925" s="71" t="str">
        <f>IF($A$3=" "," ", IFERROR( VLOOKUP($A1925,'SUPPLIER DATA BASE'!$A$2:$H$936,5,0),""))</f>
        <v/>
      </c>
      <c r="F1925" s="72"/>
      <c r="G1925" s="73"/>
      <c r="H1925" s="74"/>
      <c r="I1925" s="75"/>
      <c r="J1925" s="70"/>
      <c r="K1925" s="70"/>
      <c r="L1925" s="73"/>
      <c r="M1925" s="70" t="str">
        <f t="shared" si="3"/>
        <v/>
      </c>
      <c r="N1925" s="70" t="str">
        <f>IF($A$3=" "," ", IFERROR( VLOOKUP($A1925,'SUPPLIER DATA BASE'!$A$2:$O$936,11,0),""))</f>
        <v/>
      </c>
      <c r="O1925" s="70" t="str">
        <f>IF($A$3=" "," ", IFERROR( VLOOKUP($A1925,'SUPPLIER DATA BASE'!$A$2:$O$936,12,0),""))</f>
        <v/>
      </c>
      <c r="P1925" s="70" t="str">
        <f>IF($A$3=" "," ", IFERROR( VLOOKUP($A1925,'SUPPLIER DATA BASE'!$A$2:$O$936,13,0),""))</f>
        <v/>
      </c>
      <c r="Q1925" s="77"/>
      <c r="R1925" s="73"/>
      <c r="S1925" s="77"/>
      <c r="T1925" s="70"/>
      <c r="U1925" s="78"/>
      <c r="V1925" s="70" t="str">
        <f t="shared" si="6"/>
        <v/>
      </c>
      <c r="W1925" s="23"/>
      <c r="X1925" s="23"/>
    </row>
    <row r="1926">
      <c r="A1926" s="70"/>
      <c r="B1926" s="70" t="str">
        <f>IF($A$3=" "," ", IFERROR( VLOOKUP($A1926,'SUPPLIER DATA BASE'!$A$2:$M$936,3,0),""))</f>
        <v/>
      </c>
      <c r="C1926" s="70" t="str">
        <f>IF($A$3=" "," ", IFERROR( VLOOKUP($A1926,'SUPPLIER DATA BASE'!$A$2:$F$936,6,0),""))</f>
        <v/>
      </c>
      <c r="D1926" s="70" t="str">
        <f>IF($A$3=" "," ", IFERROR( VLOOKUP($A1926,'SUPPLIER DATA BASE'!$A$2:$G$936,4,0),""))</f>
        <v/>
      </c>
      <c r="E1926" s="71" t="str">
        <f>IF($A$3=" "," ", IFERROR( VLOOKUP($A1926,'SUPPLIER DATA BASE'!$A$2:$H$936,5,0),""))</f>
        <v/>
      </c>
      <c r="F1926" s="72"/>
      <c r="G1926" s="73"/>
      <c r="H1926" s="74"/>
      <c r="I1926" s="75"/>
      <c r="J1926" s="70"/>
      <c r="K1926" s="70"/>
      <c r="L1926" s="73"/>
      <c r="M1926" s="70" t="str">
        <f t="shared" si="3"/>
        <v/>
      </c>
      <c r="N1926" s="70" t="str">
        <f>IF($A$3=" "," ", IFERROR( VLOOKUP($A1926,'SUPPLIER DATA BASE'!$A$2:$O$936,11,0),""))</f>
        <v/>
      </c>
      <c r="O1926" s="70" t="str">
        <f>IF($A$3=" "," ", IFERROR( VLOOKUP($A1926,'SUPPLIER DATA BASE'!$A$2:$O$936,12,0),""))</f>
        <v/>
      </c>
      <c r="P1926" s="70" t="str">
        <f>IF($A$3=" "," ", IFERROR( VLOOKUP($A1926,'SUPPLIER DATA BASE'!$A$2:$O$936,13,0),""))</f>
        <v/>
      </c>
      <c r="Q1926" s="77"/>
      <c r="R1926" s="73"/>
      <c r="S1926" s="77"/>
      <c r="T1926" s="70"/>
      <c r="U1926" s="78"/>
      <c r="V1926" s="70" t="str">
        <f t="shared" si="6"/>
        <v/>
      </c>
      <c r="W1926" s="23"/>
      <c r="X1926" s="23"/>
    </row>
    <row r="1927">
      <c r="A1927" s="70"/>
      <c r="B1927" s="70" t="str">
        <f>IF($A$3=" "," ", IFERROR( VLOOKUP($A1927,'SUPPLIER DATA BASE'!$A$2:$M$936,3,0),""))</f>
        <v/>
      </c>
      <c r="C1927" s="70" t="str">
        <f>IF($A$3=" "," ", IFERROR( VLOOKUP($A1927,'SUPPLIER DATA BASE'!$A$2:$F$936,6,0),""))</f>
        <v/>
      </c>
      <c r="D1927" s="70" t="str">
        <f>IF($A$3=" "," ", IFERROR( VLOOKUP($A1927,'SUPPLIER DATA BASE'!$A$2:$G$936,4,0),""))</f>
        <v/>
      </c>
      <c r="E1927" s="71" t="str">
        <f>IF($A$3=" "," ", IFERROR( VLOOKUP($A1927,'SUPPLIER DATA BASE'!$A$2:$H$936,5,0),""))</f>
        <v/>
      </c>
      <c r="F1927" s="72"/>
      <c r="G1927" s="73"/>
      <c r="H1927" s="74"/>
      <c r="I1927" s="75"/>
      <c r="J1927" s="70"/>
      <c r="K1927" s="70"/>
      <c r="L1927" s="73"/>
      <c r="M1927" s="70" t="str">
        <f t="shared" si="3"/>
        <v/>
      </c>
      <c r="N1927" s="70" t="str">
        <f>IF($A$3=" "," ", IFERROR( VLOOKUP($A1927,'SUPPLIER DATA BASE'!$A$2:$O$936,11,0),""))</f>
        <v/>
      </c>
      <c r="O1927" s="70" t="str">
        <f>IF($A$3=" "," ", IFERROR( VLOOKUP($A1927,'SUPPLIER DATA BASE'!$A$2:$O$936,12,0),""))</f>
        <v/>
      </c>
      <c r="P1927" s="70" t="str">
        <f>IF($A$3=" "," ", IFERROR( VLOOKUP($A1927,'SUPPLIER DATA BASE'!$A$2:$O$936,13,0),""))</f>
        <v/>
      </c>
      <c r="Q1927" s="77"/>
      <c r="R1927" s="73"/>
      <c r="S1927" s="77"/>
      <c r="T1927" s="70"/>
      <c r="U1927" s="78"/>
      <c r="V1927" s="70" t="str">
        <f t="shared" si="6"/>
        <v/>
      </c>
      <c r="W1927" s="23"/>
      <c r="X1927" s="23"/>
    </row>
    <row r="1928">
      <c r="A1928" s="70"/>
      <c r="B1928" s="70" t="str">
        <f>IF($A$3=" "," ", IFERROR( VLOOKUP($A1928,'SUPPLIER DATA BASE'!$A$2:$M$936,3,0),""))</f>
        <v/>
      </c>
      <c r="C1928" s="70" t="str">
        <f>IF($A$3=" "," ", IFERROR( VLOOKUP($A1928,'SUPPLIER DATA BASE'!$A$2:$F$936,6,0),""))</f>
        <v/>
      </c>
      <c r="D1928" s="70" t="str">
        <f>IF($A$3=" "," ", IFERROR( VLOOKUP($A1928,'SUPPLIER DATA BASE'!$A$2:$G$936,4,0),""))</f>
        <v/>
      </c>
      <c r="E1928" s="71" t="str">
        <f>IF($A$3=" "," ", IFERROR( VLOOKUP($A1928,'SUPPLIER DATA BASE'!$A$2:$H$936,5,0),""))</f>
        <v/>
      </c>
      <c r="F1928" s="72"/>
      <c r="G1928" s="73"/>
      <c r="H1928" s="74"/>
      <c r="I1928" s="75"/>
      <c r="J1928" s="70"/>
      <c r="K1928" s="70"/>
      <c r="L1928" s="73"/>
      <c r="M1928" s="70" t="str">
        <f t="shared" si="3"/>
        <v/>
      </c>
      <c r="N1928" s="70" t="str">
        <f>IF($A$3=" "," ", IFERROR( VLOOKUP($A1928,'SUPPLIER DATA BASE'!$A$2:$O$936,11,0),""))</f>
        <v/>
      </c>
      <c r="O1928" s="70" t="str">
        <f>IF($A$3=" "," ", IFERROR( VLOOKUP($A1928,'SUPPLIER DATA BASE'!$A$2:$O$936,12,0),""))</f>
        <v/>
      </c>
      <c r="P1928" s="70" t="str">
        <f>IF($A$3=" "," ", IFERROR( VLOOKUP($A1928,'SUPPLIER DATA BASE'!$A$2:$O$936,13,0),""))</f>
        <v/>
      </c>
      <c r="Q1928" s="77"/>
      <c r="R1928" s="73"/>
      <c r="S1928" s="77"/>
      <c r="T1928" s="70"/>
      <c r="U1928" s="78"/>
      <c r="V1928" s="70" t="str">
        <f t="shared" si="6"/>
        <v/>
      </c>
      <c r="W1928" s="23"/>
      <c r="X1928" s="23"/>
    </row>
    <row r="1929">
      <c r="A1929" s="70"/>
      <c r="B1929" s="70" t="str">
        <f>IF($A$3=" "," ", IFERROR( VLOOKUP($A1929,'SUPPLIER DATA BASE'!$A$2:$M$936,3,0),""))</f>
        <v/>
      </c>
      <c r="C1929" s="70" t="str">
        <f>IF($A$3=" "," ", IFERROR( VLOOKUP($A1929,'SUPPLIER DATA BASE'!$A$2:$F$936,6,0),""))</f>
        <v/>
      </c>
      <c r="D1929" s="70" t="str">
        <f>IF($A$3=" "," ", IFERROR( VLOOKUP($A1929,'SUPPLIER DATA BASE'!$A$2:$G$936,4,0),""))</f>
        <v/>
      </c>
      <c r="E1929" s="71" t="str">
        <f>IF($A$3=" "," ", IFERROR( VLOOKUP($A1929,'SUPPLIER DATA BASE'!$A$2:$H$936,5,0),""))</f>
        <v/>
      </c>
      <c r="F1929" s="72"/>
      <c r="G1929" s="73"/>
      <c r="H1929" s="74"/>
      <c r="I1929" s="75"/>
      <c r="J1929" s="70"/>
      <c r="K1929" s="70"/>
      <c r="L1929" s="73"/>
      <c r="M1929" s="70" t="str">
        <f t="shared" si="3"/>
        <v/>
      </c>
      <c r="N1929" s="70" t="str">
        <f>IF($A$3=" "," ", IFERROR( VLOOKUP($A1929,'SUPPLIER DATA BASE'!$A$2:$O$936,11,0),""))</f>
        <v/>
      </c>
      <c r="O1929" s="70" t="str">
        <f>IF($A$3=" "," ", IFERROR( VLOOKUP($A1929,'SUPPLIER DATA BASE'!$A$2:$O$936,12,0),""))</f>
        <v/>
      </c>
      <c r="P1929" s="70" t="str">
        <f>IF($A$3=" "," ", IFERROR( VLOOKUP($A1929,'SUPPLIER DATA BASE'!$A$2:$O$936,13,0),""))</f>
        <v/>
      </c>
      <c r="Q1929" s="77"/>
      <c r="R1929" s="73"/>
      <c r="S1929" s="77"/>
      <c r="T1929" s="70"/>
      <c r="U1929" s="78"/>
      <c r="V1929" s="70" t="str">
        <f t="shared" si="6"/>
        <v/>
      </c>
      <c r="W1929" s="23"/>
      <c r="X1929" s="23"/>
    </row>
    <row r="1930">
      <c r="A1930" s="70"/>
      <c r="B1930" s="70" t="str">
        <f>IF($A$3=" "," ", IFERROR( VLOOKUP($A1930,'SUPPLIER DATA BASE'!$A$2:$M$936,3,0),""))</f>
        <v/>
      </c>
      <c r="C1930" s="70" t="str">
        <f>IF($A$3=" "," ", IFERROR( VLOOKUP($A1930,'SUPPLIER DATA BASE'!$A$2:$F$936,6,0),""))</f>
        <v/>
      </c>
      <c r="D1930" s="70" t="str">
        <f>IF($A$3=" "," ", IFERROR( VLOOKUP($A1930,'SUPPLIER DATA BASE'!$A$2:$G$936,4,0),""))</f>
        <v/>
      </c>
      <c r="E1930" s="71" t="str">
        <f>IF($A$3=" "," ", IFERROR( VLOOKUP($A1930,'SUPPLIER DATA BASE'!$A$2:$H$936,5,0),""))</f>
        <v/>
      </c>
      <c r="F1930" s="72"/>
      <c r="G1930" s="73"/>
      <c r="H1930" s="74"/>
      <c r="I1930" s="75"/>
      <c r="J1930" s="70"/>
      <c r="K1930" s="70"/>
      <c r="L1930" s="73"/>
      <c r="M1930" s="70" t="str">
        <f t="shared" si="3"/>
        <v/>
      </c>
      <c r="N1930" s="70" t="str">
        <f>IF($A$3=" "," ", IFERROR( VLOOKUP($A1930,'SUPPLIER DATA BASE'!$A$2:$O$936,11,0),""))</f>
        <v/>
      </c>
      <c r="O1930" s="70" t="str">
        <f>IF($A$3=" "," ", IFERROR( VLOOKUP($A1930,'SUPPLIER DATA BASE'!$A$2:$O$936,12,0),""))</f>
        <v/>
      </c>
      <c r="P1930" s="70" t="str">
        <f>IF($A$3=" "," ", IFERROR( VLOOKUP($A1930,'SUPPLIER DATA BASE'!$A$2:$O$936,13,0),""))</f>
        <v/>
      </c>
      <c r="Q1930" s="77"/>
      <c r="R1930" s="73"/>
      <c r="S1930" s="77"/>
      <c r="T1930" s="70"/>
      <c r="U1930" s="78"/>
      <c r="V1930" s="70" t="str">
        <f t="shared" si="6"/>
        <v/>
      </c>
      <c r="W1930" s="23"/>
      <c r="X1930" s="23"/>
    </row>
    <row r="1931">
      <c r="A1931" s="70"/>
      <c r="B1931" s="70" t="str">
        <f>IF($A$3=" "," ", IFERROR( VLOOKUP($A1931,'SUPPLIER DATA BASE'!$A$2:$M$936,3,0),""))</f>
        <v/>
      </c>
      <c r="C1931" s="70" t="str">
        <f>IF($A$3=" "," ", IFERROR( VLOOKUP($A1931,'SUPPLIER DATA BASE'!$A$2:$F$936,6,0),""))</f>
        <v/>
      </c>
      <c r="D1931" s="70" t="str">
        <f>IF($A$3=" "," ", IFERROR( VLOOKUP($A1931,'SUPPLIER DATA BASE'!$A$2:$G$936,4,0),""))</f>
        <v/>
      </c>
      <c r="E1931" s="71" t="str">
        <f>IF($A$3=" "," ", IFERROR( VLOOKUP($A1931,'SUPPLIER DATA BASE'!$A$2:$H$936,5,0),""))</f>
        <v/>
      </c>
      <c r="F1931" s="72"/>
      <c r="G1931" s="73"/>
      <c r="H1931" s="74"/>
      <c r="I1931" s="75"/>
      <c r="J1931" s="70"/>
      <c r="K1931" s="70"/>
      <c r="L1931" s="73"/>
      <c r="M1931" s="70" t="str">
        <f t="shared" si="3"/>
        <v/>
      </c>
      <c r="N1931" s="70" t="str">
        <f>IF($A$3=" "," ", IFERROR( VLOOKUP($A1931,'SUPPLIER DATA BASE'!$A$2:$O$936,11,0),""))</f>
        <v/>
      </c>
      <c r="O1931" s="70" t="str">
        <f>IF($A$3=" "," ", IFERROR( VLOOKUP($A1931,'SUPPLIER DATA BASE'!$A$2:$O$936,12,0),""))</f>
        <v/>
      </c>
      <c r="P1931" s="70" t="str">
        <f>IF($A$3=" "," ", IFERROR( VLOOKUP($A1931,'SUPPLIER DATA BASE'!$A$2:$O$936,13,0),""))</f>
        <v/>
      </c>
      <c r="Q1931" s="77"/>
      <c r="R1931" s="73"/>
      <c r="S1931" s="77"/>
      <c r="T1931" s="70"/>
      <c r="U1931" s="78"/>
      <c r="V1931" s="70" t="str">
        <f t="shared" si="6"/>
        <v/>
      </c>
      <c r="W1931" s="23"/>
      <c r="X1931" s="23"/>
    </row>
    <row r="1932">
      <c r="A1932" s="70"/>
      <c r="B1932" s="70" t="str">
        <f>IF($A$3=" "," ", IFERROR( VLOOKUP($A1932,'SUPPLIER DATA BASE'!$A$2:$M$936,3,0),""))</f>
        <v/>
      </c>
      <c r="C1932" s="70" t="str">
        <f>IF($A$3=" "," ", IFERROR( VLOOKUP($A1932,'SUPPLIER DATA BASE'!$A$2:$F$936,6,0),""))</f>
        <v/>
      </c>
      <c r="D1932" s="70" t="str">
        <f>IF($A$3=" "," ", IFERROR( VLOOKUP($A1932,'SUPPLIER DATA BASE'!$A$2:$G$936,4,0),""))</f>
        <v/>
      </c>
      <c r="E1932" s="71" t="str">
        <f>IF($A$3=" "," ", IFERROR( VLOOKUP($A1932,'SUPPLIER DATA BASE'!$A$2:$H$936,5,0),""))</f>
        <v/>
      </c>
      <c r="F1932" s="72"/>
      <c r="G1932" s="73"/>
      <c r="H1932" s="74"/>
      <c r="I1932" s="75"/>
      <c r="J1932" s="70"/>
      <c r="K1932" s="70"/>
      <c r="L1932" s="73"/>
      <c r="M1932" s="70" t="str">
        <f t="shared" si="3"/>
        <v/>
      </c>
      <c r="N1932" s="70" t="str">
        <f>IF($A$3=" "," ", IFERROR( VLOOKUP($A1932,'SUPPLIER DATA BASE'!$A$2:$O$936,11,0),""))</f>
        <v/>
      </c>
      <c r="O1932" s="70" t="str">
        <f>IF($A$3=" "," ", IFERROR( VLOOKUP($A1932,'SUPPLIER DATA BASE'!$A$2:$O$936,12,0),""))</f>
        <v/>
      </c>
      <c r="P1932" s="70" t="str">
        <f>IF($A$3=" "," ", IFERROR( VLOOKUP($A1932,'SUPPLIER DATA BASE'!$A$2:$O$936,13,0),""))</f>
        <v/>
      </c>
      <c r="Q1932" s="77"/>
      <c r="R1932" s="73"/>
      <c r="S1932" s="77"/>
      <c r="T1932" s="70"/>
      <c r="U1932" s="78"/>
      <c r="V1932" s="70" t="str">
        <f t="shared" si="6"/>
        <v/>
      </c>
      <c r="W1932" s="23"/>
      <c r="X1932" s="23"/>
    </row>
    <row r="1933">
      <c r="A1933" s="70"/>
      <c r="B1933" s="70" t="str">
        <f>IF($A$3=" "," ", IFERROR( VLOOKUP($A1933,'SUPPLIER DATA BASE'!$A$2:$M$936,3,0),""))</f>
        <v/>
      </c>
      <c r="C1933" s="70" t="str">
        <f>IF($A$3=" "," ", IFERROR( VLOOKUP($A1933,'SUPPLIER DATA BASE'!$A$2:$F$936,6,0),""))</f>
        <v/>
      </c>
      <c r="D1933" s="70" t="str">
        <f>IF($A$3=" "," ", IFERROR( VLOOKUP($A1933,'SUPPLIER DATA BASE'!$A$2:$G$936,4,0),""))</f>
        <v/>
      </c>
      <c r="E1933" s="71" t="str">
        <f>IF($A$3=" "," ", IFERROR( VLOOKUP($A1933,'SUPPLIER DATA BASE'!$A$2:$H$936,5,0),""))</f>
        <v/>
      </c>
      <c r="F1933" s="72"/>
      <c r="G1933" s="73"/>
      <c r="H1933" s="74"/>
      <c r="I1933" s="75"/>
      <c r="J1933" s="70"/>
      <c r="K1933" s="70"/>
      <c r="L1933" s="73"/>
      <c r="M1933" s="70" t="str">
        <f t="shared" si="3"/>
        <v/>
      </c>
      <c r="N1933" s="70" t="str">
        <f>IF($A$3=" "," ", IFERROR( VLOOKUP($A1933,'SUPPLIER DATA BASE'!$A$2:$O$936,11,0),""))</f>
        <v/>
      </c>
      <c r="O1933" s="70" t="str">
        <f>IF($A$3=" "," ", IFERROR( VLOOKUP($A1933,'SUPPLIER DATA BASE'!$A$2:$O$936,12,0),""))</f>
        <v/>
      </c>
      <c r="P1933" s="70" t="str">
        <f>IF($A$3=" "," ", IFERROR( VLOOKUP($A1933,'SUPPLIER DATA BASE'!$A$2:$O$936,13,0),""))</f>
        <v/>
      </c>
      <c r="Q1933" s="77"/>
      <c r="R1933" s="73"/>
      <c r="S1933" s="77"/>
      <c r="T1933" s="70"/>
      <c r="U1933" s="78"/>
      <c r="V1933" s="70" t="str">
        <f t="shared" si="6"/>
        <v/>
      </c>
      <c r="W1933" s="23"/>
      <c r="X1933" s="23"/>
    </row>
    <row r="1934">
      <c r="A1934" s="70"/>
      <c r="B1934" s="70" t="str">
        <f>IF($A$3=" "," ", IFERROR( VLOOKUP($A1934,'SUPPLIER DATA BASE'!$A$2:$M$936,3,0),""))</f>
        <v/>
      </c>
      <c r="C1934" s="70" t="str">
        <f>IF($A$3=" "," ", IFERROR( VLOOKUP($A1934,'SUPPLIER DATA BASE'!$A$2:$F$936,6,0),""))</f>
        <v/>
      </c>
      <c r="D1934" s="70" t="str">
        <f>IF($A$3=" "," ", IFERROR( VLOOKUP($A1934,'SUPPLIER DATA BASE'!$A$2:$G$936,4,0),""))</f>
        <v/>
      </c>
      <c r="E1934" s="71" t="str">
        <f>IF($A$3=" "," ", IFERROR( VLOOKUP($A1934,'SUPPLIER DATA BASE'!$A$2:$H$936,5,0),""))</f>
        <v/>
      </c>
      <c r="F1934" s="72"/>
      <c r="G1934" s="73"/>
      <c r="H1934" s="74"/>
      <c r="I1934" s="75"/>
      <c r="J1934" s="70"/>
      <c r="K1934" s="70"/>
      <c r="L1934" s="73"/>
      <c r="M1934" s="70" t="str">
        <f t="shared" si="3"/>
        <v/>
      </c>
      <c r="N1934" s="70" t="str">
        <f>IF($A$3=" "," ", IFERROR( VLOOKUP($A1934,'SUPPLIER DATA BASE'!$A$2:$O$936,11,0),""))</f>
        <v/>
      </c>
      <c r="O1934" s="70" t="str">
        <f>IF($A$3=" "," ", IFERROR( VLOOKUP($A1934,'SUPPLIER DATA BASE'!$A$2:$O$936,12,0),""))</f>
        <v/>
      </c>
      <c r="P1934" s="70" t="str">
        <f>IF($A$3=" "," ", IFERROR( VLOOKUP($A1934,'SUPPLIER DATA BASE'!$A$2:$O$936,13,0),""))</f>
        <v/>
      </c>
      <c r="Q1934" s="77"/>
      <c r="R1934" s="73"/>
      <c r="S1934" s="77"/>
      <c r="T1934" s="70"/>
      <c r="U1934" s="78"/>
      <c r="V1934" s="70" t="str">
        <f t="shared" si="6"/>
        <v/>
      </c>
      <c r="W1934" s="23"/>
      <c r="X1934" s="23"/>
    </row>
    <row r="1935">
      <c r="A1935" s="70"/>
      <c r="B1935" s="70" t="str">
        <f>IF($A$3=" "," ", IFERROR( VLOOKUP($A1935,'SUPPLIER DATA BASE'!$A$2:$M$936,3,0),""))</f>
        <v/>
      </c>
      <c r="C1935" s="70" t="str">
        <f>IF($A$3=" "," ", IFERROR( VLOOKUP($A1935,'SUPPLIER DATA BASE'!$A$2:$F$936,6,0),""))</f>
        <v/>
      </c>
      <c r="D1935" s="70" t="str">
        <f>IF($A$3=" "," ", IFERROR( VLOOKUP($A1935,'SUPPLIER DATA BASE'!$A$2:$G$936,4,0),""))</f>
        <v/>
      </c>
      <c r="E1935" s="71" t="str">
        <f>IF($A$3=" "," ", IFERROR( VLOOKUP($A1935,'SUPPLIER DATA BASE'!$A$2:$H$936,5,0),""))</f>
        <v/>
      </c>
      <c r="F1935" s="72"/>
      <c r="G1935" s="73"/>
      <c r="H1935" s="74"/>
      <c r="I1935" s="75"/>
      <c r="J1935" s="70"/>
      <c r="K1935" s="70"/>
      <c r="L1935" s="73"/>
      <c r="M1935" s="70" t="str">
        <f t="shared" si="3"/>
        <v/>
      </c>
      <c r="N1935" s="70" t="str">
        <f>IF($A$3=" "," ", IFERROR( VLOOKUP($A1935,'SUPPLIER DATA BASE'!$A$2:$O$936,11,0),""))</f>
        <v/>
      </c>
      <c r="O1935" s="70" t="str">
        <f>IF($A$3=" "," ", IFERROR( VLOOKUP($A1935,'SUPPLIER DATA BASE'!$A$2:$O$936,12,0),""))</f>
        <v/>
      </c>
      <c r="P1935" s="70" t="str">
        <f>IF($A$3=" "," ", IFERROR( VLOOKUP($A1935,'SUPPLIER DATA BASE'!$A$2:$O$936,13,0),""))</f>
        <v/>
      </c>
      <c r="Q1935" s="77"/>
      <c r="R1935" s="73"/>
      <c r="S1935" s="77"/>
      <c r="T1935" s="70"/>
      <c r="U1935" s="78"/>
      <c r="V1935" s="70" t="str">
        <f t="shared" si="6"/>
        <v/>
      </c>
      <c r="W1935" s="23"/>
      <c r="X1935" s="23"/>
    </row>
    <row r="1936">
      <c r="A1936" s="70"/>
      <c r="B1936" s="70" t="str">
        <f>IF($A$3=" "," ", IFERROR( VLOOKUP($A1936,'SUPPLIER DATA BASE'!$A$2:$M$936,3,0),""))</f>
        <v/>
      </c>
      <c r="C1936" s="70" t="str">
        <f>IF($A$3=" "," ", IFERROR( VLOOKUP($A1936,'SUPPLIER DATA BASE'!$A$2:$F$936,6,0),""))</f>
        <v/>
      </c>
      <c r="D1936" s="70" t="str">
        <f>IF($A$3=" "," ", IFERROR( VLOOKUP($A1936,'SUPPLIER DATA BASE'!$A$2:$G$936,4,0),""))</f>
        <v/>
      </c>
      <c r="E1936" s="71" t="str">
        <f>IF($A$3=" "," ", IFERROR( VLOOKUP($A1936,'SUPPLIER DATA BASE'!$A$2:$H$936,5,0),""))</f>
        <v/>
      </c>
      <c r="F1936" s="72"/>
      <c r="G1936" s="73"/>
      <c r="H1936" s="74"/>
      <c r="I1936" s="75"/>
      <c r="J1936" s="70"/>
      <c r="K1936" s="70"/>
      <c r="L1936" s="73"/>
      <c r="M1936" s="70" t="str">
        <f t="shared" si="3"/>
        <v/>
      </c>
      <c r="N1936" s="70" t="str">
        <f>IF($A$3=" "," ", IFERROR( VLOOKUP($A1936,'SUPPLIER DATA BASE'!$A$2:$O$936,11,0),""))</f>
        <v/>
      </c>
      <c r="O1936" s="70" t="str">
        <f>IF($A$3=" "," ", IFERROR( VLOOKUP($A1936,'SUPPLIER DATA BASE'!$A$2:$O$936,12,0),""))</f>
        <v/>
      </c>
      <c r="P1936" s="70" t="str">
        <f>IF($A$3=" "," ", IFERROR( VLOOKUP($A1936,'SUPPLIER DATA BASE'!$A$2:$O$936,13,0),""))</f>
        <v/>
      </c>
      <c r="Q1936" s="77"/>
      <c r="R1936" s="73"/>
      <c r="S1936" s="77"/>
      <c r="T1936" s="70"/>
      <c r="U1936" s="78"/>
      <c r="V1936" s="70" t="str">
        <f t="shared" si="6"/>
        <v/>
      </c>
      <c r="W1936" s="23"/>
      <c r="X1936" s="23"/>
    </row>
    <row r="1937">
      <c r="A1937" s="70"/>
      <c r="B1937" s="70" t="str">
        <f>IF($A$3=" "," ", IFERROR( VLOOKUP($A1937,'SUPPLIER DATA BASE'!$A$2:$M$936,3,0),""))</f>
        <v/>
      </c>
      <c r="C1937" s="70" t="str">
        <f>IF($A$3=" "," ", IFERROR( VLOOKUP($A1937,'SUPPLIER DATA BASE'!$A$2:$F$936,6,0),""))</f>
        <v/>
      </c>
      <c r="D1937" s="70" t="str">
        <f>IF($A$3=" "," ", IFERROR( VLOOKUP($A1937,'SUPPLIER DATA BASE'!$A$2:$G$936,4,0),""))</f>
        <v/>
      </c>
      <c r="E1937" s="71" t="str">
        <f>IF($A$3=" "," ", IFERROR( VLOOKUP($A1937,'SUPPLIER DATA BASE'!$A$2:$H$936,5,0),""))</f>
        <v/>
      </c>
      <c r="F1937" s="72"/>
      <c r="G1937" s="73"/>
      <c r="H1937" s="74"/>
      <c r="I1937" s="75"/>
      <c r="J1937" s="70"/>
      <c r="K1937" s="70"/>
      <c r="L1937" s="73"/>
      <c r="M1937" s="70" t="str">
        <f t="shared" si="3"/>
        <v/>
      </c>
      <c r="N1937" s="70" t="str">
        <f>IF($A$3=" "," ", IFERROR( VLOOKUP($A1937,'SUPPLIER DATA BASE'!$A$2:$O$936,11,0),""))</f>
        <v/>
      </c>
      <c r="O1937" s="70" t="str">
        <f>IF($A$3=" "," ", IFERROR( VLOOKUP($A1937,'SUPPLIER DATA BASE'!$A$2:$O$936,12,0),""))</f>
        <v/>
      </c>
      <c r="P1937" s="70" t="str">
        <f>IF($A$3=" "," ", IFERROR( VLOOKUP($A1937,'SUPPLIER DATA BASE'!$A$2:$O$936,13,0),""))</f>
        <v/>
      </c>
      <c r="Q1937" s="77"/>
      <c r="R1937" s="73"/>
      <c r="S1937" s="77"/>
      <c r="T1937" s="70"/>
      <c r="U1937" s="78"/>
      <c r="V1937" s="70" t="str">
        <f t="shared" si="6"/>
        <v/>
      </c>
      <c r="W1937" s="23"/>
      <c r="X1937" s="23"/>
    </row>
    <row r="1938">
      <c r="A1938" s="70"/>
      <c r="B1938" s="70" t="str">
        <f>IF($A$3=" "," ", IFERROR( VLOOKUP($A1938,'SUPPLIER DATA BASE'!$A$2:$M$936,3,0),""))</f>
        <v/>
      </c>
      <c r="C1938" s="70" t="str">
        <f>IF($A$3=" "," ", IFERROR( VLOOKUP($A1938,'SUPPLIER DATA BASE'!$A$2:$F$936,6,0),""))</f>
        <v/>
      </c>
      <c r="D1938" s="70" t="str">
        <f>IF($A$3=" "," ", IFERROR( VLOOKUP($A1938,'SUPPLIER DATA BASE'!$A$2:$G$936,4,0),""))</f>
        <v/>
      </c>
      <c r="E1938" s="71" t="str">
        <f>IF($A$3=" "," ", IFERROR( VLOOKUP($A1938,'SUPPLIER DATA BASE'!$A$2:$H$936,5,0),""))</f>
        <v/>
      </c>
      <c r="F1938" s="72"/>
      <c r="G1938" s="73"/>
      <c r="H1938" s="74"/>
      <c r="I1938" s="75"/>
      <c r="J1938" s="70"/>
      <c r="K1938" s="70"/>
      <c r="L1938" s="73"/>
      <c r="M1938" s="70" t="str">
        <f t="shared" si="3"/>
        <v/>
      </c>
      <c r="N1938" s="70" t="str">
        <f>IF($A$3=" "," ", IFERROR( VLOOKUP($A1938,'SUPPLIER DATA BASE'!$A$2:$O$936,11,0),""))</f>
        <v/>
      </c>
      <c r="O1938" s="70" t="str">
        <f>IF($A$3=" "," ", IFERROR( VLOOKUP($A1938,'SUPPLIER DATA BASE'!$A$2:$O$936,12,0),""))</f>
        <v/>
      </c>
      <c r="P1938" s="70" t="str">
        <f>IF($A$3=" "," ", IFERROR( VLOOKUP($A1938,'SUPPLIER DATA BASE'!$A$2:$O$936,13,0),""))</f>
        <v/>
      </c>
      <c r="Q1938" s="77"/>
      <c r="R1938" s="73"/>
      <c r="S1938" s="77"/>
      <c r="T1938" s="70"/>
      <c r="U1938" s="78"/>
      <c r="V1938" s="70" t="str">
        <f t="shared" si="6"/>
        <v/>
      </c>
      <c r="W1938" s="23"/>
      <c r="X1938" s="23"/>
    </row>
    <row r="1939">
      <c r="A1939" s="70"/>
      <c r="B1939" s="70" t="str">
        <f>IF($A$3=" "," ", IFERROR( VLOOKUP($A1939,'SUPPLIER DATA BASE'!$A$2:$M$936,3,0),""))</f>
        <v/>
      </c>
      <c r="C1939" s="70" t="str">
        <f>IF($A$3=" "," ", IFERROR( VLOOKUP($A1939,'SUPPLIER DATA BASE'!$A$2:$F$936,6,0),""))</f>
        <v/>
      </c>
      <c r="D1939" s="70" t="str">
        <f>IF($A$3=" "," ", IFERROR( VLOOKUP($A1939,'SUPPLIER DATA BASE'!$A$2:$G$936,4,0),""))</f>
        <v/>
      </c>
      <c r="E1939" s="71" t="str">
        <f>IF($A$3=" "," ", IFERROR( VLOOKUP($A1939,'SUPPLIER DATA BASE'!$A$2:$H$936,5,0),""))</f>
        <v/>
      </c>
      <c r="F1939" s="72"/>
      <c r="G1939" s="73"/>
      <c r="H1939" s="74"/>
      <c r="I1939" s="75"/>
      <c r="J1939" s="70"/>
      <c r="K1939" s="70"/>
      <c r="L1939" s="73"/>
      <c r="M1939" s="70" t="str">
        <f t="shared" si="3"/>
        <v/>
      </c>
      <c r="N1939" s="70" t="str">
        <f>IF($A$3=" "," ", IFERROR( VLOOKUP($A1939,'SUPPLIER DATA BASE'!$A$2:$O$936,11,0),""))</f>
        <v/>
      </c>
      <c r="O1939" s="70" t="str">
        <f>IF($A$3=" "," ", IFERROR( VLOOKUP($A1939,'SUPPLIER DATA BASE'!$A$2:$O$936,12,0),""))</f>
        <v/>
      </c>
      <c r="P1939" s="70" t="str">
        <f>IF($A$3=" "," ", IFERROR( VLOOKUP($A1939,'SUPPLIER DATA BASE'!$A$2:$O$936,13,0),""))</f>
        <v/>
      </c>
      <c r="Q1939" s="77"/>
      <c r="R1939" s="73"/>
      <c r="S1939" s="77"/>
      <c r="T1939" s="70"/>
      <c r="U1939" s="78"/>
      <c r="V1939" s="70" t="str">
        <f t="shared" si="6"/>
        <v/>
      </c>
      <c r="W1939" s="23"/>
      <c r="X1939" s="23"/>
    </row>
    <row r="1940">
      <c r="A1940" s="70"/>
      <c r="B1940" s="70" t="str">
        <f>IF($A$3=" "," ", IFERROR( VLOOKUP($A1940,'SUPPLIER DATA BASE'!$A$2:$M$936,3,0),""))</f>
        <v/>
      </c>
      <c r="C1940" s="70" t="str">
        <f>IF($A$3=" "," ", IFERROR( VLOOKUP($A1940,'SUPPLIER DATA BASE'!$A$2:$F$936,6,0),""))</f>
        <v/>
      </c>
      <c r="D1940" s="70" t="str">
        <f>IF($A$3=" "," ", IFERROR( VLOOKUP($A1940,'SUPPLIER DATA BASE'!$A$2:$G$936,4,0),""))</f>
        <v/>
      </c>
      <c r="E1940" s="71" t="str">
        <f>IF($A$3=" "," ", IFERROR( VLOOKUP($A1940,'SUPPLIER DATA BASE'!$A$2:$H$936,5,0),""))</f>
        <v/>
      </c>
      <c r="F1940" s="72"/>
      <c r="G1940" s="73"/>
      <c r="H1940" s="74"/>
      <c r="I1940" s="75"/>
      <c r="J1940" s="70"/>
      <c r="K1940" s="70"/>
      <c r="L1940" s="73"/>
      <c r="M1940" s="70" t="str">
        <f t="shared" si="3"/>
        <v/>
      </c>
      <c r="N1940" s="70" t="str">
        <f>IF($A$3=" "," ", IFERROR( VLOOKUP($A1940,'SUPPLIER DATA BASE'!$A$2:$O$936,11,0),""))</f>
        <v/>
      </c>
      <c r="O1940" s="70" t="str">
        <f>IF($A$3=" "," ", IFERROR( VLOOKUP($A1940,'SUPPLIER DATA BASE'!$A$2:$O$936,12,0),""))</f>
        <v/>
      </c>
      <c r="P1940" s="70" t="str">
        <f>IF($A$3=" "," ", IFERROR( VLOOKUP($A1940,'SUPPLIER DATA BASE'!$A$2:$O$936,13,0),""))</f>
        <v/>
      </c>
      <c r="Q1940" s="77"/>
      <c r="R1940" s="73"/>
      <c r="S1940" s="77"/>
      <c r="T1940" s="70"/>
      <c r="U1940" s="78"/>
      <c r="V1940" s="70" t="str">
        <f t="shared" si="6"/>
        <v/>
      </c>
      <c r="W1940" s="23"/>
      <c r="X1940" s="23"/>
    </row>
    <row r="1941">
      <c r="A1941" s="70"/>
      <c r="B1941" s="70" t="str">
        <f>IF($A$3=" "," ", IFERROR( VLOOKUP($A1941,'SUPPLIER DATA BASE'!$A$2:$M$936,3,0),""))</f>
        <v/>
      </c>
      <c r="C1941" s="70" t="str">
        <f>IF($A$3=" "," ", IFERROR( VLOOKUP($A1941,'SUPPLIER DATA BASE'!$A$2:$F$936,6,0),""))</f>
        <v/>
      </c>
      <c r="D1941" s="70" t="str">
        <f>IF($A$3=" "," ", IFERROR( VLOOKUP($A1941,'SUPPLIER DATA BASE'!$A$2:$G$936,4,0),""))</f>
        <v/>
      </c>
      <c r="E1941" s="71" t="str">
        <f>IF($A$3=" "," ", IFERROR( VLOOKUP($A1941,'SUPPLIER DATA BASE'!$A$2:$H$936,5,0),""))</f>
        <v/>
      </c>
      <c r="F1941" s="72"/>
      <c r="G1941" s="73"/>
      <c r="H1941" s="74"/>
      <c r="I1941" s="75"/>
      <c r="J1941" s="70"/>
      <c r="K1941" s="70"/>
      <c r="L1941" s="73"/>
      <c r="M1941" s="70" t="str">
        <f t="shared" si="3"/>
        <v/>
      </c>
      <c r="N1941" s="70" t="str">
        <f>IF($A$3=" "," ", IFERROR( VLOOKUP($A1941,'SUPPLIER DATA BASE'!$A$2:$O$936,11,0),""))</f>
        <v/>
      </c>
      <c r="O1941" s="70" t="str">
        <f>IF($A$3=" "," ", IFERROR( VLOOKUP($A1941,'SUPPLIER DATA BASE'!$A$2:$O$936,12,0),""))</f>
        <v/>
      </c>
      <c r="P1941" s="70" t="str">
        <f>IF($A$3=" "," ", IFERROR( VLOOKUP($A1941,'SUPPLIER DATA BASE'!$A$2:$O$936,13,0),""))</f>
        <v/>
      </c>
      <c r="Q1941" s="77"/>
      <c r="R1941" s="73"/>
      <c r="S1941" s="77"/>
      <c r="T1941" s="70"/>
      <c r="U1941" s="78"/>
      <c r="V1941" s="70" t="str">
        <f t="shared" si="6"/>
        <v/>
      </c>
      <c r="W1941" s="23"/>
      <c r="X1941" s="23"/>
    </row>
    <row r="1942">
      <c r="A1942" s="70"/>
      <c r="B1942" s="70" t="str">
        <f>IF($A$3=" "," ", IFERROR( VLOOKUP($A1942,'SUPPLIER DATA BASE'!$A$2:$M$936,3,0),""))</f>
        <v/>
      </c>
      <c r="C1942" s="70" t="str">
        <f>IF($A$3=" "," ", IFERROR( VLOOKUP($A1942,'SUPPLIER DATA BASE'!$A$2:$F$936,6,0),""))</f>
        <v/>
      </c>
      <c r="D1942" s="70" t="str">
        <f>IF($A$3=" "," ", IFERROR( VLOOKUP($A1942,'SUPPLIER DATA BASE'!$A$2:$G$936,4,0),""))</f>
        <v/>
      </c>
      <c r="E1942" s="71" t="str">
        <f>IF($A$3=" "," ", IFERROR( VLOOKUP($A1942,'SUPPLIER DATA BASE'!$A$2:$H$936,5,0),""))</f>
        <v/>
      </c>
      <c r="F1942" s="72"/>
      <c r="G1942" s="73"/>
      <c r="H1942" s="74"/>
      <c r="I1942" s="75"/>
      <c r="J1942" s="70"/>
      <c r="K1942" s="70"/>
      <c r="L1942" s="73"/>
      <c r="M1942" s="70" t="str">
        <f t="shared" si="3"/>
        <v/>
      </c>
      <c r="N1942" s="70" t="str">
        <f>IF($A$3=" "," ", IFERROR( VLOOKUP($A1942,'SUPPLIER DATA BASE'!$A$2:$O$936,11,0),""))</f>
        <v/>
      </c>
      <c r="O1942" s="70" t="str">
        <f>IF($A$3=" "," ", IFERROR( VLOOKUP($A1942,'SUPPLIER DATA BASE'!$A$2:$O$936,12,0),""))</f>
        <v/>
      </c>
      <c r="P1942" s="70" t="str">
        <f>IF($A$3=" "," ", IFERROR( VLOOKUP($A1942,'SUPPLIER DATA BASE'!$A$2:$O$936,13,0),""))</f>
        <v/>
      </c>
      <c r="Q1942" s="77"/>
      <c r="R1942" s="73"/>
      <c r="S1942" s="77"/>
      <c r="T1942" s="70"/>
      <c r="U1942" s="78"/>
      <c r="V1942" s="70" t="str">
        <f t="shared" si="6"/>
        <v/>
      </c>
      <c r="W1942" s="23"/>
      <c r="X1942" s="23"/>
    </row>
    <row r="1943">
      <c r="A1943" s="70"/>
      <c r="B1943" s="70" t="str">
        <f>IF($A$3=" "," ", IFERROR( VLOOKUP($A1943,'SUPPLIER DATA BASE'!$A$2:$M$936,3,0),""))</f>
        <v/>
      </c>
      <c r="C1943" s="70" t="str">
        <f>IF($A$3=" "," ", IFERROR( VLOOKUP($A1943,'SUPPLIER DATA BASE'!$A$2:$F$936,6,0),""))</f>
        <v/>
      </c>
      <c r="D1943" s="70" t="str">
        <f>IF($A$3=" "," ", IFERROR( VLOOKUP($A1943,'SUPPLIER DATA BASE'!$A$2:$G$936,4,0),""))</f>
        <v/>
      </c>
      <c r="E1943" s="71" t="str">
        <f>IF($A$3=" "," ", IFERROR( VLOOKUP($A1943,'SUPPLIER DATA BASE'!$A$2:$H$936,5,0),""))</f>
        <v/>
      </c>
      <c r="F1943" s="72"/>
      <c r="G1943" s="73"/>
      <c r="H1943" s="74"/>
      <c r="I1943" s="75"/>
      <c r="J1943" s="70"/>
      <c r="K1943" s="70"/>
      <c r="L1943" s="73"/>
      <c r="M1943" s="70" t="str">
        <f t="shared" si="3"/>
        <v/>
      </c>
      <c r="N1943" s="70" t="str">
        <f>IF($A$3=" "," ", IFERROR( VLOOKUP($A1943,'SUPPLIER DATA BASE'!$A$2:$O$936,11,0),""))</f>
        <v/>
      </c>
      <c r="O1943" s="70" t="str">
        <f>IF($A$3=" "," ", IFERROR( VLOOKUP($A1943,'SUPPLIER DATA BASE'!$A$2:$O$936,12,0),""))</f>
        <v/>
      </c>
      <c r="P1943" s="70" t="str">
        <f>IF($A$3=" "," ", IFERROR( VLOOKUP($A1943,'SUPPLIER DATA BASE'!$A$2:$O$936,13,0),""))</f>
        <v/>
      </c>
      <c r="Q1943" s="77"/>
      <c r="R1943" s="73"/>
      <c r="S1943" s="77"/>
      <c r="T1943" s="70"/>
      <c r="U1943" s="78"/>
      <c r="V1943" s="70" t="str">
        <f t="shared" si="6"/>
        <v/>
      </c>
      <c r="W1943" s="23"/>
      <c r="X1943" s="23"/>
    </row>
    <row r="1944">
      <c r="A1944" s="70"/>
      <c r="B1944" s="70" t="str">
        <f>IF($A$3=" "," ", IFERROR( VLOOKUP($A1944,'SUPPLIER DATA BASE'!$A$2:$M$936,3,0),""))</f>
        <v/>
      </c>
      <c r="C1944" s="70" t="str">
        <f>IF($A$3=" "," ", IFERROR( VLOOKUP($A1944,'SUPPLIER DATA BASE'!$A$2:$F$936,6,0),""))</f>
        <v/>
      </c>
      <c r="D1944" s="70" t="str">
        <f>IF($A$3=" "," ", IFERROR( VLOOKUP($A1944,'SUPPLIER DATA BASE'!$A$2:$G$936,4,0),""))</f>
        <v/>
      </c>
      <c r="E1944" s="71" t="str">
        <f>IF($A$3=" "," ", IFERROR( VLOOKUP($A1944,'SUPPLIER DATA BASE'!$A$2:$H$936,5,0),""))</f>
        <v/>
      </c>
      <c r="F1944" s="72"/>
      <c r="G1944" s="73"/>
      <c r="H1944" s="74"/>
      <c r="I1944" s="75"/>
      <c r="J1944" s="70"/>
      <c r="K1944" s="70"/>
      <c r="L1944" s="73"/>
      <c r="M1944" s="70" t="str">
        <f t="shared" si="3"/>
        <v/>
      </c>
      <c r="N1944" s="70" t="str">
        <f>IF($A$3=" "," ", IFERROR( VLOOKUP($A1944,'SUPPLIER DATA BASE'!$A$2:$O$936,11,0),""))</f>
        <v/>
      </c>
      <c r="O1944" s="70" t="str">
        <f>IF($A$3=" "," ", IFERROR( VLOOKUP($A1944,'SUPPLIER DATA BASE'!$A$2:$O$936,12,0),""))</f>
        <v/>
      </c>
      <c r="P1944" s="70" t="str">
        <f>IF($A$3=" "," ", IFERROR( VLOOKUP($A1944,'SUPPLIER DATA BASE'!$A$2:$O$936,13,0),""))</f>
        <v/>
      </c>
      <c r="Q1944" s="77"/>
      <c r="R1944" s="73"/>
      <c r="S1944" s="77"/>
      <c r="T1944" s="70"/>
      <c r="U1944" s="78"/>
      <c r="V1944" s="70" t="str">
        <f t="shared" si="6"/>
        <v/>
      </c>
      <c r="W1944" s="23"/>
      <c r="X1944" s="23"/>
    </row>
    <row r="1945">
      <c r="A1945" s="70"/>
      <c r="B1945" s="70" t="str">
        <f>IF($A$3=" "," ", IFERROR( VLOOKUP($A1945,'SUPPLIER DATA BASE'!$A$2:$M$936,3,0),""))</f>
        <v/>
      </c>
      <c r="C1945" s="70" t="str">
        <f>IF($A$3=" "," ", IFERROR( VLOOKUP($A1945,'SUPPLIER DATA BASE'!$A$2:$F$936,6,0),""))</f>
        <v/>
      </c>
      <c r="D1945" s="70" t="str">
        <f>IF($A$3=" "," ", IFERROR( VLOOKUP($A1945,'SUPPLIER DATA BASE'!$A$2:$G$936,4,0),""))</f>
        <v/>
      </c>
      <c r="E1945" s="71" t="str">
        <f>IF($A$3=" "," ", IFERROR( VLOOKUP($A1945,'SUPPLIER DATA BASE'!$A$2:$H$936,5,0),""))</f>
        <v/>
      </c>
      <c r="F1945" s="72"/>
      <c r="G1945" s="73"/>
      <c r="H1945" s="74"/>
      <c r="I1945" s="75"/>
      <c r="J1945" s="70"/>
      <c r="K1945" s="70"/>
      <c r="L1945" s="73"/>
      <c r="M1945" s="70" t="str">
        <f t="shared" si="3"/>
        <v/>
      </c>
      <c r="N1945" s="70" t="str">
        <f>IF($A$3=" "," ", IFERROR( VLOOKUP($A1945,'SUPPLIER DATA BASE'!$A$2:$O$936,11,0),""))</f>
        <v/>
      </c>
      <c r="O1945" s="70" t="str">
        <f>IF($A$3=" "," ", IFERROR( VLOOKUP($A1945,'SUPPLIER DATA BASE'!$A$2:$O$936,12,0),""))</f>
        <v/>
      </c>
      <c r="P1945" s="70" t="str">
        <f>IF($A$3=" "," ", IFERROR( VLOOKUP($A1945,'SUPPLIER DATA BASE'!$A$2:$O$936,13,0),""))</f>
        <v/>
      </c>
      <c r="Q1945" s="77"/>
      <c r="R1945" s="73"/>
      <c r="S1945" s="77"/>
      <c r="T1945" s="70"/>
      <c r="U1945" s="78"/>
      <c r="V1945" s="70" t="str">
        <f t="shared" si="6"/>
        <v/>
      </c>
      <c r="W1945" s="23"/>
      <c r="X1945" s="23"/>
    </row>
    <row r="1946">
      <c r="A1946" s="70"/>
      <c r="B1946" s="70" t="str">
        <f>IF($A$3=" "," ", IFERROR( VLOOKUP($A1946,'SUPPLIER DATA BASE'!$A$2:$M$936,3,0),""))</f>
        <v/>
      </c>
      <c r="C1946" s="70" t="str">
        <f>IF($A$3=" "," ", IFERROR( VLOOKUP($A1946,'SUPPLIER DATA BASE'!$A$2:$F$936,6,0),""))</f>
        <v/>
      </c>
      <c r="D1946" s="70" t="str">
        <f>IF($A$3=" "," ", IFERROR( VLOOKUP($A1946,'SUPPLIER DATA BASE'!$A$2:$G$936,4,0),""))</f>
        <v/>
      </c>
      <c r="E1946" s="71" t="str">
        <f>IF($A$3=" "," ", IFERROR( VLOOKUP($A1946,'SUPPLIER DATA BASE'!$A$2:$H$936,5,0),""))</f>
        <v/>
      </c>
      <c r="F1946" s="72"/>
      <c r="G1946" s="73"/>
      <c r="H1946" s="74"/>
      <c r="I1946" s="75"/>
      <c r="J1946" s="70"/>
      <c r="K1946" s="70"/>
      <c r="L1946" s="73"/>
      <c r="M1946" s="70" t="str">
        <f t="shared" si="3"/>
        <v/>
      </c>
      <c r="N1946" s="70" t="str">
        <f>IF($A$3=" "," ", IFERROR( VLOOKUP($A1946,'SUPPLIER DATA BASE'!$A$2:$O$936,11,0),""))</f>
        <v/>
      </c>
      <c r="O1946" s="70" t="str">
        <f>IF($A$3=" "," ", IFERROR( VLOOKUP($A1946,'SUPPLIER DATA BASE'!$A$2:$O$936,12,0),""))</f>
        <v/>
      </c>
      <c r="P1946" s="70" t="str">
        <f>IF($A$3=" "," ", IFERROR( VLOOKUP($A1946,'SUPPLIER DATA BASE'!$A$2:$O$936,13,0),""))</f>
        <v/>
      </c>
      <c r="Q1946" s="77"/>
      <c r="R1946" s="73"/>
      <c r="S1946" s="77"/>
      <c r="T1946" s="70"/>
      <c r="U1946" s="78"/>
      <c r="V1946" s="70" t="str">
        <f t="shared" si="6"/>
        <v/>
      </c>
      <c r="W1946" s="23"/>
      <c r="X1946" s="23"/>
    </row>
    <row r="1947">
      <c r="A1947" s="70"/>
      <c r="B1947" s="70" t="str">
        <f>IF($A$3=" "," ", IFERROR( VLOOKUP($A1947,'SUPPLIER DATA BASE'!$A$2:$M$936,3,0),""))</f>
        <v/>
      </c>
      <c r="C1947" s="70" t="str">
        <f>IF($A$3=" "," ", IFERROR( VLOOKUP($A1947,'SUPPLIER DATA BASE'!$A$2:$F$936,6,0),""))</f>
        <v/>
      </c>
      <c r="D1947" s="70" t="str">
        <f>IF($A$3=" "," ", IFERROR( VLOOKUP($A1947,'SUPPLIER DATA BASE'!$A$2:$G$936,4,0),""))</f>
        <v/>
      </c>
      <c r="E1947" s="71" t="str">
        <f>IF($A$3=" "," ", IFERROR( VLOOKUP($A1947,'SUPPLIER DATA BASE'!$A$2:$H$936,5,0),""))</f>
        <v/>
      </c>
      <c r="F1947" s="72"/>
      <c r="G1947" s="73"/>
      <c r="H1947" s="74"/>
      <c r="I1947" s="75"/>
      <c r="J1947" s="70"/>
      <c r="K1947" s="70"/>
      <c r="L1947" s="73"/>
      <c r="M1947" s="70" t="str">
        <f t="shared" si="3"/>
        <v/>
      </c>
      <c r="N1947" s="70" t="str">
        <f>IF($A$3=" "," ", IFERROR( VLOOKUP($A1947,'SUPPLIER DATA BASE'!$A$2:$O$936,11,0),""))</f>
        <v/>
      </c>
      <c r="O1947" s="70" t="str">
        <f>IF($A$3=" "," ", IFERROR( VLOOKUP($A1947,'SUPPLIER DATA BASE'!$A$2:$O$936,12,0),""))</f>
        <v/>
      </c>
      <c r="P1947" s="70" t="str">
        <f>IF($A$3=" "," ", IFERROR( VLOOKUP($A1947,'SUPPLIER DATA BASE'!$A$2:$O$936,13,0),""))</f>
        <v/>
      </c>
      <c r="Q1947" s="77"/>
      <c r="R1947" s="73"/>
      <c r="S1947" s="77"/>
      <c r="T1947" s="70"/>
      <c r="U1947" s="78"/>
      <c r="V1947" s="70" t="str">
        <f t="shared" si="6"/>
        <v/>
      </c>
      <c r="W1947" s="23"/>
      <c r="X1947" s="23"/>
    </row>
    <row r="1948">
      <c r="A1948" s="70"/>
      <c r="B1948" s="70" t="str">
        <f>IF($A$3=" "," ", IFERROR( VLOOKUP($A1948,'SUPPLIER DATA BASE'!$A$2:$M$936,3,0),""))</f>
        <v/>
      </c>
      <c r="C1948" s="70" t="str">
        <f>IF($A$3=" "," ", IFERROR( VLOOKUP($A1948,'SUPPLIER DATA BASE'!$A$2:$F$936,6,0),""))</f>
        <v/>
      </c>
      <c r="D1948" s="70" t="str">
        <f>IF($A$3=" "," ", IFERROR( VLOOKUP($A1948,'SUPPLIER DATA BASE'!$A$2:$G$936,4,0),""))</f>
        <v/>
      </c>
      <c r="E1948" s="71" t="str">
        <f>IF($A$3=" "," ", IFERROR( VLOOKUP($A1948,'SUPPLIER DATA BASE'!$A$2:$H$936,5,0),""))</f>
        <v/>
      </c>
      <c r="F1948" s="72"/>
      <c r="G1948" s="73"/>
      <c r="H1948" s="74"/>
      <c r="I1948" s="75"/>
      <c r="J1948" s="70"/>
      <c r="K1948" s="70"/>
      <c r="L1948" s="73"/>
      <c r="M1948" s="70" t="str">
        <f t="shared" si="3"/>
        <v/>
      </c>
      <c r="N1948" s="70" t="str">
        <f>IF($A$3=" "," ", IFERROR( VLOOKUP($A1948,'SUPPLIER DATA BASE'!$A$2:$O$936,11,0),""))</f>
        <v/>
      </c>
      <c r="O1948" s="70" t="str">
        <f>IF($A$3=" "," ", IFERROR( VLOOKUP($A1948,'SUPPLIER DATA BASE'!$A$2:$O$936,12,0),""))</f>
        <v/>
      </c>
      <c r="P1948" s="70" t="str">
        <f>IF($A$3=" "," ", IFERROR( VLOOKUP($A1948,'SUPPLIER DATA BASE'!$A$2:$O$936,13,0),""))</f>
        <v/>
      </c>
      <c r="Q1948" s="77"/>
      <c r="R1948" s="73"/>
      <c r="S1948" s="77"/>
      <c r="T1948" s="70"/>
      <c r="U1948" s="78"/>
      <c r="V1948" s="70" t="str">
        <f t="shared" si="6"/>
        <v/>
      </c>
      <c r="W1948" s="23"/>
      <c r="X1948" s="23"/>
    </row>
    <row r="1949">
      <c r="A1949" s="70"/>
      <c r="B1949" s="70" t="str">
        <f>IF($A$3=" "," ", IFERROR( VLOOKUP($A1949,'SUPPLIER DATA BASE'!$A$2:$M$936,3,0),""))</f>
        <v/>
      </c>
      <c r="C1949" s="70" t="str">
        <f>IF($A$3=" "," ", IFERROR( VLOOKUP($A1949,'SUPPLIER DATA BASE'!$A$2:$F$936,6,0),""))</f>
        <v/>
      </c>
      <c r="D1949" s="70" t="str">
        <f>IF($A$3=" "," ", IFERROR( VLOOKUP($A1949,'SUPPLIER DATA BASE'!$A$2:$G$936,4,0),""))</f>
        <v/>
      </c>
      <c r="E1949" s="71" t="str">
        <f>IF($A$3=" "," ", IFERROR( VLOOKUP($A1949,'SUPPLIER DATA BASE'!$A$2:$H$936,5,0),""))</f>
        <v/>
      </c>
      <c r="F1949" s="72"/>
      <c r="G1949" s="73"/>
      <c r="H1949" s="74"/>
      <c r="I1949" s="75"/>
      <c r="J1949" s="70"/>
      <c r="K1949" s="70"/>
      <c r="L1949" s="73"/>
      <c r="M1949" s="70" t="str">
        <f t="shared" si="3"/>
        <v/>
      </c>
      <c r="N1949" s="70" t="str">
        <f>IF($A$3=" "," ", IFERROR( VLOOKUP($A1949,'SUPPLIER DATA BASE'!$A$2:$O$936,11,0),""))</f>
        <v/>
      </c>
      <c r="O1949" s="70" t="str">
        <f>IF($A$3=" "," ", IFERROR( VLOOKUP($A1949,'SUPPLIER DATA BASE'!$A$2:$O$936,12,0),""))</f>
        <v/>
      </c>
      <c r="P1949" s="70" t="str">
        <f>IF($A$3=" "," ", IFERROR( VLOOKUP($A1949,'SUPPLIER DATA BASE'!$A$2:$O$936,13,0),""))</f>
        <v/>
      </c>
      <c r="Q1949" s="77"/>
      <c r="R1949" s="73"/>
      <c r="S1949" s="77"/>
      <c r="T1949" s="70"/>
      <c r="U1949" s="78"/>
      <c r="V1949" s="70" t="str">
        <f t="shared" si="6"/>
        <v/>
      </c>
      <c r="W1949" s="23"/>
      <c r="X1949" s="23"/>
    </row>
    <row r="1950">
      <c r="A1950" s="70"/>
      <c r="B1950" s="70" t="str">
        <f>IF($A$3=" "," ", IFERROR( VLOOKUP($A1950,'SUPPLIER DATA BASE'!$A$2:$M$936,3,0),""))</f>
        <v/>
      </c>
      <c r="C1950" s="70" t="str">
        <f>IF($A$3=" "," ", IFERROR( VLOOKUP($A1950,'SUPPLIER DATA BASE'!$A$2:$F$936,6,0),""))</f>
        <v/>
      </c>
      <c r="D1950" s="70" t="str">
        <f>IF($A$3=" "," ", IFERROR( VLOOKUP($A1950,'SUPPLIER DATA BASE'!$A$2:$G$936,4,0),""))</f>
        <v/>
      </c>
      <c r="E1950" s="71" t="str">
        <f>IF($A$3=" "," ", IFERROR( VLOOKUP($A1950,'SUPPLIER DATA BASE'!$A$2:$H$936,5,0),""))</f>
        <v/>
      </c>
      <c r="F1950" s="72"/>
      <c r="G1950" s="73"/>
      <c r="H1950" s="74"/>
      <c r="I1950" s="75"/>
      <c r="J1950" s="70"/>
      <c r="K1950" s="70"/>
      <c r="L1950" s="73"/>
      <c r="M1950" s="70" t="str">
        <f t="shared" si="3"/>
        <v/>
      </c>
      <c r="N1950" s="70" t="str">
        <f>IF($A$3=" "," ", IFERROR( VLOOKUP($A1950,'SUPPLIER DATA BASE'!$A$2:$O$936,11,0),""))</f>
        <v/>
      </c>
      <c r="O1950" s="70" t="str">
        <f>IF($A$3=" "," ", IFERROR( VLOOKUP($A1950,'SUPPLIER DATA BASE'!$A$2:$O$936,12,0),""))</f>
        <v/>
      </c>
      <c r="P1950" s="70" t="str">
        <f>IF($A$3=" "," ", IFERROR( VLOOKUP($A1950,'SUPPLIER DATA BASE'!$A$2:$O$936,13,0),""))</f>
        <v/>
      </c>
      <c r="Q1950" s="77"/>
      <c r="R1950" s="73"/>
      <c r="S1950" s="77"/>
      <c r="T1950" s="70"/>
      <c r="U1950" s="78"/>
      <c r="V1950" s="70" t="str">
        <f t="shared" si="6"/>
        <v/>
      </c>
      <c r="W1950" s="23"/>
      <c r="X1950" s="23"/>
    </row>
    <row r="1951">
      <c r="A1951" s="70"/>
      <c r="B1951" s="70" t="str">
        <f>IF($A$3=" "," ", IFERROR( VLOOKUP($A1951,'SUPPLIER DATA BASE'!$A$2:$M$936,3,0),""))</f>
        <v/>
      </c>
      <c r="C1951" s="70" t="str">
        <f>IF($A$3=" "," ", IFERROR( VLOOKUP($A1951,'SUPPLIER DATA BASE'!$A$2:$F$936,6,0),""))</f>
        <v/>
      </c>
      <c r="D1951" s="70" t="str">
        <f>IF($A$3=" "," ", IFERROR( VLOOKUP($A1951,'SUPPLIER DATA BASE'!$A$2:$G$936,4,0),""))</f>
        <v/>
      </c>
      <c r="E1951" s="71" t="str">
        <f>IF($A$3=" "," ", IFERROR( VLOOKUP($A1951,'SUPPLIER DATA BASE'!$A$2:$H$936,5,0),""))</f>
        <v/>
      </c>
      <c r="F1951" s="72"/>
      <c r="G1951" s="73"/>
      <c r="H1951" s="74"/>
      <c r="I1951" s="75"/>
      <c r="J1951" s="70"/>
      <c r="K1951" s="70"/>
      <c r="L1951" s="73"/>
      <c r="M1951" s="70" t="str">
        <f t="shared" si="3"/>
        <v/>
      </c>
      <c r="N1951" s="70" t="str">
        <f>IF($A$3=" "," ", IFERROR( VLOOKUP($A1951,'SUPPLIER DATA BASE'!$A$2:$O$936,11,0),""))</f>
        <v/>
      </c>
      <c r="O1951" s="70" t="str">
        <f>IF($A$3=" "," ", IFERROR( VLOOKUP($A1951,'SUPPLIER DATA BASE'!$A$2:$O$936,12,0),""))</f>
        <v/>
      </c>
      <c r="P1951" s="70" t="str">
        <f>IF($A$3=" "," ", IFERROR( VLOOKUP($A1951,'SUPPLIER DATA BASE'!$A$2:$O$936,13,0),""))</f>
        <v/>
      </c>
      <c r="Q1951" s="77"/>
      <c r="R1951" s="73"/>
      <c r="S1951" s="77"/>
      <c r="T1951" s="70"/>
      <c r="U1951" s="78"/>
      <c r="V1951" s="70" t="str">
        <f t="shared" si="6"/>
        <v/>
      </c>
      <c r="W1951" s="23"/>
      <c r="X1951" s="23"/>
    </row>
    <row r="1952">
      <c r="A1952" s="70"/>
      <c r="B1952" s="70" t="str">
        <f>IF($A$3=" "," ", IFERROR( VLOOKUP($A1952,'SUPPLIER DATA BASE'!$A$2:$M$936,3,0),""))</f>
        <v/>
      </c>
      <c r="C1952" s="70" t="str">
        <f>IF($A$3=" "," ", IFERROR( VLOOKUP($A1952,'SUPPLIER DATA BASE'!$A$2:$F$936,6,0),""))</f>
        <v/>
      </c>
      <c r="D1952" s="70" t="str">
        <f>IF($A$3=" "," ", IFERROR( VLOOKUP($A1952,'SUPPLIER DATA BASE'!$A$2:$G$936,4,0),""))</f>
        <v/>
      </c>
      <c r="E1952" s="71" t="str">
        <f>IF($A$3=" "," ", IFERROR( VLOOKUP($A1952,'SUPPLIER DATA BASE'!$A$2:$H$936,5,0),""))</f>
        <v/>
      </c>
      <c r="F1952" s="72"/>
      <c r="G1952" s="73"/>
      <c r="H1952" s="74"/>
      <c r="I1952" s="75"/>
      <c r="J1952" s="70"/>
      <c r="K1952" s="70"/>
      <c r="L1952" s="73"/>
      <c r="M1952" s="70" t="str">
        <f t="shared" si="3"/>
        <v/>
      </c>
      <c r="N1952" s="70" t="str">
        <f>IF($A$3=" "," ", IFERROR( VLOOKUP($A1952,'SUPPLIER DATA BASE'!$A$2:$O$936,11,0),""))</f>
        <v/>
      </c>
      <c r="O1952" s="70" t="str">
        <f>IF($A$3=" "," ", IFERROR( VLOOKUP($A1952,'SUPPLIER DATA BASE'!$A$2:$O$936,12,0),""))</f>
        <v/>
      </c>
      <c r="P1952" s="70" t="str">
        <f>IF($A$3=" "," ", IFERROR( VLOOKUP($A1952,'SUPPLIER DATA BASE'!$A$2:$O$936,13,0),""))</f>
        <v/>
      </c>
      <c r="Q1952" s="77"/>
      <c r="R1952" s="73"/>
      <c r="S1952" s="77"/>
      <c r="T1952" s="70"/>
      <c r="U1952" s="78"/>
      <c r="V1952" s="70" t="str">
        <f t="shared" si="6"/>
        <v/>
      </c>
      <c r="W1952" s="23"/>
      <c r="X1952" s="23"/>
    </row>
    <row r="1953">
      <c r="A1953" s="70"/>
      <c r="B1953" s="70" t="str">
        <f>IF($A$3=" "," ", IFERROR( VLOOKUP($A1953,'SUPPLIER DATA BASE'!$A$2:$M$936,3,0),""))</f>
        <v/>
      </c>
      <c r="C1953" s="70" t="str">
        <f>IF($A$3=" "," ", IFERROR( VLOOKUP($A1953,'SUPPLIER DATA BASE'!$A$2:$F$936,6,0),""))</f>
        <v/>
      </c>
      <c r="D1953" s="70" t="str">
        <f>IF($A$3=" "," ", IFERROR( VLOOKUP($A1953,'SUPPLIER DATA BASE'!$A$2:$G$936,4,0),""))</f>
        <v/>
      </c>
      <c r="E1953" s="71" t="str">
        <f>IF($A$3=" "," ", IFERROR( VLOOKUP($A1953,'SUPPLIER DATA BASE'!$A$2:$H$936,5,0),""))</f>
        <v/>
      </c>
      <c r="F1953" s="72"/>
      <c r="G1953" s="73"/>
      <c r="H1953" s="74"/>
      <c r="I1953" s="75"/>
      <c r="J1953" s="70"/>
      <c r="K1953" s="70"/>
      <c r="L1953" s="73"/>
      <c r="M1953" s="70" t="str">
        <f t="shared" si="3"/>
        <v/>
      </c>
      <c r="N1953" s="70" t="str">
        <f>IF($A$3=" "," ", IFERROR( VLOOKUP($A1953,'SUPPLIER DATA BASE'!$A$2:$O$936,11,0),""))</f>
        <v/>
      </c>
      <c r="O1953" s="70" t="str">
        <f>IF($A$3=" "," ", IFERROR( VLOOKUP($A1953,'SUPPLIER DATA BASE'!$A$2:$O$936,12,0),""))</f>
        <v/>
      </c>
      <c r="P1953" s="70" t="str">
        <f>IF($A$3=" "," ", IFERROR( VLOOKUP($A1953,'SUPPLIER DATA BASE'!$A$2:$O$936,13,0),""))</f>
        <v/>
      </c>
      <c r="Q1953" s="77"/>
      <c r="R1953" s="73"/>
      <c r="S1953" s="77"/>
      <c r="T1953" s="70"/>
      <c r="U1953" s="78"/>
      <c r="V1953" s="70" t="str">
        <f t="shared" si="6"/>
        <v/>
      </c>
      <c r="W1953" s="23"/>
      <c r="X1953" s="23"/>
    </row>
    <row r="1954">
      <c r="A1954" s="70"/>
      <c r="B1954" s="70" t="str">
        <f>IF($A$3=" "," ", IFERROR( VLOOKUP($A1954,'SUPPLIER DATA BASE'!$A$2:$M$936,3,0),""))</f>
        <v/>
      </c>
      <c r="C1954" s="70" t="str">
        <f>IF($A$3=" "," ", IFERROR( VLOOKUP($A1954,'SUPPLIER DATA BASE'!$A$2:$F$936,6,0),""))</f>
        <v/>
      </c>
      <c r="D1954" s="70" t="str">
        <f>IF($A$3=" "," ", IFERROR( VLOOKUP($A1954,'SUPPLIER DATA BASE'!$A$2:$G$936,4,0),""))</f>
        <v/>
      </c>
      <c r="E1954" s="71" t="str">
        <f>IF($A$3=" "," ", IFERROR( VLOOKUP($A1954,'SUPPLIER DATA BASE'!$A$2:$H$936,5,0),""))</f>
        <v/>
      </c>
      <c r="F1954" s="72"/>
      <c r="G1954" s="73"/>
      <c r="H1954" s="74"/>
      <c r="I1954" s="75"/>
      <c r="J1954" s="70"/>
      <c r="K1954" s="70"/>
      <c r="L1954" s="73"/>
      <c r="M1954" s="70" t="str">
        <f t="shared" si="3"/>
        <v/>
      </c>
      <c r="N1954" s="70" t="str">
        <f>IF($A$3=" "," ", IFERROR( VLOOKUP($A1954,'SUPPLIER DATA BASE'!$A$2:$O$936,11,0),""))</f>
        <v/>
      </c>
      <c r="O1954" s="70" t="str">
        <f>IF($A$3=" "," ", IFERROR( VLOOKUP($A1954,'SUPPLIER DATA BASE'!$A$2:$O$936,12,0),""))</f>
        <v/>
      </c>
      <c r="P1954" s="70" t="str">
        <f>IF($A$3=" "," ", IFERROR( VLOOKUP($A1954,'SUPPLIER DATA BASE'!$A$2:$O$936,13,0),""))</f>
        <v/>
      </c>
      <c r="Q1954" s="77"/>
      <c r="R1954" s="73"/>
      <c r="S1954" s="77"/>
      <c r="T1954" s="70"/>
      <c r="U1954" s="78"/>
      <c r="V1954" s="70" t="str">
        <f t="shared" si="6"/>
        <v/>
      </c>
      <c r="W1954" s="23"/>
      <c r="X1954" s="23"/>
    </row>
    <row r="1955">
      <c r="A1955" s="70"/>
      <c r="B1955" s="70" t="str">
        <f>IF($A$3=" "," ", IFERROR( VLOOKUP($A1955,'SUPPLIER DATA BASE'!$A$2:$M$936,3,0),""))</f>
        <v/>
      </c>
      <c r="C1955" s="70" t="str">
        <f>IF($A$3=" "," ", IFERROR( VLOOKUP($A1955,'SUPPLIER DATA BASE'!$A$2:$F$936,6,0),""))</f>
        <v/>
      </c>
      <c r="D1955" s="70" t="str">
        <f>IF($A$3=" "," ", IFERROR( VLOOKUP($A1955,'SUPPLIER DATA BASE'!$A$2:$G$936,4,0),""))</f>
        <v/>
      </c>
      <c r="E1955" s="71" t="str">
        <f>IF($A$3=" "," ", IFERROR( VLOOKUP($A1955,'SUPPLIER DATA BASE'!$A$2:$H$936,5,0),""))</f>
        <v/>
      </c>
      <c r="F1955" s="72"/>
      <c r="G1955" s="73"/>
      <c r="H1955" s="74"/>
      <c r="I1955" s="75"/>
      <c r="J1955" s="70"/>
      <c r="K1955" s="70"/>
      <c r="L1955" s="73"/>
      <c r="M1955" s="70" t="str">
        <f t="shared" si="3"/>
        <v/>
      </c>
      <c r="N1955" s="70" t="str">
        <f>IF($A$3=" "," ", IFERROR( VLOOKUP($A1955,'SUPPLIER DATA BASE'!$A$2:$O$936,11,0),""))</f>
        <v/>
      </c>
      <c r="O1955" s="70" t="str">
        <f>IF($A$3=" "," ", IFERROR( VLOOKUP($A1955,'SUPPLIER DATA BASE'!$A$2:$O$936,12,0),""))</f>
        <v/>
      </c>
      <c r="P1955" s="70" t="str">
        <f>IF($A$3=" "," ", IFERROR( VLOOKUP($A1955,'SUPPLIER DATA BASE'!$A$2:$O$936,13,0),""))</f>
        <v/>
      </c>
      <c r="Q1955" s="77"/>
      <c r="R1955" s="73"/>
      <c r="S1955" s="77"/>
      <c r="T1955" s="70"/>
      <c r="U1955" s="78"/>
      <c r="V1955" s="70" t="str">
        <f t="shared" si="6"/>
        <v/>
      </c>
      <c r="W1955" s="23"/>
      <c r="X1955" s="23"/>
    </row>
    <row r="1956">
      <c r="A1956" s="70"/>
      <c r="B1956" s="70" t="str">
        <f>IF($A$3=" "," ", IFERROR( VLOOKUP($A1956,'SUPPLIER DATA BASE'!$A$2:$M$936,3,0),""))</f>
        <v/>
      </c>
      <c r="C1956" s="70" t="str">
        <f>IF($A$3=" "," ", IFERROR( VLOOKUP($A1956,'SUPPLIER DATA BASE'!$A$2:$F$936,6,0),""))</f>
        <v/>
      </c>
      <c r="D1956" s="70" t="str">
        <f>IF($A$3=" "," ", IFERROR( VLOOKUP($A1956,'SUPPLIER DATA BASE'!$A$2:$G$936,4,0),""))</f>
        <v/>
      </c>
      <c r="E1956" s="71" t="str">
        <f>IF($A$3=" "," ", IFERROR( VLOOKUP($A1956,'SUPPLIER DATA BASE'!$A$2:$H$936,5,0),""))</f>
        <v/>
      </c>
      <c r="F1956" s="72"/>
      <c r="G1956" s="73"/>
      <c r="H1956" s="74"/>
      <c r="I1956" s="75"/>
      <c r="J1956" s="70"/>
      <c r="K1956" s="70"/>
      <c r="L1956" s="73"/>
      <c r="M1956" s="70" t="str">
        <f t="shared" si="3"/>
        <v/>
      </c>
      <c r="N1956" s="70" t="str">
        <f>IF($A$3=" "," ", IFERROR( VLOOKUP($A1956,'SUPPLIER DATA BASE'!$A$2:$O$936,11,0),""))</f>
        <v/>
      </c>
      <c r="O1956" s="70" t="str">
        <f>IF($A$3=" "," ", IFERROR( VLOOKUP($A1956,'SUPPLIER DATA BASE'!$A$2:$O$936,12,0),""))</f>
        <v/>
      </c>
      <c r="P1956" s="70" t="str">
        <f>IF($A$3=" "," ", IFERROR( VLOOKUP($A1956,'SUPPLIER DATA BASE'!$A$2:$O$936,13,0),""))</f>
        <v/>
      </c>
      <c r="Q1956" s="77"/>
      <c r="R1956" s="73"/>
      <c r="S1956" s="77"/>
      <c r="T1956" s="70"/>
      <c r="U1956" s="78"/>
      <c r="V1956" s="70" t="str">
        <f t="shared" si="6"/>
        <v/>
      </c>
      <c r="W1956" s="23"/>
      <c r="X1956" s="23"/>
    </row>
    <row r="1957">
      <c r="A1957" s="70"/>
      <c r="B1957" s="70" t="str">
        <f>IF($A$3=" "," ", IFERROR( VLOOKUP($A1957,'SUPPLIER DATA BASE'!$A$2:$M$936,3,0),""))</f>
        <v/>
      </c>
      <c r="C1957" s="70" t="str">
        <f>IF($A$3=" "," ", IFERROR( VLOOKUP($A1957,'SUPPLIER DATA BASE'!$A$2:$F$936,6,0),""))</f>
        <v/>
      </c>
      <c r="D1957" s="70" t="str">
        <f>IF($A$3=" "," ", IFERROR( VLOOKUP($A1957,'SUPPLIER DATA BASE'!$A$2:$G$936,4,0),""))</f>
        <v/>
      </c>
      <c r="E1957" s="71" t="str">
        <f>IF($A$3=" "," ", IFERROR( VLOOKUP($A1957,'SUPPLIER DATA BASE'!$A$2:$H$936,5,0),""))</f>
        <v/>
      </c>
      <c r="F1957" s="72"/>
      <c r="G1957" s="73"/>
      <c r="H1957" s="74"/>
      <c r="I1957" s="75"/>
      <c r="J1957" s="70"/>
      <c r="K1957" s="70"/>
      <c r="L1957" s="73"/>
      <c r="M1957" s="70" t="str">
        <f t="shared" si="3"/>
        <v/>
      </c>
      <c r="N1957" s="70" t="str">
        <f>IF($A$3=" "," ", IFERROR( VLOOKUP($A1957,'SUPPLIER DATA BASE'!$A$2:$O$936,11,0),""))</f>
        <v/>
      </c>
      <c r="O1957" s="70" t="str">
        <f>IF($A$3=" "," ", IFERROR( VLOOKUP($A1957,'SUPPLIER DATA BASE'!$A$2:$O$936,12,0),""))</f>
        <v/>
      </c>
      <c r="P1957" s="70" t="str">
        <f>IF($A$3=" "," ", IFERROR( VLOOKUP($A1957,'SUPPLIER DATA BASE'!$A$2:$O$936,13,0),""))</f>
        <v/>
      </c>
      <c r="Q1957" s="77"/>
      <c r="R1957" s="73"/>
      <c r="S1957" s="77"/>
      <c r="T1957" s="70"/>
      <c r="U1957" s="78"/>
      <c r="V1957" s="70" t="str">
        <f t="shared" si="6"/>
        <v/>
      </c>
      <c r="W1957" s="23"/>
      <c r="X1957" s="23"/>
    </row>
    <row r="1958">
      <c r="A1958" s="70"/>
      <c r="B1958" s="70" t="str">
        <f>IF($A$3=" "," ", IFERROR( VLOOKUP($A1958,'SUPPLIER DATA BASE'!$A$2:$M$936,3,0),""))</f>
        <v/>
      </c>
      <c r="C1958" s="70" t="str">
        <f>IF($A$3=" "," ", IFERROR( VLOOKUP($A1958,'SUPPLIER DATA BASE'!$A$2:$F$936,6,0),""))</f>
        <v/>
      </c>
      <c r="D1958" s="70" t="str">
        <f>IF($A$3=" "," ", IFERROR( VLOOKUP($A1958,'SUPPLIER DATA BASE'!$A$2:$G$936,4,0),""))</f>
        <v/>
      </c>
      <c r="E1958" s="71" t="str">
        <f>IF($A$3=" "," ", IFERROR( VLOOKUP($A1958,'SUPPLIER DATA BASE'!$A$2:$H$936,5,0),""))</f>
        <v/>
      </c>
      <c r="F1958" s="72"/>
      <c r="G1958" s="73"/>
      <c r="H1958" s="74"/>
      <c r="I1958" s="75"/>
      <c r="J1958" s="70"/>
      <c r="K1958" s="70"/>
      <c r="L1958" s="73"/>
      <c r="M1958" s="70" t="str">
        <f t="shared" si="3"/>
        <v/>
      </c>
      <c r="N1958" s="70" t="str">
        <f>IF($A$3=" "," ", IFERROR( VLOOKUP($A1958,'SUPPLIER DATA BASE'!$A$2:$O$936,11,0),""))</f>
        <v/>
      </c>
      <c r="O1958" s="70" t="str">
        <f>IF($A$3=" "," ", IFERROR( VLOOKUP($A1958,'SUPPLIER DATA BASE'!$A$2:$O$936,12,0),""))</f>
        <v/>
      </c>
      <c r="P1958" s="70" t="str">
        <f>IF($A$3=" "," ", IFERROR( VLOOKUP($A1958,'SUPPLIER DATA BASE'!$A$2:$O$936,13,0),""))</f>
        <v/>
      </c>
      <c r="Q1958" s="77"/>
      <c r="R1958" s="73"/>
      <c r="S1958" s="77"/>
      <c r="T1958" s="70"/>
      <c r="U1958" s="78"/>
      <c r="V1958" s="70" t="str">
        <f t="shared" si="6"/>
        <v/>
      </c>
      <c r="W1958" s="23"/>
      <c r="X1958" s="23"/>
    </row>
    <row r="1959">
      <c r="A1959" s="70"/>
      <c r="B1959" s="70" t="str">
        <f>IF($A$3=" "," ", IFERROR( VLOOKUP($A1959,'SUPPLIER DATA BASE'!$A$2:$M$936,3,0),""))</f>
        <v/>
      </c>
      <c r="C1959" s="70" t="str">
        <f>IF($A$3=" "," ", IFERROR( VLOOKUP($A1959,'SUPPLIER DATA BASE'!$A$2:$F$936,6,0),""))</f>
        <v/>
      </c>
      <c r="D1959" s="70" t="str">
        <f>IF($A$3=" "," ", IFERROR( VLOOKUP($A1959,'SUPPLIER DATA BASE'!$A$2:$G$936,4,0),""))</f>
        <v/>
      </c>
      <c r="E1959" s="71" t="str">
        <f>IF($A$3=" "," ", IFERROR( VLOOKUP($A1959,'SUPPLIER DATA BASE'!$A$2:$H$936,5,0),""))</f>
        <v/>
      </c>
      <c r="F1959" s="72"/>
      <c r="G1959" s="73"/>
      <c r="H1959" s="74"/>
      <c r="I1959" s="75"/>
      <c r="J1959" s="70"/>
      <c r="K1959" s="70"/>
      <c r="L1959" s="73"/>
      <c r="M1959" s="70" t="str">
        <f t="shared" si="3"/>
        <v/>
      </c>
      <c r="N1959" s="70" t="str">
        <f>IF($A$3=" "," ", IFERROR( VLOOKUP($A1959,'SUPPLIER DATA BASE'!$A$2:$O$936,11,0),""))</f>
        <v/>
      </c>
      <c r="O1959" s="70" t="str">
        <f>IF($A$3=" "," ", IFERROR( VLOOKUP($A1959,'SUPPLIER DATA BASE'!$A$2:$O$936,12,0),""))</f>
        <v/>
      </c>
      <c r="P1959" s="70" t="str">
        <f>IF($A$3=" "," ", IFERROR( VLOOKUP($A1959,'SUPPLIER DATA BASE'!$A$2:$O$936,13,0),""))</f>
        <v/>
      </c>
      <c r="Q1959" s="77"/>
      <c r="R1959" s="73"/>
      <c r="S1959" s="77"/>
      <c r="T1959" s="70"/>
      <c r="U1959" s="78"/>
      <c r="V1959" s="70" t="str">
        <f t="shared" si="6"/>
        <v/>
      </c>
      <c r="W1959" s="23"/>
      <c r="X1959" s="23"/>
    </row>
    <row r="1960">
      <c r="A1960" s="70"/>
      <c r="B1960" s="70" t="str">
        <f>IF($A$3=" "," ", IFERROR( VLOOKUP($A1960,'SUPPLIER DATA BASE'!$A$2:$M$936,3,0),""))</f>
        <v/>
      </c>
      <c r="C1960" s="70" t="str">
        <f>IF($A$3=" "," ", IFERROR( VLOOKUP($A1960,'SUPPLIER DATA BASE'!$A$2:$F$936,6,0),""))</f>
        <v/>
      </c>
      <c r="D1960" s="70" t="str">
        <f>IF($A$3=" "," ", IFERROR( VLOOKUP($A1960,'SUPPLIER DATA BASE'!$A$2:$G$936,4,0),""))</f>
        <v/>
      </c>
      <c r="E1960" s="71" t="str">
        <f>IF($A$3=" "," ", IFERROR( VLOOKUP($A1960,'SUPPLIER DATA BASE'!$A$2:$H$936,5,0),""))</f>
        <v/>
      </c>
      <c r="F1960" s="72"/>
      <c r="G1960" s="73"/>
      <c r="H1960" s="74"/>
      <c r="I1960" s="75"/>
      <c r="J1960" s="70"/>
      <c r="K1960" s="70"/>
      <c r="L1960" s="73"/>
      <c r="M1960" s="70" t="str">
        <f t="shared" si="3"/>
        <v/>
      </c>
      <c r="N1960" s="70" t="str">
        <f>IF($A$3=" "," ", IFERROR( VLOOKUP($A1960,'SUPPLIER DATA BASE'!$A$2:$O$936,11,0),""))</f>
        <v/>
      </c>
      <c r="O1960" s="70" t="str">
        <f>IF($A$3=" "," ", IFERROR( VLOOKUP($A1960,'SUPPLIER DATA BASE'!$A$2:$O$936,12,0),""))</f>
        <v/>
      </c>
      <c r="P1960" s="70" t="str">
        <f>IF($A$3=" "," ", IFERROR( VLOOKUP($A1960,'SUPPLIER DATA BASE'!$A$2:$O$936,13,0),""))</f>
        <v/>
      </c>
      <c r="Q1960" s="77"/>
      <c r="R1960" s="73"/>
      <c r="S1960" s="77"/>
      <c r="T1960" s="70"/>
      <c r="U1960" s="78"/>
      <c r="V1960" s="70" t="str">
        <f t="shared" si="6"/>
        <v/>
      </c>
      <c r="W1960" s="23"/>
      <c r="X1960" s="23"/>
    </row>
    <row r="1961">
      <c r="A1961" s="70"/>
      <c r="B1961" s="70" t="str">
        <f>IF($A$3=" "," ", IFERROR( VLOOKUP($A1961,'SUPPLIER DATA BASE'!$A$2:$M$936,3,0),""))</f>
        <v/>
      </c>
      <c r="C1961" s="70" t="str">
        <f>IF($A$3=" "," ", IFERROR( VLOOKUP($A1961,'SUPPLIER DATA BASE'!$A$2:$F$936,6,0),""))</f>
        <v/>
      </c>
      <c r="D1961" s="70" t="str">
        <f>IF($A$3=" "," ", IFERROR( VLOOKUP($A1961,'SUPPLIER DATA BASE'!$A$2:$G$936,4,0),""))</f>
        <v/>
      </c>
      <c r="E1961" s="71" t="str">
        <f>IF($A$3=" "," ", IFERROR( VLOOKUP($A1961,'SUPPLIER DATA BASE'!$A$2:$H$936,5,0),""))</f>
        <v/>
      </c>
      <c r="F1961" s="72"/>
      <c r="G1961" s="73"/>
      <c r="H1961" s="74"/>
      <c r="I1961" s="75"/>
      <c r="J1961" s="70"/>
      <c r="K1961" s="70"/>
      <c r="L1961" s="73"/>
      <c r="M1961" s="70" t="str">
        <f t="shared" si="3"/>
        <v/>
      </c>
      <c r="N1961" s="70" t="str">
        <f>IF($A$3=" "," ", IFERROR( VLOOKUP($A1961,'SUPPLIER DATA BASE'!$A$2:$O$936,11,0),""))</f>
        <v/>
      </c>
      <c r="O1961" s="70" t="str">
        <f>IF($A$3=" "," ", IFERROR( VLOOKUP($A1961,'SUPPLIER DATA BASE'!$A$2:$O$936,12,0),""))</f>
        <v/>
      </c>
      <c r="P1961" s="70" t="str">
        <f>IF($A$3=" "," ", IFERROR( VLOOKUP($A1961,'SUPPLIER DATA BASE'!$A$2:$O$936,13,0),""))</f>
        <v/>
      </c>
      <c r="Q1961" s="77"/>
      <c r="R1961" s="73"/>
      <c r="S1961" s="77"/>
      <c r="T1961" s="70"/>
      <c r="U1961" s="78"/>
      <c r="V1961" s="70" t="str">
        <f t="shared" si="6"/>
        <v/>
      </c>
      <c r="W1961" s="23"/>
      <c r="X1961" s="23"/>
    </row>
    <row r="1962">
      <c r="A1962" s="70"/>
      <c r="B1962" s="70" t="str">
        <f>IF($A$3=" "," ", IFERROR( VLOOKUP($A1962,'SUPPLIER DATA BASE'!$A$2:$M$936,3,0),""))</f>
        <v/>
      </c>
      <c r="C1962" s="70" t="str">
        <f>IF($A$3=" "," ", IFERROR( VLOOKUP($A1962,'SUPPLIER DATA BASE'!$A$2:$F$936,6,0),""))</f>
        <v/>
      </c>
      <c r="D1962" s="70" t="str">
        <f>IF($A$3=" "," ", IFERROR( VLOOKUP($A1962,'SUPPLIER DATA BASE'!$A$2:$G$936,4,0),""))</f>
        <v/>
      </c>
      <c r="E1962" s="71" t="str">
        <f>IF($A$3=" "," ", IFERROR( VLOOKUP($A1962,'SUPPLIER DATA BASE'!$A$2:$H$936,5,0),""))</f>
        <v/>
      </c>
      <c r="F1962" s="72"/>
      <c r="G1962" s="73"/>
      <c r="H1962" s="74"/>
      <c r="I1962" s="75"/>
      <c r="J1962" s="70"/>
      <c r="K1962" s="70"/>
      <c r="L1962" s="73"/>
      <c r="M1962" s="70" t="str">
        <f t="shared" si="3"/>
        <v/>
      </c>
      <c r="N1962" s="70" t="str">
        <f>IF($A$3=" "," ", IFERROR( VLOOKUP($A1962,'SUPPLIER DATA BASE'!$A$2:$O$936,11,0),""))</f>
        <v/>
      </c>
      <c r="O1962" s="70" t="str">
        <f>IF($A$3=" "," ", IFERROR( VLOOKUP($A1962,'SUPPLIER DATA BASE'!$A$2:$O$936,12,0),""))</f>
        <v/>
      </c>
      <c r="P1962" s="70" t="str">
        <f>IF($A$3=" "," ", IFERROR( VLOOKUP($A1962,'SUPPLIER DATA BASE'!$A$2:$O$936,13,0),""))</f>
        <v/>
      </c>
      <c r="Q1962" s="77"/>
      <c r="R1962" s="73"/>
      <c r="S1962" s="77"/>
      <c r="T1962" s="70"/>
      <c r="U1962" s="78"/>
      <c r="V1962" s="70" t="str">
        <f t="shared" si="6"/>
        <v/>
      </c>
      <c r="W1962" s="23"/>
      <c r="X1962" s="23"/>
    </row>
    <row r="1963">
      <c r="A1963" s="70"/>
      <c r="B1963" s="70" t="str">
        <f>IF($A$3=" "," ", IFERROR( VLOOKUP($A1963,'SUPPLIER DATA BASE'!$A$2:$M$936,3,0),""))</f>
        <v/>
      </c>
      <c r="C1963" s="70" t="str">
        <f>IF($A$3=" "," ", IFERROR( VLOOKUP($A1963,'SUPPLIER DATA BASE'!$A$2:$F$936,6,0),""))</f>
        <v/>
      </c>
      <c r="D1963" s="70" t="str">
        <f>IF($A$3=" "," ", IFERROR( VLOOKUP($A1963,'SUPPLIER DATA BASE'!$A$2:$G$936,4,0),""))</f>
        <v/>
      </c>
      <c r="E1963" s="71" t="str">
        <f>IF($A$3=" "," ", IFERROR( VLOOKUP($A1963,'SUPPLIER DATA BASE'!$A$2:$H$936,5,0),""))</f>
        <v/>
      </c>
      <c r="F1963" s="72"/>
      <c r="G1963" s="73"/>
      <c r="H1963" s="74"/>
      <c r="I1963" s="75"/>
      <c r="J1963" s="70"/>
      <c r="K1963" s="70"/>
      <c r="L1963" s="73"/>
      <c r="M1963" s="70" t="str">
        <f t="shared" si="3"/>
        <v/>
      </c>
      <c r="N1963" s="70" t="str">
        <f>IF($A$3=" "," ", IFERROR( VLOOKUP($A1963,'SUPPLIER DATA BASE'!$A$2:$O$936,11,0),""))</f>
        <v/>
      </c>
      <c r="O1963" s="70" t="str">
        <f>IF($A$3=" "," ", IFERROR( VLOOKUP($A1963,'SUPPLIER DATA BASE'!$A$2:$O$936,12,0),""))</f>
        <v/>
      </c>
      <c r="P1963" s="70" t="str">
        <f>IF($A$3=" "," ", IFERROR( VLOOKUP($A1963,'SUPPLIER DATA BASE'!$A$2:$O$936,13,0),""))</f>
        <v/>
      </c>
      <c r="Q1963" s="77"/>
      <c r="R1963" s="73"/>
      <c r="S1963" s="77"/>
      <c r="T1963" s="70"/>
      <c r="U1963" s="78"/>
      <c r="V1963" s="70" t="str">
        <f t="shared" si="6"/>
        <v/>
      </c>
      <c r="W1963" s="23"/>
      <c r="X1963" s="23"/>
    </row>
    <row r="1964">
      <c r="A1964" s="70"/>
      <c r="B1964" s="70" t="str">
        <f>IF($A$3=" "," ", IFERROR( VLOOKUP($A1964,'SUPPLIER DATA BASE'!$A$2:$M$936,3,0),""))</f>
        <v/>
      </c>
      <c r="C1964" s="70" t="str">
        <f>IF($A$3=" "," ", IFERROR( VLOOKUP($A1964,'SUPPLIER DATA BASE'!$A$2:$F$936,6,0),""))</f>
        <v/>
      </c>
      <c r="D1964" s="70" t="str">
        <f>IF($A$3=" "," ", IFERROR( VLOOKUP($A1964,'SUPPLIER DATA BASE'!$A$2:$G$936,4,0),""))</f>
        <v/>
      </c>
      <c r="E1964" s="71" t="str">
        <f>IF($A$3=" "," ", IFERROR( VLOOKUP($A1964,'SUPPLIER DATA BASE'!$A$2:$H$936,5,0),""))</f>
        <v/>
      </c>
      <c r="F1964" s="72"/>
      <c r="G1964" s="73"/>
      <c r="H1964" s="74"/>
      <c r="I1964" s="75"/>
      <c r="J1964" s="70"/>
      <c r="K1964" s="70"/>
      <c r="L1964" s="73"/>
      <c r="M1964" s="70" t="str">
        <f t="shared" si="3"/>
        <v/>
      </c>
      <c r="N1964" s="70" t="str">
        <f>IF($A$3=" "," ", IFERROR( VLOOKUP($A1964,'SUPPLIER DATA BASE'!$A$2:$O$936,11,0),""))</f>
        <v/>
      </c>
      <c r="O1964" s="70" t="str">
        <f>IF($A$3=" "," ", IFERROR( VLOOKUP($A1964,'SUPPLIER DATA BASE'!$A$2:$O$936,12,0),""))</f>
        <v/>
      </c>
      <c r="P1964" s="70" t="str">
        <f>IF($A$3=" "," ", IFERROR( VLOOKUP($A1964,'SUPPLIER DATA BASE'!$A$2:$O$936,13,0),""))</f>
        <v/>
      </c>
      <c r="Q1964" s="77"/>
      <c r="R1964" s="73"/>
      <c r="S1964" s="77"/>
      <c r="T1964" s="70"/>
      <c r="U1964" s="78"/>
      <c r="V1964" s="70" t="str">
        <f t="shared" si="6"/>
        <v/>
      </c>
      <c r="W1964" s="23"/>
      <c r="X1964" s="23"/>
    </row>
    <row r="1965">
      <c r="A1965" s="70"/>
      <c r="B1965" s="70" t="str">
        <f>IF($A$3=" "," ", IFERROR( VLOOKUP($A1965,'SUPPLIER DATA BASE'!$A$2:$M$936,3,0),""))</f>
        <v/>
      </c>
      <c r="C1965" s="70" t="str">
        <f>IF($A$3=" "," ", IFERROR( VLOOKUP($A1965,'SUPPLIER DATA BASE'!$A$2:$F$936,6,0),""))</f>
        <v/>
      </c>
      <c r="D1965" s="70" t="str">
        <f>IF($A$3=" "," ", IFERROR( VLOOKUP($A1965,'SUPPLIER DATA BASE'!$A$2:$G$936,4,0),""))</f>
        <v/>
      </c>
      <c r="E1965" s="71" t="str">
        <f>IF($A$3=" "," ", IFERROR( VLOOKUP($A1965,'SUPPLIER DATA BASE'!$A$2:$H$936,5,0),""))</f>
        <v/>
      </c>
      <c r="F1965" s="72"/>
      <c r="G1965" s="73"/>
      <c r="H1965" s="74"/>
      <c r="I1965" s="75"/>
      <c r="J1965" s="70"/>
      <c r="K1965" s="70"/>
      <c r="L1965" s="73"/>
      <c r="M1965" s="70" t="str">
        <f t="shared" si="3"/>
        <v/>
      </c>
      <c r="N1965" s="70" t="str">
        <f>IF($A$3=" "," ", IFERROR( VLOOKUP($A1965,'SUPPLIER DATA BASE'!$A$2:$O$936,11,0),""))</f>
        <v/>
      </c>
      <c r="O1965" s="70" t="str">
        <f>IF($A$3=" "," ", IFERROR( VLOOKUP($A1965,'SUPPLIER DATA BASE'!$A$2:$O$936,12,0),""))</f>
        <v/>
      </c>
      <c r="P1965" s="70" t="str">
        <f>IF($A$3=" "," ", IFERROR( VLOOKUP($A1965,'SUPPLIER DATA BASE'!$A$2:$O$936,13,0),""))</f>
        <v/>
      </c>
      <c r="Q1965" s="77"/>
      <c r="R1965" s="73"/>
      <c r="S1965" s="77"/>
      <c r="T1965" s="70"/>
      <c r="U1965" s="78"/>
      <c r="V1965" s="70" t="str">
        <f t="shared" si="6"/>
        <v/>
      </c>
      <c r="W1965" s="23"/>
      <c r="X1965" s="23"/>
    </row>
    <row r="1966">
      <c r="A1966" s="70"/>
      <c r="B1966" s="70" t="str">
        <f>IF($A$3=" "," ", IFERROR( VLOOKUP($A1966,'SUPPLIER DATA BASE'!$A$2:$M$936,3,0),""))</f>
        <v/>
      </c>
      <c r="C1966" s="70" t="str">
        <f>IF($A$3=" "," ", IFERROR( VLOOKUP($A1966,'SUPPLIER DATA BASE'!$A$2:$F$936,6,0),""))</f>
        <v/>
      </c>
      <c r="D1966" s="70" t="str">
        <f>IF($A$3=" "," ", IFERROR( VLOOKUP($A1966,'SUPPLIER DATA BASE'!$A$2:$G$936,4,0),""))</f>
        <v/>
      </c>
      <c r="E1966" s="71" t="str">
        <f>IF($A$3=" "," ", IFERROR( VLOOKUP($A1966,'SUPPLIER DATA BASE'!$A$2:$H$936,5,0),""))</f>
        <v/>
      </c>
      <c r="F1966" s="72"/>
      <c r="G1966" s="73"/>
      <c r="H1966" s="74"/>
      <c r="I1966" s="75"/>
      <c r="J1966" s="70"/>
      <c r="K1966" s="70"/>
      <c r="L1966" s="73"/>
      <c r="M1966" s="70" t="str">
        <f t="shared" si="3"/>
        <v/>
      </c>
      <c r="N1966" s="70" t="str">
        <f>IF($A$3=" "," ", IFERROR( VLOOKUP($A1966,'SUPPLIER DATA BASE'!$A$2:$O$936,11,0),""))</f>
        <v/>
      </c>
      <c r="O1966" s="70" t="str">
        <f>IF($A$3=" "," ", IFERROR( VLOOKUP($A1966,'SUPPLIER DATA BASE'!$A$2:$O$936,12,0),""))</f>
        <v/>
      </c>
      <c r="P1966" s="70" t="str">
        <f>IF($A$3=" "," ", IFERROR( VLOOKUP($A1966,'SUPPLIER DATA BASE'!$A$2:$O$936,13,0),""))</f>
        <v/>
      </c>
      <c r="Q1966" s="77"/>
      <c r="R1966" s="73"/>
      <c r="S1966" s="77"/>
      <c r="T1966" s="70"/>
      <c r="U1966" s="78"/>
      <c r="V1966" s="70" t="str">
        <f t="shared" si="6"/>
        <v/>
      </c>
      <c r="W1966" s="23"/>
      <c r="X1966" s="23"/>
    </row>
    <row r="1967">
      <c r="A1967" s="70"/>
      <c r="B1967" s="70" t="str">
        <f>IF($A$3=" "," ", IFERROR( VLOOKUP($A1967,'SUPPLIER DATA BASE'!$A$2:$M$936,3,0),""))</f>
        <v/>
      </c>
      <c r="C1967" s="70" t="str">
        <f>IF($A$3=" "," ", IFERROR( VLOOKUP($A1967,'SUPPLIER DATA BASE'!$A$2:$F$936,6,0),""))</f>
        <v/>
      </c>
      <c r="D1967" s="70" t="str">
        <f>IF($A$3=" "," ", IFERROR( VLOOKUP($A1967,'SUPPLIER DATA BASE'!$A$2:$G$936,4,0),""))</f>
        <v/>
      </c>
      <c r="E1967" s="71" t="str">
        <f>IF($A$3=" "," ", IFERROR( VLOOKUP($A1967,'SUPPLIER DATA BASE'!$A$2:$H$936,5,0),""))</f>
        <v/>
      </c>
      <c r="F1967" s="72"/>
      <c r="G1967" s="73"/>
      <c r="H1967" s="74"/>
      <c r="I1967" s="75"/>
      <c r="J1967" s="70"/>
      <c r="K1967" s="70"/>
      <c r="L1967" s="73"/>
      <c r="M1967" s="70" t="str">
        <f t="shared" si="3"/>
        <v/>
      </c>
      <c r="N1967" s="70" t="str">
        <f>IF($A$3=" "," ", IFERROR( VLOOKUP($A1967,'SUPPLIER DATA BASE'!$A$2:$O$936,11,0),""))</f>
        <v/>
      </c>
      <c r="O1967" s="70" t="str">
        <f>IF($A$3=" "," ", IFERROR( VLOOKUP($A1967,'SUPPLIER DATA BASE'!$A$2:$O$936,12,0),""))</f>
        <v/>
      </c>
      <c r="P1967" s="70" t="str">
        <f>IF($A$3=" "," ", IFERROR( VLOOKUP($A1967,'SUPPLIER DATA BASE'!$A$2:$O$936,13,0),""))</f>
        <v/>
      </c>
      <c r="Q1967" s="77"/>
      <c r="R1967" s="73"/>
      <c r="S1967" s="77"/>
      <c r="T1967" s="70"/>
      <c r="U1967" s="78"/>
      <c r="V1967" s="70" t="str">
        <f t="shared" si="6"/>
        <v/>
      </c>
      <c r="W1967" s="23"/>
      <c r="X1967" s="23"/>
    </row>
    <row r="1968">
      <c r="A1968" s="70"/>
      <c r="B1968" s="70" t="str">
        <f>IF($A$3=" "," ", IFERROR( VLOOKUP($A1968,'SUPPLIER DATA BASE'!$A$2:$M$936,3,0),""))</f>
        <v/>
      </c>
      <c r="C1968" s="70" t="str">
        <f>IF($A$3=" "," ", IFERROR( VLOOKUP($A1968,'SUPPLIER DATA BASE'!$A$2:$F$936,6,0),""))</f>
        <v/>
      </c>
      <c r="D1968" s="70" t="str">
        <f>IF($A$3=" "," ", IFERROR( VLOOKUP($A1968,'SUPPLIER DATA BASE'!$A$2:$G$936,4,0),""))</f>
        <v/>
      </c>
      <c r="E1968" s="71" t="str">
        <f>IF($A$3=" "," ", IFERROR( VLOOKUP($A1968,'SUPPLIER DATA BASE'!$A$2:$H$936,5,0),""))</f>
        <v/>
      </c>
      <c r="F1968" s="72"/>
      <c r="G1968" s="73"/>
      <c r="H1968" s="74"/>
      <c r="I1968" s="75"/>
      <c r="J1968" s="70"/>
      <c r="K1968" s="70"/>
      <c r="L1968" s="73"/>
      <c r="M1968" s="70" t="str">
        <f t="shared" si="3"/>
        <v/>
      </c>
      <c r="N1968" s="70" t="str">
        <f>IF($A$3=" "," ", IFERROR( VLOOKUP($A1968,'SUPPLIER DATA BASE'!$A$2:$O$936,11,0),""))</f>
        <v/>
      </c>
      <c r="O1968" s="70" t="str">
        <f>IF($A$3=" "," ", IFERROR( VLOOKUP($A1968,'SUPPLIER DATA BASE'!$A$2:$O$936,12,0),""))</f>
        <v/>
      </c>
      <c r="P1968" s="70" t="str">
        <f>IF($A$3=" "," ", IFERROR( VLOOKUP($A1968,'SUPPLIER DATA BASE'!$A$2:$O$936,13,0),""))</f>
        <v/>
      </c>
      <c r="Q1968" s="77"/>
      <c r="R1968" s="73"/>
      <c r="S1968" s="77"/>
      <c r="T1968" s="70"/>
      <c r="U1968" s="78"/>
      <c r="V1968" s="70" t="str">
        <f t="shared" si="6"/>
        <v/>
      </c>
      <c r="W1968" s="23"/>
      <c r="X1968" s="23"/>
    </row>
    <row r="1969">
      <c r="A1969" s="70"/>
      <c r="B1969" s="70" t="str">
        <f>IF($A$3=" "," ", IFERROR( VLOOKUP($A1969,'SUPPLIER DATA BASE'!$A$2:$M$936,3,0),""))</f>
        <v/>
      </c>
      <c r="C1969" s="70" t="str">
        <f>IF($A$3=" "," ", IFERROR( VLOOKUP($A1969,'SUPPLIER DATA BASE'!$A$2:$F$936,6,0),""))</f>
        <v/>
      </c>
      <c r="D1969" s="70" t="str">
        <f>IF($A$3=" "," ", IFERROR( VLOOKUP($A1969,'SUPPLIER DATA BASE'!$A$2:$G$936,4,0),""))</f>
        <v/>
      </c>
      <c r="E1969" s="71" t="str">
        <f>IF($A$3=" "," ", IFERROR( VLOOKUP($A1969,'SUPPLIER DATA BASE'!$A$2:$H$936,5,0),""))</f>
        <v/>
      </c>
      <c r="F1969" s="72"/>
      <c r="G1969" s="73"/>
      <c r="H1969" s="74"/>
      <c r="I1969" s="75"/>
      <c r="J1969" s="70"/>
      <c r="K1969" s="70"/>
      <c r="L1969" s="73"/>
      <c r="M1969" s="70" t="str">
        <f t="shared" si="3"/>
        <v/>
      </c>
      <c r="N1969" s="70" t="str">
        <f>IF($A$3=" "," ", IFERROR( VLOOKUP($A1969,'SUPPLIER DATA BASE'!$A$2:$O$936,11,0),""))</f>
        <v/>
      </c>
      <c r="O1969" s="70" t="str">
        <f>IF($A$3=" "," ", IFERROR( VLOOKUP($A1969,'SUPPLIER DATA BASE'!$A$2:$O$936,12,0),""))</f>
        <v/>
      </c>
      <c r="P1969" s="70" t="str">
        <f>IF($A$3=" "," ", IFERROR( VLOOKUP($A1969,'SUPPLIER DATA BASE'!$A$2:$O$936,13,0),""))</f>
        <v/>
      </c>
      <c r="Q1969" s="77"/>
      <c r="R1969" s="73"/>
      <c r="S1969" s="77"/>
      <c r="T1969" s="70"/>
      <c r="U1969" s="78"/>
      <c r="V1969" s="70" t="str">
        <f t="shared" si="6"/>
        <v/>
      </c>
      <c r="W1969" s="23"/>
      <c r="X1969" s="23"/>
    </row>
    <row r="1970">
      <c r="A1970" s="70"/>
      <c r="B1970" s="70" t="str">
        <f>IF($A$3=" "," ", IFERROR( VLOOKUP($A1970,'SUPPLIER DATA BASE'!$A$2:$M$936,3,0),""))</f>
        <v/>
      </c>
      <c r="C1970" s="70" t="str">
        <f>IF($A$3=" "," ", IFERROR( VLOOKUP($A1970,'SUPPLIER DATA BASE'!$A$2:$F$936,6,0),""))</f>
        <v/>
      </c>
      <c r="D1970" s="70" t="str">
        <f>IF($A$3=" "," ", IFERROR( VLOOKUP($A1970,'SUPPLIER DATA BASE'!$A$2:$G$936,4,0),""))</f>
        <v/>
      </c>
      <c r="E1970" s="71" t="str">
        <f>IF($A$3=" "," ", IFERROR( VLOOKUP($A1970,'SUPPLIER DATA BASE'!$A$2:$H$936,5,0),""))</f>
        <v/>
      </c>
      <c r="F1970" s="72"/>
      <c r="G1970" s="73"/>
      <c r="H1970" s="74"/>
      <c r="I1970" s="75"/>
      <c r="J1970" s="70"/>
      <c r="K1970" s="70"/>
      <c r="L1970" s="73"/>
      <c r="M1970" s="70" t="str">
        <f t="shared" si="3"/>
        <v/>
      </c>
      <c r="N1970" s="70" t="str">
        <f>IF($A$3=" "," ", IFERROR( VLOOKUP($A1970,'SUPPLIER DATA BASE'!$A$2:$O$936,11,0),""))</f>
        <v/>
      </c>
      <c r="O1970" s="70" t="str">
        <f>IF($A$3=" "," ", IFERROR( VLOOKUP($A1970,'SUPPLIER DATA BASE'!$A$2:$O$936,12,0),""))</f>
        <v/>
      </c>
      <c r="P1970" s="70" t="str">
        <f>IF($A$3=" "," ", IFERROR( VLOOKUP($A1970,'SUPPLIER DATA BASE'!$A$2:$O$936,13,0),""))</f>
        <v/>
      </c>
      <c r="Q1970" s="77"/>
      <c r="R1970" s="73"/>
      <c r="S1970" s="77"/>
      <c r="T1970" s="70"/>
      <c r="U1970" s="78"/>
      <c r="V1970" s="70" t="str">
        <f t="shared" si="6"/>
        <v/>
      </c>
      <c r="W1970" s="23"/>
      <c r="X1970" s="23"/>
    </row>
    <row r="1971">
      <c r="A1971" s="70"/>
      <c r="B1971" s="70" t="str">
        <f>IF($A$3=" "," ", IFERROR( VLOOKUP($A1971,'SUPPLIER DATA BASE'!$A$2:$M$936,3,0),""))</f>
        <v/>
      </c>
      <c r="C1971" s="70" t="str">
        <f>IF($A$3=" "," ", IFERROR( VLOOKUP($A1971,'SUPPLIER DATA BASE'!$A$2:$F$936,6,0),""))</f>
        <v/>
      </c>
      <c r="D1971" s="70" t="str">
        <f>IF($A$3=" "," ", IFERROR( VLOOKUP($A1971,'SUPPLIER DATA BASE'!$A$2:$G$936,4,0),""))</f>
        <v/>
      </c>
      <c r="E1971" s="71" t="str">
        <f>IF($A$3=" "," ", IFERROR( VLOOKUP($A1971,'SUPPLIER DATA BASE'!$A$2:$H$936,5,0),""))</f>
        <v/>
      </c>
      <c r="F1971" s="72"/>
      <c r="G1971" s="73"/>
      <c r="H1971" s="74"/>
      <c r="I1971" s="75"/>
      <c r="J1971" s="70"/>
      <c r="K1971" s="70"/>
      <c r="L1971" s="73"/>
      <c r="M1971" s="70" t="str">
        <f t="shared" si="3"/>
        <v/>
      </c>
      <c r="N1971" s="70" t="str">
        <f>IF($A$3=" "," ", IFERROR( VLOOKUP($A1971,'SUPPLIER DATA BASE'!$A$2:$O$936,11,0),""))</f>
        <v/>
      </c>
      <c r="O1971" s="70" t="str">
        <f>IF($A$3=" "," ", IFERROR( VLOOKUP($A1971,'SUPPLIER DATA BASE'!$A$2:$O$936,12,0),""))</f>
        <v/>
      </c>
      <c r="P1971" s="70" t="str">
        <f>IF($A$3=" "," ", IFERROR( VLOOKUP($A1971,'SUPPLIER DATA BASE'!$A$2:$O$936,13,0),""))</f>
        <v/>
      </c>
      <c r="Q1971" s="77"/>
      <c r="R1971" s="73"/>
      <c r="S1971" s="77"/>
      <c r="T1971" s="70"/>
      <c r="U1971" s="78"/>
      <c r="V1971" s="70" t="str">
        <f t="shared" si="6"/>
        <v/>
      </c>
      <c r="W1971" s="23"/>
      <c r="X1971" s="23"/>
    </row>
    <row r="1972">
      <c r="A1972" s="70"/>
      <c r="B1972" s="70" t="str">
        <f>IF($A$3=" "," ", IFERROR( VLOOKUP($A1972,'SUPPLIER DATA BASE'!$A$2:$M$936,3,0),""))</f>
        <v/>
      </c>
      <c r="C1972" s="70" t="str">
        <f>IF($A$3=" "," ", IFERROR( VLOOKUP($A1972,'SUPPLIER DATA BASE'!$A$2:$F$936,6,0),""))</f>
        <v/>
      </c>
      <c r="D1972" s="70" t="str">
        <f>IF($A$3=" "," ", IFERROR( VLOOKUP($A1972,'SUPPLIER DATA BASE'!$A$2:$G$936,4,0),""))</f>
        <v/>
      </c>
      <c r="E1972" s="71" t="str">
        <f>IF($A$3=" "," ", IFERROR( VLOOKUP($A1972,'SUPPLIER DATA BASE'!$A$2:$H$936,5,0),""))</f>
        <v/>
      </c>
      <c r="F1972" s="72"/>
      <c r="G1972" s="73"/>
      <c r="H1972" s="74"/>
      <c r="I1972" s="75"/>
      <c r="J1972" s="70"/>
      <c r="K1972" s="70"/>
      <c r="L1972" s="73"/>
      <c r="M1972" s="70" t="str">
        <f t="shared" si="3"/>
        <v/>
      </c>
      <c r="N1972" s="70" t="str">
        <f>IF($A$3=" "," ", IFERROR( VLOOKUP($A1972,'SUPPLIER DATA BASE'!$A$2:$O$936,11,0),""))</f>
        <v/>
      </c>
      <c r="O1972" s="70" t="str">
        <f>IF($A$3=" "," ", IFERROR( VLOOKUP($A1972,'SUPPLIER DATA BASE'!$A$2:$O$936,12,0),""))</f>
        <v/>
      </c>
      <c r="P1972" s="70" t="str">
        <f>IF($A$3=" "," ", IFERROR( VLOOKUP($A1972,'SUPPLIER DATA BASE'!$A$2:$O$936,13,0),""))</f>
        <v/>
      </c>
      <c r="Q1972" s="77"/>
      <c r="R1972" s="73"/>
      <c r="S1972" s="77"/>
      <c r="T1972" s="70"/>
      <c r="U1972" s="78"/>
      <c r="V1972" s="70" t="str">
        <f t="shared" si="6"/>
        <v/>
      </c>
      <c r="W1972" s="23"/>
      <c r="X1972" s="23"/>
    </row>
    <row r="1973">
      <c r="A1973" s="70"/>
      <c r="B1973" s="70" t="str">
        <f>IF($A$3=" "," ", IFERROR( VLOOKUP($A1973,'SUPPLIER DATA BASE'!$A$2:$M$936,3,0),""))</f>
        <v/>
      </c>
      <c r="C1973" s="70" t="str">
        <f>IF($A$3=" "," ", IFERROR( VLOOKUP($A1973,'SUPPLIER DATA BASE'!$A$2:$F$936,6,0),""))</f>
        <v/>
      </c>
      <c r="D1973" s="70" t="str">
        <f>IF($A$3=" "," ", IFERROR( VLOOKUP($A1973,'SUPPLIER DATA BASE'!$A$2:$G$936,4,0),""))</f>
        <v/>
      </c>
      <c r="E1973" s="71" t="str">
        <f>IF($A$3=" "," ", IFERROR( VLOOKUP($A1973,'SUPPLIER DATA BASE'!$A$2:$H$936,5,0),""))</f>
        <v/>
      </c>
      <c r="F1973" s="72"/>
      <c r="G1973" s="73"/>
      <c r="H1973" s="74"/>
      <c r="I1973" s="75"/>
      <c r="J1973" s="70"/>
      <c r="K1973" s="70"/>
      <c r="L1973" s="73"/>
      <c r="M1973" s="70" t="str">
        <f t="shared" si="3"/>
        <v/>
      </c>
      <c r="N1973" s="70" t="str">
        <f>IF($A$3=" "," ", IFERROR( VLOOKUP($A1973,'SUPPLIER DATA BASE'!$A$2:$O$936,11,0),""))</f>
        <v/>
      </c>
      <c r="O1973" s="70" t="str">
        <f>IF($A$3=" "," ", IFERROR( VLOOKUP($A1973,'SUPPLIER DATA BASE'!$A$2:$O$936,12,0),""))</f>
        <v/>
      </c>
      <c r="P1973" s="70" t="str">
        <f>IF($A$3=" "," ", IFERROR( VLOOKUP($A1973,'SUPPLIER DATA BASE'!$A$2:$O$936,13,0),""))</f>
        <v/>
      </c>
      <c r="Q1973" s="77"/>
      <c r="R1973" s="73"/>
      <c r="S1973" s="77"/>
      <c r="T1973" s="70"/>
      <c r="U1973" s="78"/>
      <c r="V1973" s="70" t="str">
        <f t="shared" si="6"/>
        <v/>
      </c>
      <c r="W1973" s="23"/>
      <c r="X1973" s="23"/>
    </row>
    <row r="1974">
      <c r="A1974" s="70"/>
      <c r="B1974" s="70" t="str">
        <f>IF($A$3=" "," ", IFERROR( VLOOKUP($A1974,'SUPPLIER DATA BASE'!$A$2:$M$936,3,0),""))</f>
        <v/>
      </c>
      <c r="C1974" s="70" t="str">
        <f>IF($A$3=" "," ", IFERROR( VLOOKUP($A1974,'SUPPLIER DATA BASE'!$A$2:$F$936,6,0),""))</f>
        <v/>
      </c>
      <c r="D1974" s="70" t="str">
        <f>IF($A$3=" "," ", IFERROR( VLOOKUP($A1974,'SUPPLIER DATA BASE'!$A$2:$G$936,4,0),""))</f>
        <v/>
      </c>
      <c r="E1974" s="71" t="str">
        <f>IF($A$3=" "," ", IFERROR( VLOOKUP($A1974,'SUPPLIER DATA BASE'!$A$2:$H$936,5,0),""))</f>
        <v/>
      </c>
      <c r="F1974" s="72"/>
      <c r="G1974" s="73"/>
      <c r="H1974" s="74"/>
      <c r="I1974" s="75"/>
      <c r="J1974" s="70"/>
      <c r="K1974" s="70"/>
      <c r="L1974" s="73"/>
      <c r="M1974" s="70" t="str">
        <f t="shared" si="3"/>
        <v/>
      </c>
      <c r="N1974" s="70" t="str">
        <f>IF($A$3=" "," ", IFERROR( VLOOKUP($A1974,'SUPPLIER DATA BASE'!$A$2:$O$936,11,0),""))</f>
        <v/>
      </c>
      <c r="O1974" s="70" t="str">
        <f>IF($A$3=" "," ", IFERROR( VLOOKUP($A1974,'SUPPLIER DATA BASE'!$A$2:$O$936,12,0),""))</f>
        <v/>
      </c>
      <c r="P1974" s="70" t="str">
        <f>IF($A$3=" "," ", IFERROR( VLOOKUP($A1974,'SUPPLIER DATA BASE'!$A$2:$O$936,13,0),""))</f>
        <v/>
      </c>
      <c r="Q1974" s="77"/>
      <c r="R1974" s="73"/>
      <c r="S1974" s="77"/>
      <c r="T1974" s="70"/>
      <c r="U1974" s="78"/>
      <c r="V1974" s="70" t="str">
        <f t="shared" si="6"/>
        <v/>
      </c>
      <c r="W1974" s="23"/>
      <c r="X1974" s="23"/>
    </row>
    <row r="1975">
      <c r="A1975" s="70"/>
      <c r="B1975" s="70" t="str">
        <f>IF($A$3=" "," ", IFERROR( VLOOKUP($A1975,'SUPPLIER DATA BASE'!$A$2:$M$936,3,0),""))</f>
        <v/>
      </c>
      <c r="C1975" s="70" t="str">
        <f>IF($A$3=" "," ", IFERROR( VLOOKUP($A1975,'SUPPLIER DATA BASE'!$A$2:$F$936,6,0),""))</f>
        <v/>
      </c>
      <c r="D1975" s="70" t="str">
        <f>IF($A$3=" "," ", IFERROR( VLOOKUP($A1975,'SUPPLIER DATA BASE'!$A$2:$G$936,4,0),""))</f>
        <v/>
      </c>
      <c r="E1975" s="71" t="str">
        <f>IF($A$3=" "," ", IFERROR( VLOOKUP($A1975,'SUPPLIER DATA BASE'!$A$2:$H$936,5,0),""))</f>
        <v/>
      </c>
      <c r="F1975" s="72"/>
      <c r="G1975" s="73"/>
      <c r="H1975" s="74"/>
      <c r="I1975" s="75"/>
      <c r="J1975" s="70"/>
      <c r="K1975" s="70"/>
      <c r="L1975" s="73"/>
      <c r="M1975" s="70" t="str">
        <f t="shared" si="3"/>
        <v/>
      </c>
      <c r="N1975" s="70" t="str">
        <f>IF($A$3=" "," ", IFERROR( VLOOKUP($A1975,'SUPPLIER DATA BASE'!$A$2:$O$936,11,0),""))</f>
        <v/>
      </c>
      <c r="O1975" s="70" t="str">
        <f>IF($A$3=" "," ", IFERROR( VLOOKUP($A1975,'SUPPLIER DATA BASE'!$A$2:$O$936,12,0),""))</f>
        <v/>
      </c>
      <c r="P1975" s="70" t="str">
        <f>IF($A$3=" "," ", IFERROR( VLOOKUP($A1975,'SUPPLIER DATA BASE'!$A$2:$O$936,13,0),""))</f>
        <v/>
      </c>
      <c r="Q1975" s="77"/>
      <c r="R1975" s="73"/>
      <c r="S1975" s="77"/>
      <c r="T1975" s="70"/>
      <c r="U1975" s="78"/>
      <c r="V1975" s="70" t="str">
        <f t="shared" si="6"/>
        <v/>
      </c>
      <c r="W1975" s="23"/>
      <c r="X1975" s="23"/>
    </row>
    <row r="1976">
      <c r="A1976" s="70"/>
      <c r="B1976" s="70" t="str">
        <f>IF($A$3=" "," ", IFERROR( VLOOKUP($A1976,'SUPPLIER DATA BASE'!$A$2:$M$936,3,0),""))</f>
        <v/>
      </c>
      <c r="C1976" s="70" t="str">
        <f>IF($A$3=" "," ", IFERROR( VLOOKUP($A1976,'SUPPLIER DATA BASE'!$A$2:$F$936,6,0),""))</f>
        <v/>
      </c>
      <c r="D1976" s="70" t="str">
        <f>IF($A$3=" "," ", IFERROR( VLOOKUP($A1976,'SUPPLIER DATA BASE'!$A$2:$G$936,4,0),""))</f>
        <v/>
      </c>
      <c r="E1976" s="71" t="str">
        <f>IF($A$3=" "," ", IFERROR( VLOOKUP($A1976,'SUPPLIER DATA BASE'!$A$2:$H$936,5,0),""))</f>
        <v/>
      </c>
      <c r="F1976" s="72"/>
      <c r="G1976" s="73"/>
      <c r="H1976" s="74"/>
      <c r="I1976" s="75"/>
      <c r="J1976" s="70"/>
      <c r="K1976" s="70"/>
      <c r="L1976" s="73"/>
      <c r="M1976" s="70" t="str">
        <f t="shared" si="3"/>
        <v/>
      </c>
      <c r="N1976" s="70" t="str">
        <f>IF($A$3=" "," ", IFERROR( VLOOKUP($A1976,'SUPPLIER DATA BASE'!$A$2:$O$936,11,0),""))</f>
        <v/>
      </c>
      <c r="O1976" s="70" t="str">
        <f>IF($A$3=" "," ", IFERROR( VLOOKUP($A1976,'SUPPLIER DATA BASE'!$A$2:$O$936,12,0),""))</f>
        <v/>
      </c>
      <c r="P1976" s="70" t="str">
        <f>IF($A$3=" "," ", IFERROR( VLOOKUP($A1976,'SUPPLIER DATA BASE'!$A$2:$O$936,13,0),""))</f>
        <v/>
      </c>
      <c r="Q1976" s="77"/>
      <c r="R1976" s="73"/>
      <c r="S1976" s="77"/>
      <c r="T1976" s="70"/>
      <c r="U1976" s="78"/>
      <c r="V1976" s="70" t="str">
        <f t="shared" si="6"/>
        <v/>
      </c>
      <c r="W1976" s="23"/>
      <c r="X1976" s="23"/>
    </row>
    <row r="1977">
      <c r="A1977" s="70"/>
      <c r="B1977" s="70" t="str">
        <f>IF($A$3=" "," ", IFERROR( VLOOKUP($A1977,'SUPPLIER DATA BASE'!$A$2:$M$936,3,0),""))</f>
        <v/>
      </c>
      <c r="C1977" s="70" t="str">
        <f>IF($A$3=" "," ", IFERROR( VLOOKUP($A1977,'SUPPLIER DATA BASE'!$A$2:$F$936,6,0),""))</f>
        <v/>
      </c>
      <c r="D1977" s="70" t="str">
        <f>IF($A$3=" "," ", IFERROR( VLOOKUP($A1977,'SUPPLIER DATA BASE'!$A$2:$G$936,4,0),""))</f>
        <v/>
      </c>
      <c r="E1977" s="71" t="str">
        <f>IF($A$3=" "," ", IFERROR( VLOOKUP($A1977,'SUPPLIER DATA BASE'!$A$2:$H$936,5,0),""))</f>
        <v/>
      </c>
      <c r="F1977" s="72"/>
      <c r="G1977" s="73"/>
      <c r="H1977" s="74"/>
      <c r="I1977" s="75"/>
      <c r="J1977" s="70"/>
      <c r="K1977" s="70"/>
      <c r="L1977" s="73"/>
      <c r="M1977" s="70" t="str">
        <f t="shared" si="3"/>
        <v/>
      </c>
      <c r="N1977" s="70" t="str">
        <f>IF($A$3=" "," ", IFERROR( VLOOKUP($A1977,'SUPPLIER DATA BASE'!$A$2:$O$936,11,0),""))</f>
        <v/>
      </c>
      <c r="O1977" s="70" t="str">
        <f>IF($A$3=" "," ", IFERROR( VLOOKUP($A1977,'SUPPLIER DATA BASE'!$A$2:$O$936,12,0),""))</f>
        <v/>
      </c>
      <c r="P1977" s="70" t="str">
        <f>IF($A$3=" "," ", IFERROR( VLOOKUP($A1977,'SUPPLIER DATA BASE'!$A$2:$O$936,13,0),""))</f>
        <v/>
      </c>
      <c r="Q1977" s="77"/>
      <c r="R1977" s="73"/>
      <c r="S1977" s="77"/>
      <c r="T1977" s="70"/>
      <c r="U1977" s="78"/>
      <c r="V1977" s="70" t="str">
        <f t="shared" si="6"/>
        <v/>
      </c>
      <c r="W1977" s="23"/>
      <c r="X1977" s="23"/>
    </row>
    <row r="1978">
      <c r="A1978" s="70"/>
      <c r="B1978" s="70" t="str">
        <f>IF($A$3=" "," ", IFERROR( VLOOKUP($A1978,'SUPPLIER DATA BASE'!$A$2:$M$936,3,0),""))</f>
        <v/>
      </c>
      <c r="C1978" s="70" t="str">
        <f>IF($A$3=" "," ", IFERROR( VLOOKUP($A1978,'SUPPLIER DATA BASE'!$A$2:$F$936,6,0),""))</f>
        <v/>
      </c>
      <c r="D1978" s="70" t="str">
        <f>IF($A$3=" "," ", IFERROR( VLOOKUP($A1978,'SUPPLIER DATA BASE'!$A$2:$G$936,4,0),""))</f>
        <v/>
      </c>
      <c r="E1978" s="71" t="str">
        <f>IF($A$3=" "," ", IFERROR( VLOOKUP($A1978,'SUPPLIER DATA BASE'!$A$2:$H$936,5,0),""))</f>
        <v/>
      </c>
      <c r="F1978" s="72"/>
      <c r="G1978" s="73"/>
      <c r="H1978" s="74"/>
      <c r="I1978" s="75"/>
      <c r="J1978" s="70"/>
      <c r="K1978" s="70"/>
      <c r="L1978" s="73"/>
      <c r="M1978" s="70" t="str">
        <f t="shared" si="3"/>
        <v/>
      </c>
      <c r="N1978" s="70" t="str">
        <f>IF($A$3=" "," ", IFERROR( VLOOKUP($A1978,'SUPPLIER DATA BASE'!$A$2:$O$936,11,0),""))</f>
        <v/>
      </c>
      <c r="O1978" s="70" t="str">
        <f>IF($A$3=" "," ", IFERROR( VLOOKUP($A1978,'SUPPLIER DATA BASE'!$A$2:$O$936,12,0),""))</f>
        <v/>
      </c>
      <c r="P1978" s="70" t="str">
        <f>IF($A$3=" "," ", IFERROR( VLOOKUP($A1978,'SUPPLIER DATA BASE'!$A$2:$O$936,13,0),""))</f>
        <v/>
      </c>
      <c r="Q1978" s="77"/>
      <c r="R1978" s="73"/>
      <c r="S1978" s="77"/>
      <c r="T1978" s="70"/>
      <c r="U1978" s="78"/>
      <c r="V1978" s="70" t="str">
        <f t="shared" si="6"/>
        <v/>
      </c>
      <c r="W1978" s="23"/>
      <c r="X1978" s="23"/>
    </row>
    <row r="1979">
      <c r="A1979" s="70"/>
      <c r="B1979" s="70" t="str">
        <f>IF($A$3=" "," ", IFERROR( VLOOKUP($A1979,'SUPPLIER DATA BASE'!$A$2:$M$936,3,0),""))</f>
        <v/>
      </c>
      <c r="C1979" s="70" t="str">
        <f>IF($A$3=" "," ", IFERROR( VLOOKUP($A1979,'SUPPLIER DATA BASE'!$A$2:$F$936,6,0),""))</f>
        <v/>
      </c>
      <c r="D1979" s="70" t="str">
        <f>IF($A$3=" "," ", IFERROR( VLOOKUP($A1979,'SUPPLIER DATA BASE'!$A$2:$G$936,4,0),""))</f>
        <v/>
      </c>
      <c r="E1979" s="71" t="str">
        <f>IF($A$3=" "," ", IFERROR( VLOOKUP($A1979,'SUPPLIER DATA BASE'!$A$2:$H$936,5,0),""))</f>
        <v/>
      </c>
      <c r="F1979" s="72"/>
      <c r="G1979" s="73"/>
      <c r="H1979" s="74"/>
      <c r="I1979" s="75"/>
      <c r="J1979" s="70"/>
      <c r="K1979" s="70"/>
      <c r="L1979" s="73"/>
      <c r="M1979" s="70" t="str">
        <f t="shared" si="3"/>
        <v/>
      </c>
      <c r="N1979" s="70" t="str">
        <f>IF($A$3=" "," ", IFERROR( VLOOKUP($A1979,'SUPPLIER DATA BASE'!$A$2:$O$936,11,0),""))</f>
        <v/>
      </c>
      <c r="O1979" s="70" t="str">
        <f>IF($A$3=" "," ", IFERROR( VLOOKUP($A1979,'SUPPLIER DATA BASE'!$A$2:$O$936,12,0),""))</f>
        <v/>
      </c>
      <c r="P1979" s="70" t="str">
        <f>IF($A$3=" "," ", IFERROR( VLOOKUP($A1979,'SUPPLIER DATA BASE'!$A$2:$O$936,13,0),""))</f>
        <v/>
      </c>
      <c r="Q1979" s="77"/>
      <c r="R1979" s="73"/>
      <c r="S1979" s="77"/>
      <c r="T1979" s="70"/>
      <c r="U1979" s="78"/>
      <c r="V1979" s="70" t="str">
        <f t="shared" si="6"/>
        <v/>
      </c>
      <c r="W1979" s="23"/>
      <c r="X1979" s="23"/>
    </row>
    <row r="1980">
      <c r="A1980" s="70"/>
      <c r="B1980" s="70" t="str">
        <f>IF($A$3=" "," ", IFERROR( VLOOKUP($A1980,'SUPPLIER DATA BASE'!$A$2:$M$936,3,0),""))</f>
        <v/>
      </c>
      <c r="C1980" s="70" t="str">
        <f>IF($A$3=" "," ", IFERROR( VLOOKUP($A1980,'SUPPLIER DATA BASE'!$A$2:$F$936,6,0),""))</f>
        <v/>
      </c>
      <c r="D1980" s="70" t="str">
        <f>IF($A$3=" "," ", IFERROR( VLOOKUP($A1980,'SUPPLIER DATA BASE'!$A$2:$G$936,4,0),""))</f>
        <v/>
      </c>
      <c r="E1980" s="71" t="str">
        <f>IF($A$3=" "," ", IFERROR( VLOOKUP($A1980,'SUPPLIER DATA BASE'!$A$2:$H$936,5,0),""))</f>
        <v/>
      </c>
      <c r="F1980" s="72"/>
      <c r="G1980" s="73"/>
      <c r="H1980" s="74"/>
      <c r="I1980" s="75"/>
      <c r="J1980" s="70"/>
      <c r="K1980" s="70"/>
      <c r="L1980" s="73"/>
      <c r="M1980" s="70" t="str">
        <f t="shared" si="3"/>
        <v/>
      </c>
      <c r="N1980" s="70" t="str">
        <f>IF($A$3=" "," ", IFERROR( VLOOKUP($A1980,'SUPPLIER DATA BASE'!$A$2:$O$936,11,0),""))</f>
        <v/>
      </c>
      <c r="O1980" s="70" t="str">
        <f>IF($A$3=" "," ", IFERROR( VLOOKUP($A1980,'SUPPLIER DATA BASE'!$A$2:$O$936,12,0),""))</f>
        <v/>
      </c>
      <c r="P1980" s="70" t="str">
        <f>IF($A$3=" "," ", IFERROR( VLOOKUP($A1980,'SUPPLIER DATA BASE'!$A$2:$O$936,13,0),""))</f>
        <v/>
      </c>
      <c r="Q1980" s="77"/>
      <c r="R1980" s="73"/>
      <c r="S1980" s="77"/>
      <c r="T1980" s="70"/>
      <c r="U1980" s="78"/>
      <c r="V1980" s="70" t="str">
        <f t="shared" si="6"/>
        <v/>
      </c>
      <c r="W1980" s="23"/>
      <c r="X1980" s="23"/>
    </row>
    <row r="1981">
      <c r="A1981" s="70"/>
      <c r="B1981" s="70" t="str">
        <f>IF($A$3=" "," ", IFERROR( VLOOKUP($A1981,'SUPPLIER DATA BASE'!$A$2:$M$936,3,0),""))</f>
        <v/>
      </c>
      <c r="C1981" s="70" t="str">
        <f>IF($A$3=" "," ", IFERROR( VLOOKUP($A1981,'SUPPLIER DATA BASE'!$A$2:$F$936,6,0),""))</f>
        <v/>
      </c>
      <c r="D1981" s="70" t="str">
        <f>IF($A$3=" "," ", IFERROR( VLOOKUP($A1981,'SUPPLIER DATA BASE'!$A$2:$G$936,4,0),""))</f>
        <v/>
      </c>
      <c r="E1981" s="71" t="str">
        <f>IF($A$3=" "," ", IFERROR( VLOOKUP($A1981,'SUPPLIER DATA BASE'!$A$2:$H$936,5,0),""))</f>
        <v/>
      </c>
      <c r="F1981" s="72"/>
      <c r="G1981" s="73"/>
      <c r="H1981" s="74"/>
      <c r="I1981" s="75"/>
      <c r="J1981" s="70"/>
      <c r="K1981" s="70"/>
      <c r="L1981" s="73"/>
      <c r="M1981" s="70" t="str">
        <f t="shared" si="3"/>
        <v/>
      </c>
      <c r="N1981" s="70" t="str">
        <f>IF($A$3=" "," ", IFERROR( VLOOKUP($A1981,'SUPPLIER DATA BASE'!$A$2:$O$936,11,0),""))</f>
        <v/>
      </c>
      <c r="O1981" s="70" t="str">
        <f>IF($A$3=" "," ", IFERROR( VLOOKUP($A1981,'SUPPLIER DATA BASE'!$A$2:$O$936,12,0),""))</f>
        <v/>
      </c>
      <c r="P1981" s="70" t="str">
        <f>IF($A$3=" "," ", IFERROR( VLOOKUP($A1981,'SUPPLIER DATA BASE'!$A$2:$O$936,13,0),""))</f>
        <v/>
      </c>
      <c r="Q1981" s="77"/>
      <c r="R1981" s="73"/>
      <c r="S1981" s="77"/>
      <c r="T1981" s="70"/>
      <c r="U1981" s="78"/>
      <c r="V1981" s="70" t="str">
        <f t="shared" si="6"/>
        <v/>
      </c>
      <c r="W1981" s="23"/>
      <c r="X1981" s="23"/>
    </row>
    <row r="1982">
      <c r="A1982" s="70"/>
      <c r="B1982" s="70" t="str">
        <f>IF($A$3=" "," ", IFERROR( VLOOKUP($A1982,'SUPPLIER DATA BASE'!$A$2:$M$936,3,0),""))</f>
        <v/>
      </c>
      <c r="C1982" s="70" t="str">
        <f>IF($A$3=" "," ", IFERROR( VLOOKUP($A1982,'SUPPLIER DATA BASE'!$A$2:$F$936,6,0),""))</f>
        <v/>
      </c>
      <c r="D1982" s="70" t="str">
        <f>IF($A$3=" "," ", IFERROR( VLOOKUP($A1982,'SUPPLIER DATA BASE'!$A$2:$G$936,4,0),""))</f>
        <v/>
      </c>
      <c r="E1982" s="71" t="str">
        <f>IF($A$3=" "," ", IFERROR( VLOOKUP($A1982,'SUPPLIER DATA BASE'!$A$2:$H$936,5,0),""))</f>
        <v/>
      </c>
      <c r="F1982" s="72"/>
      <c r="G1982" s="73"/>
      <c r="H1982" s="74"/>
      <c r="I1982" s="75"/>
      <c r="J1982" s="70"/>
      <c r="K1982" s="70"/>
      <c r="L1982" s="73"/>
      <c r="M1982" s="70" t="str">
        <f t="shared" si="3"/>
        <v/>
      </c>
      <c r="N1982" s="70" t="str">
        <f>IF($A$3=" "," ", IFERROR( VLOOKUP($A1982,'SUPPLIER DATA BASE'!$A$2:$O$936,11,0),""))</f>
        <v/>
      </c>
      <c r="O1982" s="70" t="str">
        <f>IF($A$3=" "," ", IFERROR( VLOOKUP($A1982,'SUPPLIER DATA BASE'!$A$2:$O$936,12,0),""))</f>
        <v/>
      </c>
      <c r="P1982" s="70" t="str">
        <f>IF($A$3=" "," ", IFERROR( VLOOKUP($A1982,'SUPPLIER DATA BASE'!$A$2:$O$936,13,0),""))</f>
        <v/>
      </c>
      <c r="Q1982" s="77"/>
      <c r="R1982" s="73"/>
      <c r="S1982" s="77"/>
      <c r="T1982" s="70"/>
      <c r="U1982" s="78"/>
      <c r="V1982" s="70" t="str">
        <f t="shared" si="6"/>
        <v/>
      </c>
      <c r="W1982" s="23"/>
      <c r="X1982" s="23"/>
    </row>
    <row r="1983">
      <c r="A1983" s="70"/>
      <c r="B1983" s="70" t="str">
        <f>IF($A$3=" "," ", IFERROR( VLOOKUP($A1983,'SUPPLIER DATA BASE'!$A$2:$M$936,3,0),""))</f>
        <v/>
      </c>
      <c r="C1983" s="70" t="str">
        <f>IF($A$3=" "," ", IFERROR( VLOOKUP($A1983,'SUPPLIER DATA BASE'!$A$2:$F$936,6,0),""))</f>
        <v/>
      </c>
      <c r="D1983" s="70" t="str">
        <f>IF($A$3=" "," ", IFERROR( VLOOKUP($A1983,'SUPPLIER DATA BASE'!$A$2:$G$936,4,0),""))</f>
        <v/>
      </c>
      <c r="E1983" s="71" t="str">
        <f>IF($A$3=" "," ", IFERROR( VLOOKUP($A1983,'SUPPLIER DATA BASE'!$A$2:$H$936,5,0),""))</f>
        <v/>
      </c>
      <c r="F1983" s="72"/>
      <c r="G1983" s="73"/>
      <c r="H1983" s="74"/>
      <c r="I1983" s="75"/>
      <c r="J1983" s="70"/>
      <c r="K1983" s="70"/>
      <c r="L1983" s="73"/>
      <c r="M1983" s="70" t="str">
        <f t="shared" si="3"/>
        <v/>
      </c>
      <c r="N1983" s="70" t="str">
        <f>IF($A$3=" "," ", IFERROR( VLOOKUP($A1983,'SUPPLIER DATA BASE'!$A$2:$O$936,11,0),""))</f>
        <v/>
      </c>
      <c r="O1983" s="70" t="str">
        <f>IF($A$3=" "," ", IFERROR( VLOOKUP($A1983,'SUPPLIER DATA BASE'!$A$2:$O$936,12,0),""))</f>
        <v/>
      </c>
      <c r="P1983" s="70" t="str">
        <f>IF($A$3=" "," ", IFERROR( VLOOKUP($A1983,'SUPPLIER DATA BASE'!$A$2:$O$936,13,0),""))</f>
        <v/>
      </c>
      <c r="Q1983" s="77"/>
      <c r="R1983" s="73"/>
      <c r="S1983" s="77"/>
      <c r="T1983" s="70"/>
      <c r="U1983" s="78"/>
      <c r="V1983" s="70" t="str">
        <f t="shared" si="6"/>
        <v/>
      </c>
      <c r="W1983" s="23"/>
      <c r="X1983" s="23"/>
    </row>
    <row r="1984">
      <c r="A1984" s="70"/>
      <c r="B1984" s="70" t="str">
        <f>IF($A$3=" "," ", IFERROR( VLOOKUP($A1984,'SUPPLIER DATA BASE'!$A$2:$M$936,3,0),""))</f>
        <v/>
      </c>
      <c r="C1984" s="70" t="str">
        <f>IF($A$3=" "," ", IFERROR( VLOOKUP($A1984,'SUPPLIER DATA BASE'!$A$2:$F$936,6,0),""))</f>
        <v/>
      </c>
      <c r="D1984" s="70" t="str">
        <f>IF($A$3=" "," ", IFERROR( VLOOKUP($A1984,'SUPPLIER DATA BASE'!$A$2:$G$936,4,0),""))</f>
        <v/>
      </c>
      <c r="E1984" s="71" t="str">
        <f>IF($A$3=" "," ", IFERROR( VLOOKUP($A1984,'SUPPLIER DATA BASE'!$A$2:$H$936,5,0),""))</f>
        <v/>
      </c>
      <c r="F1984" s="72"/>
      <c r="G1984" s="73"/>
      <c r="H1984" s="74"/>
      <c r="I1984" s="75"/>
      <c r="J1984" s="70"/>
      <c r="K1984" s="70"/>
      <c r="L1984" s="73"/>
      <c r="M1984" s="70" t="str">
        <f t="shared" si="3"/>
        <v/>
      </c>
      <c r="N1984" s="70" t="str">
        <f>IF($A$3=" "," ", IFERROR( VLOOKUP($A1984,'SUPPLIER DATA BASE'!$A$2:$O$936,11,0),""))</f>
        <v/>
      </c>
      <c r="O1984" s="70" t="str">
        <f>IF($A$3=" "," ", IFERROR( VLOOKUP($A1984,'SUPPLIER DATA BASE'!$A$2:$O$936,12,0),""))</f>
        <v/>
      </c>
      <c r="P1984" s="70" t="str">
        <f>IF($A$3=" "," ", IFERROR( VLOOKUP($A1984,'SUPPLIER DATA BASE'!$A$2:$O$936,13,0),""))</f>
        <v/>
      </c>
      <c r="Q1984" s="77"/>
      <c r="R1984" s="73"/>
      <c r="S1984" s="77"/>
      <c r="T1984" s="70"/>
      <c r="U1984" s="78"/>
      <c r="V1984" s="70" t="str">
        <f t="shared" si="6"/>
        <v/>
      </c>
      <c r="W1984" s="23"/>
      <c r="X1984" s="23"/>
    </row>
    <row r="1985">
      <c r="A1985" s="70"/>
      <c r="B1985" s="70" t="str">
        <f>IF($A$3=" "," ", IFERROR( VLOOKUP($A1985,'SUPPLIER DATA BASE'!$A$2:$M$936,3,0),""))</f>
        <v/>
      </c>
      <c r="C1985" s="70" t="str">
        <f>IF($A$3=" "," ", IFERROR( VLOOKUP($A1985,'SUPPLIER DATA BASE'!$A$2:$F$936,6,0),""))</f>
        <v/>
      </c>
      <c r="D1985" s="70" t="str">
        <f>IF($A$3=" "," ", IFERROR( VLOOKUP($A1985,'SUPPLIER DATA BASE'!$A$2:$G$936,4,0),""))</f>
        <v/>
      </c>
      <c r="E1985" s="71" t="str">
        <f>IF($A$3=" "," ", IFERROR( VLOOKUP($A1985,'SUPPLIER DATA BASE'!$A$2:$H$936,5,0),""))</f>
        <v/>
      </c>
      <c r="F1985" s="72"/>
      <c r="G1985" s="73"/>
      <c r="H1985" s="74"/>
      <c r="I1985" s="75"/>
      <c r="J1985" s="70"/>
      <c r="K1985" s="70"/>
      <c r="L1985" s="73"/>
      <c r="M1985" s="70" t="str">
        <f t="shared" si="3"/>
        <v/>
      </c>
      <c r="N1985" s="70" t="str">
        <f>IF($A$3=" "," ", IFERROR( VLOOKUP($A1985,'SUPPLIER DATA BASE'!$A$2:$O$936,11,0),""))</f>
        <v/>
      </c>
      <c r="O1985" s="70" t="str">
        <f>IF($A$3=" "," ", IFERROR( VLOOKUP($A1985,'SUPPLIER DATA BASE'!$A$2:$O$936,12,0),""))</f>
        <v/>
      </c>
      <c r="P1985" s="70" t="str">
        <f>IF($A$3=" "," ", IFERROR( VLOOKUP($A1985,'SUPPLIER DATA BASE'!$A$2:$O$936,13,0),""))</f>
        <v/>
      </c>
      <c r="Q1985" s="77"/>
      <c r="R1985" s="73"/>
      <c r="S1985" s="77"/>
      <c r="T1985" s="70"/>
      <c r="U1985" s="78"/>
      <c r="V1985" s="70" t="str">
        <f t="shared" si="6"/>
        <v/>
      </c>
      <c r="W1985" s="23"/>
      <c r="X1985" s="23"/>
    </row>
    <row r="1986">
      <c r="A1986" s="70"/>
      <c r="B1986" s="70" t="str">
        <f>IF($A$3=" "," ", IFERROR( VLOOKUP($A1986,'SUPPLIER DATA BASE'!$A$2:$M$936,3,0),""))</f>
        <v/>
      </c>
      <c r="C1986" s="70" t="str">
        <f>IF($A$3=" "," ", IFERROR( VLOOKUP($A1986,'SUPPLIER DATA BASE'!$A$2:$F$936,6,0),""))</f>
        <v/>
      </c>
      <c r="D1986" s="70" t="str">
        <f>IF($A$3=" "," ", IFERROR( VLOOKUP($A1986,'SUPPLIER DATA BASE'!$A$2:$G$936,4,0),""))</f>
        <v/>
      </c>
      <c r="E1986" s="71" t="str">
        <f>IF($A$3=" "," ", IFERROR( VLOOKUP($A1986,'SUPPLIER DATA BASE'!$A$2:$H$936,5,0),""))</f>
        <v/>
      </c>
      <c r="F1986" s="72"/>
      <c r="G1986" s="73"/>
      <c r="H1986" s="74"/>
      <c r="I1986" s="75"/>
      <c r="J1986" s="70"/>
      <c r="K1986" s="70"/>
      <c r="L1986" s="73"/>
      <c r="M1986" s="70" t="str">
        <f t="shared" si="3"/>
        <v/>
      </c>
      <c r="N1986" s="70" t="str">
        <f>IF($A$3=" "," ", IFERROR( VLOOKUP($A1986,'SUPPLIER DATA BASE'!$A$2:$O$936,11,0),""))</f>
        <v/>
      </c>
      <c r="O1986" s="70" t="str">
        <f>IF($A$3=" "," ", IFERROR( VLOOKUP($A1986,'SUPPLIER DATA BASE'!$A$2:$O$936,12,0),""))</f>
        <v/>
      </c>
      <c r="P1986" s="70" t="str">
        <f>IF($A$3=" "," ", IFERROR( VLOOKUP($A1986,'SUPPLIER DATA BASE'!$A$2:$O$936,13,0),""))</f>
        <v/>
      </c>
      <c r="Q1986" s="77"/>
      <c r="R1986" s="73"/>
      <c r="S1986" s="77"/>
      <c r="T1986" s="70"/>
      <c r="U1986" s="78"/>
      <c r="V1986" s="70" t="str">
        <f t="shared" si="6"/>
        <v/>
      </c>
      <c r="W1986" s="23"/>
      <c r="X1986" s="23"/>
    </row>
    <row r="1987">
      <c r="A1987" s="70"/>
      <c r="B1987" s="70" t="str">
        <f>IF($A$3=" "," ", IFERROR( VLOOKUP($A1987,'SUPPLIER DATA BASE'!$A$2:$M$936,3,0),""))</f>
        <v/>
      </c>
      <c r="C1987" s="70" t="str">
        <f>IF($A$3=" "," ", IFERROR( VLOOKUP($A1987,'SUPPLIER DATA BASE'!$A$2:$F$936,6,0),""))</f>
        <v/>
      </c>
      <c r="D1987" s="70" t="str">
        <f>IF($A$3=" "," ", IFERROR( VLOOKUP($A1987,'SUPPLIER DATA BASE'!$A$2:$G$936,4,0),""))</f>
        <v/>
      </c>
      <c r="E1987" s="71" t="str">
        <f>IF($A$3=" "," ", IFERROR( VLOOKUP($A1987,'SUPPLIER DATA BASE'!$A$2:$H$936,5,0),""))</f>
        <v/>
      </c>
      <c r="F1987" s="72"/>
      <c r="G1987" s="73"/>
      <c r="H1987" s="74"/>
      <c r="I1987" s="75"/>
      <c r="J1987" s="70"/>
      <c r="K1987" s="70"/>
      <c r="L1987" s="73"/>
      <c r="M1987" s="70" t="str">
        <f t="shared" si="3"/>
        <v/>
      </c>
      <c r="N1987" s="70" t="str">
        <f>IF($A$3=" "," ", IFERROR( VLOOKUP($A1987,'SUPPLIER DATA BASE'!$A$2:$O$936,11,0),""))</f>
        <v/>
      </c>
      <c r="O1987" s="70" t="str">
        <f>IF($A$3=" "," ", IFERROR( VLOOKUP($A1987,'SUPPLIER DATA BASE'!$A$2:$O$936,12,0),""))</f>
        <v/>
      </c>
      <c r="P1987" s="70" t="str">
        <f>IF($A$3=" "," ", IFERROR( VLOOKUP($A1987,'SUPPLIER DATA BASE'!$A$2:$O$936,13,0),""))</f>
        <v/>
      </c>
      <c r="Q1987" s="77"/>
      <c r="R1987" s="73"/>
      <c r="S1987" s="77"/>
      <c r="T1987" s="70"/>
      <c r="U1987" s="78"/>
      <c r="V1987" s="70" t="str">
        <f t="shared" si="6"/>
        <v/>
      </c>
      <c r="W1987" s="23"/>
      <c r="X1987" s="23"/>
    </row>
    <row r="1988">
      <c r="A1988" s="70"/>
      <c r="B1988" s="70" t="str">
        <f>IF($A$3=" "," ", IFERROR( VLOOKUP($A1988,'SUPPLIER DATA BASE'!$A$2:$M$936,3,0),""))</f>
        <v/>
      </c>
      <c r="C1988" s="70" t="str">
        <f>IF($A$3=" "," ", IFERROR( VLOOKUP($A1988,'SUPPLIER DATA BASE'!$A$2:$F$936,6,0),""))</f>
        <v/>
      </c>
      <c r="D1988" s="70" t="str">
        <f>IF($A$3=" "," ", IFERROR( VLOOKUP($A1988,'SUPPLIER DATA BASE'!$A$2:$G$936,4,0),""))</f>
        <v/>
      </c>
      <c r="E1988" s="71" t="str">
        <f>IF($A$3=" "," ", IFERROR( VLOOKUP($A1988,'SUPPLIER DATA BASE'!$A$2:$H$936,5,0),""))</f>
        <v/>
      </c>
      <c r="F1988" s="72"/>
      <c r="G1988" s="73"/>
      <c r="H1988" s="74"/>
      <c r="I1988" s="75"/>
      <c r="J1988" s="70"/>
      <c r="K1988" s="70"/>
      <c r="L1988" s="73"/>
      <c r="M1988" s="70" t="str">
        <f t="shared" si="3"/>
        <v/>
      </c>
      <c r="N1988" s="70" t="str">
        <f>IF($A$3=" "," ", IFERROR( VLOOKUP($A1988,'SUPPLIER DATA BASE'!$A$2:$O$936,11,0),""))</f>
        <v/>
      </c>
      <c r="O1988" s="70" t="str">
        <f>IF($A$3=" "," ", IFERROR( VLOOKUP($A1988,'SUPPLIER DATA BASE'!$A$2:$O$936,12,0),""))</f>
        <v/>
      </c>
      <c r="P1988" s="70" t="str">
        <f>IF($A$3=" "," ", IFERROR( VLOOKUP($A1988,'SUPPLIER DATA BASE'!$A$2:$O$936,13,0),""))</f>
        <v/>
      </c>
      <c r="Q1988" s="77"/>
      <c r="R1988" s="73"/>
      <c r="S1988" s="77"/>
      <c r="T1988" s="70"/>
      <c r="U1988" s="78"/>
      <c r="V1988" s="70" t="str">
        <f t="shared" si="6"/>
        <v/>
      </c>
      <c r="W1988" s="23"/>
      <c r="X1988" s="23"/>
    </row>
    <row r="1989">
      <c r="A1989" s="70"/>
      <c r="B1989" s="70" t="str">
        <f>IF($A$3=" "," ", IFERROR( VLOOKUP($A1989,'SUPPLIER DATA BASE'!$A$2:$M$936,3,0),""))</f>
        <v/>
      </c>
      <c r="C1989" s="70" t="str">
        <f>IF($A$3=" "," ", IFERROR( VLOOKUP($A1989,'SUPPLIER DATA BASE'!$A$2:$F$936,6,0),""))</f>
        <v/>
      </c>
      <c r="D1989" s="70" t="str">
        <f>IF($A$3=" "," ", IFERROR( VLOOKUP($A1989,'SUPPLIER DATA BASE'!$A$2:$G$936,4,0),""))</f>
        <v/>
      </c>
      <c r="E1989" s="71" t="str">
        <f>IF($A$3=" "," ", IFERROR( VLOOKUP($A1989,'SUPPLIER DATA BASE'!$A$2:$H$936,5,0),""))</f>
        <v/>
      </c>
      <c r="F1989" s="72"/>
      <c r="G1989" s="73"/>
      <c r="H1989" s="74"/>
      <c r="I1989" s="75"/>
      <c r="J1989" s="70"/>
      <c r="K1989" s="70"/>
      <c r="L1989" s="73"/>
      <c r="M1989" s="70" t="str">
        <f t="shared" si="3"/>
        <v/>
      </c>
      <c r="N1989" s="70" t="str">
        <f>IF($A$3=" "," ", IFERROR( VLOOKUP($A1989,'SUPPLIER DATA BASE'!$A$2:$O$936,11,0),""))</f>
        <v/>
      </c>
      <c r="O1989" s="70" t="str">
        <f>IF($A$3=" "," ", IFERROR( VLOOKUP($A1989,'SUPPLIER DATA BASE'!$A$2:$O$936,12,0),""))</f>
        <v/>
      </c>
      <c r="P1989" s="70" t="str">
        <f>IF($A$3=" "," ", IFERROR( VLOOKUP($A1989,'SUPPLIER DATA BASE'!$A$2:$O$936,13,0),""))</f>
        <v/>
      </c>
      <c r="Q1989" s="77"/>
      <c r="R1989" s="73"/>
      <c r="S1989" s="77"/>
      <c r="T1989" s="70"/>
      <c r="U1989" s="78"/>
      <c r="V1989" s="70" t="str">
        <f t="shared" si="6"/>
        <v/>
      </c>
      <c r="W1989" s="23"/>
      <c r="X1989" s="23"/>
    </row>
    <row r="1990">
      <c r="A1990" s="70"/>
      <c r="B1990" s="70" t="str">
        <f>IF($A$3=" "," ", IFERROR( VLOOKUP($A1990,'SUPPLIER DATA BASE'!$A$2:$M$936,3,0),""))</f>
        <v/>
      </c>
      <c r="C1990" s="70" t="str">
        <f>IF($A$3=" "," ", IFERROR( VLOOKUP($A1990,'SUPPLIER DATA BASE'!$A$2:$F$936,6,0),""))</f>
        <v/>
      </c>
      <c r="D1990" s="70" t="str">
        <f>IF($A$3=" "," ", IFERROR( VLOOKUP($A1990,'SUPPLIER DATA BASE'!$A$2:$G$936,4,0),""))</f>
        <v/>
      </c>
      <c r="E1990" s="71" t="str">
        <f>IF($A$3=" "," ", IFERROR( VLOOKUP($A1990,'SUPPLIER DATA BASE'!$A$2:$H$936,5,0),""))</f>
        <v/>
      </c>
      <c r="F1990" s="72"/>
      <c r="G1990" s="73"/>
      <c r="H1990" s="74"/>
      <c r="I1990" s="75"/>
      <c r="J1990" s="70"/>
      <c r="K1990" s="70"/>
      <c r="L1990" s="73"/>
      <c r="M1990" s="70" t="str">
        <f t="shared" si="3"/>
        <v/>
      </c>
      <c r="N1990" s="70" t="str">
        <f>IF($A$3=" "," ", IFERROR( VLOOKUP($A1990,'SUPPLIER DATA BASE'!$A$2:$O$936,11,0),""))</f>
        <v/>
      </c>
      <c r="O1990" s="70" t="str">
        <f>IF($A$3=" "," ", IFERROR( VLOOKUP($A1990,'SUPPLIER DATA BASE'!$A$2:$O$936,12,0),""))</f>
        <v/>
      </c>
      <c r="P1990" s="70" t="str">
        <f>IF($A$3=" "," ", IFERROR( VLOOKUP($A1990,'SUPPLIER DATA BASE'!$A$2:$O$936,13,0),""))</f>
        <v/>
      </c>
      <c r="Q1990" s="77"/>
      <c r="R1990" s="73"/>
      <c r="S1990" s="77"/>
      <c r="T1990" s="70"/>
      <c r="U1990" s="78"/>
      <c r="V1990" s="70" t="str">
        <f t="shared" si="6"/>
        <v/>
      </c>
      <c r="W1990" s="23"/>
      <c r="X1990" s="23"/>
    </row>
    <row r="1991">
      <c r="A1991" s="70"/>
      <c r="B1991" s="70" t="str">
        <f>IF($A$3=" "," ", IFERROR( VLOOKUP($A1991,'SUPPLIER DATA BASE'!$A$2:$M$936,3,0),""))</f>
        <v/>
      </c>
      <c r="C1991" s="70" t="str">
        <f>IF($A$3=" "," ", IFERROR( VLOOKUP($A1991,'SUPPLIER DATA BASE'!$A$2:$F$936,6,0),""))</f>
        <v/>
      </c>
      <c r="D1991" s="70" t="str">
        <f>IF($A$3=" "," ", IFERROR( VLOOKUP($A1991,'SUPPLIER DATA BASE'!$A$2:$G$936,4,0),""))</f>
        <v/>
      </c>
      <c r="E1991" s="71" t="str">
        <f>IF($A$3=" "," ", IFERROR( VLOOKUP($A1991,'SUPPLIER DATA BASE'!$A$2:$H$936,5,0),""))</f>
        <v/>
      </c>
      <c r="F1991" s="72"/>
      <c r="G1991" s="73"/>
      <c r="H1991" s="74"/>
      <c r="I1991" s="75"/>
      <c r="J1991" s="70"/>
      <c r="K1991" s="70"/>
      <c r="L1991" s="73"/>
      <c r="M1991" s="70" t="str">
        <f t="shared" si="3"/>
        <v/>
      </c>
      <c r="N1991" s="70" t="str">
        <f>IF($A$3=" "," ", IFERROR( VLOOKUP($A1991,'SUPPLIER DATA BASE'!$A$2:$O$936,11,0),""))</f>
        <v/>
      </c>
      <c r="O1991" s="70" t="str">
        <f>IF($A$3=" "," ", IFERROR( VLOOKUP($A1991,'SUPPLIER DATA BASE'!$A$2:$O$936,12,0),""))</f>
        <v/>
      </c>
      <c r="P1991" s="70" t="str">
        <f>IF($A$3=" "," ", IFERROR( VLOOKUP($A1991,'SUPPLIER DATA BASE'!$A$2:$O$936,13,0),""))</f>
        <v/>
      </c>
      <c r="Q1991" s="77"/>
      <c r="R1991" s="73"/>
      <c r="S1991" s="77"/>
      <c r="T1991" s="70"/>
      <c r="U1991" s="78"/>
      <c r="V1991" s="70" t="str">
        <f t="shared" si="6"/>
        <v/>
      </c>
      <c r="W1991" s="23"/>
      <c r="X1991" s="23"/>
    </row>
    <row r="1992">
      <c r="A1992" s="70"/>
      <c r="B1992" s="70" t="str">
        <f>IF($A$3=" "," ", IFERROR( VLOOKUP($A1992,'SUPPLIER DATA BASE'!$A$2:$M$936,3,0),""))</f>
        <v/>
      </c>
      <c r="C1992" s="70" t="str">
        <f>IF($A$3=" "," ", IFERROR( VLOOKUP($A1992,'SUPPLIER DATA BASE'!$A$2:$F$936,6,0),""))</f>
        <v/>
      </c>
      <c r="D1992" s="70" t="str">
        <f>IF($A$3=" "," ", IFERROR( VLOOKUP($A1992,'SUPPLIER DATA BASE'!$A$2:$G$936,4,0),""))</f>
        <v/>
      </c>
      <c r="E1992" s="71" t="str">
        <f>IF($A$3=" "," ", IFERROR( VLOOKUP($A1992,'SUPPLIER DATA BASE'!$A$2:$H$936,5,0),""))</f>
        <v/>
      </c>
      <c r="F1992" s="72"/>
      <c r="G1992" s="73"/>
      <c r="H1992" s="74"/>
      <c r="I1992" s="75"/>
      <c r="J1992" s="70"/>
      <c r="K1992" s="70"/>
      <c r="L1992" s="73"/>
      <c r="M1992" s="70" t="str">
        <f t="shared" si="3"/>
        <v/>
      </c>
      <c r="N1992" s="70" t="str">
        <f>IF($A$3=" "," ", IFERROR( VLOOKUP($A1992,'SUPPLIER DATA BASE'!$A$2:$O$936,11,0),""))</f>
        <v/>
      </c>
      <c r="O1992" s="70" t="str">
        <f>IF($A$3=" "," ", IFERROR( VLOOKUP($A1992,'SUPPLIER DATA BASE'!$A$2:$O$936,12,0),""))</f>
        <v/>
      </c>
      <c r="P1992" s="70" t="str">
        <f>IF($A$3=" "," ", IFERROR( VLOOKUP($A1992,'SUPPLIER DATA BASE'!$A$2:$O$936,13,0),""))</f>
        <v/>
      </c>
      <c r="Q1992" s="77"/>
      <c r="R1992" s="73"/>
      <c r="S1992" s="77"/>
      <c r="T1992" s="70"/>
      <c r="U1992" s="78"/>
      <c r="V1992" s="70" t="str">
        <f t="shared" si="6"/>
        <v/>
      </c>
      <c r="W1992" s="23"/>
      <c r="X1992" s="23"/>
    </row>
    <row r="1993">
      <c r="A1993" s="70"/>
      <c r="B1993" s="70" t="str">
        <f>IF($A$3=" "," ", IFERROR( VLOOKUP($A1993,'SUPPLIER DATA BASE'!$A$2:$M$936,3,0),""))</f>
        <v/>
      </c>
      <c r="C1993" s="70" t="str">
        <f>IF($A$3=" "," ", IFERROR( VLOOKUP($A1993,'SUPPLIER DATA BASE'!$A$2:$F$936,6,0),""))</f>
        <v/>
      </c>
      <c r="D1993" s="70" t="str">
        <f>IF($A$3=" "," ", IFERROR( VLOOKUP($A1993,'SUPPLIER DATA BASE'!$A$2:$G$936,4,0),""))</f>
        <v/>
      </c>
      <c r="E1993" s="71" t="str">
        <f>IF($A$3=" "," ", IFERROR( VLOOKUP($A1993,'SUPPLIER DATA BASE'!$A$2:$H$936,5,0),""))</f>
        <v/>
      </c>
      <c r="F1993" s="72"/>
      <c r="G1993" s="73"/>
      <c r="H1993" s="74"/>
      <c r="I1993" s="75"/>
      <c r="J1993" s="70"/>
      <c r="K1993" s="70"/>
      <c r="L1993" s="73"/>
      <c r="M1993" s="70" t="str">
        <f t="shared" si="3"/>
        <v/>
      </c>
      <c r="N1993" s="70" t="str">
        <f>IF($A$3=" "," ", IFERROR( VLOOKUP($A1993,'SUPPLIER DATA BASE'!$A$2:$O$936,11,0),""))</f>
        <v/>
      </c>
      <c r="O1993" s="70" t="str">
        <f>IF($A$3=" "," ", IFERROR( VLOOKUP($A1993,'SUPPLIER DATA BASE'!$A$2:$O$936,12,0),""))</f>
        <v/>
      </c>
      <c r="P1993" s="70" t="str">
        <f>IF($A$3=" "," ", IFERROR( VLOOKUP($A1993,'SUPPLIER DATA BASE'!$A$2:$O$936,13,0),""))</f>
        <v/>
      </c>
      <c r="Q1993" s="77"/>
      <c r="R1993" s="73"/>
      <c r="S1993" s="77"/>
      <c r="T1993" s="70"/>
      <c r="U1993" s="78"/>
      <c r="V1993" s="70" t="str">
        <f t="shared" si="6"/>
        <v/>
      </c>
      <c r="W1993" s="23"/>
      <c r="X1993" s="23"/>
    </row>
    <row r="1994">
      <c r="A1994" s="70"/>
      <c r="B1994" s="70" t="str">
        <f>IF($A$3=" "," ", IFERROR( VLOOKUP($A1994,'SUPPLIER DATA BASE'!$A$2:$M$936,3,0),""))</f>
        <v/>
      </c>
      <c r="C1994" s="70" t="str">
        <f>IF($A$3=" "," ", IFERROR( VLOOKUP($A1994,'SUPPLIER DATA BASE'!$A$2:$F$936,6,0),""))</f>
        <v/>
      </c>
      <c r="D1994" s="70" t="str">
        <f>IF($A$3=" "," ", IFERROR( VLOOKUP($A1994,'SUPPLIER DATA BASE'!$A$2:$G$936,4,0),""))</f>
        <v/>
      </c>
      <c r="E1994" s="71" t="str">
        <f>IF($A$3=" "," ", IFERROR( VLOOKUP($A1994,'SUPPLIER DATA BASE'!$A$2:$H$936,5,0),""))</f>
        <v/>
      </c>
      <c r="F1994" s="72"/>
      <c r="G1994" s="73"/>
      <c r="H1994" s="74"/>
      <c r="I1994" s="75"/>
      <c r="J1994" s="70"/>
      <c r="K1994" s="70"/>
      <c r="L1994" s="73"/>
      <c r="M1994" s="70" t="str">
        <f t="shared" si="3"/>
        <v/>
      </c>
      <c r="N1994" s="70" t="str">
        <f>IF($A$3=" "," ", IFERROR( VLOOKUP($A1994,'SUPPLIER DATA BASE'!$A$2:$O$936,11,0),""))</f>
        <v/>
      </c>
      <c r="O1994" s="70" t="str">
        <f>IF($A$3=" "," ", IFERROR( VLOOKUP($A1994,'SUPPLIER DATA BASE'!$A$2:$O$936,12,0),""))</f>
        <v/>
      </c>
      <c r="P1994" s="70" t="str">
        <f>IF($A$3=" "," ", IFERROR( VLOOKUP($A1994,'SUPPLIER DATA BASE'!$A$2:$O$936,13,0),""))</f>
        <v/>
      </c>
      <c r="Q1994" s="77"/>
      <c r="R1994" s="73"/>
      <c r="S1994" s="77"/>
      <c r="T1994" s="70"/>
      <c r="U1994" s="78"/>
      <c r="V1994" s="70" t="str">
        <f t="shared" si="6"/>
        <v/>
      </c>
      <c r="W1994" s="23"/>
      <c r="X1994" s="23"/>
    </row>
  </sheetData>
  <autoFilter ref="$A$2:$X$1482">
    <sortState ref="A2:X1482">
      <sortCondition ref="G2:G1482"/>
    </sortState>
  </autoFilter>
  <mergeCells count="1">
    <mergeCell ref="A1:E1"/>
  </mergeCells>
  <conditionalFormatting sqref="F3:G1994">
    <cfRule type="expression" dxfId="0" priority="1">
      <formula>AND($G3&lt;&gt;"",$F3&lt;&gt;"",COUNTIFS($G:$G,$G3,$F:$F,$F3)&gt;1)</formula>
    </cfRule>
  </conditionalFormatting>
  <conditionalFormatting sqref="J3:J1994">
    <cfRule type="expression" dxfId="2" priority="2">
      <formula>COUNTIF(J:J,J3)&gt;1</formula>
    </cfRule>
  </conditionalFormatting>
  <dataValidations>
    <dataValidation type="list" allowBlank="1" showInputMessage="1" showErrorMessage="1" prompt="Click and enter a value." sqref="A3:A1994">
      <formula1>'SUPPLIER DATA BASE'!$A$2:$A$936</formula1>
    </dataValidation>
    <dataValidation type="list" allowBlank="1" showErrorMessage="1" sqref="V3:V1994">
      <formula1>"FY 24-25,FY 25-26,FY 26-27"</formula1>
    </dataValidation>
  </dataValidations>
  <hyperlinks>
    <hyperlink r:id="rId4" ref="J3"/>
    <hyperlink r:id="rId5" ref="J4"/>
    <hyperlink r:id="rId6" ref="J5"/>
    <hyperlink r:id="rId7" ref="J6"/>
    <hyperlink r:id="rId8" ref="J7"/>
    <hyperlink r:id="rId9" ref="J8"/>
    <hyperlink r:id="rId10" ref="J9"/>
    <hyperlink r:id="rId11" ref="J10"/>
    <hyperlink r:id="rId12" ref="J11"/>
    <hyperlink r:id="rId13" ref="J12"/>
    <hyperlink r:id="rId14" ref="J13"/>
    <hyperlink r:id="rId15" ref="J14"/>
    <hyperlink r:id="rId16" ref="J15"/>
    <hyperlink r:id="rId17" ref="J16"/>
    <hyperlink r:id="rId18" ref="J17"/>
    <hyperlink r:id="rId19" ref="J18"/>
    <hyperlink r:id="rId20" ref="J19"/>
    <hyperlink r:id="rId21" ref="J20"/>
    <hyperlink r:id="rId22" ref="J21"/>
    <hyperlink r:id="rId23" ref="J22"/>
    <hyperlink r:id="rId24" ref="J23"/>
    <hyperlink r:id="rId25" ref="J24"/>
    <hyperlink r:id="rId26" ref="J25"/>
    <hyperlink r:id="rId27" ref="J26"/>
    <hyperlink r:id="rId28" ref="J27"/>
    <hyperlink r:id="rId29" ref="J28"/>
    <hyperlink r:id="rId30" ref="J29"/>
    <hyperlink r:id="rId31" ref="J30"/>
    <hyperlink r:id="rId32" ref="J31"/>
    <hyperlink r:id="rId33" ref="J32"/>
    <hyperlink r:id="rId34" ref="J33"/>
    <hyperlink r:id="rId35" ref="J34"/>
    <hyperlink r:id="rId36" ref="J35"/>
    <hyperlink r:id="rId37" ref="J36"/>
    <hyperlink r:id="rId38" ref="J37"/>
    <hyperlink r:id="rId39" ref="J38"/>
    <hyperlink r:id="rId40" ref="J39"/>
    <hyperlink r:id="rId41" ref="J40"/>
    <hyperlink r:id="rId42" ref="J41"/>
    <hyperlink r:id="rId43" ref="J42"/>
    <hyperlink r:id="rId44" ref="J43"/>
    <hyperlink r:id="rId45" ref="J44"/>
    <hyperlink r:id="rId46" ref="J45"/>
    <hyperlink r:id="rId47" ref="J46"/>
    <hyperlink r:id="rId48" ref="J47"/>
    <hyperlink r:id="rId49" ref="J48"/>
    <hyperlink r:id="rId50" ref="J49"/>
    <hyperlink r:id="rId51" ref="J50"/>
    <hyperlink r:id="rId52" ref="J51"/>
    <hyperlink r:id="rId53" ref="J52"/>
    <hyperlink r:id="rId54" ref="J53"/>
    <hyperlink r:id="rId55" ref="J54"/>
    <hyperlink r:id="rId56" ref="J55"/>
    <hyperlink r:id="rId57" ref="J56"/>
    <hyperlink r:id="rId58" ref="J57"/>
    <hyperlink r:id="rId59" ref="J58"/>
    <hyperlink r:id="rId60" ref="J59"/>
    <hyperlink r:id="rId61" ref="J60"/>
    <hyperlink r:id="rId62" ref="J61"/>
    <hyperlink r:id="rId63" ref="J62"/>
    <hyperlink r:id="rId64" ref="J63"/>
    <hyperlink r:id="rId65" ref="J64"/>
    <hyperlink r:id="rId66" ref="J65"/>
    <hyperlink r:id="rId67" ref="J66"/>
    <hyperlink r:id="rId68" ref="J67"/>
    <hyperlink r:id="rId69" ref="J68"/>
    <hyperlink r:id="rId70" ref="J69"/>
    <hyperlink r:id="rId71" ref="J70"/>
    <hyperlink r:id="rId72" ref="J71"/>
    <hyperlink r:id="rId73" ref="J72"/>
    <hyperlink r:id="rId74" ref="J73"/>
    <hyperlink r:id="rId75" ref="J74"/>
    <hyperlink r:id="rId76" ref="J75"/>
    <hyperlink r:id="rId77" ref="J76"/>
    <hyperlink r:id="rId78" ref="J77"/>
    <hyperlink r:id="rId79" ref="J78"/>
    <hyperlink r:id="rId80" ref="J79"/>
    <hyperlink r:id="rId81" ref="J80"/>
    <hyperlink r:id="rId82" ref="J81"/>
    <hyperlink r:id="rId83" ref="J82"/>
    <hyperlink r:id="rId84" ref="J83"/>
    <hyperlink r:id="rId85" ref="J84"/>
    <hyperlink r:id="rId86" ref="J85"/>
    <hyperlink r:id="rId87" ref="J86"/>
    <hyperlink r:id="rId88" ref="J87"/>
    <hyperlink r:id="rId89" ref="J88"/>
    <hyperlink r:id="rId90" ref="J89"/>
    <hyperlink r:id="rId91" ref="J90"/>
    <hyperlink r:id="rId92" ref="J91"/>
    <hyperlink r:id="rId93" ref="J92"/>
    <hyperlink r:id="rId94" ref="J93"/>
    <hyperlink r:id="rId95" ref="J94"/>
    <hyperlink r:id="rId96" ref="J95"/>
    <hyperlink r:id="rId97" ref="J96"/>
    <hyperlink r:id="rId98" ref="J97"/>
    <hyperlink r:id="rId99" ref="J98"/>
    <hyperlink r:id="rId100" ref="J99"/>
    <hyperlink r:id="rId101" ref="J101"/>
    <hyperlink r:id="rId102" ref="J102"/>
    <hyperlink r:id="rId103" ref="J103"/>
    <hyperlink r:id="rId104" ref="J104"/>
    <hyperlink r:id="rId105" ref="J105"/>
    <hyperlink r:id="rId106" ref="J106"/>
    <hyperlink r:id="rId107" ref="J107"/>
    <hyperlink r:id="rId108" ref="J108"/>
    <hyperlink r:id="rId109" ref="J109"/>
    <hyperlink r:id="rId110" ref="J110"/>
    <hyperlink r:id="rId111" ref="J111"/>
    <hyperlink r:id="rId112" ref="J112"/>
    <hyperlink r:id="rId113" ref="J113"/>
    <hyperlink r:id="rId114" ref="J114"/>
    <hyperlink r:id="rId115" ref="J115"/>
    <hyperlink r:id="rId116" ref="J116"/>
    <hyperlink r:id="rId117" ref="J117"/>
    <hyperlink r:id="rId118" ref="J118"/>
    <hyperlink r:id="rId119" ref="J119"/>
    <hyperlink r:id="rId120" ref="J120"/>
    <hyperlink r:id="rId121" ref="J121"/>
    <hyperlink r:id="rId122" ref="J122"/>
    <hyperlink r:id="rId123" ref="J123"/>
    <hyperlink r:id="rId124" ref="J124"/>
    <hyperlink r:id="rId125" ref="J125"/>
    <hyperlink r:id="rId126" ref="J126"/>
    <hyperlink r:id="rId127" ref="J127"/>
    <hyperlink r:id="rId128" ref="J128"/>
    <hyperlink r:id="rId129" ref="J129"/>
    <hyperlink r:id="rId130" ref="J130"/>
    <hyperlink r:id="rId131" ref="J131"/>
    <hyperlink r:id="rId132" ref="J132"/>
    <hyperlink r:id="rId133" ref="J133"/>
    <hyperlink r:id="rId134" ref="J134"/>
    <hyperlink r:id="rId135" ref="J135"/>
    <hyperlink r:id="rId136" ref="J136"/>
    <hyperlink r:id="rId137" ref="J137"/>
    <hyperlink r:id="rId138" ref="J138"/>
    <hyperlink r:id="rId139" ref="J139"/>
    <hyperlink r:id="rId140" ref="J140"/>
    <hyperlink r:id="rId141" ref="J141"/>
    <hyperlink r:id="rId142" ref="J142"/>
    <hyperlink r:id="rId143" ref="J143"/>
    <hyperlink r:id="rId144" ref="J144"/>
    <hyperlink r:id="rId145" ref="J145"/>
    <hyperlink r:id="rId146" ref="J146"/>
    <hyperlink r:id="rId147" ref="J147"/>
    <hyperlink r:id="rId148" ref="J148"/>
    <hyperlink r:id="rId149" ref="J149"/>
    <hyperlink r:id="rId150" ref="J150"/>
    <hyperlink r:id="rId151" ref="J151"/>
    <hyperlink r:id="rId152" ref="J152"/>
    <hyperlink r:id="rId153" ref="J153"/>
    <hyperlink r:id="rId154" ref="J154"/>
    <hyperlink r:id="rId155" ref="J155"/>
    <hyperlink r:id="rId156" ref="J156"/>
    <hyperlink r:id="rId157" ref="J157"/>
    <hyperlink r:id="rId158" ref="J158"/>
    <hyperlink r:id="rId159" ref="J159"/>
    <hyperlink r:id="rId160" ref="J160"/>
    <hyperlink r:id="rId161" ref="J161"/>
    <hyperlink r:id="rId162" ref="J162"/>
    <hyperlink r:id="rId163" ref="J163"/>
    <hyperlink r:id="rId164" ref="J164"/>
    <hyperlink r:id="rId165" ref="J165"/>
    <hyperlink r:id="rId166" ref="J166"/>
    <hyperlink r:id="rId167" ref="J167"/>
    <hyperlink r:id="rId168" ref="J168"/>
    <hyperlink r:id="rId169" ref="J169"/>
    <hyperlink r:id="rId170" ref="J170"/>
    <hyperlink r:id="rId171" ref="J171"/>
    <hyperlink r:id="rId172" ref="J172"/>
    <hyperlink r:id="rId173" ref="J173"/>
    <hyperlink r:id="rId174" ref="J174"/>
    <hyperlink r:id="rId175" ref="J175"/>
    <hyperlink r:id="rId176" ref="J176"/>
    <hyperlink r:id="rId177" ref="J177"/>
    <hyperlink r:id="rId178" ref="J178"/>
    <hyperlink r:id="rId179" ref="J179"/>
    <hyperlink r:id="rId180" ref="J180"/>
    <hyperlink r:id="rId181" ref="J181"/>
    <hyperlink r:id="rId182" ref="J182"/>
    <hyperlink r:id="rId183" ref="J183"/>
    <hyperlink r:id="rId184" ref="J184"/>
    <hyperlink r:id="rId185" ref="J185"/>
    <hyperlink r:id="rId186" ref="J186"/>
    <hyperlink r:id="rId187" ref="J187"/>
    <hyperlink r:id="rId188" ref="J188"/>
    <hyperlink r:id="rId189" ref="J189"/>
    <hyperlink r:id="rId190" ref="J190"/>
    <hyperlink r:id="rId191" ref="J191"/>
    <hyperlink r:id="rId192" ref="J192"/>
    <hyperlink r:id="rId193" ref="J193"/>
    <hyperlink r:id="rId194" ref="J194"/>
    <hyperlink r:id="rId195" ref="J195"/>
    <hyperlink r:id="rId196" ref="J196"/>
    <hyperlink r:id="rId197" ref="J197"/>
    <hyperlink r:id="rId198" ref="J198"/>
    <hyperlink r:id="rId199" ref="J199"/>
    <hyperlink r:id="rId200" ref="J200"/>
    <hyperlink r:id="rId201" ref="J201"/>
    <hyperlink r:id="rId202" ref="J202"/>
    <hyperlink r:id="rId203" ref="J203"/>
    <hyperlink r:id="rId204" ref="J204"/>
    <hyperlink r:id="rId205" ref="J205"/>
    <hyperlink r:id="rId206" ref="J206"/>
    <hyperlink r:id="rId207" ref="J207"/>
    <hyperlink r:id="rId208" ref="J208"/>
    <hyperlink r:id="rId209" ref="J209"/>
    <hyperlink r:id="rId210" ref="J210"/>
    <hyperlink r:id="rId211" ref="J211"/>
    <hyperlink r:id="rId212" ref="J212"/>
    <hyperlink r:id="rId213" ref="J213"/>
    <hyperlink r:id="rId214" ref="J214"/>
    <hyperlink r:id="rId215" ref="J215"/>
    <hyperlink r:id="rId216" ref="J216"/>
    <hyperlink r:id="rId217" ref="J217"/>
    <hyperlink r:id="rId218" ref="J218"/>
    <hyperlink r:id="rId219" ref="J219"/>
    <hyperlink r:id="rId220" ref="J220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  <hyperlink r:id="rId551" ref="J552"/>
    <hyperlink r:id="rId552" ref="J553"/>
    <hyperlink r:id="rId553" ref="J554"/>
    <hyperlink r:id="rId554" ref="J555"/>
    <hyperlink r:id="rId555" ref="J556"/>
    <hyperlink r:id="rId556" ref="J557"/>
    <hyperlink r:id="rId557" ref="J558"/>
    <hyperlink r:id="rId558" ref="J559"/>
    <hyperlink r:id="rId559" ref="J560"/>
    <hyperlink r:id="rId560" ref="J561"/>
    <hyperlink r:id="rId561" ref="J562"/>
    <hyperlink r:id="rId562" ref="J563"/>
    <hyperlink r:id="rId563" ref="J564"/>
    <hyperlink r:id="rId564" ref="J565"/>
    <hyperlink r:id="rId565" ref="J566"/>
    <hyperlink r:id="rId566" ref="J567"/>
    <hyperlink r:id="rId567" ref="J568"/>
    <hyperlink r:id="rId568" ref="J569"/>
    <hyperlink r:id="rId569" ref="J570"/>
    <hyperlink r:id="rId570" ref="J571"/>
    <hyperlink r:id="rId571" ref="J572"/>
    <hyperlink r:id="rId572" ref="J573"/>
    <hyperlink r:id="rId573" ref="J574"/>
    <hyperlink r:id="rId574" ref="J575"/>
    <hyperlink r:id="rId575" ref="J576"/>
    <hyperlink r:id="rId576" ref="J577"/>
    <hyperlink r:id="rId577" ref="J578"/>
    <hyperlink r:id="rId578" ref="J579"/>
    <hyperlink r:id="rId579" ref="J580"/>
    <hyperlink r:id="rId580" ref="J581"/>
    <hyperlink r:id="rId581" ref="J582"/>
    <hyperlink r:id="rId582" ref="J583"/>
    <hyperlink r:id="rId583" ref="J584"/>
    <hyperlink r:id="rId584" ref="J585"/>
    <hyperlink r:id="rId585" ref="J586"/>
    <hyperlink r:id="rId586" ref="J587"/>
    <hyperlink r:id="rId587" ref="J588"/>
    <hyperlink r:id="rId588" ref="J589"/>
    <hyperlink r:id="rId589" ref="J590"/>
    <hyperlink r:id="rId590" ref="J591"/>
    <hyperlink r:id="rId591" ref="J592"/>
    <hyperlink r:id="rId592" ref="J593"/>
    <hyperlink r:id="rId593" ref="J594"/>
    <hyperlink r:id="rId594" ref="J595"/>
    <hyperlink r:id="rId595" ref="J596"/>
    <hyperlink r:id="rId596" ref="J597"/>
    <hyperlink r:id="rId597" ref="J598"/>
    <hyperlink r:id="rId598" ref="J599"/>
    <hyperlink r:id="rId599" ref="J600"/>
    <hyperlink r:id="rId600" ref="J601"/>
    <hyperlink r:id="rId601" ref="J602"/>
    <hyperlink r:id="rId602" ref="J603"/>
    <hyperlink r:id="rId603" ref="J604"/>
    <hyperlink r:id="rId604" ref="J605"/>
    <hyperlink r:id="rId605" ref="J606"/>
    <hyperlink r:id="rId606" ref="J607"/>
    <hyperlink r:id="rId607" ref="J608"/>
    <hyperlink r:id="rId608" ref="J609"/>
    <hyperlink r:id="rId609" ref="J610"/>
    <hyperlink r:id="rId610" ref="J611"/>
    <hyperlink r:id="rId611" ref="J612"/>
    <hyperlink r:id="rId612" ref="J613"/>
    <hyperlink r:id="rId613" ref="J614"/>
    <hyperlink r:id="rId614" ref="J615"/>
    <hyperlink r:id="rId615" ref="J616"/>
    <hyperlink r:id="rId616" ref="J617"/>
    <hyperlink r:id="rId617" ref="J618"/>
    <hyperlink r:id="rId618" ref="J619"/>
    <hyperlink r:id="rId619" ref="J620"/>
    <hyperlink r:id="rId620" ref="J621"/>
    <hyperlink r:id="rId621" ref="J622"/>
    <hyperlink r:id="rId622" ref="J623"/>
    <hyperlink r:id="rId623" ref="J624"/>
    <hyperlink r:id="rId624" ref="J625"/>
    <hyperlink r:id="rId625" ref="J626"/>
    <hyperlink r:id="rId626" ref="J627"/>
    <hyperlink r:id="rId627" ref="J628"/>
    <hyperlink r:id="rId628" ref="J629"/>
    <hyperlink r:id="rId629" ref="J630"/>
    <hyperlink r:id="rId630" ref="J631"/>
    <hyperlink r:id="rId631" ref="J632"/>
    <hyperlink r:id="rId632" ref="J633"/>
    <hyperlink r:id="rId633" ref="J634"/>
    <hyperlink r:id="rId634" ref="J635"/>
    <hyperlink r:id="rId635" ref="J636"/>
    <hyperlink r:id="rId636" ref="J637"/>
    <hyperlink r:id="rId637" ref="J638"/>
    <hyperlink r:id="rId638" ref="J639"/>
    <hyperlink r:id="rId639" ref="J640"/>
    <hyperlink r:id="rId640" ref="J641"/>
    <hyperlink r:id="rId641" ref="J642"/>
    <hyperlink r:id="rId642" ref="J643"/>
    <hyperlink r:id="rId643" ref="J644"/>
    <hyperlink r:id="rId644" ref="J645"/>
    <hyperlink r:id="rId645" ref="J646"/>
    <hyperlink r:id="rId646" ref="J647"/>
    <hyperlink r:id="rId647" ref="J648"/>
    <hyperlink r:id="rId648" ref="J649"/>
    <hyperlink r:id="rId649" ref="J650"/>
    <hyperlink r:id="rId650" ref="J651"/>
    <hyperlink r:id="rId651" ref="J652"/>
    <hyperlink r:id="rId652" ref="J653"/>
    <hyperlink r:id="rId653" ref="J654"/>
    <hyperlink r:id="rId654" ref="J655"/>
    <hyperlink r:id="rId655" ref="J656"/>
    <hyperlink r:id="rId656" ref="J657"/>
    <hyperlink r:id="rId657" ref="J658"/>
    <hyperlink r:id="rId658" ref="J659"/>
    <hyperlink r:id="rId659" ref="J660"/>
    <hyperlink r:id="rId660" ref="J661"/>
    <hyperlink r:id="rId661" ref="J662"/>
    <hyperlink r:id="rId662" ref="J663"/>
    <hyperlink r:id="rId663" ref="J664"/>
    <hyperlink r:id="rId664" ref="J665"/>
    <hyperlink r:id="rId665" ref="J666"/>
    <hyperlink r:id="rId666" ref="J667"/>
    <hyperlink r:id="rId667" ref="J668"/>
    <hyperlink r:id="rId668" ref="J669"/>
    <hyperlink r:id="rId669" ref="J670"/>
    <hyperlink r:id="rId670" ref="J671"/>
    <hyperlink r:id="rId671" ref="J672"/>
    <hyperlink r:id="rId672" ref="J673"/>
    <hyperlink r:id="rId673" ref="J674"/>
    <hyperlink r:id="rId674" ref="J675"/>
    <hyperlink r:id="rId675" ref="J676"/>
    <hyperlink r:id="rId676" ref="J677"/>
    <hyperlink r:id="rId677" ref="J678"/>
    <hyperlink r:id="rId678" ref="J679"/>
    <hyperlink r:id="rId679" ref="J680"/>
    <hyperlink r:id="rId680" ref="J681"/>
    <hyperlink r:id="rId681" ref="J682"/>
    <hyperlink r:id="rId682" ref="J683"/>
    <hyperlink r:id="rId683" ref="J684"/>
    <hyperlink r:id="rId684" ref="J685"/>
    <hyperlink r:id="rId685" ref="J686"/>
    <hyperlink r:id="rId686" ref="J687"/>
    <hyperlink r:id="rId687" ref="J688"/>
    <hyperlink r:id="rId688" ref="J689"/>
    <hyperlink r:id="rId689" ref="J690"/>
    <hyperlink r:id="rId690" ref="J691"/>
    <hyperlink r:id="rId691" ref="J692"/>
    <hyperlink r:id="rId692" ref="J693"/>
    <hyperlink r:id="rId693" ref="J694"/>
    <hyperlink r:id="rId694" ref="J695"/>
    <hyperlink r:id="rId695" ref="J696"/>
    <hyperlink r:id="rId696" ref="J697"/>
    <hyperlink r:id="rId697" ref="J698"/>
    <hyperlink r:id="rId698" ref="J699"/>
    <hyperlink r:id="rId699" ref="J700"/>
    <hyperlink r:id="rId700" ref="J701"/>
    <hyperlink r:id="rId701" ref="J702"/>
    <hyperlink r:id="rId702" ref="J703"/>
    <hyperlink r:id="rId703" ref="J704"/>
    <hyperlink r:id="rId704" ref="K704"/>
    <hyperlink r:id="rId705" ref="K705"/>
    <hyperlink r:id="rId706" ref="J706"/>
    <hyperlink r:id="rId707" ref="K706"/>
    <hyperlink r:id="rId708" ref="J707"/>
    <hyperlink r:id="rId709" ref="K707"/>
    <hyperlink r:id="rId710" ref="J708"/>
    <hyperlink r:id="rId711" ref="K708"/>
    <hyperlink r:id="rId712" ref="J709"/>
    <hyperlink r:id="rId713" ref="K709"/>
    <hyperlink r:id="rId714" ref="J710"/>
    <hyperlink r:id="rId715" ref="K710"/>
    <hyperlink r:id="rId716" ref="J711"/>
    <hyperlink r:id="rId717" ref="K711"/>
    <hyperlink r:id="rId718" ref="J712"/>
    <hyperlink r:id="rId719" ref="K712"/>
    <hyperlink r:id="rId720" ref="J713"/>
    <hyperlink r:id="rId721" ref="K713"/>
    <hyperlink r:id="rId722" ref="J714"/>
    <hyperlink r:id="rId723" ref="K714"/>
    <hyperlink r:id="rId724" ref="J715"/>
    <hyperlink r:id="rId725" ref="K715"/>
    <hyperlink r:id="rId726" ref="J716"/>
    <hyperlink r:id="rId727" ref="K716"/>
    <hyperlink r:id="rId728" ref="J717"/>
    <hyperlink r:id="rId729" ref="K717"/>
    <hyperlink r:id="rId730" ref="J718"/>
    <hyperlink r:id="rId731" ref="K718"/>
    <hyperlink r:id="rId732" ref="J719"/>
    <hyperlink r:id="rId733" ref="K719"/>
    <hyperlink r:id="rId734" ref="J720"/>
    <hyperlink r:id="rId735" ref="K720"/>
    <hyperlink r:id="rId736" ref="J721"/>
    <hyperlink r:id="rId737" ref="K721"/>
    <hyperlink r:id="rId738" ref="J722"/>
    <hyperlink r:id="rId739" ref="K722"/>
    <hyperlink r:id="rId740" ref="J723"/>
    <hyperlink r:id="rId741" ref="K723"/>
    <hyperlink r:id="rId742" ref="J724"/>
    <hyperlink r:id="rId743" ref="K724"/>
    <hyperlink r:id="rId744" ref="J725"/>
    <hyperlink r:id="rId745" ref="K725"/>
    <hyperlink r:id="rId746" ref="J726"/>
    <hyperlink r:id="rId747" ref="K726"/>
    <hyperlink r:id="rId748" ref="J727"/>
    <hyperlink r:id="rId749" ref="K727"/>
    <hyperlink r:id="rId750" ref="J728"/>
    <hyperlink r:id="rId751" ref="K728"/>
    <hyperlink r:id="rId752" ref="J729"/>
    <hyperlink r:id="rId753" ref="K729"/>
    <hyperlink r:id="rId754" ref="J730"/>
    <hyperlink r:id="rId755" ref="K730"/>
    <hyperlink r:id="rId756" ref="J731"/>
    <hyperlink r:id="rId757" ref="K731"/>
    <hyperlink r:id="rId758" ref="J732"/>
    <hyperlink r:id="rId759" ref="K732"/>
    <hyperlink r:id="rId760" ref="J733"/>
    <hyperlink r:id="rId761" ref="K733"/>
    <hyperlink r:id="rId762" ref="J734"/>
    <hyperlink r:id="rId763" ref="K734"/>
    <hyperlink r:id="rId764" ref="J735"/>
    <hyperlink r:id="rId765" ref="K735"/>
    <hyperlink r:id="rId766" ref="J736"/>
    <hyperlink r:id="rId767" ref="K736"/>
    <hyperlink r:id="rId768" ref="J737"/>
    <hyperlink r:id="rId769" ref="K737"/>
    <hyperlink r:id="rId770" ref="J738"/>
    <hyperlink r:id="rId771" ref="K738"/>
    <hyperlink r:id="rId772" ref="J739"/>
    <hyperlink r:id="rId773" ref="K739"/>
    <hyperlink r:id="rId774" ref="J740"/>
    <hyperlink r:id="rId775" ref="K740"/>
    <hyperlink r:id="rId776" ref="J741"/>
    <hyperlink r:id="rId777" ref="K741"/>
    <hyperlink r:id="rId778" ref="J742"/>
    <hyperlink r:id="rId779" ref="K742"/>
    <hyperlink r:id="rId780" ref="J743"/>
    <hyperlink r:id="rId781" ref="K743"/>
    <hyperlink r:id="rId782" ref="J744"/>
    <hyperlink r:id="rId783" ref="K744"/>
    <hyperlink r:id="rId784" ref="J745"/>
    <hyperlink r:id="rId785" ref="K745"/>
    <hyperlink r:id="rId786" ref="J746"/>
    <hyperlink r:id="rId787" ref="K746"/>
    <hyperlink r:id="rId788" ref="J747"/>
    <hyperlink r:id="rId789" ref="K747"/>
    <hyperlink r:id="rId790" ref="J748"/>
    <hyperlink r:id="rId791" ref="K748"/>
    <hyperlink r:id="rId792" ref="J749"/>
    <hyperlink r:id="rId793" ref="K749"/>
    <hyperlink r:id="rId794" ref="J750"/>
    <hyperlink r:id="rId795" ref="K750"/>
    <hyperlink r:id="rId796" ref="J751"/>
    <hyperlink r:id="rId797" ref="K751"/>
    <hyperlink r:id="rId798" ref="J752"/>
    <hyperlink r:id="rId799" ref="K752"/>
    <hyperlink r:id="rId800" ref="J753"/>
    <hyperlink r:id="rId801" ref="K753"/>
    <hyperlink r:id="rId802" ref="J754"/>
    <hyperlink r:id="rId803" ref="K754"/>
    <hyperlink r:id="rId804" ref="J755"/>
    <hyperlink r:id="rId805" ref="K755"/>
    <hyperlink r:id="rId806" ref="J756"/>
    <hyperlink r:id="rId807" ref="K756"/>
    <hyperlink r:id="rId808" ref="J757"/>
    <hyperlink r:id="rId809" ref="K757"/>
    <hyperlink r:id="rId810" ref="J758"/>
    <hyperlink r:id="rId811" ref="K758"/>
    <hyperlink r:id="rId812" ref="J759"/>
    <hyperlink r:id="rId813" ref="K759"/>
    <hyperlink r:id="rId814" ref="J760"/>
    <hyperlink r:id="rId815" ref="K760"/>
    <hyperlink r:id="rId816" ref="J761"/>
    <hyperlink r:id="rId817" ref="K761"/>
    <hyperlink r:id="rId818" ref="J762"/>
    <hyperlink r:id="rId819" ref="K762"/>
    <hyperlink r:id="rId820" ref="J763"/>
    <hyperlink r:id="rId821" ref="K763"/>
    <hyperlink r:id="rId822" ref="J764"/>
    <hyperlink r:id="rId823" ref="K764"/>
    <hyperlink r:id="rId824" ref="J765"/>
    <hyperlink r:id="rId825" ref="K765"/>
    <hyperlink r:id="rId826" ref="J766"/>
    <hyperlink r:id="rId827" ref="K766"/>
    <hyperlink r:id="rId828" ref="J767"/>
    <hyperlink r:id="rId829" ref="K767"/>
    <hyperlink r:id="rId830" ref="J768"/>
    <hyperlink r:id="rId831" ref="K768"/>
    <hyperlink r:id="rId832" ref="J769"/>
    <hyperlink r:id="rId833" location="gid=1585189429" ref="K769"/>
    <hyperlink r:id="rId834" ref="J770"/>
    <hyperlink r:id="rId835" location="gid=790291539" ref="K770"/>
    <hyperlink r:id="rId836" ref="J771"/>
    <hyperlink r:id="rId837" ref="K771"/>
    <hyperlink r:id="rId838" ref="J772"/>
    <hyperlink r:id="rId839" ref="K772"/>
    <hyperlink r:id="rId840" ref="J773"/>
    <hyperlink r:id="rId841" ref="K773"/>
    <hyperlink r:id="rId842" ref="J774"/>
    <hyperlink r:id="rId843" ref="K774"/>
    <hyperlink r:id="rId844" ref="J775"/>
    <hyperlink r:id="rId845" ref="K775"/>
    <hyperlink r:id="rId846" ref="J776"/>
    <hyperlink r:id="rId847" ref="K776"/>
    <hyperlink r:id="rId848" ref="J777"/>
    <hyperlink r:id="rId849" ref="K777"/>
    <hyperlink r:id="rId850" ref="J778"/>
    <hyperlink r:id="rId851" ref="K778"/>
    <hyperlink r:id="rId852" ref="J779"/>
    <hyperlink r:id="rId853" ref="K779"/>
    <hyperlink r:id="rId854" ref="J780"/>
    <hyperlink r:id="rId855" ref="K780"/>
    <hyperlink r:id="rId856" ref="J781"/>
    <hyperlink r:id="rId857" ref="K781"/>
    <hyperlink r:id="rId858" ref="J782"/>
    <hyperlink r:id="rId859" ref="K782"/>
    <hyperlink r:id="rId860" ref="J783"/>
    <hyperlink r:id="rId861" ref="K783"/>
    <hyperlink r:id="rId862" ref="J784"/>
    <hyperlink r:id="rId863" ref="K784"/>
    <hyperlink r:id="rId864" ref="J785"/>
    <hyperlink r:id="rId865" ref="K785"/>
    <hyperlink r:id="rId866" ref="J786"/>
    <hyperlink r:id="rId867" ref="K786"/>
    <hyperlink r:id="rId868" ref="J787"/>
    <hyperlink r:id="rId869" ref="K787"/>
    <hyperlink r:id="rId870" ref="J788"/>
    <hyperlink r:id="rId871" ref="K788"/>
    <hyperlink r:id="rId872" ref="J789"/>
    <hyperlink r:id="rId873" ref="K789"/>
    <hyperlink r:id="rId874" ref="J790"/>
    <hyperlink r:id="rId875" ref="K790"/>
    <hyperlink r:id="rId876" ref="J791"/>
    <hyperlink r:id="rId877" ref="K791"/>
    <hyperlink r:id="rId878" ref="J792"/>
    <hyperlink r:id="rId879" ref="K792"/>
    <hyperlink r:id="rId880" ref="J793"/>
    <hyperlink r:id="rId881" ref="K793"/>
    <hyperlink r:id="rId882" ref="J794"/>
    <hyperlink r:id="rId883" ref="K794"/>
    <hyperlink r:id="rId884" ref="J795"/>
    <hyperlink r:id="rId885" ref="K795"/>
    <hyperlink r:id="rId886" ref="J796"/>
    <hyperlink r:id="rId887" ref="K796"/>
    <hyperlink r:id="rId888" ref="J797"/>
    <hyperlink r:id="rId889" ref="K797"/>
    <hyperlink r:id="rId890" ref="J798"/>
    <hyperlink r:id="rId891" ref="K798"/>
    <hyperlink r:id="rId892" ref="J799"/>
    <hyperlink r:id="rId893" ref="K799"/>
    <hyperlink r:id="rId894" ref="J800"/>
    <hyperlink r:id="rId895" ref="K800"/>
    <hyperlink r:id="rId896" ref="J801"/>
    <hyperlink r:id="rId897" ref="K801"/>
    <hyperlink r:id="rId898" ref="J802"/>
    <hyperlink r:id="rId899" ref="K802"/>
    <hyperlink r:id="rId900" ref="J803"/>
    <hyperlink r:id="rId901" ref="K803"/>
    <hyperlink r:id="rId902" ref="J804"/>
    <hyperlink r:id="rId903" ref="K804"/>
    <hyperlink r:id="rId904" ref="J805"/>
    <hyperlink r:id="rId905" ref="K805"/>
    <hyperlink r:id="rId906" ref="J806"/>
    <hyperlink r:id="rId907" ref="K806"/>
    <hyperlink r:id="rId908" ref="J807"/>
    <hyperlink r:id="rId909" ref="K807"/>
    <hyperlink r:id="rId910" ref="J808"/>
    <hyperlink r:id="rId911" ref="K808"/>
    <hyperlink r:id="rId912" ref="J809"/>
    <hyperlink r:id="rId913" ref="K809"/>
    <hyperlink r:id="rId914" ref="J810"/>
    <hyperlink r:id="rId915" ref="K810"/>
    <hyperlink r:id="rId916" ref="J811"/>
    <hyperlink r:id="rId917" ref="K811"/>
    <hyperlink r:id="rId918" ref="J812"/>
    <hyperlink r:id="rId919" ref="K812"/>
    <hyperlink r:id="rId920" ref="J813"/>
    <hyperlink r:id="rId921" ref="K813"/>
    <hyperlink r:id="rId922" ref="J814"/>
    <hyperlink r:id="rId923" ref="K814"/>
    <hyperlink r:id="rId924" ref="J815"/>
    <hyperlink r:id="rId925" ref="K815"/>
    <hyperlink r:id="rId926" ref="J816"/>
    <hyperlink r:id="rId927" ref="K816"/>
    <hyperlink r:id="rId928" ref="J817"/>
    <hyperlink r:id="rId929" ref="K817"/>
    <hyperlink r:id="rId930" ref="J818"/>
    <hyperlink r:id="rId931" ref="K818"/>
    <hyperlink r:id="rId932" ref="J819"/>
    <hyperlink r:id="rId933" ref="K819"/>
    <hyperlink r:id="rId934" ref="J820"/>
    <hyperlink r:id="rId935" ref="K820"/>
    <hyperlink r:id="rId936" ref="J821"/>
    <hyperlink r:id="rId937" ref="K821"/>
    <hyperlink r:id="rId938" ref="J822"/>
    <hyperlink r:id="rId939" ref="K822"/>
    <hyperlink r:id="rId940" ref="J823"/>
    <hyperlink r:id="rId941" ref="K823"/>
    <hyperlink r:id="rId942" ref="J824"/>
    <hyperlink r:id="rId943" ref="K824"/>
    <hyperlink r:id="rId944" ref="J825"/>
    <hyperlink r:id="rId945" ref="K825"/>
    <hyperlink r:id="rId946" ref="J826"/>
    <hyperlink r:id="rId947" ref="K826"/>
    <hyperlink r:id="rId948" ref="J827"/>
    <hyperlink r:id="rId949" ref="K827"/>
    <hyperlink r:id="rId950" ref="J828"/>
    <hyperlink r:id="rId951" ref="K828"/>
    <hyperlink r:id="rId952" ref="J829"/>
    <hyperlink r:id="rId953" ref="K829"/>
    <hyperlink r:id="rId954" ref="J830"/>
    <hyperlink r:id="rId955" ref="K830"/>
    <hyperlink r:id="rId956" ref="J831"/>
    <hyperlink r:id="rId957" ref="K831"/>
    <hyperlink r:id="rId958" ref="J832"/>
    <hyperlink r:id="rId959" ref="K832"/>
    <hyperlink r:id="rId960" ref="J833"/>
    <hyperlink r:id="rId961" ref="K833"/>
    <hyperlink r:id="rId962" ref="J834"/>
    <hyperlink r:id="rId963" ref="K834"/>
    <hyperlink r:id="rId964" ref="J835"/>
    <hyperlink r:id="rId965" ref="K835"/>
    <hyperlink r:id="rId966" ref="J836"/>
    <hyperlink r:id="rId967" ref="K836"/>
    <hyperlink r:id="rId968" ref="J837"/>
    <hyperlink r:id="rId969" ref="K837"/>
    <hyperlink r:id="rId970" ref="J838"/>
    <hyperlink r:id="rId971" ref="K838"/>
    <hyperlink r:id="rId972" ref="J839"/>
    <hyperlink r:id="rId973" ref="K839"/>
    <hyperlink r:id="rId974" ref="J840"/>
    <hyperlink r:id="rId975" ref="K840"/>
    <hyperlink r:id="rId976" ref="J841"/>
    <hyperlink r:id="rId977" ref="K841"/>
    <hyperlink r:id="rId978" ref="J842"/>
    <hyperlink r:id="rId979" ref="K842"/>
    <hyperlink r:id="rId980" ref="J843"/>
    <hyperlink r:id="rId981" ref="K843"/>
    <hyperlink r:id="rId982" ref="J844"/>
    <hyperlink r:id="rId983" ref="K844"/>
    <hyperlink r:id="rId984" ref="J845"/>
    <hyperlink r:id="rId985" ref="K845"/>
    <hyperlink r:id="rId986" ref="J846"/>
    <hyperlink r:id="rId987" ref="K846"/>
    <hyperlink r:id="rId988" ref="J847"/>
    <hyperlink r:id="rId989" ref="K847"/>
    <hyperlink r:id="rId990" ref="J848"/>
    <hyperlink r:id="rId991" ref="K848"/>
    <hyperlink r:id="rId992" ref="J849"/>
    <hyperlink r:id="rId993" ref="K849"/>
    <hyperlink r:id="rId994" ref="J850"/>
    <hyperlink r:id="rId995" ref="K850"/>
    <hyperlink r:id="rId996" ref="J851"/>
    <hyperlink r:id="rId997" ref="K851"/>
    <hyperlink r:id="rId998" ref="J852"/>
    <hyperlink r:id="rId999" ref="K852"/>
    <hyperlink r:id="rId1000" ref="J853"/>
    <hyperlink r:id="rId1001" ref="K853"/>
    <hyperlink r:id="rId1002" ref="J854"/>
    <hyperlink r:id="rId1003" ref="K854"/>
    <hyperlink r:id="rId1004" ref="J855"/>
    <hyperlink r:id="rId1005" ref="K855"/>
    <hyperlink r:id="rId1006" ref="J856"/>
    <hyperlink r:id="rId1007" ref="K856"/>
    <hyperlink r:id="rId1008" ref="J857"/>
    <hyperlink r:id="rId1009" ref="K857"/>
    <hyperlink r:id="rId1010" ref="J858"/>
    <hyperlink r:id="rId1011" ref="K858"/>
    <hyperlink r:id="rId1012" ref="J859"/>
    <hyperlink r:id="rId1013" ref="K859"/>
    <hyperlink r:id="rId1014" ref="J860"/>
    <hyperlink r:id="rId1015" ref="K860"/>
    <hyperlink r:id="rId1016" ref="J861"/>
    <hyperlink r:id="rId1017" ref="K861"/>
    <hyperlink r:id="rId1018" ref="J862"/>
    <hyperlink r:id="rId1019" ref="K862"/>
    <hyperlink r:id="rId1020" ref="J863"/>
    <hyperlink r:id="rId1021" ref="K863"/>
    <hyperlink r:id="rId1022" ref="J864"/>
    <hyperlink r:id="rId1023" ref="K864"/>
    <hyperlink r:id="rId1024" ref="J865"/>
    <hyperlink r:id="rId1025" ref="K865"/>
    <hyperlink r:id="rId1026" ref="J866"/>
    <hyperlink r:id="rId1027" ref="K866"/>
    <hyperlink r:id="rId1028" ref="J867"/>
    <hyperlink r:id="rId1029" ref="K867"/>
    <hyperlink r:id="rId1030" ref="J868"/>
    <hyperlink r:id="rId1031" ref="K868"/>
    <hyperlink r:id="rId1032" ref="J869"/>
    <hyperlink r:id="rId1033" ref="K869"/>
    <hyperlink r:id="rId1034" ref="J870"/>
    <hyperlink r:id="rId1035" ref="K870"/>
    <hyperlink r:id="rId1036" ref="J871"/>
    <hyperlink r:id="rId1037" ref="K871"/>
    <hyperlink r:id="rId1038" ref="J872"/>
    <hyperlink r:id="rId1039" ref="K872"/>
    <hyperlink r:id="rId1040" ref="J873"/>
    <hyperlink r:id="rId1041" ref="K873"/>
    <hyperlink r:id="rId1042" ref="J874"/>
    <hyperlink r:id="rId1043" ref="K874"/>
    <hyperlink r:id="rId1044" ref="J875"/>
    <hyperlink r:id="rId1045" ref="K875"/>
    <hyperlink r:id="rId1046" ref="J876"/>
    <hyperlink r:id="rId1047" ref="K876"/>
    <hyperlink r:id="rId1048" ref="J877"/>
    <hyperlink r:id="rId1049" ref="K877"/>
    <hyperlink r:id="rId1050" ref="J878"/>
    <hyperlink r:id="rId1051" ref="K878"/>
    <hyperlink r:id="rId1052" ref="J879"/>
    <hyperlink r:id="rId1053" ref="K879"/>
    <hyperlink r:id="rId1054" ref="J880"/>
    <hyperlink r:id="rId1055" ref="K880"/>
    <hyperlink r:id="rId1056" ref="J881"/>
    <hyperlink r:id="rId1057" ref="K881"/>
    <hyperlink r:id="rId1058" ref="J882"/>
    <hyperlink r:id="rId1059" ref="K882"/>
    <hyperlink r:id="rId1060" ref="J883"/>
    <hyperlink r:id="rId1061" ref="K883"/>
    <hyperlink r:id="rId1062" ref="J884"/>
    <hyperlink r:id="rId1063" ref="K884"/>
    <hyperlink r:id="rId1064" ref="J885"/>
    <hyperlink r:id="rId1065" ref="K885"/>
    <hyperlink r:id="rId1066" ref="J886"/>
    <hyperlink r:id="rId1067" ref="K886"/>
    <hyperlink r:id="rId1068" ref="J887"/>
    <hyperlink r:id="rId1069" ref="K887"/>
    <hyperlink r:id="rId1070" ref="J888"/>
    <hyperlink r:id="rId1071" ref="K888"/>
    <hyperlink r:id="rId1072" ref="J889"/>
    <hyperlink r:id="rId1073" ref="K889"/>
    <hyperlink r:id="rId1074" ref="J890"/>
    <hyperlink r:id="rId1075" ref="K890"/>
    <hyperlink r:id="rId1076" ref="J891"/>
    <hyperlink r:id="rId1077" ref="K891"/>
    <hyperlink r:id="rId1078" ref="J892"/>
    <hyperlink r:id="rId1079" ref="K892"/>
    <hyperlink r:id="rId1080" ref="J893"/>
    <hyperlink r:id="rId1081" ref="K893"/>
    <hyperlink r:id="rId1082" ref="J894"/>
    <hyperlink r:id="rId1083" ref="K894"/>
    <hyperlink r:id="rId1084" ref="J895"/>
    <hyperlink r:id="rId1085" ref="K895"/>
    <hyperlink r:id="rId1086" ref="J896"/>
    <hyperlink r:id="rId1087" ref="K896"/>
    <hyperlink r:id="rId1088" ref="J897"/>
    <hyperlink r:id="rId1089" ref="K897"/>
    <hyperlink r:id="rId1090" ref="J898"/>
    <hyperlink r:id="rId1091" ref="K898"/>
    <hyperlink r:id="rId1092" ref="J899"/>
    <hyperlink r:id="rId1093" ref="K899"/>
    <hyperlink r:id="rId1094" ref="J900"/>
    <hyperlink r:id="rId1095" ref="K900"/>
    <hyperlink r:id="rId1096" ref="J901"/>
    <hyperlink r:id="rId1097" ref="K901"/>
    <hyperlink r:id="rId1098" ref="J902"/>
    <hyperlink r:id="rId1099" ref="K902"/>
    <hyperlink r:id="rId1100" ref="J903"/>
    <hyperlink r:id="rId1101" ref="K903"/>
    <hyperlink r:id="rId1102" ref="J904"/>
    <hyperlink r:id="rId1103" ref="K904"/>
    <hyperlink r:id="rId1104" ref="J905"/>
    <hyperlink r:id="rId1105" ref="K905"/>
    <hyperlink r:id="rId1106" ref="J906"/>
    <hyperlink r:id="rId1107" ref="K906"/>
    <hyperlink r:id="rId1108" ref="J907"/>
    <hyperlink r:id="rId1109" ref="K907"/>
    <hyperlink r:id="rId1110" ref="J908"/>
    <hyperlink r:id="rId1111" ref="K908"/>
    <hyperlink r:id="rId1112" ref="J909"/>
    <hyperlink r:id="rId1113" ref="K909"/>
    <hyperlink r:id="rId1114" ref="J910"/>
    <hyperlink r:id="rId1115" ref="K910"/>
    <hyperlink r:id="rId1116" ref="J911"/>
    <hyperlink r:id="rId1117" ref="K911"/>
    <hyperlink r:id="rId1118" ref="J912"/>
    <hyperlink r:id="rId1119" ref="K912"/>
    <hyperlink r:id="rId1120" ref="J913"/>
    <hyperlink r:id="rId1121" ref="K913"/>
    <hyperlink r:id="rId1122" ref="J914"/>
    <hyperlink r:id="rId1123" ref="K914"/>
    <hyperlink r:id="rId1124" ref="J915"/>
    <hyperlink r:id="rId1125" ref="K915"/>
    <hyperlink r:id="rId1126" ref="J916"/>
    <hyperlink r:id="rId1127" ref="K916"/>
    <hyperlink r:id="rId1128" ref="J917"/>
    <hyperlink r:id="rId1129" ref="K917"/>
    <hyperlink r:id="rId1130" ref="J918"/>
    <hyperlink r:id="rId1131" ref="K918"/>
    <hyperlink r:id="rId1132" ref="J919"/>
    <hyperlink r:id="rId1133" ref="K919"/>
    <hyperlink r:id="rId1134" ref="J920"/>
    <hyperlink r:id="rId1135" ref="K920"/>
    <hyperlink r:id="rId1136" ref="J921"/>
    <hyperlink r:id="rId1137" ref="K921"/>
    <hyperlink r:id="rId1138" ref="J922"/>
    <hyperlink r:id="rId1139" ref="K922"/>
    <hyperlink r:id="rId1140" ref="J923"/>
    <hyperlink r:id="rId1141" ref="K923"/>
    <hyperlink r:id="rId1142" ref="J924"/>
    <hyperlink r:id="rId1143" ref="K924"/>
    <hyperlink r:id="rId1144" ref="J925"/>
    <hyperlink r:id="rId1145" ref="K925"/>
    <hyperlink r:id="rId1146" ref="J926"/>
    <hyperlink r:id="rId1147" ref="K926"/>
    <hyperlink r:id="rId1148" ref="J927"/>
    <hyperlink r:id="rId1149" ref="K927"/>
    <hyperlink r:id="rId1150" ref="J928"/>
    <hyperlink r:id="rId1151" ref="K928"/>
    <hyperlink r:id="rId1152" ref="J929"/>
    <hyperlink r:id="rId1153" ref="K929"/>
    <hyperlink r:id="rId1154" ref="J930"/>
    <hyperlink r:id="rId1155" ref="K930"/>
    <hyperlink r:id="rId1156" ref="J931"/>
    <hyperlink r:id="rId1157" ref="K931"/>
    <hyperlink r:id="rId1158" ref="J932"/>
    <hyperlink r:id="rId1159" ref="K932"/>
    <hyperlink r:id="rId1160" ref="J933"/>
    <hyperlink r:id="rId1161" ref="K933"/>
    <hyperlink r:id="rId1162" ref="J934"/>
    <hyperlink r:id="rId1163" ref="K934"/>
    <hyperlink r:id="rId1164" ref="J935"/>
    <hyperlink r:id="rId1165" ref="K935"/>
    <hyperlink r:id="rId1166" ref="J936"/>
    <hyperlink r:id="rId1167" ref="K936"/>
    <hyperlink r:id="rId1168" ref="J937"/>
    <hyperlink r:id="rId1169" ref="K937"/>
    <hyperlink r:id="rId1170" ref="J938"/>
    <hyperlink r:id="rId1171" ref="K938"/>
    <hyperlink r:id="rId1172" ref="J939"/>
    <hyperlink r:id="rId1173" ref="K939"/>
    <hyperlink r:id="rId1174" ref="J940"/>
    <hyperlink r:id="rId1175" ref="K940"/>
    <hyperlink r:id="rId1176" ref="J941"/>
    <hyperlink r:id="rId1177" ref="K941"/>
    <hyperlink r:id="rId1178" ref="J942"/>
    <hyperlink r:id="rId1179" ref="K942"/>
    <hyperlink r:id="rId1180" ref="J943"/>
    <hyperlink r:id="rId1181" ref="K943"/>
    <hyperlink r:id="rId1182" ref="J944"/>
    <hyperlink r:id="rId1183" ref="K944"/>
    <hyperlink r:id="rId1184" ref="J945"/>
    <hyperlink r:id="rId1185" ref="K945"/>
    <hyperlink r:id="rId1186" ref="J946"/>
    <hyperlink r:id="rId1187" ref="K946"/>
    <hyperlink r:id="rId1188" ref="J947"/>
    <hyperlink r:id="rId1189" ref="K947"/>
    <hyperlink r:id="rId1190" ref="J948"/>
    <hyperlink r:id="rId1191" ref="K948"/>
    <hyperlink r:id="rId1192" ref="J949"/>
    <hyperlink r:id="rId1193" ref="K949"/>
    <hyperlink r:id="rId1194" ref="J950"/>
    <hyperlink r:id="rId1195" ref="K950"/>
    <hyperlink r:id="rId1196" ref="J951"/>
    <hyperlink r:id="rId1197" ref="K951"/>
    <hyperlink r:id="rId1198" ref="J952"/>
    <hyperlink r:id="rId1199" ref="K952"/>
    <hyperlink r:id="rId1200" ref="J953"/>
    <hyperlink r:id="rId1201" ref="K953"/>
    <hyperlink r:id="rId1202" ref="J954"/>
    <hyperlink r:id="rId1203" ref="K954"/>
    <hyperlink r:id="rId1204" ref="J955"/>
    <hyperlink r:id="rId1205" ref="K955"/>
    <hyperlink r:id="rId1206" ref="J956"/>
    <hyperlink r:id="rId1207" ref="K956"/>
    <hyperlink r:id="rId1208" ref="J957"/>
    <hyperlink r:id="rId1209" ref="K957"/>
    <hyperlink r:id="rId1210" ref="J958"/>
    <hyperlink r:id="rId1211" ref="K958"/>
    <hyperlink r:id="rId1212" ref="J959"/>
    <hyperlink r:id="rId1213" ref="K959"/>
    <hyperlink r:id="rId1214" ref="J960"/>
    <hyperlink r:id="rId1215" ref="K960"/>
    <hyperlink r:id="rId1216" ref="J961"/>
    <hyperlink r:id="rId1217" ref="K961"/>
    <hyperlink r:id="rId1218" ref="J962"/>
    <hyperlink r:id="rId1219" ref="K962"/>
    <hyperlink r:id="rId1220" ref="J963"/>
    <hyperlink r:id="rId1221" ref="K963"/>
    <hyperlink r:id="rId1222" ref="J964"/>
    <hyperlink r:id="rId1223" ref="K964"/>
    <hyperlink r:id="rId1224" ref="J965"/>
    <hyperlink r:id="rId1225" ref="K965"/>
    <hyperlink r:id="rId1226" ref="J966"/>
    <hyperlink r:id="rId1227" ref="K966"/>
    <hyperlink r:id="rId1228" ref="J967"/>
    <hyperlink r:id="rId1229" ref="K967"/>
    <hyperlink r:id="rId1230" ref="J968"/>
    <hyperlink r:id="rId1231" ref="K968"/>
    <hyperlink r:id="rId1232" ref="J969"/>
    <hyperlink r:id="rId1233" ref="K969"/>
    <hyperlink r:id="rId1234" ref="J970"/>
    <hyperlink r:id="rId1235" ref="K970"/>
    <hyperlink r:id="rId1236" ref="J971"/>
    <hyperlink r:id="rId1237" ref="K971"/>
    <hyperlink r:id="rId1238" ref="J972"/>
    <hyperlink r:id="rId1239" ref="K972"/>
    <hyperlink r:id="rId1240" ref="J973"/>
    <hyperlink r:id="rId1241" ref="K973"/>
    <hyperlink r:id="rId1242" ref="J974"/>
    <hyperlink r:id="rId1243" ref="K974"/>
    <hyperlink r:id="rId1244" ref="J975"/>
    <hyperlink r:id="rId1245" ref="K975"/>
    <hyperlink r:id="rId1246" ref="J976"/>
    <hyperlink r:id="rId1247" ref="K976"/>
    <hyperlink r:id="rId1248" ref="J977"/>
    <hyperlink r:id="rId1249" ref="K977"/>
    <hyperlink r:id="rId1250" ref="J978"/>
    <hyperlink r:id="rId1251" ref="K978"/>
    <hyperlink r:id="rId1252" ref="J979"/>
    <hyperlink r:id="rId1253" ref="K979"/>
    <hyperlink r:id="rId1254" ref="J980"/>
    <hyperlink r:id="rId1255" ref="K980"/>
    <hyperlink r:id="rId1256" ref="J981"/>
    <hyperlink r:id="rId1257" ref="K981"/>
    <hyperlink r:id="rId1258" ref="J982"/>
    <hyperlink r:id="rId1259" ref="K982"/>
    <hyperlink r:id="rId1260" ref="J983"/>
    <hyperlink r:id="rId1261" ref="K983"/>
    <hyperlink r:id="rId1262" ref="J984"/>
    <hyperlink r:id="rId1263" ref="K984"/>
    <hyperlink r:id="rId1264" ref="J985"/>
    <hyperlink r:id="rId1265" ref="K985"/>
    <hyperlink r:id="rId1266" ref="J986"/>
    <hyperlink r:id="rId1267" ref="K986"/>
    <hyperlink r:id="rId1268" ref="J987"/>
    <hyperlink r:id="rId1269" ref="K987"/>
    <hyperlink r:id="rId1270" ref="J988"/>
    <hyperlink r:id="rId1271" ref="K988"/>
    <hyperlink r:id="rId1272" ref="J989"/>
    <hyperlink r:id="rId1273" ref="K989"/>
    <hyperlink r:id="rId1274" ref="J990"/>
    <hyperlink r:id="rId1275" ref="K990"/>
    <hyperlink r:id="rId1276" ref="J991"/>
    <hyperlink r:id="rId1277" ref="K991"/>
    <hyperlink r:id="rId1278" ref="J992"/>
    <hyperlink r:id="rId1279" ref="K992"/>
    <hyperlink r:id="rId1280" ref="J993"/>
    <hyperlink r:id="rId1281" ref="K993"/>
    <hyperlink r:id="rId1282" ref="J994"/>
    <hyperlink r:id="rId1283" ref="K994"/>
    <hyperlink r:id="rId1284" ref="J995"/>
    <hyperlink r:id="rId1285" ref="K995"/>
    <hyperlink r:id="rId1286" ref="J996"/>
    <hyperlink r:id="rId1287" ref="K996"/>
    <hyperlink r:id="rId1288" ref="J997"/>
    <hyperlink r:id="rId1289" ref="K997"/>
    <hyperlink r:id="rId1290" ref="J998"/>
    <hyperlink r:id="rId1291" ref="K998"/>
    <hyperlink r:id="rId1292" ref="J999"/>
    <hyperlink r:id="rId1293" ref="K999"/>
    <hyperlink r:id="rId1294" ref="J1000"/>
    <hyperlink r:id="rId1295" ref="K1000"/>
    <hyperlink r:id="rId1296" ref="J1001"/>
    <hyperlink r:id="rId1297" ref="K1001"/>
    <hyperlink r:id="rId1298" ref="J1002"/>
    <hyperlink r:id="rId1299" ref="K1002"/>
    <hyperlink r:id="rId1300" ref="J1003"/>
    <hyperlink r:id="rId1301" ref="K1003"/>
    <hyperlink r:id="rId1302" ref="J1004"/>
    <hyperlink r:id="rId1303" ref="K1004"/>
    <hyperlink r:id="rId1304" ref="J1005"/>
    <hyperlink r:id="rId1305" ref="K1005"/>
    <hyperlink r:id="rId1306" ref="J1006"/>
    <hyperlink r:id="rId1307" ref="K1006"/>
    <hyperlink r:id="rId1308" ref="J1007"/>
    <hyperlink r:id="rId1309" ref="K1007"/>
    <hyperlink r:id="rId1310" ref="J1008"/>
    <hyperlink r:id="rId1311" ref="K1008"/>
    <hyperlink r:id="rId1312" ref="J1009"/>
    <hyperlink r:id="rId1313" ref="K1009"/>
    <hyperlink r:id="rId1314" ref="J1010"/>
    <hyperlink r:id="rId1315" ref="K1010"/>
    <hyperlink r:id="rId1316" ref="J1011"/>
    <hyperlink r:id="rId1317" ref="K1011"/>
    <hyperlink r:id="rId1318" ref="J1012"/>
    <hyperlink r:id="rId1319" ref="K1012"/>
    <hyperlink r:id="rId1320" ref="J1013"/>
    <hyperlink r:id="rId1321" ref="K1013"/>
    <hyperlink r:id="rId1322" ref="J1014"/>
    <hyperlink r:id="rId1323" ref="K1014"/>
    <hyperlink r:id="rId1324" ref="J1015"/>
    <hyperlink r:id="rId1325" ref="K1015"/>
    <hyperlink r:id="rId1326" ref="J1016"/>
    <hyperlink r:id="rId1327" ref="K1016"/>
    <hyperlink r:id="rId1328" ref="J1017"/>
    <hyperlink r:id="rId1329" ref="K1017"/>
    <hyperlink r:id="rId1330" ref="J1018"/>
    <hyperlink r:id="rId1331" ref="K1018"/>
    <hyperlink r:id="rId1332" ref="J1019"/>
    <hyperlink r:id="rId1333" ref="K1019"/>
    <hyperlink r:id="rId1334" ref="J1020"/>
    <hyperlink r:id="rId1335" ref="K1020"/>
    <hyperlink r:id="rId1336" ref="J1021"/>
    <hyperlink r:id="rId1337" ref="K1021"/>
    <hyperlink r:id="rId1338" ref="J1022"/>
    <hyperlink r:id="rId1339" ref="K1022"/>
    <hyperlink r:id="rId1340" ref="J1023"/>
    <hyperlink r:id="rId1341" ref="K1023"/>
    <hyperlink r:id="rId1342" ref="J1024"/>
    <hyperlink r:id="rId1343" ref="K1024"/>
    <hyperlink r:id="rId1344" ref="J1025"/>
    <hyperlink r:id="rId1345" ref="K1025"/>
    <hyperlink r:id="rId1346" ref="J1026"/>
    <hyperlink r:id="rId1347" ref="K1026"/>
    <hyperlink r:id="rId1348" ref="J1027"/>
    <hyperlink r:id="rId1349" ref="K1027"/>
    <hyperlink r:id="rId1350" ref="J1028"/>
    <hyperlink r:id="rId1351" ref="K1028"/>
    <hyperlink r:id="rId1352" ref="J1029"/>
    <hyperlink r:id="rId1353" ref="K1029"/>
    <hyperlink r:id="rId1354" ref="J1030"/>
    <hyperlink r:id="rId1355" ref="K1030"/>
    <hyperlink r:id="rId1356" ref="J1031"/>
    <hyperlink r:id="rId1357" ref="K1031"/>
    <hyperlink r:id="rId1358" ref="J1032"/>
    <hyperlink r:id="rId1359" ref="K1032"/>
    <hyperlink r:id="rId1360" ref="J1033"/>
    <hyperlink r:id="rId1361" ref="K1033"/>
    <hyperlink r:id="rId1362" ref="J1034"/>
    <hyperlink r:id="rId1363" ref="K1034"/>
    <hyperlink r:id="rId1364" ref="J1035"/>
    <hyperlink r:id="rId1365" ref="K1035"/>
    <hyperlink r:id="rId1366" ref="J1036"/>
    <hyperlink r:id="rId1367" ref="K1036"/>
    <hyperlink r:id="rId1368" ref="J1037"/>
    <hyperlink r:id="rId1369" ref="K1037"/>
    <hyperlink r:id="rId1370" ref="J1038"/>
    <hyperlink r:id="rId1371" ref="K1038"/>
    <hyperlink r:id="rId1372" ref="J1039"/>
    <hyperlink r:id="rId1373" ref="K1039"/>
    <hyperlink r:id="rId1374" ref="J1040"/>
    <hyperlink r:id="rId1375" ref="K1040"/>
    <hyperlink r:id="rId1376" ref="J1041"/>
    <hyperlink r:id="rId1377" ref="K1041"/>
    <hyperlink r:id="rId1378" ref="J1042"/>
    <hyperlink r:id="rId1379" ref="K1042"/>
    <hyperlink r:id="rId1380" ref="J1043"/>
    <hyperlink r:id="rId1381" ref="K1043"/>
    <hyperlink r:id="rId1382" ref="J1044"/>
    <hyperlink r:id="rId1383" ref="K1044"/>
    <hyperlink r:id="rId1384" ref="J1045"/>
    <hyperlink r:id="rId1385" ref="K1045"/>
    <hyperlink r:id="rId1386" ref="J1046"/>
    <hyperlink r:id="rId1387" ref="K1046"/>
    <hyperlink r:id="rId1388" ref="J1047"/>
    <hyperlink r:id="rId1389" ref="K1047"/>
    <hyperlink r:id="rId1390" ref="J1048"/>
    <hyperlink r:id="rId1391" ref="K1048"/>
    <hyperlink r:id="rId1392" ref="J1049"/>
    <hyperlink r:id="rId1393" ref="K1049"/>
    <hyperlink r:id="rId1394" ref="J1050"/>
    <hyperlink r:id="rId1395" ref="K1050"/>
    <hyperlink r:id="rId1396" ref="J1051"/>
    <hyperlink r:id="rId1397" ref="K1051"/>
    <hyperlink r:id="rId1398" ref="J1052"/>
    <hyperlink r:id="rId1399" ref="K1052"/>
    <hyperlink r:id="rId1400" ref="J1053"/>
    <hyperlink r:id="rId1401" ref="K1053"/>
    <hyperlink r:id="rId1402" ref="J1054"/>
    <hyperlink r:id="rId1403" ref="K1054"/>
    <hyperlink r:id="rId1404" ref="J1055"/>
    <hyperlink r:id="rId1405" ref="K1055"/>
    <hyperlink r:id="rId1406" ref="J1056"/>
    <hyperlink r:id="rId1407" ref="K1056"/>
    <hyperlink r:id="rId1408" ref="J1057"/>
    <hyperlink r:id="rId1409" ref="K1057"/>
    <hyperlink r:id="rId1410" ref="J1058"/>
    <hyperlink r:id="rId1411" ref="K1058"/>
    <hyperlink r:id="rId1412" ref="J1059"/>
    <hyperlink r:id="rId1413" ref="K1059"/>
    <hyperlink r:id="rId1414" ref="J1060"/>
    <hyperlink r:id="rId1415" ref="K1060"/>
    <hyperlink r:id="rId1416" ref="J1061"/>
    <hyperlink r:id="rId1417" ref="K1061"/>
    <hyperlink r:id="rId1418" ref="J1062"/>
    <hyperlink r:id="rId1419" ref="K1062"/>
    <hyperlink r:id="rId1420" ref="J1063"/>
    <hyperlink r:id="rId1421" ref="K1063"/>
    <hyperlink r:id="rId1422" ref="J1064"/>
    <hyperlink r:id="rId1423" ref="K1064"/>
    <hyperlink r:id="rId1424" ref="J1065"/>
    <hyperlink r:id="rId1425" ref="K1065"/>
    <hyperlink r:id="rId1426" ref="J1066"/>
    <hyperlink r:id="rId1427" ref="K1066"/>
    <hyperlink r:id="rId1428" ref="J1067"/>
    <hyperlink r:id="rId1429" ref="K1067"/>
    <hyperlink r:id="rId1430" ref="J1068"/>
    <hyperlink r:id="rId1431" ref="K1068"/>
    <hyperlink r:id="rId1432" ref="J1069"/>
    <hyperlink r:id="rId1433" ref="K1069"/>
    <hyperlink r:id="rId1434" ref="J1070"/>
    <hyperlink r:id="rId1435" ref="K1070"/>
    <hyperlink r:id="rId1436" ref="J1071"/>
    <hyperlink r:id="rId1437" ref="K1071"/>
    <hyperlink r:id="rId1438" ref="J1072"/>
    <hyperlink r:id="rId1439" ref="K1072"/>
    <hyperlink r:id="rId1440" ref="J1073"/>
    <hyperlink r:id="rId1441" ref="K1073"/>
    <hyperlink r:id="rId1442" ref="J1074"/>
    <hyperlink r:id="rId1443" ref="K1074"/>
    <hyperlink r:id="rId1444" ref="J1075"/>
    <hyperlink r:id="rId1445" ref="K1075"/>
    <hyperlink r:id="rId1446" ref="J1076"/>
    <hyperlink r:id="rId1447" ref="K1076"/>
    <hyperlink r:id="rId1448" ref="J1077"/>
    <hyperlink r:id="rId1449" ref="K1077"/>
    <hyperlink r:id="rId1450" ref="J1078"/>
    <hyperlink r:id="rId1451" ref="K1078"/>
    <hyperlink r:id="rId1452" ref="J1079"/>
    <hyperlink r:id="rId1453" ref="K1079"/>
    <hyperlink r:id="rId1454" ref="J1080"/>
    <hyperlink r:id="rId1455" ref="K1080"/>
    <hyperlink r:id="rId1456" ref="J1081"/>
    <hyperlink r:id="rId1457" ref="K1081"/>
    <hyperlink r:id="rId1458" ref="J1082"/>
    <hyperlink r:id="rId1459" ref="K1082"/>
    <hyperlink r:id="rId1460" ref="J1083"/>
    <hyperlink r:id="rId1461" ref="K1083"/>
    <hyperlink r:id="rId1462" ref="J1084"/>
    <hyperlink r:id="rId1463" ref="K1084"/>
    <hyperlink r:id="rId1464" ref="J1085"/>
    <hyperlink r:id="rId1465" ref="K1085"/>
    <hyperlink r:id="rId1466" ref="J1086"/>
    <hyperlink r:id="rId1467" ref="K1086"/>
    <hyperlink r:id="rId1468" ref="J1087"/>
    <hyperlink r:id="rId1469" ref="K1087"/>
    <hyperlink r:id="rId1470" ref="J1088"/>
    <hyperlink r:id="rId1471" ref="K1088"/>
    <hyperlink r:id="rId1472" ref="J1089"/>
    <hyperlink r:id="rId1473" ref="K1089"/>
    <hyperlink r:id="rId1474" ref="J1090"/>
    <hyperlink r:id="rId1475" ref="K1090"/>
    <hyperlink r:id="rId1476" ref="J1091"/>
    <hyperlink r:id="rId1477" ref="K1091"/>
    <hyperlink r:id="rId1478" ref="J1092"/>
    <hyperlink r:id="rId1479" ref="K1092"/>
    <hyperlink r:id="rId1480" ref="J1093"/>
    <hyperlink r:id="rId1481" ref="K1093"/>
    <hyperlink r:id="rId1482" ref="J1094"/>
    <hyperlink r:id="rId1483" ref="K1094"/>
    <hyperlink r:id="rId1484" ref="J1095"/>
    <hyperlink r:id="rId1485" ref="K1095"/>
    <hyperlink r:id="rId1486" ref="J1096"/>
    <hyperlink r:id="rId1487" ref="K1096"/>
    <hyperlink r:id="rId1488" ref="J1097"/>
    <hyperlink r:id="rId1489" ref="K1097"/>
    <hyperlink r:id="rId1490" ref="J1098"/>
    <hyperlink r:id="rId1491" ref="K1098"/>
    <hyperlink r:id="rId1492" ref="J1099"/>
    <hyperlink r:id="rId1493" ref="K1099"/>
    <hyperlink r:id="rId1494" ref="J1100"/>
    <hyperlink r:id="rId1495" ref="K1100"/>
    <hyperlink r:id="rId1496" ref="J1101"/>
    <hyperlink r:id="rId1497" ref="K1101"/>
    <hyperlink r:id="rId1498" ref="J1102"/>
    <hyperlink r:id="rId1499" ref="K1102"/>
    <hyperlink r:id="rId1500" ref="J1103"/>
    <hyperlink r:id="rId1501" ref="K1103"/>
    <hyperlink r:id="rId1502" ref="J1104"/>
    <hyperlink r:id="rId1503" ref="K1104"/>
    <hyperlink r:id="rId1504" ref="J1105"/>
    <hyperlink r:id="rId1505" ref="K1105"/>
    <hyperlink r:id="rId1506" ref="J1106"/>
    <hyperlink r:id="rId1507" ref="K1106"/>
    <hyperlink r:id="rId1508" ref="J1107"/>
    <hyperlink r:id="rId1509" ref="K1107"/>
    <hyperlink r:id="rId1510" ref="J1108"/>
    <hyperlink r:id="rId1511" ref="K1108"/>
    <hyperlink r:id="rId1512" ref="J1109"/>
    <hyperlink r:id="rId1513" ref="K1109"/>
    <hyperlink r:id="rId1514" ref="J1110"/>
    <hyperlink r:id="rId1515" ref="K1110"/>
    <hyperlink r:id="rId1516" ref="J1111"/>
    <hyperlink r:id="rId1517" ref="K1111"/>
    <hyperlink r:id="rId1518" ref="J1112"/>
    <hyperlink r:id="rId1519" ref="K1112"/>
    <hyperlink r:id="rId1520" ref="J1113"/>
    <hyperlink r:id="rId1521" ref="K1113"/>
    <hyperlink r:id="rId1522" ref="J1114"/>
    <hyperlink r:id="rId1523" ref="K1114"/>
    <hyperlink r:id="rId1524" ref="J1115"/>
    <hyperlink r:id="rId1525" ref="K1115"/>
    <hyperlink r:id="rId1526" ref="J1116"/>
    <hyperlink r:id="rId1527" ref="K1116"/>
    <hyperlink r:id="rId1528" ref="J1117"/>
    <hyperlink r:id="rId1529" ref="K1117"/>
    <hyperlink r:id="rId1530" ref="J1118"/>
    <hyperlink r:id="rId1531" ref="K1118"/>
    <hyperlink r:id="rId1532" ref="J1119"/>
    <hyperlink r:id="rId1533" ref="K1119"/>
    <hyperlink r:id="rId1534" ref="J1120"/>
    <hyperlink r:id="rId1535" ref="K1120"/>
    <hyperlink r:id="rId1536" ref="J1121"/>
    <hyperlink r:id="rId1537" ref="K1121"/>
    <hyperlink r:id="rId1538" ref="J1122"/>
    <hyperlink r:id="rId1539" ref="K1122"/>
    <hyperlink r:id="rId1540" ref="J1123"/>
    <hyperlink r:id="rId1541" ref="K1123"/>
    <hyperlink r:id="rId1542" ref="J1124"/>
    <hyperlink r:id="rId1543" ref="K1124"/>
    <hyperlink r:id="rId1544" ref="J1125"/>
    <hyperlink r:id="rId1545" ref="K1125"/>
    <hyperlink r:id="rId1546" ref="J1126"/>
    <hyperlink r:id="rId1547" ref="K1126"/>
    <hyperlink r:id="rId1548" ref="J1127"/>
    <hyperlink r:id="rId1549" ref="K1127"/>
    <hyperlink r:id="rId1550" ref="J1128"/>
    <hyperlink r:id="rId1551" ref="K1128"/>
    <hyperlink r:id="rId1552" ref="J1129"/>
    <hyperlink r:id="rId1553" ref="K1129"/>
    <hyperlink r:id="rId1554" ref="J1130"/>
    <hyperlink r:id="rId1555" ref="K1130"/>
    <hyperlink r:id="rId1556" ref="J1131"/>
    <hyperlink r:id="rId1557" ref="K1131"/>
    <hyperlink r:id="rId1558" ref="J1132"/>
    <hyperlink r:id="rId1559" ref="K1132"/>
    <hyperlink r:id="rId1560" ref="J1133"/>
    <hyperlink r:id="rId1561" ref="K1133"/>
    <hyperlink r:id="rId1562" ref="J1134"/>
    <hyperlink r:id="rId1563" ref="K1134"/>
    <hyperlink r:id="rId1564" ref="J1135"/>
    <hyperlink r:id="rId1565" ref="K1135"/>
    <hyperlink r:id="rId1566" ref="J1136"/>
    <hyperlink r:id="rId1567" ref="K1136"/>
    <hyperlink r:id="rId1568" ref="J1137"/>
    <hyperlink r:id="rId1569" ref="K1137"/>
    <hyperlink r:id="rId1570" ref="J1138"/>
    <hyperlink r:id="rId1571" ref="K1138"/>
    <hyperlink r:id="rId1572" ref="J1139"/>
    <hyperlink r:id="rId1573" ref="K1139"/>
    <hyperlink r:id="rId1574" ref="J1140"/>
    <hyperlink r:id="rId1575" ref="K1140"/>
    <hyperlink r:id="rId1576" ref="J1141"/>
    <hyperlink r:id="rId1577" ref="K1141"/>
    <hyperlink r:id="rId1578" ref="J1142"/>
    <hyperlink r:id="rId1579" ref="K1142"/>
    <hyperlink r:id="rId1580" ref="J1143"/>
    <hyperlink r:id="rId1581" ref="K1143"/>
    <hyperlink r:id="rId1582" ref="J1144"/>
    <hyperlink r:id="rId1583" ref="K1144"/>
    <hyperlink r:id="rId1584" ref="J1145"/>
    <hyperlink r:id="rId1585" ref="K1145"/>
    <hyperlink r:id="rId1586" ref="J1146"/>
    <hyperlink r:id="rId1587" ref="K1146"/>
    <hyperlink r:id="rId1588" ref="J1147"/>
    <hyperlink r:id="rId1589" ref="K1147"/>
    <hyperlink r:id="rId1590" ref="J1148"/>
    <hyperlink r:id="rId1591" ref="K1148"/>
    <hyperlink r:id="rId1592" ref="J1149"/>
    <hyperlink r:id="rId1593" ref="K1149"/>
    <hyperlink r:id="rId1594" ref="J1150"/>
    <hyperlink r:id="rId1595" ref="K1150"/>
    <hyperlink r:id="rId1596" ref="J1151"/>
    <hyperlink r:id="rId1597" ref="K1151"/>
    <hyperlink r:id="rId1598" ref="J1152"/>
    <hyperlink r:id="rId1599" ref="K1152"/>
    <hyperlink r:id="rId1600" ref="J1153"/>
    <hyperlink r:id="rId1601" ref="K1153"/>
    <hyperlink r:id="rId1602" ref="J1154"/>
    <hyperlink r:id="rId1603" ref="K1154"/>
    <hyperlink r:id="rId1604" ref="J1155"/>
    <hyperlink r:id="rId1605" ref="K1155"/>
    <hyperlink r:id="rId1606" ref="J1156"/>
    <hyperlink r:id="rId1607" ref="K1156"/>
    <hyperlink r:id="rId1608" ref="J1157"/>
    <hyperlink r:id="rId1609" ref="K1157"/>
    <hyperlink r:id="rId1610" ref="J1158"/>
    <hyperlink r:id="rId1611" ref="K1158"/>
    <hyperlink r:id="rId1612" ref="J1159"/>
    <hyperlink r:id="rId1613" ref="K1159"/>
    <hyperlink r:id="rId1614" ref="J1160"/>
    <hyperlink r:id="rId1615" ref="K1160"/>
    <hyperlink r:id="rId1616" ref="J1161"/>
    <hyperlink r:id="rId1617" ref="K1161"/>
    <hyperlink r:id="rId1618" ref="J1162"/>
    <hyperlink r:id="rId1619" ref="K1162"/>
    <hyperlink r:id="rId1620" ref="J1163"/>
    <hyperlink r:id="rId1621" ref="K1163"/>
    <hyperlink r:id="rId1622" ref="J1164"/>
    <hyperlink r:id="rId1623" ref="K1164"/>
    <hyperlink r:id="rId1624" ref="J1165"/>
    <hyperlink r:id="rId1625" ref="K1165"/>
    <hyperlink r:id="rId1626" ref="J1166"/>
    <hyperlink r:id="rId1627" ref="K1166"/>
    <hyperlink r:id="rId1628" ref="J1167"/>
    <hyperlink r:id="rId1629" ref="K1167"/>
    <hyperlink r:id="rId1630" ref="J1168"/>
    <hyperlink r:id="rId1631" ref="K1168"/>
    <hyperlink r:id="rId1632" ref="J1169"/>
    <hyperlink r:id="rId1633" ref="K1169"/>
    <hyperlink r:id="rId1634" ref="J1170"/>
    <hyperlink r:id="rId1635" ref="K1170"/>
    <hyperlink r:id="rId1636" ref="J1171"/>
    <hyperlink r:id="rId1637" ref="K1171"/>
    <hyperlink r:id="rId1638" ref="J1172"/>
    <hyperlink r:id="rId1639" ref="K1172"/>
    <hyperlink r:id="rId1640" ref="J1173"/>
    <hyperlink r:id="rId1641" ref="K1173"/>
    <hyperlink r:id="rId1642" ref="J1174"/>
    <hyperlink r:id="rId1643" ref="K1174"/>
    <hyperlink r:id="rId1644" ref="J1175"/>
    <hyperlink r:id="rId1645" ref="K1175"/>
    <hyperlink r:id="rId1646" ref="J1176"/>
    <hyperlink r:id="rId1647" ref="K1176"/>
    <hyperlink r:id="rId1648" ref="J1177"/>
    <hyperlink r:id="rId1649" ref="K1177"/>
    <hyperlink r:id="rId1650" ref="J1178"/>
    <hyperlink r:id="rId1651" ref="K1178"/>
    <hyperlink r:id="rId1652" ref="J1179"/>
    <hyperlink r:id="rId1653" ref="K1179"/>
    <hyperlink r:id="rId1654" ref="J1180"/>
    <hyperlink r:id="rId1655" ref="K1180"/>
    <hyperlink r:id="rId1656" ref="J1181"/>
    <hyperlink r:id="rId1657" ref="K1181"/>
    <hyperlink r:id="rId1658" ref="J1182"/>
    <hyperlink r:id="rId1659" ref="K1182"/>
    <hyperlink r:id="rId1660" ref="J1183"/>
    <hyperlink r:id="rId1661" ref="K1183"/>
    <hyperlink r:id="rId1662" ref="J1184"/>
    <hyperlink r:id="rId1663" ref="K1184"/>
    <hyperlink r:id="rId1664" ref="J1185"/>
    <hyperlink r:id="rId1665" ref="K1185"/>
    <hyperlink r:id="rId1666" ref="J1186"/>
    <hyperlink r:id="rId1667" ref="K1186"/>
    <hyperlink r:id="rId1668" ref="J1187"/>
    <hyperlink r:id="rId1669" ref="K1187"/>
    <hyperlink r:id="rId1670" ref="J1188"/>
    <hyperlink r:id="rId1671" ref="K1188"/>
    <hyperlink r:id="rId1672" ref="J1189"/>
    <hyperlink r:id="rId1673" ref="K1189"/>
    <hyperlink r:id="rId1674" ref="J1190"/>
    <hyperlink r:id="rId1675" ref="K1190"/>
    <hyperlink r:id="rId1676" ref="J1191"/>
    <hyperlink r:id="rId1677" ref="K1191"/>
    <hyperlink r:id="rId1678" ref="J1192"/>
    <hyperlink r:id="rId1679" ref="K1192"/>
    <hyperlink r:id="rId1680" ref="J1193"/>
    <hyperlink r:id="rId1681" ref="K1193"/>
    <hyperlink r:id="rId1682" ref="J1194"/>
    <hyperlink r:id="rId1683" ref="K1194"/>
    <hyperlink r:id="rId1684" ref="J1195"/>
    <hyperlink r:id="rId1685" ref="K1195"/>
    <hyperlink r:id="rId1686" ref="J1196"/>
    <hyperlink r:id="rId1687" ref="K1196"/>
    <hyperlink r:id="rId1688" ref="J1197"/>
    <hyperlink r:id="rId1689" ref="K1197"/>
    <hyperlink r:id="rId1690" ref="J1198"/>
    <hyperlink r:id="rId1691" ref="K1198"/>
    <hyperlink r:id="rId1692" ref="J1199"/>
    <hyperlink r:id="rId1693" ref="K1199"/>
    <hyperlink r:id="rId1694" ref="J1200"/>
    <hyperlink r:id="rId1695" ref="K1200"/>
    <hyperlink r:id="rId1696" ref="J1201"/>
    <hyperlink r:id="rId1697" ref="K1201"/>
    <hyperlink r:id="rId1698" ref="J1202"/>
    <hyperlink r:id="rId1699" ref="K1202"/>
    <hyperlink r:id="rId1700" ref="J1203"/>
    <hyperlink r:id="rId1701" ref="K1203"/>
    <hyperlink r:id="rId1702" ref="J1204"/>
    <hyperlink r:id="rId1703" ref="K1204"/>
    <hyperlink r:id="rId1704" ref="J1205"/>
    <hyperlink r:id="rId1705" ref="K1205"/>
    <hyperlink r:id="rId1706" ref="J1206"/>
    <hyperlink r:id="rId1707" ref="K1206"/>
    <hyperlink r:id="rId1708" ref="J1207"/>
    <hyperlink r:id="rId1709" ref="K1207"/>
    <hyperlink r:id="rId1710" ref="J1208"/>
    <hyperlink r:id="rId1711" ref="K1208"/>
    <hyperlink r:id="rId1712" ref="J1209"/>
    <hyperlink r:id="rId1713" ref="K1209"/>
    <hyperlink r:id="rId1714" ref="J1210"/>
    <hyperlink r:id="rId1715" ref="K1210"/>
    <hyperlink r:id="rId1716" ref="J1211"/>
    <hyperlink r:id="rId1717" ref="K1211"/>
    <hyperlink r:id="rId1718" ref="J1212"/>
    <hyperlink r:id="rId1719" ref="K1212"/>
    <hyperlink r:id="rId1720" ref="J1213"/>
    <hyperlink r:id="rId1721" ref="K1213"/>
    <hyperlink r:id="rId1722" ref="J1214"/>
    <hyperlink r:id="rId1723" ref="K1214"/>
    <hyperlink r:id="rId1724" ref="J1215"/>
    <hyperlink r:id="rId1725" ref="K1215"/>
    <hyperlink r:id="rId1726" ref="J1216"/>
    <hyperlink r:id="rId1727" ref="K1216"/>
    <hyperlink r:id="rId1728" ref="J1217"/>
    <hyperlink r:id="rId1729" ref="K1217"/>
    <hyperlink r:id="rId1730" ref="J1218"/>
    <hyperlink r:id="rId1731" ref="K1218"/>
    <hyperlink r:id="rId1732" ref="J1219"/>
    <hyperlink r:id="rId1733" ref="K1219"/>
    <hyperlink r:id="rId1734" ref="J1220"/>
    <hyperlink r:id="rId1735" ref="K1220"/>
    <hyperlink r:id="rId1736" ref="J1221"/>
    <hyperlink r:id="rId1737" ref="K1221"/>
    <hyperlink r:id="rId1738" ref="J1222"/>
    <hyperlink r:id="rId1739" ref="K1222"/>
    <hyperlink r:id="rId1740" ref="J1223"/>
    <hyperlink r:id="rId1741" ref="K1223"/>
    <hyperlink r:id="rId1742" ref="J1224"/>
    <hyperlink r:id="rId1743" ref="K1224"/>
    <hyperlink r:id="rId1744" ref="J1225"/>
    <hyperlink r:id="rId1745" ref="K1225"/>
    <hyperlink r:id="rId1746" ref="J1226"/>
    <hyperlink r:id="rId1747" ref="K1226"/>
    <hyperlink r:id="rId1748" ref="J1227"/>
    <hyperlink r:id="rId1749" ref="K1227"/>
    <hyperlink r:id="rId1750" ref="J1228"/>
    <hyperlink r:id="rId1751" ref="K1228"/>
    <hyperlink r:id="rId1752" ref="J1229"/>
    <hyperlink r:id="rId1753" ref="K1229"/>
    <hyperlink r:id="rId1754" ref="J1230"/>
    <hyperlink r:id="rId1755" ref="K1230"/>
    <hyperlink r:id="rId1756" ref="J1231"/>
    <hyperlink r:id="rId1757" ref="K1231"/>
    <hyperlink r:id="rId1758" ref="J1232"/>
    <hyperlink r:id="rId1759" ref="K1232"/>
    <hyperlink r:id="rId1760" ref="J1233"/>
    <hyperlink r:id="rId1761" ref="K1233"/>
    <hyperlink r:id="rId1762" ref="J1234"/>
    <hyperlink r:id="rId1763" ref="K1234"/>
    <hyperlink r:id="rId1764" ref="J1235"/>
    <hyperlink r:id="rId1765" ref="K1235"/>
    <hyperlink r:id="rId1766" ref="J1236"/>
    <hyperlink r:id="rId1767" ref="K1236"/>
    <hyperlink r:id="rId1768" ref="J1237"/>
    <hyperlink r:id="rId1769" ref="K1237"/>
    <hyperlink r:id="rId1770" ref="J1238"/>
    <hyperlink r:id="rId1771" ref="K1238"/>
    <hyperlink r:id="rId1772" ref="J1239"/>
    <hyperlink r:id="rId1773" ref="K1239"/>
    <hyperlink r:id="rId1774" ref="J1240"/>
    <hyperlink r:id="rId1775" ref="K1240"/>
    <hyperlink r:id="rId1776" ref="J1241"/>
    <hyperlink r:id="rId1777" ref="K1241"/>
    <hyperlink r:id="rId1778" ref="J1242"/>
    <hyperlink r:id="rId1779" ref="K1242"/>
    <hyperlink r:id="rId1780" ref="J1243"/>
    <hyperlink r:id="rId1781" ref="K1243"/>
    <hyperlink r:id="rId1782" ref="J1244"/>
    <hyperlink r:id="rId1783" ref="K1244"/>
    <hyperlink r:id="rId1784" ref="J1245"/>
    <hyperlink r:id="rId1785" ref="K1245"/>
    <hyperlink r:id="rId1786" ref="J1246"/>
    <hyperlink r:id="rId1787" ref="K1246"/>
    <hyperlink r:id="rId1788" ref="J1247"/>
    <hyperlink r:id="rId1789" ref="K1247"/>
    <hyperlink r:id="rId1790" ref="J1248"/>
    <hyperlink r:id="rId1791" ref="K1248"/>
    <hyperlink r:id="rId1792" ref="J1249"/>
    <hyperlink r:id="rId1793" ref="K1249"/>
    <hyperlink r:id="rId1794" ref="J1250"/>
    <hyperlink r:id="rId1795" ref="K1250"/>
    <hyperlink r:id="rId1796" ref="J1251"/>
    <hyperlink r:id="rId1797" ref="K1251"/>
    <hyperlink r:id="rId1798" ref="J1252"/>
    <hyperlink r:id="rId1799" ref="K1252"/>
    <hyperlink r:id="rId1800" ref="J1253"/>
    <hyperlink r:id="rId1801" ref="K1253"/>
    <hyperlink r:id="rId1802" ref="J1254"/>
    <hyperlink r:id="rId1803" ref="K1254"/>
    <hyperlink r:id="rId1804" ref="J1255"/>
    <hyperlink r:id="rId1805" ref="K1255"/>
    <hyperlink r:id="rId1806" ref="J1256"/>
    <hyperlink r:id="rId1807" ref="K1256"/>
    <hyperlink r:id="rId1808" ref="J1257"/>
    <hyperlink r:id="rId1809" ref="K1257"/>
    <hyperlink r:id="rId1810" ref="J1258"/>
    <hyperlink r:id="rId1811" ref="K1258"/>
    <hyperlink r:id="rId1812" ref="J1259"/>
    <hyperlink r:id="rId1813" ref="K1259"/>
    <hyperlink r:id="rId1814" ref="J1260"/>
    <hyperlink r:id="rId1815" ref="K1260"/>
    <hyperlink r:id="rId1816" ref="J1261"/>
    <hyperlink r:id="rId1817" ref="K1261"/>
    <hyperlink r:id="rId1818" ref="J1262"/>
    <hyperlink r:id="rId1819" ref="K1262"/>
    <hyperlink r:id="rId1820" ref="J1263"/>
    <hyperlink r:id="rId1821" ref="K1263"/>
    <hyperlink r:id="rId1822" ref="J1264"/>
    <hyperlink r:id="rId1823" ref="K1264"/>
    <hyperlink r:id="rId1824" ref="J1265"/>
    <hyperlink r:id="rId1825" ref="K1265"/>
    <hyperlink r:id="rId1826" ref="J1266"/>
    <hyperlink r:id="rId1827" ref="K1266"/>
    <hyperlink r:id="rId1828" ref="J1267"/>
    <hyperlink r:id="rId1829" ref="K1267"/>
    <hyperlink r:id="rId1830" ref="J1268"/>
    <hyperlink r:id="rId1831" ref="K1268"/>
    <hyperlink r:id="rId1832" ref="J1269"/>
    <hyperlink r:id="rId1833" ref="K1269"/>
    <hyperlink r:id="rId1834" ref="J1270"/>
    <hyperlink r:id="rId1835" ref="K1270"/>
    <hyperlink r:id="rId1836" ref="J1271"/>
    <hyperlink r:id="rId1837" ref="K1271"/>
    <hyperlink r:id="rId1838" ref="J1272"/>
    <hyperlink r:id="rId1839" ref="K1272"/>
    <hyperlink r:id="rId1840" ref="J1273"/>
    <hyperlink r:id="rId1841" ref="K1273"/>
    <hyperlink r:id="rId1842" ref="J1274"/>
    <hyperlink r:id="rId1843" ref="K1274"/>
    <hyperlink r:id="rId1844" ref="J1275"/>
    <hyperlink r:id="rId1845" ref="K1275"/>
    <hyperlink r:id="rId1846" ref="J1276"/>
    <hyperlink r:id="rId1847" ref="K1276"/>
    <hyperlink r:id="rId1848" ref="J1277"/>
    <hyperlink r:id="rId1849" ref="K1277"/>
    <hyperlink r:id="rId1850" ref="J1278"/>
    <hyperlink r:id="rId1851" ref="K1278"/>
    <hyperlink r:id="rId1852" ref="J1279"/>
    <hyperlink r:id="rId1853" ref="K1279"/>
    <hyperlink r:id="rId1854" ref="J1280"/>
    <hyperlink r:id="rId1855" ref="K1280"/>
    <hyperlink r:id="rId1856" ref="J1281"/>
    <hyperlink r:id="rId1857" ref="K1281"/>
    <hyperlink r:id="rId1858" ref="J1282"/>
    <hyperlink r:id="rId1859" ref="K1282"/>
    <hyperlink r:id="rId1860" ref="J1283"/>
    <hyperlink r:id="rId1861" ref="K1283"/>
    <hyperlink r:id="rId1862" ref="J1284"/>
    <hyperlink r:id="rId1863" ref="K1284"/>
    <hyperlink r:id="rId1864" ref="J1285"/>
    <hyperlink r:id="rId1865" ref="K1285"/>
    <hyperlink r:id="rId1866" ref="J1286"/>
    <hyperlink r:id="rId1867" ref="K1286"/>
    <hyperlink r:id="rId1868" ref="J1287"/>
    <hyperlink r:id="rId1869" ref="K1287"/>
    <hyperlink r:id="rId1870" ref="J1288"/>
    <hyperlink r:id="rId1871" ref="K1288"/>
    <hyperlink r:id="rId1872" ref="J1289"/>
    <hyperlink r:id="rId1873" ref="K1289"/>
    <hyperlink r:id="rId1874" ref="J1290"/>
    <hyperlink r:id="rId1875" ref="K1290"/>
    <hyperlink r:id="rId1876" ref="J1291"/>
    <hyperlink r:id="rId1877" ref="K1291"/>
    <hyperlink r:id="rId1878" ref="J1292"/>
    <hyperlink r:id="rId1879" ref="K1292"/>
    <hyperlink r:id="rId1880" ref="J1293"/>
    <hyperlink r:id="rId1881" ref="K1293"/>
    <hyperlink r:id="rId1882" ref="J1294"/>
    <hyperlink r:id="rId1883" ref="K1294"/>
    <hyperlink r:id="rId1884" ref="J1295"/>
    <hyperlink r:id="rId1885" ref="K1295"/>
    <hyperlink r:id="rId1886" ref="J1296"/>
    <hyperlink r:id="rId1887" ref="K1296"/>
    <hyperlink r:id="rId1888" ref="J1297"/>
    <hyperlink r:id="rId1889" ref="K1297"/>
    <hyperlink r:id="rId1890" ref="J1298"/>
    <hyperlink r:id="rId1891" ref="K1298"/>
    <hyperlink r:id="rId1892" ref="J1299"/>
    <hyperlink r:id="rId1893" ref="K1299"/>
    <hyperlink r:id="rId1894" ref="J1300"/>
    <hyperlink r:id="rId1895" ref="K1300"/>
    <hyperlink r:id="rId1896" ref="J1301"/>
    <hyperlink r:id="rId1897" ref="K1301"/>
    <hyperlink r:id="rId1898" ref="J1302"/>
    <hyperlink r:id="rId1899" ref="K1302"/>
    <hyperlink r:id="rId1900" ref="J1303"/>
    <hyperlink r:id="rId1901" ref="K1303"/>
    <hyperlink r:id="rId1902" ref="J1304"/>
    <hyperlink r:id="rId1903" ref="K1304"/>
    <hyperlink r:id="rId1904" ref="J1305"/>
    <hyperlink r:id="rId1905" ref="K1305"/>
    <hyperlink r:id="rId1906" ref="J1306"/>
    <hyperlink r:id="rId1907" ref="K1306"/>
    <hyperlink r:id="rId1908" ref="J1307"/>
    <hyperlink r:id="rId1909" ref="K1307"/>
    <hyperlink r:id="rId1910" ref="J1308"/>
    <hyperlink r:id="rId1911" ref="K1308"/>
    <hyperlink r:id="rId1912" ref="J1309"/>
    <hyperlink r:id="rId1913" ref="K1309"/>
    <hyperlink r:id="rId1914" ref="J1310"/>
    <hyperlink r:id="rId1915" ref="K1310"/>
    <hyperlink r:id="rId1916" ref="J1311"/>
    <hyperlink r:id="rId1917" ref="K1311"/>
    <hyperlink r:id="rId1918" ref="J1312"/>
    <hyperlink r:id="rId1919" ref="K1312"/>
    <hyperlink r:id="rId1920" ref="J1313"/>
    <hyperlink r:id="rId1921" ref="K1313"/>
    <hyperlink r:id="rId1922" ref="J1314"/>
    <hyperlink r:id="rId1923" ref="K1314"/>
    <hyperlink r:id="rId1924" ref="J1315"/>
    <hyperlink r:id="rId1925" ref="K1315"/>
    <hyperlink r:id="rId1926" ref="J1316"/>
    <hyperlink r:id="rId1927" ref="K1316"/>
    <hyperlink r:id="rId1928" ref="J1317"/>
    <hyperlink r:id="rId1929" ref="K1317"/>
    <hyperlink r:id="rId1930" ref="J1318"/>
    <hyperlink r:id="rId1931" ref="K1318"/>
    <hyperlink r:id="rId1932" ref="J1319"/>
    <hyperlink r:id="rId1933" ref="K1319"/>
    <hyperlink r:id="rId1934" ref="J1320"/>
    <hyperlink r:id="rId1935" ref="K1320"/>
    <hyperlink r:id="rId1936" ref="J1321"/>
    <hyperlink r:id="rId1937" ref="K1321"/>
    <hyperlink r:id="rId1938" ref="J1322"/>
    <hyperlink r:id="rId1939" ref="K1322"/>
    <hyperlink r:id="rId1940" ref="J1323"/>
    <hyperlink r:id="rId1941" ref="K1323"/>
    <hyperlink r:id="rId1942" ref="J1324"/>
    <hyperlink r:id="rId1943" ref="K1324"/>
    <hyperlink r:id="rId1944" ref="J1325"/>
    <hyperlink r:id="rId1945" ref="K1325"/>
    <hyperlink r:id="rId1946" ref="J1326"/>
    <hyperlink r:id="rId1947" ref="K1326"/>
    <hyperlink r:id="rId1948" ref="J1327"/>
    <hyperlink r:id="rId1949" ref="K1327"/>
    <hyperlink r:id="rId1950" ref="J1328"/>
    <hyperlink r:id="rId1951" ref="K1328"/>
    <hyperlink r:id="rId1952" ref="J1329"/>
    <hyperlink r:id="rId1953" ref="K1329"/>
    <hyperlink r:id="rId1954" ref="J1330"/>
    <hyperlink r:id="rId1955" ref="K1330"/>
    <hyperlink r:id="rId1956" ref="J1331"/>
    <hyperlink r:id="rId1957" ref="K1331"/>
    <hyperlink r:id="rId1958" ref="J1332"/>
    <hyperlink r:id="rId1959" ref="K1332"/>
    <hyperlink r:id="rId1960" ref="J1333"/>
    <hyperlink r:id="rId1961" ref="K1333"/>
    <hyperlink r:id="rId1962" ref="J1334"/>
    <hyperlink r:id="rId1963" ref="K1334"/>
    <hyperlink r:id="rId1964" ref="J1335"/>
    <hyperlink r:id="rId1965" ref="K1335"/>
    <hyperlink r:id="rId1966" ref="J1336"/>
    <hyperlink r:id="rId1967" ref="K1336"/>
    <hyperlink r:id="rId1968" ref="J1337"/>
    <hyperlink r:id="rId1969" ref="K1337"/>
    <hyperlink r:id="rId1970" ref="J1338"/>
    <hyperlink r:id="rId1971" ref="K1338"/>
    <hyperlink r:id="rId1972" ref="J1339"/>
    <hyperlink r:id="rId1973" ref="K1339"/>
    <hyperlink r:id="rId1974" ref="J1340"/>
    <hyperlink r:id="rId1975" ref="K1340"/>
    <hyperlink r:id="rId1976" ref="J1341"/>
    <hyperlink r:id="rId1977" ref="K1341"/>
    <hyperlink r:id="rId1978" ref="J1342"/>
    <hyperlink r:id="rId1979" ref="K1342"/>
    <hyperlink r:id="rId1980" ref="J1343"/>
    <hyperlink r:id="rId1981" ref="K1343"/>
    <hyperlink r:id="rId1982" ref="J1344"/>
    <hyperlink r:id="rId1983" ref="K1344"/>
    <hyperlink r:id="rId1984" ref="J1345"/>
    <hyperlink r:id="rId1985" ref="K1345"/>
    <hyperlink r:id="rId1986" ref="J1346"/>
    <hyperlink r:id="rId1987" ref="K1346"/>
    <hyperlink r:id="rId1988" ref="J1347"/>
    <hyperlink r:id="rId1989" ref="K1347"/>
    <hyperlink r:id="rId1990" ref="J1348"/>
    <hyperlink r:id="rId1991" ref="K1348"/>
    <hyperlink r:id="rId1992" ref="J1349"/>
    <hyperlink r:id="rId1993" ref="K1349"/>
    <hyperlink r:id="rId1994" ref="J1350"/>
    <hyperlink r:id="rId1995" ref="K1350"/>
    <hyperlink r:id="rId1996" ref="J1351"/>
    <hyperlink r:id="rId1997" ref="K1351"/>
    <hyperlink r:id="rId1998" ref="J1352"/>
    <hyperlink r:id="rId1999" ref="K1352"/>
    <hyperlink r:id="rId2000" ref="J1353"/>
    <hyperlink r:id="rId2001" ref="K1353"/>
    <hyperlink r:id="rId2002" ref="J1354"/>
    <hyperlink r:id="rId2003" ref="K1354"/>
    <hyperlink r:id="rId2004" ref="J1355"/>
    <hyperlink r:id="rId2005" ref="K1355"/>
    <hyperlink r:id="rId2006" ref="J1356"/>
    <hyperlink r:id="rId2007" ref="K1356"/>
    <hyperlink r:id="rId2008" ref="J1357"/>
    <hyperlink r:id="rId2009" ref="K1357"/>
    <hyperlink r:id="rId2010" ref="J1358"/>
    <hyperlink r:id="rId2011" ref="K1358"/>
    <hyperlink r:id="rId2012" ref="J1359"/>
    <hyperlink r:id="rId2013" ref="K1359"/>
    <hyperlink r:id="rId2014" ref="J1360"/>
    <hyperlink r:id="rId2015" ref="K1360"/>
    <hyperlink r:id="rId2016" ref="J1361"/>
    <hyperlink r:id="rId2017" ref="K1361"/>
    <hyperlink r:id="rId2018" ref="J1362"/>
    <hyperlink r:id="rId2019" ref="K1362"/>
    <hyperlink r:id="rId2020" ref="J1363"/>
    <hyperlink r:id="rId2021" ref="K1363"/>
    <hyperlink r:id="rId2022" ref="J1364"/>
    <hyperlink r:id="rId2023" ref="K1364"/>
    <hyperlink r:id="rId2024" ref="J1365"/>
    <hyperlink r:id="rId2025" ref="K1365"/>
    <hyperlink r:id="rId2026" ref="J1366"/>
    <hyperlink r:id="rId2027" ref="K1366"/>
    <hyperlink r:id="rId2028" ref="J1367"/>
    <hyperlink r:id="rId2029" ref="K1367"/>
    <hyperlink r:id="rId2030" ref="J1368"/>
    <hyperlink r:id="rId2031" ref="K1368"/>
    <hyperlink r:id="rId2032" ref="J1369"/>
    <hyperlink r:id="rId2033" ref="K1369"/>
    <hyperlink r:id="rId2034" ref="J1370"/>
    <hyperlink r:id="rId2035" ref="K1370"/>
    <hyperlink r:id="rId2036" ref="J1371"/>
    <hyperlink r:id="rId2037" ref="K1371"/>
    <hyperlink r:id="rId2038" ref="J1372"/>
    <hyperlink r:id="rId2039" ref="K1372"/>
    <hyperlink r:id="rId2040" ref="J1373"/>
    <hyperlink r:id="rId2041" ref="K1373"/>
    <hyperlink r:id="rId2042" ref="J1374"/>
    <hyperlink r:id="rId2043" ref="K1374"/>
    <hyperlink r:id="rId2044" ref="J1375"/>
    <hyperlink r:id="rId2045" ref="K1375"/>
    <hyperlink r:id="rId2046" ref="J1376"/>
    <hyperlink r:id="rId2047" ref="K1376"/>
    <hyperlink r:id="rId2048" ref="J1377"/>
    <hyperlink r:id="rId2049" ref="K1377"/>
    <hyperlink r:id="rId2050" ref="J1378"/>
    <hyperlink r:id="rId2051" ref="K1378"/>
    <hyperlink r:id="rId2052" ref="J1379"/>
    <hyperlink r:id="rId2053" ref="K1379"/>
    <hyperlink r:id="rId2054" ref="J1380"/>
    <hyperlink r:id="rId2055" ref="K1380"/>
    <hyperlink r:id="rId2056" ref="J1381"/>
    <hyperlink r:id="rId2057" ref="K1381"/>
    <hyperlink r:id="rId2058" ref="J1382"/>
    <hyperlink r:id="rId2059" ref="K1382"/>
    <hyperlink r:id="rId2060" ref="J1383"/>
    <hyperlink r:id="rId2061" ref="K1383"/>
    <hyperlink r:id="rId2062" ref="J1384"/>
    <hyperlink r:id="rId2063" ref="K1384"/>
    <hyperlink r:id="rId2064" ref="J1385"/>
    <hyperlink r:id="rId2065" ref="K1385"/>
    <hyperlink r:id="rId2066" ref="J1386"/>
    <hyperlink r:id="rId2067" ref="K1386"/>
    <hyperlink r:id="rId2068" ref="J1387"/>
    <hyperlink r:id="rId2069" ref="K1387"/>
    <hyperlink r:id="rId2070" ref="J1388"/>
    <hyperlink r:id="rId2071" ref="K1388"/>
    <hyperlink r:id="rId2072" ref="J1389"/>
    <hyperlink r:id="rId2073" ref="K1389"/>
    <hyperlink r:id="rId2074" ref="J1390"/>
    <hyperlink r:id="rId2075" ref="K1390"/>
    <hyperlink r:id="rId2076" ref="J1391"/>
    <hyperlink r:id="rId2077" ref="K1391"/>
    <hyperlink r:id="rId2078" ref="J1392"/>
    <hyperlink r:id="rId2079" ref="K1392"/>
    <hyperlink r:id="rId2080" ref="J1393"/>
    <hyperlink r:id="rId2081" ref="K1393"/>
    <hyperlink r:id="rId2082" ref="J1394"/>
    <hyperlink r:id="rId2083" ref="K1394"/>
    <hyperlink r:id="rId2084" ref="J1395"/>
    <hyperlink r:id="rId2085" ref="K1395"/>
    <hyperlink r:id="rId2086" ref="J1396"/>
    <hyperlink r:id="rId2087" ref="K1396"/>
    <hyperlink r:id="rId2088" ref="J1397"/>
    <hyperlink r:id="rId2089" ref="K1397"/>
    <hyperlink r:id="rId2090" ref="J1398"/>
    <hyperlink r:id="rId2091" ref="K1398"/>
    <hyperlink r:id="rId2092" ref="J1399"/>
    <hyperlink r:id="rId2093" ref="K1399"/>
    <hyperlink r:id="rId2094" ref="J1400"/>
    <hyperlink r:id="rId2095" ref="K1400"/>
    <hyperlink r:id="rId2096" ref="J1401"/>
    <hyperlink r:id="rId2097" ref="K1401"/>
    <hyperlink r:id="rId2098" ref="J1402"/>
    <hyperlink r:id="rId2099" ref="K1402"/>
    <hyperlink r:id="rId2100" ref="J1403"/>
    <hyperlink r:id="rId2101" ref="K1403"/>
    <hyperlink r:id="rId2102" ref="J1404"/>
    <hyperlink r:id="rId2103" ref="K1404"/>
    <hyperlink r:id="rId2104" ref="J1405"/>
    <hyperlink r:id="rId2105" ref="K1405"/>
    <hyperlink r:id="rId2106" ref="J1406"/>
    <hyperlink r:id="rId2107" ref="K1406"/>
    <hyperlink r:id="rId2108" ref="J1407"/>
    <hyperlink r:id="rId2109" ref="K1407"/>
    <hyperlink r:id="rId2110" ref="J1408"/>
    <hyperlink r:id="rId2111" ref="K1408"/>
    <hyperlink r:id="rId2112" ref="J1409"/>
    <hyperlink r:id="rId2113" ref="K1409"/>
    <hyperlink r:id="rId2114" ref="J1410"/>
    <hyperlink r:id="rId2115" ref="K1410"/>
    <hyperlink r:id="rId2116" ref="J1411"/>
    <hyperlink r:id="rId2117" ref="K1411"/>
    <hyperlink r:id="rId2118" ref="J1412"/>
    <hyperlink r:id="rId2119" ref="K1412"/>
    <hyperlink r:id="rId2120" ref="J1413"/>
    <hyperlink r:id="rId2121" ref="K1413"/>
    <hyperlink r:id="rId2122" ref="J1414"/>
    <hyperlink r:id="rId2123" ref="K1414"/>
    <hyperlink r:id="rId2124" ref="J1415"/>
    <hyperlink r:id="rId2125" ref="K1415"/>
    <hyperlink r:id="rId2126" ref="J1416"/>
    <hyperlink r:id="rId2127" ref="K1416"/>
    <hyperlink r:id="rId2128" ref="J1417"/>
    <hyperlink r:id="rId2129" ref="K1417"/>
    <hyperlink r:id="rId2130" ref="J1418"/>
    <hyperlink r:id="rId2131" ref="K1418"/>
    <hyperlink r:id="rId2132" ref="J1419"/>
    <hyperlink r:id="rId2133" ref="K1419"/>
    <hyperlink r:id="rId2134" ref="J1420"/>
    <hyperlink r:id="rId2135" ref="K1420"/>
    <hyperlink r:id="rId2136" ref="J1421"/>
    <hyperlink r:id="rId2137" ref="K1421"/>
    <hyperlink r:id="rId2138" ref="J1422"/>
    <hyperlink r:id="rId2139" ref="K1422"/>
    <hyperlink r:id="rId2140" ref="J1423"/>
    <hyperlink r:id="rId2141" ref="K1423"/>
    <hyperlink r:id="rId2142" ref="J1424"/>
    <hyperlink r:id="rId2143" ref="K1424"/>
    <hyperlink r:id="rId2144" ref="J1425"/>
    <hyperlink r:id="rId2145" ref="K1425"/>
    <hyperlink r:id="rId2146" ref="J1426"/>
    <hyperlink r:id="rId2147" ref="K1426"/>
    <hyperlink r:id="rId2148" ref="J1427"/>
    <hyperlink r:id="rId2149" ref="K1427"/>
    <hyperlink r:id="rId2150" ref="J1428"/>
    <hyperlink r:id="rId2151" ref="K1428"/>
    <hyperlink r:id="rId2152" ref="J1429"/>
    <hyperlink r:id="rId2153" ref="K1429"/>
    <hyperlink r:id="rId2154" ref="J1430"/>
    <hyperlink r:id="rId2155" ref="K1430"/>
    <hyperlink r:id="rId2156" ref="J1431"/>
    <hyperlink r:id="rId2157" ref="K1431"/>
    <hyperlink r:id="rId2158" ref="J1432"/>
    <hyperlink r:id="rId2159" ref="K1432"/>
    <hyperlink r:id="rId2160" ref="J1433"/>
    <hyperlink r:id="rId2161" ref="K1433"/>
    <hyperlink r:id="rId2162" ref="J1434"/>
    <hyperlink r:id="rId2163" ref="K1434"/>
    <hyperlink r:id="rId2164" ref="J1435"/>
    <hyperlink r:id="rId2165" ref="K1435"/>
    <hyperlink r:id="rId2166" ref="J1436"/>
    <hyperlink r:id="rId2167" ref="K1436"/>
    <hyperlink r:id="rId2168" ref="J1437"/>
    <hyperlink r:id="rId2169" ref="K1437"/>
    <hyperlink r:id="rId2170" ref="J1438"/>
    <hyperlink r:id="rId2171" ref="K1438"/>
    <hyperlink r:id="rId2172" ref="J1439"/>
    <hyperlink r:id="rId2173" ref="K1439"/>
    <hyperlink r:id="rId2174" ref="J1440"/>
    <hyperlink r:id="rId2175" ref="K1440"/>
    <hyperlink r:id="rId2176" ref="J1441"/>
    <hyperlink r:id="rId2177" ref="K1441"/>
    <hyperlink r:id="rId2178" ref="J1442"/>
    <hyperlink r:id="rId2179" ref="K1442"/>
    <hyperlink r:id="rId2180" ref="J1443"/>
    <hyperlink r:id="rId2181" ref="K1443"/>
    <hyperlink r:id="rId2182" ref="J1444"/>
    <hyperlink r:id="rId2183" ref="K1444"/>
    <hyperlink r:id="rId2184" ref="J1445"/>
    <hyperlink r:id="rId2185" ref="K1445"/>
    <hyperlink r:id="rId2186" ref="J1446"/>
    <hyperlink r:id="rId2187" ref="K1446"/>
    <hyperlink r:id="rId2188" ref="J1447"/>
    <hyperlink r:id="rId2189" ref="K1447"/>
    <hyperlink r:id="rId2190" ref="J1448"/>
    <hyperlink r:id="rId2191" ref="K1448"/>
    <hyperlink r:id="rId2192" ref="J1449"/>
    <hyperlink r:id="rId2193" ref="K1449"/>
    <hyperlink r:id="rId2194" ref="J1450"/>
    <hyperlink r:id="rId2195" ref="K1450"/>
    <hyperlink r:id="rId2196" ref="J1451"/>
    <hyperlink r:id="rId2197" ref="K1451"/>
    <hyperlink r:id="rId2198" ref="J1452"/>
    <hyperlink r:id="rId2199" ref="K1452"/>
    <hyperlink r:id="rId2200" ref="J1453"/>
    <hyperlink r:id="rId2201" ref="K1453"/>
    <hyperlink r:id="rId2202" ref="J1454"/>
    <hyperlink r:id="rId2203" ref="K1454"/>
    <hyperlink r:id="rId2204" ref="J1455"/>
    <hyperlink r:id="rId2205" ref="K1455"/>
    <hyperlink r:id="rId2206" ref="J1456"/>
    <hyperlink r:id="rId2207" ref="K1456"/>
    <hyperlink r:id="rId2208" ref="J1457"/>
    <hyperlink r:id="rId2209" ref="K1457"/>
    <hyperlink r:id="rId2210" ref="J1458"/>
    <hyperlink r:id="rId2211" ref="K1458"/>
    <hyperlink r:id="rId2212" ref="J1459"/>
    <hyperlink r:id="rId2213" ref="K1459"/>
    <hyperlink r:id="rId2214" ref="J1460"/>
    <hyperlink r:id="rId2215" ref="K1460"/>
    <hyperlink r:id="rId2216" ref="J1461"/>
    <hyperlink r:id="rId2217" ref="K1461"/>
    <hyperlink r:id="rId2218" ref="J1462"/>
    <hyperlink r:id="rId2219" ref="K1462"/>
    <hyperlink r:id="rId2220" ref="J1463"/>
    <hyperlink r:id="rId2221" ref="K1463"/>
    <hyperlink r:id="rId2222" ref="J1464"/>
    <hyperlink r:id="rId2223" ref="K1464"/>
    <hyperlink r:id="rId2224" ref="J1465"/>
    <hyperlink r:id="rId2225" ref="K1465"/>
    <hyperlink r:id="rId2226" ref="J1466"/>
    <hyperlink r:id="rId2227" ref="K1466"/>
    <hyperlink r:id="rId2228" ref="J1467"/>
    <hyperlink r:id="rId2229" ref="K1467"/>
    <hyperlink r:id="rId2230" ref="J1468"/>
    <hyperlink r:id="rId2231" ref="K1468"/>
    <hyperlink r:id="rId2232" ref="J1469"/>
    <hyperlink r:id="rId2233" ref="K1469"/>
    <hyperlink r:id="rId2234" ref="J1470"/>
    <hyperlink r:id="rId2235" ref="K1470"/>
    <hyperlink r:id="rId2236" ref="J1471"/>
    <hyperlink r:id="rId2237" ref="K1471"/>
    <hyperlink r:id="rId2238" ref="J1472"/>
    <hyperlink r:id="rId2239" ref="K1472"/>
    <hyperlink r:id="rId2240" ref="J1473"/>
    <hyperlink r:id="rId2241" ref="K1473"/>
    <hyperlink r:id="rId2242" ref="J1474"/>
    <hyperlink r:id="rId2243" ref="K1474"/>
    <hyperlink r:id="rId2244" ref="J1475"/>
    <hyperlink r:id="rId2245" ref="K1475"/>
    <hyperlink r:id="rId2246" ref="J1476"/>
    <hyperlink r:id="rId2247" ref="K1476"/>
    <hyperlink r:id="rId2248" ref="J1477"/>
    <hyperlink r:id="rId2249" ref="K1477"/>
    <hyperlink r:id="rId2250" ref="J1478"/>
    <hyperlink r:id="rId2251" ref="K1478"/>
    <hyperlink r:id="rId2252" ref="J1479"/>
    <hyperlink r:id="rId2253" ref="K1479"/>
    <hyperlink r:id="rId2254" ref="J1480"/>
    <hyperlink r:id="rId2255" ref="K1480"/>
    <hyperlink r:id="rId2256" ref="J1481"/>
    <hyperlink r:id="rId2257" ref="K1481"/>
    <hyperlink r:id="rId2258" ref="J1482"/>
    <hyperlink r:id="rId2259" ref="K1482"/>
  </hyperlinks>
  <drawing r:id="rId2260"/>
  <legacyDrawing r:id="rId22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6.5"/>
    <col customWidth="1" min="2" max="2" width="18.75"/>
    <col customWidth="1" min="3" max="3" width="11.38"/>
    <col customWidth="1" min="4" max="4" width="11.0"/>
    <col customWidth="1" min="5" max="5" width="12.63"/>
    <col customWidth="1" min="6" max="6" width="19.88"/>
    <col customWidth="1" min="7" max="7" width="13.63"/>
    <col customWidth="1" min="8" max="8" width="9.25"/>
    <col customWidth="1" min="9" max="9" width="8.88"/>
    <col customWidth="1" min="10" max="10" width="8.25"/>
    <col customWidth="1" min="11" max="11" width="14.0"/>
    <col customWidth="1" min="12" max="12" width="15.75"/>
    <col customWidth="1" min="13" max="13" width="18.5"/>
    <col customWidth="1" min="14" max="14" width="8.13"/>
    <col customWidth="1" min="15" max="15" width="8.63"/>
    <col customWidth="1" min="16" max="16" width="10.0"/>
    <col customWidth="1" min="17" max="17" width="11.25"/>
    <col customWidth="1" min="18" max="18" width="15.25"/>
    <col customWidth="1" min="19" max="19" width="17.5"/>
    <col customWidth="1" min="20" max="20" width="8.13"/>
    <col customWidth="1" min="21" max="21" width="12.5"/>
    <col customWidth="1" min="22" max="22" width="12.0"/>
  </cols>
  <sheetData>
    <row r="1">
      <c r="A1" s="92"/>
      <c r="B1" s="93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  <c r="O1" s="95"/>
      <c r="P1" s="95"/>
      <c r="Q1" s="92"/>
      <c r="R1" s="92"/>
      <c r="S1" s="92"/>
      <c r="T1" s="92"/>
      <c r="U1" s="92"/>
      <c r="V1" s="92"/>
      <c r="W1" s="92"/>
      <c r="X1" s="96"/>
      <c r="Y1" s="96"/>
      <c r="Z1" s="96"/>
    </row>
    <row r="2">
      <c r="A2" s="92"/>
      <c r="B2" s="93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4"/>
      <c r="O2" s="95"/>
      <c r="P2" s="95"/>
      <c r="Q2" s="92"/>
      <c r="R2" s="92"/>
      <c r="S2" s="92"/>
      <c r="T2" s="92"/>
      <c r="U2" s="92"/>
      <c r="V2" s="92"/>
      <c r="W2" s="92"/>
      <c r="X2" s="96"/>
      <c r="Y2" s="96"/>
      <c r="Z2" s="96"/>
    </row>
    <row r="3">
      <c r="A3" s="97" t="s">
        <v>4240</v>
      </c>
      <c r="B3" s="98" t="s">
        <v>4241</v>
      </c>
      <c r="C3" s="97" t="s">
        <v>4242</v>
      </c>
      <c r="D3" s="97" t="s">
        <v>4243</v>
      </c>
      <c r="E3" s="97" t="s">
        <v>4244</v>
      </c>
      <c r="F3" s="97" t="s">
        <v>4245</v>
      </c>
      <c r="G3" s="97" t="s">
        <v>4246</v>
      </c>
      <c r="H3" s="97" t="s">
        <v>4247</v>
      </c>
      <c r="I3" s="97" t="s">
        <v>4248</v>
      </c>
      <c r="J3" s="97" t="s">
        <v>4249</v>
      </c>
      <c r="K3" s="97" t="s">
        <v>4250</v>
      </c>
      <c r="L3" s="97" t="s">
        <v>4251</v>
      </c>
      <c r="M3" s="97" t="s">
        <v>4252</v>
      </c>
      <c r="N3" s="99" t="s">
        <v>4253</v>
      </c>
      <c r="O3" s="100" t="s">
        <v>4254</v>
      </c>
      <c r="P3" s="100" t="s">
        <v>4255</v>
      </c>
      <c r="Q3" s="97" t="s">
        <v>4256</v>
      </c>
      <c r="R3" s="97" t="s">
        <v>4257</v>
      </c>
      <c r="S3" s="97" t="s">
        <v>4258</v>
      </c>
      <c r="T3" s="97" t="s">
        <v>4259</v>
      </c>
      <c r="U3" s="97" t="s">
        <v>4260</v>
      </c>
      <c r="V3" s="97" t="s">
        <v>4261</v>
      </c>
      <c r="W3" s="101"/>
      <c r="X3" s="96"/>
      <c r="Y3" s="96"/>
      <c r="Z3" s="96"/>
    </row>
    <row r="4">
      <c r="A4" s="102" t="s">
        <v>2842</v>
      </c>
      <c r="B4" s="103">
        <f>IFERROR( VLOOKUP($A4,'INVOICE DETAILS.'!$F$3:$G$1994,2,0)," ")</f>
        <v>46174</v>
      </c>
      <c r="C4" s="104" t="s">
        <v>4262</v>
      </c>
      <c r="D4" s="104" t="s">
        <v>4263</v>
      </c>
      <c r="E4" s="104" t="s">
        <v>4264</v>
      </c>
      <c r="F4" s="104" t="s">
        <v>4265</v>
      </c>
      <c r="G4" s="104" t="s">
        <v>4266</v>
      </c>
      <c r="H4" s="104" t="s">
        <v>4267</v>
      </c>
      <c r="I4" s="104" t="s">
        <v>4268</v>
      </c>
      <c r="J4" s="104">
        <v>28.0</v>
      </c>
      <c r="K4" s="104"/>
      <c r="L4" s="104" t="s">
        <v>4269</v>
      </c>
      <c r="M4" s="104">
        <v>620349.0</v>
      </c>
      <c r="N4" s="105">
        <v>1.0</v>
      </c>
      <c r="O4" s="106">
        <v>1199.0</v>
      </c>
      <c r="P4" s="106">
        <v>762.0</v>
      </c>
      <c r="Q4" s="106">
        <v>838.2</v>
      </c>
      <c r="R4" s="104">
        <v>5.0</v>
      </c>
      <c r="S4" s="104">
        <v>5.0</v>
      </c>
      <c r="T4" s="104">
        <v>1.0</v>
      </c>
      <c r="U4" s="104">
        <v>30.0</v>
      </c>
      <c r="V4" s="107" t="str">
        <f t="shared" ref="V4:V1000" si="1">UPPER( IFERROR( TEXT($B4,"MMMM")," "))</f>
        <v>JUNE</v>
      </c>
      <c r="W4" s="107"/>
      <c r="X4" s="23"/>
      <c r="Y4" s="23"/>
      <c r="Z4" s="23"/>
    </row>
    <row r="5">
      <c r="A5" s="102" t="s">
        <v>2842</v>
      </c>
      <c r="B5" s="103">
        <f>IFERROR( VLOOKUP($A5,'INVOICE DETAILS.'!$F$3:$G$1994,2,0)," ")</f>
        <v>46174</v>
      </c>
      <c r="C5" s="104" t="s">
        <v>4262</v>
      </c>
      <c r="D5" s="104" t="s">
        <v>4263</v>
      </c>
      <c r="E5" s="104" t="s">
        <v>4264</v>
      </c>
      <c r="F5" s="104" t="s">
        <v>4265</v>
      </c>
      <c r="G5" s="104" t="s">
        <v>4266</v>
      </c>
      <c r="H5" s="104" t="s">
        <v>4267</v>
      </c>
      <c r="I5" s="104" t="s">
        <v>4268</v>
      </c>
      <c r="J5" s="104">
        <v>30.0</v>
      </c>
      <c r="K5" s="104"/>
      <c r="L5" s="104" t="s">
        <v>4269</v>
      </c>
      <c r="M5" s="104">
        <v>620349.0</v>
      </c>
      <c r="N5" s="105">
        <v>1.0</v>
      </c>
      <c r="O5" s="106">
        <v>1199.0</v>
      </c>
      <c r="P5" s="106">
        <v>762.0</v>
      </c>
      <c r="Q5" s="106">
        <v>838.2</v>
      </c>
      <c r="R5" s="104">
        <v>5.0</v>
      </c>
      <c r="S5" s="104">
        <v>5.0</v>
      </c>
      <c r="T5" s="104">
        <v>1.0</v>
      </c>
      <c r="U5" s="104">
        <v>30.0</v>
      </c>
      <c r="V5" s="107" t="str">
        <f t="shared" si="1"/>
        <v>JUNE</v>
      </c>
      <c r="W5" s="107"/>
      <c r="X5" s="23"/>
      <c r="Y5" s="23"/>
      <c r="Z5" s="23"/>
    </row>
    <row r="6">
      <c r="A6" s="102" t="s">
        <v>2842</v>
      </c>
      <c r="B6" s="103">
        <f>IFERROR( VLOOKUP($A6,'INVOICE DETAILS.'!$F$3:$G$1994,2,0)," ")</f>
        <v>46174</v>
      </c>
      <c r="C6" s="104" t="s">
        <v>4262</v>
      </c>
      <c r="D6" s="104" t="s">
        <v>4263</v>
      </c>
      <c r="E6" s="104" t="s">
        <v>4264</v>
      </c>
      <c r="F6" s="104" t="s">
        <v>4265</v>
      </c>
      <c r="G6" s="104" t="s">
        <v>4266</v>
      </c>
      <c r="H6" s="104" t="s">
        <v>4267</v>
      </c>
      <c r="I6" s="104" t="s">
        <v>4268</v>
      </c>
      <c r="J6" s="104">
        <v>32.0</v>
      </c>
      <c r="K6" s="104"/>
      <c r="L6" s="104" t="s">
        <v>4269</v>
      </c>
      <c r="M6" s="104">
        <v>620349.0</v>
      </c>
      <c r="N6" s="105">
        <v>1.0</v>
      </c>
      <c r="O6" s="106">
        <v>1199.0</v>
      </c>
      <c r="P6" s="106">
        <v>762.0</v>
      </c>
      <c r="Q6" s="106">
        <v>838.2</v>
      </c>
      <c r="R6" s="104">
        <v>5.0</v>
      </c>
      <c r="S6" s="104">
        <v>5.0</v>
      </c>
      <c r="T6" s="104">
        <v>1.0</v>
      </c>
      <c r="U6" s="104">
        <v>30.0</v>
      </c>
      <c r="V6" s="107" t="str">
        <f t="shared" si="1"/>
        <v>JUNE</v>
      </c>
      <c r="W6" s="107"/>
      <c r="X6" s="23"/>
      <c r="Y6" s="23"/>
      <c r="Z6" s="23"/>
    </row>
    <row r="7">
      <c r="A7" s="102" t="s">
        <v>2842</v>
      </c>
      <c r="B7" s="103">
        <f>IFERROR( VLOOKUP($A7,'INVOICE DETAILS.'!$F$3:$G$1994,2,0)," ")</f>
        <v>46174</v>
      </c>
      <c r="C7" s="104" t="s">
        <v>4262</v>
      </c>
      <c r="D7" s="104" t="s">
        <v>4263</v>
      </c>
      <c r="E7" s="104" t="s">
        <v>4264</v>
      </c>
      <c r="F7" s="104" t="s">
        <v>4265</v>
      </c>
      <c r="G7" s="104" t="s">
        <v>4266</v>
      </c>
      <c r="H7" s="104" t="s">
        <v>4267</v>
      </c>
      <c r="I7" s="104" t="s">
        <v>4268</v>
      </c>
      <c r="J7" s="104">
        <v>34.0</v>
      </c>
      <c r="K7" s="104"/>
      <c r="L7" s="104" t="s">
        <v>4269</v>
      </c>
      <c r="M7" s="104">
        <v>620349.0</v>
      </c>
      <c r="N7" s="105">
        <v>1.0</v>
      </c>
      <c r="O7" s="106">
        <v>1199.0</v>
      </c>
      <c r="P7" s="106">
        <v>762.0</v>
      </c>
      <c r="Q7" s="106">
        <v>838.2</v>
      </c>
      <c r="R7" s="104">
        <v>5.0</v>
      </c>
      <c r="S7" s="104">
        <v>5.0</v>
      </c>
      <c r="T7" s="104">
        <v>1.0</v>
      </c>
      <c r="U7" s="104">
        <v>30.0</v>
      </c>
      <c r="V7" s="107" t="str">
        <f t="shared" si="1"/>
        <v>JUNE</v>
      </c>
      <c r="W7" s="107"/>
      <c r="X7" s="23"/>
      <c r="Y7" s="23"/>
      <c r="Z7" s="23"/>
    </row>
    <row r="8">
      <c r="A8" s="102" t="s">
        <v>2842</v>
      </c>
      <c r="B8" s="103">
        <f>IFERROR( VLOOKUP($A8,'INVOICE DETAILS.'!$F$3:$G$1994,2,0)," ")</f>
        <v>46174</v>
      </c>
      <c r="C8" s="104" t="s">
        <v>4262</v>
      </c>
      <c r="D8" s="104" t="s">
        <v>4263</v>
      </c>
      <c r="E8" s="104" t="s">
        <v>4264</v>
      </c>
      <c r="F8" s="104" t="s">
        <v>4265</v>
      </c>
      <c r="G8" s="104" t="s">
        <v>4266</v>
      </c>
      <c r="H8" s="104" t="s">
        <v>4267</v>
      </c>
      <c r="I8" s="104" t="s">
        <v>4268</v>
      </c>
      <c r="J8" s="104">
        <v>28.0</v>
      </c>
      <c r="K8" s="104"/>
      <c r="L8" s="104" t="s">
        <v>4270</v>
      </c>
      <c r="M8" s="104">
        <v>620349.0</v>
      </c>
      <c r="N8" s="105">
        <v>2.0</v>
      </c>
      <c r="O8" s="106">
        <v>949.0</v>
      </c>
      <c r="P8" s="106">
        <v>612.0</v>
      </c>
      <c r="Q8" s="106">
        <v>673.2</v>
      </c>
      <c r="R8" s="104">
        <v>5.0</v>
      </c>
      <c r="S8" s="104">
        <v>5.0</v>
      </c>
      <c r="T8" s="104">
        <v>2.0</v>
      </c>
      <c r="U8" s="104">
        <v>29.0</v>
      </c>
      <c r="V8" s="107" t="str">
        <f t="shared" si="1"/>
        <v>JUNE</v>
      </c>
      <c r="W8" s="107"/>
      <c r="X8" s="23"/>
      <c r="Y8" s="23"/>
      <c r="Z8" s="23"/>
    </row>
    <row r="9">
      <c r="A9" s="102" t="s">
        <v>2842</v>
      </c>
      <c r="B9" s="103">
        <f>IFERROR( VLOOKUP($A9,'INVOICE DETAILS.'!$F$3:$G$1994,2,0)," ")</f>
        <v>46174</v>
      </c>
      <c r="C9" s="104" t="s">
        <v>4262</v>
      </c>
      <c r="D9" s="104" t="s">
        <v>4263</v>
      </c>
      <c r="E9" s="104" t="s">
        <v>4264</v>
      </c>
      <c r="F9" s="104" t="s">
        <v>4265</v>
      </c>
      <c r="G9" s="104" t="s">
        <v>4266</v>
      </c>
      <c r="H9" s="104" t="s">
        <v>4267</v>
      </c>
      <c r="I9" s="104" t="s">
        <v>4268</v>
      </c>
      <c r="J9" s="104">
        <v>30.0</v>
      </c>
      <c r="K9" s="104"/>
      <c r="L9" s="104" t="s">
        <v>4270</v>
      </c>
      <c r="M9" s="104">
        <v>620349.0</v>
      </c>
      <c r="N9" s="105">
        <v>1.0</v>
      </c>
      <c r="O9" s="106">
        <v>949.0</v>
      </c>
      <c r="P9" s="106">
        <v>612.0</v>
      </c>
      <c r="Q9" s="106">
        <v>673.2</v>
      </c>
      <c r="R9" s="104">
        <v>5.0</v>
      </c>
      <c r="S9" s="104">
        <v>5.0</v>
      </c>
      <c r="T9" s="104">
        <v>1.0</v>
      </c>
      <c r="U9" s="104">
        <v>29.0</v>
      </c>
      <c r="V9" s="107" t="str">
        <f t="shared" si="1"/>
        <v>JUNE</v>
      </c>
      <c r="W9" s="107"/>
      <c r="X9" s="23"/>
      <c r="Y9" s="23"/>
      <c r="Z9" s="23"/>
    </row>
    <row r="10">
      <c r="A10" s="102" t="s">
        <v>2842</v>
      </c>
      <c r="B10" s="103">
        <f>IFERROR( VLOOKUP($A10,'INVOICE DETAILS.'!$F$3:$G$1994,2,0)," ")</f>
        <v>46174</v>
      </c>
      <c r="C10" s="104" t="s">
        <v>4262</v>
      </c>
      <c r="D10" s="104" t="s">
        <v>4263</v>
      </c>
      <c r="E10" s="104" t="s">
        <v>4264</v>
      </c>
      <c r="F10" s="104" t="s">
        <v>4265</v>
      </c>
      <c r="G10" s="104" t="s">
        <v>4266</v>
      </c>
      <c r="H10" s="104" t="s">
        <v>4267</v>
      </c>
      <c r="I10" s="104" t="s">
        <v>4268</v>
      </c>
      <c r="J10" s="104">
        <v>32.0</v>
      </c>
      <c r="K10" s="104"/>
      <c r="L10" s="104" t="s">
        <v>4270</v>
      </c>
      <c r="M10" s="104">
        <v>620349.0</v>
      </c>
      <c r="N10" s="105">
        <v>1.0</v>
      </c>
      <c r="O10" s="106">
        <v>949.0</v>
      </c>
      <c r="P10" s="106">
        <v>612.0</v>
      </c>
      <c r="Q10" s="106">
        <v>673.2</v>
      </c>
      <c r="R10" s="104">
        <v>5.0</v>
      </c>
      <c r="S10" s="104">
        <v>5.0</v>
      </c>
      <c r="T10" s="104">
        <v>1.0</v>
      </c>
      <c r="U10" s="104">
        <v>29.0</v>
      </c>
      <c r="V10" s="107" t="str">
        <f t="shared" si="1"/>
        <v>JUNE</v>
      </c>
      <c r="W10" s="107"/>
      <c r="X10" s="23"/>
      <c r="Y10" s="23"/>
      <c r="Z10" s="23"/>
    </row>
    <row r="11">
      <c r="A11" s="104" t="s">
        <v>2845</v>
      </c>
      <c r="B11" s="103">
        <f>IFERROR( VLOOKUP($A11,'INVOICE DETAILS.'!$F$3:$G$1994,2,0)," ")</f>
        <v>46174</v>
      </c>
      <c r="C11" s="104" t="s">
        <v>412</v>
      </c>
      <c r="D11" s="104" t="s">
        <v>4263</v>
      </c>
      <c r="E11" s="104" t="s">
        <v>4271</v>
      </c>
      <c r="F11" s="104" t="s">
        <v>4272</v>
      </c>
      <c r="G11" s="104" t="s">
        <v>4273</v>
      </c>
      <c r="H11" s="104" t="s">
        <v>4274</v>
      </c>
      <c r="I11" s="104" t="s">
        <v>4268</v>
      </c>
      <c r="J11" s="104" t="s">
        <v>4275</v>
      </c>
      <c r="K11" s="104" t="s">
        <v>4276</v>
      </c>
      <c r="L11" s="104" t="s">
        <v>4277</v>
      </c>
      <c r="M11" s="104">
        <v>6.107199E7</v>
      </c>
      <c r="N11" s="105">
        <v>10.0</v>
      </c>
      <c r="O11" s="106">
        <v>279.0</v>
      </c>
      <c r="P11" s="106">
        <v>194.82</v>
      </c>
      <c r="Q11" s="104">
        <v>233.78</v>
      </c>
      <c r="R11" s="104">
        <v>5.0</v>
      </c>
      <c r="S11" s="104">
        <v>5.0</v>
      </c>
      <c r="T11" s="104">
        <v>10.0</v>
      </c>
      <c r="U11" s="104">
        <v>16.0</v>
      </c>
      <c r="V11" s="107" t="str">
        <f t="shared" si="1"/>
        <v>JUNE</v>
      </c>
      <c r="W11" s="107"/>
      <c r="X11" s="23"/>
      <c r="Y11" s="23"/>
      <c r="Z11" s="23"/>
    </row>
    <row r="12">
      <c r="A12" s="104" t="s">
        <v>2848</v>
      </c>
      <c r="B12" s="103">
        <f>IFERROR( VLOOKUP($A12,'INVOICE DETAILS.'!$F$3:$G$1994,2,0)," ")</f>
        <v>46174</v>
      </c>
      <c r="C12" s="104" t="s">
        <v>412</v>
      </c>
      <c r="D12" s="104" t="s">
        <v>4263</v>
      </c>
      <c r="E12" s="104" t="s">
        <v>4271</v>
      </c>
      <c r="F12" s="104" t="s">
        <v>4272</v>
      </c>
      <c r="G12" s="104" t="s">
        <v>4273</v>
      </c>
      <c r="H12" s="104" t="s">
        <v>4278</v>
      </c>
      <c r="I12" s="104" t="s">
        <v>4268</v>
      </c>
      <c r="J12" s="104" t="s">
        <v>4279</v>
      </c>
      <c r="K12" s="104" t="s">
        <v>4280</v>
      </c>
      <c r="L12" s="104" t="s">
        <v>4281</v>
      </c>
      <c r="M12" s="104">
        <v>6.1091E7</v>
      </c>
      <c r="N12" s="105">
        <v>20.0</v>
      </c>
      <c r="O12" s="106">
        <v>259.0</v>
      </c>
      <c r="P12" s="106">
        <v>187.58</v>
      </c>
      <c r="Q12" s="104">
        <v>225.1</v>
      </c>
      <c r="R12" s="104">
        <v>5.0</v>
      </c>
      <c r="S12" s="104">
        <v>5.0</v>
      </c>
      <c r="T12" s="104">
        <v>20.0</v>
      </c>
      <c r="U12" s="104">
        <v>13.0</v>
      </c>
      <c r="V12" s="107" t="str">
        <f t="shared" si="1"/>
        <v>JUNE</v>
      </c>
      <c r="W12" s="107"/>
      <c r="X12" s="23"/>
      <c r="Y12" s="23"/>
      <c r="Z12" s="23"/>
    </row>
    <row r="13">
      <c r="A13" s="104" t="s">
        <v>2848</v>
      </c>
      <c r="B13" s="103">
        <f>IFERROR( VLOOKUP($A13,'INVOICE DETAILS.'!$F$3:$G$1994,2,0)," ")</f>
        <v>46174</v>
      </c>
      <c r="C13" s="104" t="s">
        <v>412</v>
      </c>
      <c r="D13" s="104" t="s">
        <v>4263</v>
      </c>
      <c r="E13" s="104" t="s">
        <v>4271</v>
      </c>
      <c r="F13" s="104" t="s">
        <v>4272</v>
      </c>
      <c r="G13" s="104" t="s">
        <v>4273</v>
      </c>
      <c r="H13" s="104" t="s">
        <v>4278</v>
      </c>
      <c r="I13" s="104" t="s">
        <v>4268</v>
      </c>
      <c r="J13" s="104" t="s">
        <v>4275</v>
      </c>
      <c r="K13" s="104" t="s">
        <v>4282</v>
      </c>
      <c r="L13" s="104" t="s">
        <v>4281</v>
      </c>
      <c r="M13" s="104">
        <v>6.1091E7</v>
      </c>
      <c r="N13" s="105">
        <v>40.0</v>
      </c>
      <c r="O13" s="106">
        <v>249.0</v>
      </c>
      <c r="P13" s="106">
        <v>180.33</v>
      </c>
      <c r="Q13" s="104">
        <v>216.4</v>
      </c>
      <c r="R13" s="104">
        <v>5.0</v>
      </c>
      <c r="S13" s="104">
        <v>5.0</v>
      </c>
      <c r="T13" s="104">
        <v>40.0</v>
      </c>
      <c r="U13" s="104">
        <v>13.0</v>
      </c>
      <c r="V13" s="107" t="str">
        <f t="shared" si="1"/>
        <v>JUNE</v>
      </c>
      <c r="W13" s="107"/>
      <c r="X13" s="23"/>
      <c r="Y13" s="23"/>
      <c r="Z13" s="23"/>
    </row>
    <row r="14">
      <c r="A14" s="104" t="s">
        <v>2848</v>
      </c>
      <c r="B14" s="103">
        <f>IFERROR( VLOOKUP($A14,'INVOICE DETAILS.'!$F$3:$G$1994,2,0)," ")</f>
        <v>46174</v>
      </c>
      <c r="C14" s="104" t="s">
        <v>412</v>
      </c>
      <c r="D14" s="104" t="s">
        <v>4263</v>
      </c>
      <c r="E14" s="104" t="s">
        <v>4271</v>
      </c>
      <c r="F14" s="104" t="s">
        <v>4272</v>
      </c>
      <c r="G14" s="104" t="s">
        <v>4273</v>
      </c>
      <c r="H14" s="104" t="s">
        <v>4278</v>
      </c>
      <c r="I14" s="104" t="s">
        <v>4268</v>
      </c>
      <c r="J14" s="104" t="s">
        <v>4283</v>
      </c>
      <c r="K14" s="104" t="s">
        <v>4284</v>
      </c>
      <c r="L14" s="104" t="s">
        <v>4281</v>
      </c>
      <c r="M14" s="104">
        <v>6.1091E7</v>
      </c>
      <c r="N14" s="105">
        <v>20.0</v>
      </c>
      <c r="O14" s="106">
        <v>249.0</v>
      </c>
      <c r="P14" s="106">
        <v>180.33</v>
      </c>
      <c r="Q14" s="104">
        <v>216.4</v>
      </c>
      <c r="R14" s="104">
        <v>5.0</v>
      </c>
      <c r="S14" s="104">
        <v>5.0</v>
      </c>
      <c r="T14" s="104">
        <v>20.0</v>
      </c>
      <c r="U14" s="104">
        <v>13.0</v>
      </c>
      <c r="V14" s="107" t="str">
        <f t="shared" si="1"/>
        <v>JUNE</v>
      </c>
      <c r="W14" s="107"/>
      <c r="X14" s="23"/>
      <c r="Y14" s="23"/>
      <c r="Z14" s="23"/>
    </row>
    <row r="15">
      <c r="A15" s="104" t="s">
        <v>2848</v>
      </c>
      <c r="B15" s="103">
        <f>IFERROR( VLOOKUP($A15,'INVOICE DETAILS.'!$F$3:$G$1994,2,0)," ")</f>
        <v>46174</v>
      </c>
      <c r="C15" s="104" t="s">
        <v>412</v>
      </c>
      <c r="D15" s="104" t="s">
        <v>4263</v>
      </c>
      <c r="E15" s="104" t="s">
        <v>4271</v>
      </c>
      <c r="F15" s="104" t="s">
        <v>4272</v>
      </c>
      <c r="G15" s="104" t="s">
        <v>4273</v>
      </c>
      <c r="H15" s="104" t="s">
        <v>4278</v>
      </c>
      <c r="I15" s="104" t="s">
        <v>4268</v>
      </c>
      <c r="J15" s="104" t="s">
        <v>4275</v>
      </c>
      <c r="K15" s="104" t="s">
        <v>4285</v>
      </c>
      <c r="L15" s="104" t="s">
        <v>4286</v>
      </c>
      <c r="M15" s="104">
        <v>6.1091E7</v>
      </c>
      <c r="N15" s="105">
        <v>10.0</v>
      </c>
      <c r="O15" s="106">
        <v>669.0</v>
      </c>
      <c r="P15" s="106">
        <v>484.51</v>
      </c>
      <c r="Q15" s="104">
        <v>581.41</v>
      </c>
      <c r="R15" s="104">
        <v>5.0</v>
      </c>
      <c r="S15" s="104">
        <v>5.0</v>
      </c>
      <c r="T15" s="104">
        <v>10.0</v>
      </c>
      <c r="U15" s="104">
        <v>13.0</v>
      </c>
      <c r="V15" s="107" t="str">
        <f t="shared" si="1"/>
        <v>JUNE</v>
      </c>
      <c r="W15" s="107"/>
      <c r="X15" s="23"/>
      <c r="Y15" s="23"/>
      <c r="Z15" s="23"/>
    </row>
    <row r="16">
      <c r="A16" s="107"/>
      <c r="B16" s="103" t="str">
        <f>IFERROR( VLOOKUP($A16,'INVOICE DETAILS.'!$F$3:$G$1994,2,0)," ")</f>
        <v> 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8"/>
      <c r="O16" s="109"/>
      <c r="P16" s="109"/>
      <c r="Q16" s="107"/>
      <c r="R16" s="107"/>
      <c r="S16" s="107"/>
      <c r="T16" s="107"/>
      <c r="U16" s="107"/>
      <c r="V16" s="107" t="str">
        <f t="shared" si="1"/>
        <v> </v>
      </c>
      <c r="W16" s="107"/>
      <c r="X16" s="23"/>
      <c r="Y16" s="23"/>
      <c r="Z16" s="23"/>
    </row>
    <row r="17">
      <c r="A17" s="107"/>
      <c r="B17" s="103" t="str">
        <f>IFERROR( VLOOKUP($A17,'INVOICE DETAILS.'!$F$3:$G$1994,2,0)," ")</f>
        <v> 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8"/>
      <c r="O17" s="109"/>
      <c r="P17" s="109"/>
      <c r="Q17" s="107"/>
      <c r="R17" s="107"/>
      <c r="S17" s="107"/>
      <c r="T17" s="107"/>
      <c r="U17" s="107"/>
      <c r="V17" s="107" t="str">
        <f t="shared" si="1"/>
        <v> </v>
      </c>
      <c r="W17" s="107"/>
      <c r="X17" s="23"/>
      <c r="Y17" s="23"/>
      <c r="Z17" s="23"/>
    </row>
    <row r="18">
      <c r="A18" s="107"/>
      <c r="B18" s="103" t="str">
        <f>IFERROR( VLOOKUP($A18,'INVOICE DETAILS.'!$F$3:$G$1994,2,0)," ")</f>
        <v> 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8"/>
      <c r="O18" s="109"/>
      <c r="P18" s="109"/>
      <c r="Q18" s="107"/>
      <c r="R18" s="107"/>
      <c r="S18" s="107"/>
      <c r="T18" s="107"/>
      <c r="U18" s="107"/>
      <c r="V18" s="107" t="str">
        <f t="shared" si="1"/>
        <v> </v>
      </c>
      <c r="W18" s="107"/>
      <c r="X18" s="23"/>
      <c r="Y18" s="23"/>
      <c r="Z18" s="23"/>
    </row>
    <row r="19">
      <c r="A19" s="107"/>
      <c r="B19" s="103" t="str">
        <f>IFERROR( VLOOKUP($A19,'INVOICE DETAILS.'!$F$3:$G$1994,2,0)," ")</f>
        <v> 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8"/>
      <c r="O19" s="109"/>
      <c r="P19" s="109"/>
      <c r="Q19" s="107"/>
      <c r="R19" s="107"/>
      <c r="S19" s="107"/>
      <c r="T19" s="107"/>
      <c r="U19" s="107"/>
      <c r="V19" s="107" t="str">
        <f t="shared" si="1"/>
        <v> </v>
      </c>
      <c r="W19" s="107"/>
      <c r="X19" s="23"/>
      <c r="Y19" s="23"/>
      <c r="Z19" s="23"/>
    </row>
    <row r="20">
      <c r="A20" s="107"/>
      <c r="B20" s="103" t="str">
        <f>IFERROR( VLOOKUP($A20,'INVOICE DETAILS.'!$F$3:$G$1994,2,0)," ")</f>
        <v> 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8"/>
      <c r="O20" s="109"/>
      <c r="P20" s="109"/>
      <c r="Q20" s="107"/>
      <c r="R20" s="107"/>
      <c r="S20" s="107"/>
      <c r="T20" s="107"/>
      <c r="U20" s="107"/>
      <c r="V20" s="107" t="str">
        <f t="shared" si="1"/>
        <v> </v>
      </c>
      <c r="W20" s="107"/>
      <c r="X20" s="23"/>
      <c r="Y20" s="23"/>
      <c r="Z20" s="23"/>
    </row>
    <row r="21">
      <c r="A21" s="107"/>
      <c r="B21" s="103" t="str">
        <f>IFERROR( VLOOKUP($A21,'INVOICE DETAILS.'!$F$3:$G$1994,2,0)," ")</f>
        <v> 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8"/>
      <c r="O21" s="109"/>
      <c r="P21" s="109"/>
      <c r="Q21" s="107"/>
      <c r="R21" s="107"/>
      <c r="S21" s="107"/>
      <c r="T21" s="107"/>
      <c r="U21" s="107"/>
      <c r="V21" s="107" t="str">
        <f t="shared" si="1"/>
        <v> </v>
      </c>
      <c r="W21" s="107"/>
      <c r="X21" s="23"/>
      <c r="Y21" s="23"/>
      <c r="Z21" s="23"/>
    </row>
    <row r="22">
      <c r="A22" s="107"/>
      <c r="B22" s="103" t="str">
        <f>IFERROR( VLOOKUP($A22,'INVOICE DETAILS.'!$F$3:$G$1994,2,0)," ")</f>
        <v> 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8"/>
      <c r="O22" s="109"/>
      <c r="P22" s="109"/>
      <c r="Q22" s="107"/>
      <c r="R22" s="107"/>
      <c r="S22" s="107"/>
      <c r="T22" s="107"/>
      <c r="U22" s="107"/>
      <c r="V22" s="107" t="str">
        <f t="shared" si="1"/>
        <v> </v>
      </c>
      <c r="W22" s="107"/>
      <c r="X22" s="23"/>
      <c r="Y22" s="23"/>
      <c r="Z22" s="23"/>
    </row>
    <row r="23">
      <c r="A23" s="107"/>
      <c r="B23" s="103" t="str">
        <f>IFERROR( VLOOKUP($A23,'INVOICE DETAILS.'!$F$3:$G$1994,2,0)," ")</f>
        <v> 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8"/>
      <c r="O23" s="109"/>
      <c r="P23" s="109"/>
      <c r="Q23" s="107"/>
      <c r="R23" s="107"/>
      <c r="S23" s="107"/>
      <c r="T23" s="107"/>
      <c r="U23" s="107"/>
      <c r="V23" s="107" t="str">
        <f t="shared" si="1"/>
        <v> </v>
      </c>
      <c r="W23" s="107"/>
      <c r="X23" s="23"/>
      <c r="Y23" s="23"/>
      <c r="Z23" s="23"/>
    </row>
    <row r="24">
      <c r="A24" s="107"/>
      <c r="B24" s="103" t="str">
        <f>IFERROR( VLOOKUP($A24,'INVOICE DETAILS.'!$F$3:$G$1994,2,0)," ")</f>
        <v> 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8"/>
      <c r="O24" s="109"/>
      <c r="P24" s="109"/>
      <c r="Q24" s="107"/>
      <c r="R24" s="107"/>
      <c r="S24" s="107"/>
      <c r="T24" s="107"/>
      <c r="U24" s="107"/>
      <c r="V24" s="107" t="str">
        <f t="shared" si="1"/>
        <v> </v>
      </c>
      <c r="W24" s="107"/>
      <c r="X24" s="23"/>
      <c r="Y24" s="23"/>
      <c r="Z24" s="23"/>
    </row>
    <row r="25">
      <c r="A25" s="107"/>
      <c r="B25" s="103" t="str">
        <f>IFERROR( VLOOKUP($A25,'INVOICE DETAILS.'!$F$3:$G$1994,2,0)," ")</f>
        <v> 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8"/>
      <c r="O25" s="109"/>
      <c r="P25" s="109"/>
      <c r="Q25" s="107"/>
      <c r="R25" s="107"/>
      <c r="S25" s="107"/>
      <c r="T25" s="107"/>
      <c r="U25" s="107"/>
      <c r="V25" s="107" t="str">
        <f t="shared" si="1"/>
        <v> </v>
      </c>
      <c r="W25" s="107"/>
      <c r="X25" s="23"/>
      <c r="Y25" s="23"/>
      <c r="Z25" s="23"/>
    </row>
    <row r="26">
      <c r="A26" s="107"/>
      <c r="B26" s="103" t="str">
        <f>IFERROR( VLOOKUP($A26,'INVOICE DETAILS.'!$F$3:$G$1994,2,0)," ")</f>
        <v> 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8"/>
      <c r="O26" s="109"/>
      <c r="P26" s="109"/>
      <c r="Q26" s="107"/>
      <c r="R26" s="107"/>
      <c r="S26" s="107"/>
      <c r="T26" s="107"/>
      <c r="U26" s="107"/>
      <c r="V26" s="107" t="str">
        <f t="shared" si="1"/>
        <v> </v>
      </c>
      <c r="W26" s="107"/>
      <c r="X26" s="23"/>
      <c r="Y26" s="23"/>
      <c r="Z26" s="23"/>
    </row>
    <row r="27">
      <c r="A27" s="107"/>
      <c r="B27" s="103" t="str">
        <f>IFERROR( VLOOKUP($A27,'INVOICE DETAILS.'!$F$3:$G$1994,2,0)," ")</f>
        <v> 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8"/>
      <c r="O27" s="109"/>
      <c r="P27" s="109"/>
      <c r="Q27" s="107"/>
      <c r="R27" s="107"/>
      <c r="S27" s="107"/>
      <c r="T27" s="107"/>
      <c r="U27" s="107"/>
      <c r="V27" s="107" t="str">
        <f t="shared" si="1"/>
        <v> </v>
      </c>
      <c r="W27" s="107"/>
      <c r="X27" s="23"/>
      <c r="Y27" s="23"/>
      <c r="Z27" s="23"/>
    </row>
    <row r="28">
      <c r="A28" s="107"/>
      <c r="B28" s="103" t="str">
        <f>IFERROR( VLOOKUP($A28,'INVOICE DETAILS.'!$F$3:$G$1994,2,0)," ")</f>
        <v> 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8"/>
      <c r="O28" s="109"/>
      <c r="P28" s="109"/>
      <c r="Q28" s="107"/>
      <c r="R28" s="107"/>
      <c r="S28" s="107"/>
      <c r="T28" s="107"/>
      <c r="U28" s="107"/>
      <c r="V28" s="107" t="str">
        <f t="shared" si="1"/>
        <v> </v>
      </c>
      <c r="W28" s="107"/>
      <c r="X28" s="23"/>
      <c r="Y28" s="23"/>
      <c r="Z28" s="23"/>
    </row>
    <row r="29">
      <c r="A29" s="107"/>
      <c r="B29" s="103" t="str">
        <f>IFERROR( VLOOKUP($A29,'INVOICE DETAILS.'!$F$3:$G$1994,2,0)," ")</f>
        <v> 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8"/>
      <c r="O29" s="109"/>
      <c r="P29" s="109"/>
      <c r="Q29" s="107"/>
      <c r="R29" s="107"/>
      <c r="S29" s="107"/>
      <c r="T29" s="107"/>
      <c r="U29" s="107"/>
      <c r="V29" s="107" t="str">
        <f t="shared" si="1"/>
        <v> </v>
      </c>
      <c r="W29" s="107"/>
      <c r="X29" s="23"/>
      <c r="Y29" s="23"/>
      <c r="Z29" s="23"/>
    </row>
    <row r="30">
      <c r="A30" s="107"/>
      <c r="B30" s="103" t="str">
        <f>IFERROR( VLOOKUP($A30,'INVOICE DETAILS.'!$F$3:$G$1994,2,0)," ")</f>
        <v> 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8"/>
      <c r="O30" s="109"/>
      <c r="P30" s="109"/>
      <c r="Q30" s="107"/>
      <c r="R30" s="107"/>
      <c r="S30" s="107"/>
      <c r="T30" s="107"/>
      <c r="U30" s="107"/>
      <c r="V30" s="107" t="str">
        <f t="shared" si="1"/>
        <v> </v>
      </c>
      <c r="W30" s="107"/>
      <c r="X30" s="23"/>
      <c r="Y30" s="23"/>
      <c r="Z30" s="23"/>
    </row>
    <row r="31">
      <c r="A31" s="107"/>
      <c r="B31" s="103" t="str">
        <f>IFERROR( VLOOKUP($A31,'INVOICE DETAILS.'!$F$3:$G$1994,2,0)," ")</f>
        <v> 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8"/>
      <c r="O31" s="109"/>
      <c r="P31" s="109"/>
      <c r="Q31" s="107"/>
      <c r="R31" s="107"/>
      <c r="S31" s="107"/>
      <c r="T31" s="107"/>
      <c r="U31" s="107"/>
      <c r="V31" s="107" t="str">
        <f t="shared" si="1"/>
        <v> </v>
      </c>
      <c r="W31" s="107"/>
      <c r="X31" s="23"/>
      <c r="Y31" s="23"/>
      <c r="Z31" s="23"/>
    </row>
    <row r="32">
      <c r="A32" s="107"/>
      <c r="B32" s="103" t="str">
        <f>IFERROR( VLOOKUP($A32,'INVOICE DETAILS.'!$F$3:$G$1994,2,0)," ")</f>
        <v> 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  <c r="O32" s="109"/>
      <c r="P32" s="109"/>
      <c r="Q32" s="107"/>
      <c r="R32" s="107"/>
      <c r="S32" s="107"/>
      <c r="T32" s="107"/>
      <c r="U32" s="107"/>
      <c r="V32" s="107" t="str">
        <f t="shared" si="1"/>
        <v> </v>
      </c>
      <c r="W32" s="107"/>
      <c r="X32" s="23"/>
      <c r="Y32" s="23"/>
      <c r="Z32" s="23"/>
    </row>
    <row r="33">
      <c r="A33" s="107"/>
      <c r="B33" s="103" t="str">
        <f>IFERROR( VLOOKUP($A33,'INVOICE DETAILS.'!$F$3:$G$1994,2,0)," ")</f>
        <v> 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8"/>
      <c r="O33" s="109"/>
      <c r="P33" s="109"/>
      <c r="Q33" s="107"/>
      <c r="R33" s="107"/>
      <c r="S33" s="107"/>
      <c r="T33" s="107"/>
      <c r="U33" s="107"/>
      <c r="V33" s="107" t="str">
        <f t="shared" si="1"/>
        <v> </v>
      </c>
      <c r="W33" s="107"/>
      <c r="X33" s="23"/>
      <c r="Y33" s="23"/>
      <c r="Z33" s="23"/>
    </row>
    <row r="34">
      <c r="A34" s="107"/>
      <c r="B34" s="103" t="str">
        <f>IFERROR( VLOOKUP($A34,'INVOICE DETAILS.'!$F$3:$G$1994,2,0)," ")</f>
        <v> 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8"/>
      <c r="O34" s="109"/>
      <c r="P34" s="109"/>
      <c r="Q34" s="107"/>
      <c r="R34" s="107"/>
      <c r="S34" s="107"/>
      <c r="T34" s="107"/>
      <c r="U34" s="107"/>
      <c r="V34" s="107" t="str">
        <f t="shared" si="1"/>
        <v> </v>
      </c>
      <c r="W34" s="107"/>
      <c r="X34" s="23"/>
      <c r="Y34" s="23"/>
      <c r="Z34" s="23"/>
    </row>
    <row r="35">
      <c r="A35" s="107"/>
      <c r="B35" s="103" t="str">
        <f>IFERROR( VLOOKUP($A35,'INVOICE DETAILS.'!$F$3:$G$1994,2,0)," ")</f>
        <v> 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8"/>
      <c r="O35" s="109"/>
      <c r="P35" s="109"/>
      <c r="Q35" s="107"/>
      <c r="R35" s="107"/>
      <c r="S35" s="107"/>
      <c r="T35" s="107"/>
      <c r="U35" s="107"/>
      <c r="V35" s="107" t="str">
        <f t="shared" si="1"/>
        <v> </v>
      </c>
      <c r="W35" s="107"/>
      <c r="X35" s="23"/>
      <c r="Y35" s="23"/>
      <c r="Z35" s="23"/>
    </row>
    <row r="36">
      <c r="A36" s="107"/>
      <c r="B36" s="103" t="str">
        <f>IFERROR( VLOOKUP($A36,'INVOICE DETAILS.'!$F$3:$G$1994,2,0)," ")</f>
        <v> 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8"/>
      <c r="O36" s="109"/>
      <c r="P36" s="109"/>
      <c r="Q36" s="107"/>
      <c r="R36" s="107"/>
      <c r="S36" s="107"/>
      <c r="T36" s="107"/>
      <c r="U36" s="107"/>
      <c r="V36" s="107" t="str">
        <f t="shared" si="1"/>
        <v> </v>
      </c>
      <c r="W36" s="107"/>
      <c r="X36" s="23"/>
      <c r="Y36" s="23"/>
      <c r="Z36" s="23"/>
    </row>
    <row r="37">
      <c r="A37" s="107"/>
      <c r="B37" s="103" t="str">
        <f>IFERROR( VLOOKUP($A37,'INVOICE DETAILS.'!$F$3:$G$1994,2,0)," ")</f>
        <v> </v>
      </c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8"/>
      <c r="O37" s="109"/>
      <c r="P37" s="109"/>
      <c r="Q37" s="107"/>
      <c r="R37" s="107"/>
      <c r="S37" s="107"/>
      <c r="T37" s="107"/>
      <c r="U37" s="107"/>
      <c r="V37" s="107" t="str">
        <f t="shared" si="1"/>
        <v> </v>
      </c>
      <c r="W37" s="107"/>
      <c r="X37" s="23"/>
      <c r="Y37" s="23"/>
      <c r="Z37" s="23"/>
    </row>
    <row r="38">
      <c r="A38" s="107"/>
      <c r="B38" s="103" t="str">
        <f>IFERROR( VLOOKUP($A38,'INVOICE DETAILS.'!$F$3:$G$1994,2,0)," ")</f>
        <v> </v>
      </c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8"/>
      <c r="O38" s="109"/>
      <c r="P38" s="109"/>
      <c r="Q38" s="107"/>
      <c r="R38" s="107"/>
      <c r="S38" s="107"/>
      <c r="T38" s="107"/>
      <c r="U38" s="107"/>
      <c r="V38" s="107" t="str">
        <f t="shared" si="1"/>
        <v> </v>
      </c>
      <c r="W38" s="107"/>
      <c r="X38" s="23"/>
      <c r="Y38" s="23"/>
      <c r="Z38" s="23"/>
    </row>
    <row r="39">
      <c r="A39" s="107"/>
      <c r="B39" s="103" t="str">
        <f>IFERROR( VLOOKUP($A39,'INVOICE DETAILS.'!$F$3:$G$1994,2,0)," ")</f>
        <v> 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8"/>
      <c r="O39" s="109"/>
      <c r="P39" s="109"/>
      <c r="Q39" s="107"/>
      <c r="R39" s="107"/>
      <c r="S39" s="107"/>
      <c r="T39" s="107"/>
      <c r="U39" s="107"/>
      <c r="V39" s="107" t="str">
        <f t="shared" si="1"/>
        <v> </v>
      </c>
      <c r="W39" s="107"/>
      <c r="X39" s="23"/>
      <c r="Y39" s="23"/>
      <c r="Z39" s="23"/>
    </row>
    <row r="40">
      <c r="A40" s="107"/>
      <c r="B40" s="103" t="str">
        <f>IFERROR( VLOOKUP($A40,'INVOICE DETAILS.'!$F$3:$G$1994,2,0)," ")</f>
        <v> 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8"/>
      <c r="O40" s="109"/>
      <c r="P40" s="109"/>
      <c r="Q40" s="107"/>
      <c r="R40" s="107"/>
      <c r="S40" s="107"/>
      <c r="T40" s="107"/>
      <c r="U40" s="107"/>
      <c r="V40" s="107" t="str">
        <f t="shared" si="1"/>
        <v> </v>
      </c>
      <c r="W40" s="107"/>
      <c r="X40" s="23"/>
      <c r="Y40" s="23"/>
      <c r="Z40" s="23"/>
    </row>
    <row r="41">
      <c r="A41" s="107"/>
      <c r="B41" s="103" t="str">
        <f>IFERROR( VLOOKUP($A41,'INVOICE DETAILS.'!$F$3:$G$1994,2,0)," ")</f>
        <v> 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8"/>
      <c r="O41" s="109"/>
      <c r="P41" s="109"/>
      <c r="Q41" s="107"/>
      <c r="R41" s="107"/>
      <c r="S41" s="107"/>
      <c r="T41" s="107"/>
      <c r="U41" s="107"/>
      <c r="V41" s="107" t="str">
        <f t="shared" si="1"/>
        <v> </v>
      </c>
      <c r="W41" s="107"/>
      <c r="X41" s="23"/>
      <c r="Y41" s="23"/>
      <c r="Z41" s="23"/>
    </row>
    <row r="42">
      <c r="A42" s="107"/>
      <c r="B42" s="103" t="str">
        <f>IFERROR( VLOOKUP($A42,'INVOICE DETAILS.'!$F$3:$G$1994,2,0)," ")</f>
        <v> </v>
      </c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8"/>
      <c r="O42" s="109"/>
      <c r="P42" s="109"/>
      <c r="Q42" s="107"/>
      <c r="R42" s="107"/>
      <c r="S42" s="107"/>
      <c r="T42" s="107"/>
      <c r="U42" s="107"/>
      <c r="V42" s="107" t="str">
        <f t="shared" si="1"/>
        <v> </v>
      </c>
      <c r="W42" s="107"/>
      <c r="X42" s="23"/>
      <c r="Y42" s="23"/>
      <c r="Z42" s="23"/>
    </row>
    <row r="43">
      <c r="A43" s="107"/>
      <c r="B43" s="103" t="str">
        <f>IFERROR( VLOOKUP($A43,'INVOICE DETAILS.'!$F$3:$G$1994,2,0)," ")</f>
        <v> 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8"/>
      <c r="O43" s="109"/>
      <c r="P43" s="109"/>
      <c r="Q43" s="107"/>
      <c r="R43" s="107"/>
      <c r="S43" s="107"/>
      <c r="T43" s="107"/>
      <c r="U43" s="107"/>
      <c r="V43" s="107" t="str">
        <f t="shared" si="1"/>
        <v> </v>
      </c>
      <c r="W43" s="107"/>
      <c r="X43" s="23"/>
      <c r="Y43" s="23"/>
      <c r="Z43" s="23"/>
    </row>
    <row r="44">
      <c r="A44" s="107"/>
      <c r="B44" s="103" t="str">
        <f>IFERROR( VLOOKUP($A44,'INVOICE DETAILS.'!$F$3:$G$1994,2,0)," ")</f>
        <v> 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8"/>
      <c r="O44" s="109"/>
      <c r="P44" s="109"/>
      <c r="Q44" s="107"/>
      <c r="R44" s="107"/>
      <c r="S44" s="107"/>
      <c r="T44" s="107"/>
      <c r="U44" s="107"/>
      <c r="V44" s="107" t="str">
        <f t="shared" si="1"/>
        <v> </v>
      </c>
      <c r="W44" s="107"/>
      <c r="X44" s="23"/>
      <c r="Y44" s="23"/>
      <c r="Z44" s="23"/>
    </row>
    <row r="45">
      <c r="A45" s="107"/>
      <c r="B45" s="103" t="str">
        <f>IFERROR( VLOOKUP($A45,'INVOICE DETAILS.'!$F$3:$G$1994,2,0)," ")</f>
        <v> 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8"/>
      <c r="O45" s="109"/>
      <c r="P45" s="109"/>
      <c r="Q45" s="107"/>
      <c r="R45" s="107"/>
      <c r="S45" s="107"/>
      <c r="T45" s="107"/>
      <c r="U45" s="107"/>
      <c r="V45" s="107" t="str">
        <f t="shared" si="1"/>
        <v> </v>
      </c>
      <c r="W45" s="107"/>
      <c r="X45" s="23"/>
      <c r="Y45" s="23"/>
      <c r="Z45" s="23"/>
    </row>
    <row r="46">
      <c r="A46" s="107"/>
      <c r="B46" s="103" t="str">
        <f>IFERROR( VLOOKUP($A46,'INVOICE DETAILS.'!$F$3:$G$1994,2,0)," ")</f>
        <v> 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8"/>
      <c r="O46" s="109"/>
      <c r="P46" s="109"/>
      <c r="Q46" s="107"/>
      <c r="R46" s="107"/>
      <c r="S46" s="107"/>
      <c r="T46" s="107"/>
      <c r="U46" s="107"/>
      <c r="V46" s="107" t="str">
        <f t="shared" si="1"/>
        <v> </v>
      </c>
      <c r="W46" s="107"/>
      <c r="X46" s="23"/>
      <c r="Y46" s="23"/>
      <c r="Z46" s="23"/>
    </row>
    <row r="47">
      <c r="A47" s="107"/>
      <c r="B47" s="103" t="str">
        <f>IFERROR( VLOOKUP($A47,'INVOICE DETAILS.'!$F$3:$G$1994,2,0)," ")</f>
        <v> </v>
      </c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8"/>
      <c r="O47" s="109"/>
      <c r="P47" s="109"/>
      <c r="Q47" s="107"/>
      <c r="R47" s="107"/>
      <c r="S47" s="107"/>
      <c r="T47" s="107"/>
      <c r="U47" s="107"/>
      <c r="V47" s="107" t="str">
        <f t="shared" si="1"/>
        <v> </v>
      </c>
      <c r="W47" s="107"/>
      <c r="X47" s="23"/>
      <c r="Y47" s="23"/>
      <c r="Z47" s="23"/>
    </row>
    <row r="48">
      <c r="A48" s="107"/>
      <c r="B48" s="103" t="str">
        <f>IFERROR( VLOOKUP($A48,'INVOICE DETAILS.'!$F$3:$G$1994,2,0)," ")</f>
        <v> 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8"/>
      <c r="O48" s="109"/>
      <c r="P48" s="109"/>
      <c r="Q48" s="107"/>
      <c r="R48" s="107"/>
      <c r="S48" s="107"/>
      <c r="T48" s="107"/>
      <c r="U48" s="107"/>
      <c r="V48" s="107" t="str">
        <f t="shared" si="1"/>
        <v> </v>
      </c>
      <c r="W48" s="107"/>
      <c r="X48" s="23"/>
      <c r="Y48" s="23"/>
      <c r="Z48" s="23"/>
    </row>
    <row r="49">
      <c r="A49" s="107"/>
      <c r="B49" s="103" t="str">
        <f>IFERROR( VLOOKUP($A49,'INVOICE DETAILS.'!$F$3:$G$1994,2,0)," ")</f>
        <v> 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8"/>
      <c r="O49" s="109"/>
      <c r="P49" s="109"/>
      <c r="Q49" s="107"/>
      <c r="R49" s="107"/>
      <c r="S49" s="107"/>
      <c r="T49" s="107"/>
      <c r="U49" s="107"/>
      <c r="V49" s="107" t="str">
        <f t="shared" si="1"/>
        <v> </v>
      </c>
      <c r="W49" s="107"/>
      <c r="X49" s="23"/>
      <c r="Y49" s="23"/>
      <c r="Z49" s="23"/>
    </row>
    <row r="50">
      <c r="A50" s="107"/>
      <c r="B50" s="103" t="str">
        <f>IFERROR( VLOOKUP($A50,'INVOICE DETAILS.'!$F$3:$G$1994,2,0)," ")</f>
        <v> </v>
      </c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8"/>
      <c r="O50" s="109"/>
      <c r="P50" s="109"/>
      <c r="Q50" s="107"/>
      <c r="R50" s="107"/>
      <c r="S50" s="107"/>
      <c r="T50" s="107"/>
      <c r="U50" s="107"/>
      <c r="V50" s="107" t="str">
        <f t="shared" si="1"/>
        <v> </v>
      </c>
      <c r="W50" s="107"/>
      <c r="X50" s="23"/>
      <c r="Y50" s="23"/>
      <c r="Z50" s="23"/>
    </row>
    <row r="51">
      <c r="A51" s="107"/>
      <c r="B51" s="103" t="str">
        <f>IFERROR( VLOOKUP($A51,'INVOICE DETAILS.'!$F$3:$G$1994,2,0)," ")</f>
        <v> 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8"/>
      <c r="O51" s="109"/>
      <c r="P51" s="109"/>
      <c r="Q51" s="107"/>
      <c r="R51" s="107"/>
      <c r="S51" s="107"/>
      <c r="T51" s="107"/>
      <c r="U51" s="107"/>
      <c r="V51" s="107" t="str">
        <f t="shared" si="1"/>
        <v> </v>
      </c>
      <c r="W51" s="107"/>
      <c r="X51" s="23"/>
      <c r="Y51" s="23"/>
      <c r="Z51" s="23"/>
    </row>
    <row r="52">
      <c r="A52" s="107"/>
      <c r="B52" s="103" t="str">
        <f>IFERROR( VLOOKUP($A52,'INVOICE DETAILS.'!$F$3:$G$1994,2,0)," ")</f>
        <v> 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8"/>
      <c r="O52" s="109"/>
      <c r="P52" s="109"/>
      <c r="Q52" s="107"/>
      <c r="R52" s="107"/>
      <c r="S52" s="107"/>
      <c r="T52" s="107"/>
      <c r="U52" s="107"/>
      <c r="V52" s="107" t="str">
        <f t="shared" si="1"/>
        <v> </v>
      </c>
      <c r="W52" s="107"/>
      <c r="X52" s="23"/>
      <c r="Y52" s="23"/>
      <c r="Z52" s="23"/>
    </row>
    <row r="53">
      <c r="A53" s="107"/>
      <c r="B53" s="103" t="str">
        <f>IFERROR( VLOOKUP($A53,'INVOICE DETAILS.'!$F$3:$G$1994,2,0)," ")</f>
        <v> </v>
      </c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8"/>
      <c r="O53" s="109"/>
      <c r="P53" s="109"/>
      <c r="Q53" s="107"/>
      <c r="R53" s="107"/>
      <c r="S53" s="107"/>
      <c r="T53" s="107"/>
      <c r="U53" s="107"/>
      <c r="V53" s="107" t="str">
        <f t="shared" si="1"/>
        <v> </v>
      </c>
      <c r="W53" s="107"/>
      <c r="X53" s="23"/>
      <c r="Y53" s="23"/>
      <c r="Z53" s="23"/>
    </row>
    <row r="54">
      <c r="A54" s="107"/>
      <c r="B54" s="103" t="str">
        <f>IFERROR( VLOOKUP($A54,'INVOICE DETAILS.'!$F$3:$G$1994,2,0)," ")</f>
        <v> 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8"/>
      <c r="O54" s="109"/>
      <c r="P54" s="109"/>
      <c r="Q54" s="107"/>
      <c r="R54" s="107"/>
      <c r="S54" s="107"/>
      <c r="T54" s="107"/>
      <c r="U54" s="107"/>
      <c r="V54" s="107" t="str">
        <f t="shared" si="1"/>
        <v> </v>
      </c>
      <c r="W54" s="107"/>
      <c r="X54" s="23"/>
      <c r="Y54" s="23"/>
      <c r="Z54" s="23"/>
    </row>
    <row r="55">
      <c r="A55" s="107"/>
      <c r="B55" s="103" t="str">
        <f>IFERROR( VLOOKUP($A55,'INVOICE DETAILS.'!$F$3:$G$1994,2,0)," ")</f>
        <v> 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8"/>
      <c r="O55" s="109"/>
      <c r="P55" s="109"/>
      <c r="Q55" s="107"/>
      <c r="R55" s="107"/>
      <c r="S55" s="107"/>
      <c r="T55" s="107"/>
      <c r="U55" s="107"/>
      <c r="V55" s="107" t="str">
        <f t="shared" si="1"/>
        <v> </v>
      </c>
      <c r="W55" s="107"/>
      <c r="X55" s="23"/>
      <c r="Y55" s="23"/>
      <c r="Z55" s="23"/>
    </row>
    <row r="56">
      <c r="A56" s="107"/>
      <c r="B56" s="103" t="str">
        <f>IFERROR( VLOOKUP($A56,'INVOICE DETAILS.'!$F$3:$G$1994,2,0)," ")</f>
        <v> </v>
      </c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8"/>
      <c r="O56" s="109"/>
      <c r="P56" s="109"/>
      <c r="Q56" s="107"/>
      <c r="R56" s="107"/>
      <c r="S56" s="107"/>
      <c r="T56" s="107"/>
      <c r="U56" s="107"/>
      <c r="V56" s="107" t="str">
        <f t="shared" si="1"/>
        <v> </v>
      </c>
      <c r="W56" s="107"/>
      <c r="X56" s="23"/>
      <c r="Y56" s="23"/>
      <c r="Z56" s="23"/>
    </row>
    <row r="57">
      <c r="A57" s="107"/>
      <c r="B57" s="103" t="str">
        <f>IFERROR( VLOOKUP($A57,'INVOICE DETAILS.'!$F$3:$G$1994,2,0)," ")</f>
        <v> 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8"/>
      <c r="O57" s="109"/>
      <c r="P57" s="109"/>
      <c r="Q57" s="107"/>
      <c r="R57" s="107"/>
      <c r="S57" s="107"/>
      <c r="T57" s="107"/>
      <c r="U57" s="107"/>
      <c r="V57" s="107" t="str">
        <f t="shared" si="1"/>
        <v> </v>
      </c>
      <c r="W57" s="107"/>
      <c r="X57" s="23"/>
      <c r="Y57" s="23"/>
      <c r="Z57" s="23"/>
    </row>
    <row r="58">
      <c r="A58" s="107"/>
      <c r="B58" s="103" t="str">
        <f>IFERROR( VLOOKUP($A58,'INVOICE DETAILS.'!$F$3:$G$1994,2,0)," ")</f>
        <v> 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8"/>
      <c r="O58" s="109"/>
      <c r="P58" s="109"/>
      <c r="Q58" s="107"/>
      <c r="R58" s="107"/>
      <c r="S58" s="107"/>
      <c r="T58" s="107"/>
      <c r="U58" s="107"/>
      <c r="V58" s="107" t="str">
        <f t="shared" si="1"/>
        <v> </v>
      </c>
      <c r="W58" s="107"/>
      <c r="X58" s="23"/>
      <c r="Y58" s="23"/>
      <c r="Z58" s="23"/>
    </row>
    <row r="59">
      <c r="A59" s="107"/>
      <c r="B59" s="103" t="str">
        <f>IFERROR( VLOOKUP($A59,'INVOICE DETAILS.'!$F$3:$G$1994,2,0)," ")</f>
        <v> </v>
      </c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8"/>
      <c r="O59" s="109"/>
      <c r="P59" s="109"/>
      <c r="Q59" s="107"/>
      <c r="R59" s="107"/>
      <c r="S59" s="107"/>
      <c r="T59" s="107"/>
      <c r="U59" s="107"/>
      <c r="V59" s="107" t="str">
        <f t="shared" si="1"/>
        <v> </v>
      </c>
      <c r="W59" s="107"/>
      <c r="X59" s="23"/>
      <c r="Y59" s="23"/>
      <c r="Z59" s="23"/>
    </row>
    <row r="60">
      <c r="A60" s="107"/>
      <c r="B60" s="103" t="str">
        <f>IFERROR( VLOOKUP($A60,'INVOICE DETAILS.'!$F$3:$G$1994,2,0)," ")</f>
        <v> 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8"/>
      <c r="O60" s="109"/>
      <c r="P60" s="109"/>
      <c r="Q60" s="107"/>
      <c r="R60" s="107"/>
      <c r="S60" s="107"/>
      <c r="T60" s="107"/>
      <c r="U60" s="107"/>
      <c r="V60" s="107" t="str">
        <f t="shared" si="1"/>
        <v> </v>
      </c>
      <c r="W60" s="107"/>
      <c r="X60" s="23"/>
      <c r="Y60" s="23"/>
      <c r="Z60" s="23"/>
    </row>
    <row r="61">
      <c r="A61" s="107"/>
      <c r="B61" s="103" t="str">
        <f>IFERROR( VLOOKUP($A61,'INVOICE DETAILS.'!$F$3:$G$1994,2,0)," ")</f>
        <v> 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8"/>
      <c r="O61" s="109"/>
      <c r="P61" s="109"/>
      <c r="Q61" s="107"/>
      <c r="R61" s="107"/>
      <c r="S61" s="107"/>
      <c r="T61" s="107"/>
      <c r="U61" s="107"/>
      <c r="V61" s="107" t="str">
        <f t="shared" si="1"/>
        <v> </v>
      </c>
      <c r="W61" s="107"/>
      <c r="X61" s="23"/>
      <c r="Y61" s="23"/>
      <c r="Z61" s="23"/>
    </row>
    <row r="62">
      <c r="A62" s="107"/>
      <c r="B62" s="103" t="str">
        <f>IFERROR( VLOOKUP($A62,'INVOICE DETAILS.'!$F$3:$G$1994,2,0)," ")</f>
        <v> 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8"/>
      <c r="O62" s="109"/>
      <c r="P62" s="109"/>
      <c r="Q62" s="107"/>
      <c r="R62" s="107"/>
      <c r="S62" s="107"/>
      <c r="T62" s="107"/>
      <c r="U62" s="107"/>
      <c r="V62" s="107" t="str">
        <f t="shared" si="1"/>
        <v> </v>
      </c>
      <c r="W62" s="107"/>
      <c r="X62" s="23"/>
      <c r="Y62" s="23"/>
      <c r="Z62" s="23"/>
    </row>
    <row r="63">
      <c r="A63" s="107"/>
      <c r="B63" s="103" t="str">
        <f>IFERROR( VLOOKUP($A63,'INVOICE DETAILS.'!$F$3:$G$1994,2,0)," ")</f>
        <v> </v>
      </c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8"/>
      <c r="O63" s="109"/>
      <c r="P63" s="109"/>
      <c r="Q63" s="107"/>
      <c r="R63" s="107"/>
      <c r="S63" s="107"/>
      <c r="T63" s="107"/>
      <c r="U63" s="107"/>
      <c r="V63" s="107" t="str">
        <f t="shared" si="1"/>
        <v> </v>
      </c>
      <c r="W63" s="107"/>
      <c r="X63" s="23"/>
      <c r="Y63" s="23"/>
      <c r="Z63" s="23"/>
    </row>
    <row r="64">
      <c r="A64" s="107"/>
      <c r="B64" s="103" t="str">
        <f>IFERROR( VLOOKUP($A64,'INVOICE DETAILS.'!$F$3:$G$1994,2,0)," ")</f>
        <v> </v>
      </c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8"/>
      <c r="O64" s="109"/>
      <c r="P64" s="109"/>
      <c r="Q64" s="107"/>
      <c r="R64" s="107"/>
      <c r="S64" s="107"/>
      <c r="T64" s="107"/>
      <c r="U64" s="107"/>
      <c r="V64" s="107" t="str">
        <f t="shared" si="1"/>
        <v> </v>
      </c>
      <c r="W64" s="107"/>
      <c r="X64" s="23"/>
      <c r="Y64" s="23"/>
      <c r="Z64" s="23"/>
    </row>
    <row r="65">
      <c r="A65" s="107"/>
      <c r="B65" s="103" t="str">
        <f>IFERROR( VLOOKUP($A65,'INVOICE DETAILS.'!$F$3:$G$1994,2,0)," ")</f>
        <v> 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8"/>
      <c r="O65" s="109"/>
      <c r="P65" s="109"/>
      <c r="Q65" s="107"/>
      <c r="R65" s="107"/>
      <c r="S65" s="107"/>
      <c r="T65" s="107"/>
      <c r="U65" s="107"/>
      <c r="V65" s="107" t="str">
        <f t="shared" si="1"/>
        <v> </v>
      </c>
      <c r="W65" s="107"/>
      <c r="X65" s="23"/>
      <c r="Y65" s="23"/>
      <c r="Z65" s="23"/>
    </row>
    <row r="66">
      <c r="A66" s="107"/>
      <c r="B66" s="103" t="str">
        <f>IFERROR( VLOOKUP($A66,'INVOICE DETAILS.'!$F$3:$G$1994,2,0)," ")</f>
        <v> </v>
      </c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8"/>
      <c r="O66" s="109"/>
      <c r="P66" s="109"/>
      <c r="Q66" s="107"/>
      <c r="R66" s="107"/>
      <c r="S66" s="107"/>
      <c r="T66" s="107"/>
      <c r="U66" s="107"/>
      <c r="V66" s="107" t="str">
        <f t="shared" si="1"/>
        <v> </v>
      </c>
      <c r="W66" s="107"/>
      <c r="X66" s="23"/>
      <c r="Y66" s="23"/>
      <c r="Z66" s="23"/>
    </row>
    <row r="67">
      <c r="A67" s="107"/>
      <c r="B67" s="103" t="str">
        <f>IFERROR( VLOOKUP($A67,'INVOICE DETAILS.'!$F$3:$G$1994,2,0)," ")</f>
        <v> 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8"/>
      <c r="O67" s="109"/>
      <c r="P67" s="109"/>
      <c r="Q67" s="107"/>
      <c r="R67" s="107"/>
      <c r="S67" s="107"/>
      <c r="T67" s="107"/>
      <c r="U67" s="107"/>
      <c r="V67" s="107" t="str">
        <f t="shared" si="1"/>
        <v> </v>
      </c>
      <c r="W67" s="107"/>
      <c r="X67" s="23"/>
      <c r="Y67" s="23"/>
      <c r="Z67" s="23"/>
    </row>
    <row r="68">
      <c r="A68" s="107"/>
      <c r="B68" s="103" t="str">
        <f>IFERROR( VLOOKUP($A68,'INVOICE DETAILS.'!$F$3:$G$1994,2,0)," ")</f>
        <v> </v>
      </c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8"/>
      <c r="O68" s="109"/>
      <c r="P68" s="109"/>
      <c r="Q68" s="107"/>
      <c r="R68" s="107"/>
      <c r="S68" s="107"/>
      <c r="T68" s="107"/>
      <c r="U68" s="107"/>
      <c r="V68" s="107" t="str">
        <f t="shared" si="1"/>
        <v> </v>
      </c>
      <c r="W68" s="107"/>
      <c r="X68" s="23"/>
      <c r="Y68" s="23"/>
      <c r="Z68" s="23"/>
    </row>
    <row r="69">
      <c r="A69" s="107"/>
      <c r="B69" s="103" t="str">
        <f>IFERROR( VLOOKUP($A69,'INVOICE DETAILS.'!$F$3:$G$1994,2,0)," ")</f>
        <v> 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8"/>
      <c r="O69" s="109"/>
      <c r="P69" s="109"/>
      <c r="Q69" s="107"/>
      <c r="R69" s="107"/>
      <c r="S69" s="107"/>
      <c r="T69" s="107"/>
      <c r="U69" s="107"/>
      <c r="V69" s="107" t="str">
        <f t="shared" si="1"/>
        <v> </v>
      </c>
      <c r="W69" s="107"/>
      <c r="X69" s="23"/>
      <c r="Y69" s="23"/>
      <c r="Z69" s="23"/>
    </row>
    <row r="70">
      <c r="A70" s="107"/>
      <c r="B70" s="103" t="str">
        <f>IFERROR( VLOOKUP($A70,'INVOICE DETAILS.'!$F$3:$G$1994,2,0)," ")</f>
        <v> </v>
      </c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8"/>
      <c r="O70" s="109"/>
      <c r="P70" s="109"/>
      <c r="Q70" s="107"/>
      <c r="R70" s="107"/>
      <c r="S70" s="107"/>
      <c r="T70" s="107"/>
      <c r="U70" s="107"/>
      <c r="V70" s="107" t="str">
        <f t="shared" si="1"/>
        <v> </v>
      </c>
      <c r="W70" s="107"/>
      <c r="X70" s="23"/>
      <c r="Y70" s="23"/>
      <c r="Z70" s="23"/>
    </row>
    <row r="71">
      <c r="A71" s="107"/>
      <c r="B71" s="103" t="str">
        <f>IFERROR( VLOOKUP($A71,'INVOICE DETAILS.'!$F$3:$G$1994,2,0)," ")</f>
        <v> </v>
      </c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8"/>
      <c r="O71" s="109"/>
      <c r="P71" s="109"/>
      <c r="Q71" s="107"/>
      <c r="R71" s="107"/>
      <c r="S71" s="107"/>
      <c r="T71" s="107"/>
      <c r="U71" s="107"/>
      <c r="V71" s="107" t="str">
        <f t="shared" si="1"/>
        <v> </v>
      </c>
      <c r="W71" s="107"/>
      <c r="X71" s="23"/>
      <c r="Y71" s="23"/>
      <c r="Z71" s="23"/>
    </row>
    <row r="72">
      <c r="A72" s="107"/>
      <c r="B72" s="103" t="str">
        <f>IFERROR( VLOOKUP($A72,'INVOICE DETAILS.'!$F$3:$G$1994,2,0)," ")</f>
        <v> 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8"/>
      <c r="O72" s="109"/>
      <c r="P72" s="109"/>
      <c r="Q72" s="107"/>
      <c r="R72" s="107"/>
      <c r="S72" s="107"/>
      <c r="T72" s="107"/>
      <c r="U72" s="107"/>
      <c r="V72" s="107" t="str">
        <f t="shared" si="1"/>
        <v> </v>
      </c>
      <c r="W72" s="107"/>
      <c r="X72" s="23"/>
      <c r="Y72" s="23"/>
      <c r="Z72" s="23"/>
    </row>
    <row r="73">
      <c r="A73" s="107"/>
      <c r="B73" s="103" t="str">
        <f>IFERROR( VLOOKUP($A73,'INVOICE DETAILS.'!$F$3:$G$1994,2,0)," ")</f>
        <v> 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8"/>
      <c r="O73" s="109"/>
      <c r="P73" s="109"/>
      <c r="Q73" s="107"/>
      <c r="R73" s="107"/>
      <c r="S73" s="107"/>
      <c r="T73" s="107"/>
      <c r="U73" s="107"/>
      <c r="V73" s="107" t="str">
        <f t="shared" si="1"/>
        <v> </v>
      </c>
      <c r="W73" s="107"/>
      <c r="X73" s="23"/>
      <c r="Y73" s="23"/>
      <c r="Z73" s="23"/>
    </row>
    <row r="74">
      <c r="A74" s="107"/>
      <c r="B74" s="103" t="str">
        <f>IFERROR( VLOOKUP($A74,'INVOICE DETAILS.'!$F$3:$G$1994,2,0)," ")</f>
        <v> </v>
      </c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8"/>
      <c r="O74" s="109"/>
      <c r="P74" s="109"/>
      <c r="Q74" s="107"/>
      <c r="R74" s="107"/>
      <c r="S74" s="107"/>
      <c r="T74" s="107"/>
      <c r="U74" s="107"/>
      <c r="V74" s="107" t="str">
        <f t="shared" si="1"/>
        <v> </v>
      </c>
      <c r="W74" s="107"/>
      <c r="X74" s="23"/>
      <c r="Y74" s="23"/>
      <c r="Z74" s="23"/>
    </row>
    <row r="75">
      <c r="A75" s="107"/>
      <c r="B75" s="103" t="str">
        <f>IFERROR( VLOOKUP($A75,'INVOICE DETAILS.'!$F$3:$G$1994,2,0)," ")</f>
        <v> 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8"/>
      <c r="O75" s="109"/>
      <c r="P75" s="109"/>
      <c r="Q75" s="107"/>
      <c r="R75" s="107"/>
      <c r="S75" s="107"/>
      <c r="T75" s="107"/>
      <c r="U75" s="107"/>
      <c r="V75" s="107" t="str">
        <f t="shared" si="1"/>
        <v> </v>
      </c>
      <c r="W75" s="107"/>
      <c r="X75" s="23"/>
      <c r="Y75" s="23"/>
      <c r="Z75" s="23"/>
    </row>
    <row r="76">
      <c r="A76" s="107"/>
      <c r="B76" s="103" t="str">
        <f>IFERROR( VLOOKUP($A76,'INVOICE DETAILS.'!$F$3:$G$1994,2,0)," ")</f>
        <v> 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8"/>
      <c r="O76" s="109"/>
      <c r="P76" s="109"/>
      <c r="Q76" s="107"/>
      <c r="R76" s="107"/>
      <c r="S76" s="107"/>
      <c r="T76" s="107"/>
      <c r="U76" s="107"/>
      <c r="V76" s="107" t="str">
        <f t="shared" si="1"/>
        <v> </v>
      </c>
      <c r="W76" s="107"/>
      <c r="X76" s="23"/>
      <c r="Y76" s="23"/>
      <c r="Z76" s="23"/>
    </row>
    <row r="77">
      <c r="A77" s="107"/>
      <c r="B77" s="103" t="str">
        <f>IFERROR( VLOOKUP($A77,'INVOICE DETAILS.'!$F$3:$G$1994,2,0)," ")</f>
        <v> 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8"/>
      <c r="O77" s="109"/>
      <c r="P77" s="109"/>
      <c r="Q77" s="107"/>
      <c r="R77" s="107"/>
      <c r="S77" s="107"/>
      <c r="T77" s="107"/>
      <c r="U77" s="107"/>
      <c r="V77" s="107" t="str">
        <f t="shared" si="1"/>
        <v> </v>
      </c>
      <c r="W77" s="107"/>
      <c r="X77" s="23"/>
      <c r="Y77" s="23"/>
      <c r="Z77" s="23"/>
    </row>
    <row r="78">
      <c r="A78" s="107"/>
      <c r="B78" s="103" t="str">
        <f>IFERROR( VLOOKUP($A78,'INVOICE DETAILS.'!$F$3:$G$1994,2,0)," ")</f>
        <v> </v>
      </c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8"/>
      <c r="O78" s="109"/>
      <c r="P78" s="109"/>
      <c r="Q78" s="107"/>
      <c r="R78" s="107"/>
      <c r="S78" s="107"/>
      <c r="T78" s="107"/>
      <c r="U78" s="107"/>
      <c r="V78" s="107" t="str">
        <f t="shared" si="1"/>
        <v> </v>
      </c>
      <c r="W78" s="107"/>
      <c r="X78" s="23"/>
      <c r="Y78" s="23"/>
      <c r="Z78" s="23"/>
    </row>
    <row r="79">
      <c r="A79" s="107"/>
      <c r="B79" s="103" t="str">
        <f>IFERROR( VLOOKUP($A79,'INVOICE DETAILS.'!$F$3:$G$1994,2,0)," ")</f>
        <v> 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8"/>
      <c r="O79" s="109"/>
      <c r="P79" s="109"/>
      <c r="Q79" s="107"/>
      <c r="R79" s="107"/>
      <c r="S79" s="107"/>
      <c r="T79" s="107"/>
      <c r="U79" s="107"/>
      <c r="V79" s="107" t="str">
        <f t="shared" si="1"/>
        <v> </v>
      </c>
      <c r="W79" s="107"/>
      <c r="X79" s="23"/>
      <c r="Y79" s="23"/>
      <c r="Z79" s="23"/>
    </row>
    <row r="80">
      <c r="A80" s="107"/>
      <c r="B80" s="103" t="str">
        <f>IFERROR( VLOOKUP($A80,'INVOICE DETAILS.'!$F$3:$G$1994,2,0)," ")</f>
        <v> 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8"/>
      <c r="O80" s="109"/>
      <c r="P80" s="109"/>
      <c r="Q80" s="107"/>
      <c r="R80" s="107"/>
      <c r="S80" s="107"/>
      <c r="T80" s="107"/>
      <c r="U80" s="107"/>
      <c r="V80" s="107" t="str">
        <f t="shared" si="1"/>
        <v> </v>
      </c>
      <c r="W80" s="107"/>
      <c r="X80" s="23"/>
      <c r="Y80" s="23"/>
      <c r="Z80" s="23"/>
    </row>
    <row r="81">
      <c r="A81" s="107"/>
      <c r="B81" s="103" t="str">
        <f>IFERROR( VLOOKUP($A81,'INVOICE DETAILS.'!$F$3:$G$1994,2,0)," ")</f>
        <v> 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8"/>
      <c r="O81" s="109"/>
      <c r="P81" s="109"/>
      <c r="Q81" s="107"/>
      <c r="R81" s="107"/>
      <c r="S81" s="107"/>
      <c r="T81" s="107"/>
      <c r="U81" s="107"/>
      <c r="V81" s="107" t="str">
        <f t="shared" si="1"/>
        <v> </v>
      </c>
      <c r="W81" s="107"/>
      <c r="X81" s="23"/>
      <c r="Y81" s="23"/>
      <c r="Z81" s="23"/>
    </row>
    <row r="82">
      <c r="A82" s="107"/>
      <c r="B82" s="103" t="str">
        <f>IFERROR( VLOOKUP($A82,'INVOICE DETAILS.'!$F$3:$G$1994,2,0)," ")</f>
        <v> </v>
      </c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8"/>
      <c r="O82" s="109"/>
      <c r="P82" s="109"/>
      <c r="Q82" s="107"/>
      <c r="R82" s="107"/>
      <c r="S82" s="107"/>
      <c r="T82" s="107"/>
      <c r="U82" s="107"/>
      <c r="V82" s="107" t="str">
        <f t="shared" si="1"/>
        <v> </v>
      </c>
      <c r="W82" s="107"/>
      <c r="X82" s="23"/>
      <c r="Y82" s="23"/>
      <c r="Z82" s="23"/>
    </row>
    <row r="83">
      <c r="A83" s="107"/>
      <c r="B83" s="103" t="str">
        <f>IFERROR( VLOOKUP($A83,'INVOICE DETAILS.'!$F$3:$G$1994,2,0)," ")</f>
        <v> </v>
      </c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8"/>
      <c r="O83" s="109"/>
      <c r="P83" s="109"/>
      <c r="Q83" s="107"/>
      <c r="R83" s="107"/>
      <c r="S83" s="107"/>
      <c r="T83" s="107"/>
      <c r="U83" s="107"/>
      <c r="V83" s="107" t="str">
        <f t="shared" si="1"/>
        <v> </v>
      </c>
      <c r="W83" s="107"/>
      <c r="X83" s="23"/>
      <c r="Y83" s="23"/>
      <c r="Z83" s="23"/>
    </row>
    <row r="84">
      <c r="A84" s="107"/>
      <c r="B84" s="103" t="str">
        <f>IFERROR( VLOOKUP($A84,'INVOICE DETAILS.'!$F$3:$G$1994,2,0)," ")</f>
        <v> </v>
      </c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8"/>
      <c r="O84" s="109"/>
      <c r="P84" s="109"/>
      <c r="Q84" s="107"/>
      <c r="R84" s="107"/>
      <c r="S84" s="107"/>
      <c r="T84" s="107"/>
      <c r="U84" s="107"/>
      <c r="V84" s="107" t="str">
        <f t="shared" si="1"/>
        <v> </v>
      </c>
      <c r="W84" s="107"/>
      <c r="X84" s="23"/>
      <c r="Y84" s="23"/>
      <c r="Z84" s="23"/>
    </row>
    <row r="85">
      <c r="A85" s="107"/>
      <c r="B85" s="103" t="str">
        <f>IFERROR( VLOOKUP($A85,'INVOICE DETAILS.'!$F$3:$G$1994,2,0)," ")</f>
        <v> </v>
      </c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8"/>
      <c r="O85" s="109"/>
      <c r="P85" s="109"/>
      <c r="Q85" s="107"/>
      <c r="R85" s="107"/>
      <c r="S85" s="107"/>
      <c r="T85" s="107"/>
      <c r="U85" s="107"/>
      <c r="V85" s="107" t="str">
        <f t="shared" si="1"/>
        <v> </v>
      </c>
      <c r="W85" s="107"/>
      <c r="X85" s="23"/>
      <c r="Y85" s="23"/>
      <c r="Z85" s="23"/>
    </row>
    <row r="86">
      <c r="A86" s="107"/>
      <c r="B86" s="103" t="str">
        <f>IFERROR( VLOOKUP($A86,'INVOICE DETAILS.'!$F$3:$G$1994,2,0)," ")</f>
        <v> 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8"/>
      <c r="O86" s="109"/>
      <c r="P86" s="109"/>
      <c r="Q86" s="107"/>
      <c r="R86" s="107"/>
      <c r="S86" s="107"/>
      <c r="T86" s="107"/>
      <c r="U86" s="107"/>
      <c r="V86" s="107" t="str">
        <f t="shared" si="1"/>
        <v> </v>
      </c>
      <c r="W86" s="107"/>
      <c r="X86" s="23"/>
      <c r="Y86" s="23"/>
      <c r="Z86" s="23"/>
    </row>
    <row r="87">
      <c r="A87" s="107"/>
      <c r="B87" s="103" t="str">
        <f>IFERROR( VLOOKUP($A87,'INVOICE DETAILS.'!$F$3:$G$1994,2,0)," ")</f>
        <v> </v>
      </c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8"/>
      <c r="O87" s="109"/>
      <c r="P87" s="109"/>
      <c r="Q87" s="107"/>
      <c r="R87" s="107"/>
      <c r="S87" s="107"/>
      <c r="T87" s="107"/>
      <c r="U87" s="107"/>
      <c r="V87" s="107" t="str">
        <f t="shared" si="1"/>
        <v> </v>
      </c>
      <c r="W87" s="107"/>
      <c r="X87" s="23"/>
      <c r="Y87" s="23"/>
      <c r="Z87" s="23"/>
    </row>
    <row r="88">
      <c r="A88" s="107"/>
      <c r="B88" s="103" t="str">
        <f>IFERROR( VLOOKUP($A88,'INVOICE DETAILS.'!$F$3:$G$1994,2,0)," ")</f>
        <v> </v>
      </c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8"/>
      <c r="O88" s="109"/>
      <c r="P88" s="109"/>
      <c r="Q88" s="107"/>
      <c r="R88" s="107"/>
      <c r="S88" s="107"/>
      <c r="T88" s="107"/>
      <c r="U88" s="107"/>
      <c r="V88" s="107" t="str">
        <f t="shared" si="1"/>
        <v> </v>
      </c>
      <c r="W88" s="107"/>
      <c r="X88" s="23"/>
      <c r="Y88" s="23"/>
      <c r="Z88" s="23"/>
    </row>
    <row r="89">
      <c r="A89" s="107"/>
      <c r="B89" s="103" t="str">
        <f>IFERROR( VLOOKUP($A89,'INVOICE DETAILS.'!$F$3:$G$1994,2,0)," ")</f>
        <v> </v>
      </c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8"/>
      <c r="O89" s="109"/>
      <c r="P89" s="109"/>
      <c r="Q89" s="107"/>
      <c r="R89" s="107"/>
      <c r="S89" s="107"/>
      <c r="T89" s="107"/>
      <c r="U89" s="107"/>
      <c r="V89" s="107" t="str">
        <f t="shared" si="1"/>
        <v> </v>
      </c>
      <c r="W89" s="107"/>
      <c r="X89" s="23"/>
      <c r="Y89" s="23"/>
      <c r="Z89" s="23"/>
    </row>
    <row r="90">
      <c r="A90" s="107"/>
      <c r="B90" s="103" t="str">
        <f>IFERROR( VLOOKUP($A90,'INVOICE DETAILS.'!$F$3:$G$1994,2,0)," ")</f>
        <v> </v>
      </c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8"/>
      <c r="O90" s="109"/>
      <c r="P90" s="109"/>
      <c r="Q90" s="107"/>
      <c r="R90" s="107"/>
      <c r="S90" s="107"/>
      <c r="T90" s="107"/>
      <c r="U90" s="107"/>
      <c r="V90" s="107" t="str">
        <f t="shared" si="1"/>
        <v> </v>
      </c>
      <c r="W90" s="107"/>
      <c r="X90" s="23"/>
      <c r="Y90" s="23"/>
      <c r="Z90" s="23"/>
    </row>
    <row r="91">
      <c r="A91" s="107"/>
      <c r="B91" s="103" t="str">
        <f>IFERROR( VLOOKUP($A91,'INVOICE DETAILS.'!$F$3:$G$1994,2,0)," ")</f>
        <v> </v>
      </c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8"/>
      <c r="O91" s="109"/>
      <c r="P91" s="109"/>
      <c r="Q91" s="107"/>
      <c r="R91" s="107"/>
      <c r="S91" s="107"/>
      <c r="T91" s="107"/>
      <c r="U91" s="107"/>
      <c r="V91" s="107" t="str">
        <f t="shared" si="1"/>
        <v> </v>
      </c>
      <c r="W91" s="107"/>
      <c r="X91" s="23"/>
      <c r="Y91" s="23"/>
      <c r="Z91" s="23"/>
    </row>
    <row r="92">
      <c r="A92" s="107"/>
      <c r="B92" s="103" t="str">
        <f>IFERROR( VLOOKUP($A92,'INVOICE DETAILS.'!$F$3:$G$1994,2,0)," ")</f>
        <v> </v>
      </c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8"/>
      <c r="O92" s="109"/>
      <c r="P92" s="109"/>
      <c r="Q92" s="107"/>
      <c r="R92" s="107"/>
      <c r="S92" s="107"/>
      <c r="T92" s="107"/>
      <c r="U92" s="107"/>
      <c r="V92" s="107" t="str">
        <f t="shared" si="1"/>
        <v> </v>
      </c>
      <c r="W92" s="107"/>
      <c r="X92" s="23"/>
      <c r="Y92" s="23"/>
      <c r="Z92" s="23"/>
    </row>
    <row r="93">
      <c r="A93" s="107"/>
      <c r="B93" s="103" t="str">
        <f>IFERROR( VLOOKUP($A93,'INVOICE DETAILS.'!$F$3:$G$1994,2,0)," ")</f>
        <v> </v>
      </c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8"/>
      <c r="O93" s="109"/>
      <c r="P93" s="109"/>
      <c r="Q93" s="107"/>
      <c r="R93" s="107"/>
      <c r="S93" s="107"/>
      <c r="T93" s="107"/>
      <c r="U93" s="107"/>
      <c r="V93" s="107" t="str">
        <f t="shared" si="1"/>
        <v> </v>
      </c>
      <c r="W93" s="107"/>
      <c r="X93" s="23"/>
      <c r="Y93" s="23"/>
      <c r="Z93" s="23"/>
    </row>
    <row r="94">
      <c r="A94" s="107"/>
      <c r="B94" s="103" t="str">
        <f>IFERROR( VLOOKUP($A94,'INVOICE DETAILS.'!$F$3:$G$1994,2,0)," ")</f>
        <v> </v>
      </c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8"/>
      <c r="O94" s="109"/>
      <c r="P94" s="109"/>
      <c r="Q94" s="107"/>
      <c r="R94" s="107"/>
      <c r="S94" s="107"/>
      <c r="T94" s="107"/>
      <c r="U94" s="107"/>
      <c r="V94" s="107" t="str">
        <f t="shared" si="1"/>
        <v> </v>
      </c>
      <c r="W94" s="107"/>
      <c r="X94" s="23"/>
      <c r="Y94" s="23"/>
      <c r="Z94" s="23"/>
    </row>
    <row r="95">
      <c r="A95" s="107"/>
      <c r="B95" s="103" t="str">
        <f>IFERROR( VLOOKUP($A95,'INVOICE DETAILS.'!$F$3:$G$1994,2,0)," ")</f>
        <v> </v>
      </c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8"/>
      <c r="O95" s="109"/>
      <c r="P95" s="109"/>
      <c r="Q95" s="107"/>
      <c r="R95" s="107"/>
      <c r="S95" s="107"/>
      <c r="T95" s="107"/>
      <c r="U95" s="107"/>
      <c r="V95" s="107" t="str">
        <f t="shared" si="1"/>
        <v> </v>
      </c>
      <c r="W95" s="107"/>
      <c r="X95" s="23"/>
      <c r="Y95" s="23"/>
      <c r="Z95" s="23"/>
    </row>
    <row r="96">
      <c r="A96" s="107"/>
      <c r="B96" s="103" t="str">
        <f>IFERROR( VLOOKUP($A96,'INVOICE DETAILS.'!$F$3:$G$1994,2,0)," ")</f>
        <v> </v>
      </c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8"/>
      <c r="O96" s="109"/>
      <c r="P96" s="109"/>
      <c r="Q96" s="107"/>
      <c r="R96" s="107"/>
      <c r="S96" s="107"/>
      <c r="T96" s="107"/>
      <c r="U96" s="107"/>
      <c r="V96" s="107" t="str">
        <f t="shared" si="1"/>
        <v> </v>
      </c>
      <c r="W96" s="107"/>
      <c r="X96" s="23"/>
      <c r="Y96" s="23"/>
      <c r="Z96" s="23"/>
    </row>
    <row r="97">
      <c r="A97" s="107"/>
      <c r="B97" s="103" t="str">
        <f>IFERROR( VLOOKUP($A97,'INVOICE DETAILS.'!$F$3:$G$1994,2,0)," ")</f>
        <v> </v>
      </c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8"/>
      <c r="O97" s="109"/>
      <c r="P97" s="109"/>
      <c r="Q97" s="107"/>
      <c r="R97" s="107"/>
      <c r="S97" s="107"/>
      <c r="T97" s="107"/>
      <c r="U97" s="107"/>
      <c r="V97" s="107" t="str">
        <f t="shared" si="1"/>
        <v> </v>
      </c>
      <c r="W97" s="107"/>
      <c r="X97" s="23"/>
      <c r="Y97" s="23"/>
      <c r="Z97" s="23"/>
    </row>
    <row r="98">
      <c r="A98" s="107"/>
      <c r="B98" s="103" t="str">
        <f>IFERROR( VLOOKUP($A98,'INVOICE DETAILS.'!$F$3:$G$1994,2,0)," ")</f>
        <v> </v>
      </c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8"/>
      <c r="O98" s="109"/>
      <c r="P98" s="109"/>
      <c r="Q98" s="107"/>
      <c r="R98" s="107"/>
      <c r="S98" s="107"/>
      <c r="T98" s="107"/>
      <c r="U98" s="107"/>
      <c r="V98" s="107" t="str">
        <f t="shared" si="1"/>
        <v> </v>
      </c>
      <c r="W98" s="107"/>
      <c r="X98" s="23"/>
      <c r="Y98" s="23"/>
      <c r="Z98" s="23"/>
    </row>
    <row r="99">
      <c r="A99" s="107"/>
      <c r="B99" s="103" t="str">
        <f>IFERROR( VLOOKUP($A99,'INVOICE DETAILS.'!$F$3:$G$1994,2,0)," ")</f>
        <v> </v>
      </c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8"/>
      <c r="O99" s="109"/>
      <c r="P99" s="109"/>
      <c r="Q99" s="107"/>
      <c r="R99" s="107"/>
      <c r="S99" s="107"/>
      <c r="T99" s="107"/>
      <c r="U99" s="107"/>
      <c r="V99" s="107" t="str">
        <f t="shared" si="1"/>
        <v> </v>
      </c>
      <c r="W99" s="107"/>
      <c r="X99" s="23"/>
      <c r="Y99" s="23"/>
      <c r="Z99" s="23"/>
    </row>
    <row r="100">
      <c r="A100" s="107"/>
      <c r="B100" s="103" t="str">
        <f>IFERROR( VLOOKUP($A100,'INVOICE DETAILS.'!$F$3:$G$1994,2,0)," ")</f>
        <v> </v>
      </c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8"/>
      <c r="O100" s="109"/>
      <c r="P100" s="109"/>
      <c r="Q100" s="107"/>
      <c r="R100" s="107"/>
      <c r="S100" s="107"/>
      <c r="T100" s="107"/>
      <c r="U100" s="107"/>
      <c r="V100" s="107" t="str">
        <f t="shared" si="1"/>
        <v> </v>
      </c>
      <c r="W100" s="107"/>
      <c r="X100" s="23"/>
      <c r="Y100" s="23"/>
      <c r="Z100" s="23"/>
    </row>
    <row r="101">
      <c r="A101" s="107"/>
      <c r="B101" s="103" t="str">
        <f>IFERROR( VLOOKUP($A101,'INVOICE DETAILS.'!$F$3:$G$1994,2,0)," ")</f>
        <v> </v>
      </c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8"/>
      <c r="O101" s="109"/>
      <c r="P101" s="109"/>
      <c r="Q101" s="107"/>
      <c r="R101" s="107"/>
      <c r="S101" s="107"/>
      <c r="T101" s="107"/>
      <c r="U101" s="107"/>
      <c r="V101" s="107" t="str">
        <f t="shared" si="1"/>
        <v> </v>
      </c>
      <c r="W101" s="107"/>
      <c r="X101" s="23"/>
      <c r="Y101" s="23"/>
      <c r="Z101" s="23"/>
    </row>
    <row r="102">
      <c r="A102" s="107"/>
      <c r="B102" s="103" t="str">
        <f>IFERROR( VLOOKUP($A102,'INVOICE DETAILS.'!$F$3:$G$1994,2,0)," ")</f>
        <v> </v>
      </c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8"/>
      <c r="O102" s="109"/>
      <c r="P102" s="109"/>
      <c r="Q102" s="107"/>
      <c r="R102" s="107"/>
      <c r="S102" s="107"/>
      <c r="T102" s="107"/>
      <c r="U102" s="107"/>
      <c r="V102" s="107" t="str">
        <f t="shared" si="1"/>
        <v> </v>
      </c>
      <c r="W102" s="107"/>
      <c r="X102" s="23"/>
      <c r="Y102" s="23"/>
      <c r="Z102" s="23"/>
    </row>
    <row r="103">
      <c r="A103" s="107"/>
      <c r="B103" s="103" t="str">
        <f>IFERROR( VLOOKUP($A103,'INVOICE DETAILS.'!$F$3:$G$1994,2,0)," ")</f>
        <v> </v>
      </c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8"/>
      <c r="O103" s="109"/>
      <c r="P103" s="109"/>
      <c r="Q103" s="107"/>
      <c r="R103" s="107"/>
      <c r="S103" s="107"/>
      <c r="T103" s="107"/>
      <c r="U103" s="107"/>
      <c r="V103" s="107" t="str">
        <f t="shared" si="1"/>
        <v> </v>
      </c>
      <c r="W103" s="107"/>
      <c r="X103" s="23"/>
      <c r="Y103" s="23"/>
      <c r="Z103" s="23"/>
    </row>
    <row r="104">
      <c r="A104" s="107"/>
      <c r="B104" s="103" t="str">
        <f>IFERROR( VLOOKUP($A104,'INVOICE DETAILS.'!$F$3:$G$1994,2,0)," ")</f>
        <v> </v>
      </c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8"/>
      <c r="O104" s="109"/>
      <c r="P104" s="109"/>
      <c r="Q104" s="107"/>
      <c r="R104" s="107"/>
      <c r="S104" s="107"/>
      <c r="T104" s="107"/>
      <c r="U104" s="107"/>
      <c r="V104" s="107" t="str">
        <f t="shared" si="1"/>
        <v> </v>
      </c>
      <c r="W104" s="107"/>
      <c r="X104" s="23"/>
      <c r="Y104" s="23"/>
      <c r="Z104" s="23"/>
    </row>
    <row r="105">
      <c r="A105" s="107"/>
      <c r="B105" s="103" t="str">
        <f>IFERROR( VLOOKUP($A105,'INVOICE DETAILS.'!$F$3:$G$1994,2,0)," ")</f>
        <v> </v>
      </c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8"/>
      <c r="O105" s="109"/>
      <c r="P105" s="109"/>
      <c r="Q105" s="107"/>
      <c r="R105" s="107"/>
      <c r="S105" s="107"/>
      <c r="T105" s="107"/>
      <c r="U105" s="107"/>
      <c r="V105" s="107" t="str">
        <f t="shared" si="1"/>
        <v> </v>
      </c>
      <c r="W105" s="107"/>
      <c r="X105" s="23"/>
      <c r="Y105" s="23"/>
      <c r="Z105" s="23"/>
    </row>
    <row r="106">
      <c r="A106" s="107"/>
      <c r="B106" s="103" t="str">
        <f>IFERROR( VLOOKUP($A106,'INVOICE DETAILS.'!$F$3:$G$1994,2,0)," ")</f>
        <v> 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8"/>
      <c r="O106" s="109"/>
      <c r="P106" s="109"/>
      <c r="Q106" s="107"/>
      <c r="R106" s="107"/>
      <c r="S106" s="107"/>
      <c r="T106" s="107"/>
      <c r="U106" s="107"/>
      <c r="V106" s="107" t="str">
        <f t="shared" si="1"/>
        <v> </v>
      </c>
      <c r="W106" s="107"/>
      <c r="X106" s="23"/>
      <c r="Y106" s="23"/>
      <c r="Z106" s="23"/>
    </row>
    <row r="107">
      <c r="A107" s="107"/>
      <c r="B107" s="103" t="str">
        <f>IFERROR( VLOOKUP($A107,'INVOICE DETAILS.'!$F$3:$G$1994,2,0)," ")</f>
        <v> 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8"/>
      <c r="O107" s="109"/>
      <c r="P107" s="109"/>
      <c r="Q107" s="107"/>
      <c r="R107" s="107"/>
      <c r="S107" s="107"/>
      <c r="T107" s="107"/>
      <c r="U107" s="107"/>
      <c r="V107" s="107" t="str">
        <f t="shared" si="1"/>
        <v> </v>
      </c>
      <c r="W107" s="107"/>
      <c r="X107" s="23"/>
      <c r="Y107" s="23"/>
      <c r="Z107" s="23"/>
    </row>
    <row r="108">
      <c r="A108" s="107"/>
      <c r="B108" s="103" t="str">
        <f>IFERROR( VLOOKUP($A108,'INVOICE DETAILS.'!$F$3:$G$1994,2,0)," ")</f>
        <v> </v>
      </c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8"/>
      <c r="O108" s="109"/>
      <c r="P108" s="109"/>
      <c r="Q108" s="107"/>
      <c r="R108" s="107"/>
      <c r="S108" s="107"/>
      <c r="T108" s="107"/>
      <c r="U108" s="107"/>
      <c r="V108" s="107" t="str">
        <f t="shared" si="1"/>
        <v> </v>
      </c>
      <c r="W108" s="107"/>
      <c r="X108" s="23"/>
      <c r="Y108" s="23"/>
      <c r="Z108" s="23"/>
    </row>
    <row r="109">
      <c r="A109" s="107"/>
      <c r="B109" s="103" t="str">
        <f>IFERROR( VLOOKUP($A109,'INVOICE DETAILS.'!$F$3:$G$1994,2,0)," ")</f>
        <v> </v>
      </c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8"/>
      <c r="O109" s="109"/>
      <c r="P109" s="109"/>
      <c r="Q109" s="107"/>
      <c r="R109" s="107"/>
      <c r="S109" s="107"/>
      <c r="T109" s="107"/>
      <c r="U109" s="107"/>
      <c r="V109" s="107" t="str">
        <f t="shared" si="1"/>
        <v> </v>
      </c>
      <c r="W109" s="107"/>
      <c r="X109" s="23"/>
      <c r="Y109" s="23"/>
      <c r="Z109" s="23"/>
    </row>
    <row r="110">
      <c r="A110" s="107"/>
      <c r="B110" s="103" t="str">
        <f>IFERROR( VLOOKUP($A110,'INVOICE DETAILS.'!$F$3:$G$1994,2,0)," ")</f>
        <v> </v>
      </c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8"/>
      <c r="O110" s="109"/>
      <c r="P110" s="109"/>
      <c r="Q110" s="107"/>
      <c r="R110" s="107"/>
      <c r="S110" s="107"/>
      <c r="T110" s="107"/>
      <c r="U110" s="107"/>
      <c r="V110" s="107" t="str">
        <f t="shared" si="1"/>
        <v> </v>
      </c>
      <c r="W110" s="107"/>
      <c r="X110" s="23"/>
      <c r="Y110" s="23"/>
      <c r="Z110" s="23"/>
    </row>
    <row r="111">
      <c r="A111" s="107"/>
      <c r="B111" s="103" t="str">
        <f>IFERROR( VLOOKUP($A111,'INVOICE DETAILS.'!$F$3:$G$1994,2,0)," ")</f>
        <v> </v>
      </c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8"/>
      <c r="O111" s="109"/>
      <c r="P111" s="109"/>
      <c r="Q111" s="107"/>
      <c r="R111" s="107"/>
      <c r="S111" s="107"/>
      <c r="T111" s="107"/>
      <c r="U111" s="107"/>
      <c r="V111" s="107" t="str">
        <f t="shared" si="1"/>
        <v> </v>
      </c>
      <c r="W111" s="107"/>
      <c r="X111" s="23"/>
      <c r="Y111" s="23"/>
      <c r="Z111" s="23"/>
    </row>
    <row r="112">
      <c r="A112" s="107"/>
      <c r="B112" s="103" t="str">
        <f>IFERROR( VLOOKUP($A112,'INVOICE DETAILS.'!$F$3:$G$1994,2,0)," ")</f>
        <v> </v>
      </c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8"/>
      <c r="O112" s="109"/>
      <c r="P112" s="109"/>
      <c r="Q112" s="107"/>
      <c r="R112" s="107"/>
      <c r="S112" s="107"/>
      <c r="T112" s="107"/>
      <c r="U112" s="107"/>
      <c r="V112" s="107" t="str">
        <f t="shared" si="1"/>
        <v> </v>
      </c>
      <c r="W112" s="107"/>
      <c r="X112" s="23"/>
      <c r="Y112" s="23"/>
      <c r="Z112" s="23"/>
    </row>
    <row r="113">
      <c r="A113" s="107"/>
      <c r="B113" s="103" t="str">
        <f>IFERROR( VLOOKUP($A113,'INVOICE DETAILS.'!$F$3:$G$1994,2,0)," ")</f>
        <v> </v>
      </c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8"/>
      <c r="O113" s="109"/>
      <c r="P113" s="109"/>
      <c r="Q113" s="107"/>
      <c r="R113" s="107"/>
      <c r="S113" s="107"/>
      <c r="T113" s="107"/>
      <c r="U113" s="107"/>
      <c r="V113" s="107" t="str">
        <f t="shared" si="1"/>
        <v> </v>
      </c>
      <c r="W113" s="107"/>
      <c r="X113" s="23"/>
      <c r="Y113" s="23"/>
      <c r="Z113" s="23"/>
    </row>
    <row r="114">
      <c r="A114" s="107"/>
      <c r="B114" s="103" t="str">
        <f>IFERROR( VLOOKUP($A114,'INVOICE DETAILS.'!$F$3:$G$1994,2,0)," ")</f>
        <v> </v>
      </c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8"/>
      <c r="O114" s="109"/>
      <c r="P114" s="109"/>
      <c r="Q114" s="107"/>
      <c r="R114" s="107"/>
      <c r="S114" s="107"/>
      <c r="T114" s="107"/>
      <c r="U114" s="107"/>
      <c r="V114" s="107" t="str">
        <f t="shared" si="1"/>
        <v> </v>
      </c>
      <c r="W114" s="107"/>
      <c r="X114" s="23"/>
      <c r="Y114" s="23"/>
      <c r="Z114" s="23"/>
    </row>
    <row r="115">
      <c r="A115" s="107"/>
      <c r="B115" s="103" t="str">
        <f>IFERROR( VLOOKUP($A115,'INVOICE DETAILS.'!$F$3:$G$1994,2,0)," ")</f>
        <v> </v>
      </c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8"/>
      <c r="O115" s="109"/>
      <c r="P115" s="109"/>
      <c r="Q115" s="107"/>
      <c r="R115" s="107"/>
      <c r="S115" s="107"/>
      <c r="T115" s="107"/>
      <c r="U115" s="107"/>
      <c r="V115" s="107" t="str">
        <f t="shared" si="1"/>
        <v> </v>
      </c>
      <c r="W115" s="107"/>
      <c r="X115" s="23"/>
      <c r="Y115" s="23"/>
      <c r="Z115" s="23"/>
    </row>
    <row r="116">
      <c r="A116" s="107"/>
      <c r="B116" s="103" t="str">
        <f>IFERROR( VLOOKUP($A116,'INVOICE DETAILS.'!$F$3:$G$1994,2,0)," ")</f>
        <v> </v>
      </c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8"/>
      <c r="O116" s="109"/>
      <c r="P116" s="109"/>
      <c r="Q116" s="107"/>
      <c r="R116" s="107"/>
      <c r="S116" s="107"/>
      <c r="T116" s="107"/>
      <c r="U116" s="107"/>
      <c r="V116" s="107" t="str">
        <f t="shared" si="1"/>
        <v> </v>
      </c>
      <c r="W116" s="107"/>
      <c r="X116" s="23"/>
      <c r="Y116" s="23"/>
      <c r="Z116" s="23"/>
    </row>
    <row r="117">
      <c r="A117" s="107"/>
      <c r="B117" s="103" t="str">
        <f>IFERROR( VLOOKUP($A117,'INVOICE DETAILS.'!$F$3:$G$1994,2,0)," ")</f>
        <v> </v>
      </c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8"/>
      <c r="O117" s="109"/>
      <c r="P117" s="109"/>
      <c r="Q117" s="107"/>
      <c r="R117" s="107"/>
      <c r="S117" s="107"/>
      <c r="T117" s="107"/>
      <c r="U117" s="107"/>
      <c r="V117" s="107" t="str">
        <f t="shared" si="1"/>
        <v> </v>
      </c>
      <c r="W117" s="107"/>
      <c r="X117" s="23"/>
      <c r="Y117" s="23"/>
      <c r="Z117" s="23"/>
    </row>
    <row r="118">
      <c r="A118" s="107"/>
      <c r="B118" s="103" t="str">
        <f>IFERROR( VLOOKUP($A118,'INVOICE DETAILS.'!$F$3:$G$1994,2,0)," ")</f>
        <v> </v>
      </c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8"/>
      <c r="O118" s="109"/>
      <c r="P118" s="109"/>
      <c r="Q118" s="107"/>
      <c r="R118" s="107"/>
      <c r="S118" s="107"/>
      <c r="T118" s="107"/>
      <c r="U118" s="107"/>
      <c r="V118" s="107" t="str">
        <f t="shared" si="1"/>
        <v> </v>
      </c>
      <c r="W118" s="107"/>
      <c r="X118" s="23"/>
      <c r="Y118" s="23"/>
      <c r="Z118" s="23"/>
    </row>
    <row r="119">
      <c r="A119" s="107"/>
      <c r="B119" s="103" t="str">
        <f>IFERROR( VLOOKUP($A119,'INVOICE DETAILS.'!$F$3:$G$1994,2,0)," ")</f>
        <v> </v>
      </c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8"/>
      <c r="O119" s="109"/>
      <c r="P119" s="109"/>
      <c r="Q119" s="107"/>
      <c r="R119" s="107"/>
      <c r="S119" s="107"/>
      <c r="T119" s="107"/>
      <c r="U119" s="107"/>
      <c r="V119" s="107" t="str">
        <f t="shared" si="1"/>
        <v> </v>
      </c>
      <c r="W119" s="107"/>
      <c r="X119" s="23"/>
      <c r="Y119" s="23"/>
      <c r="Z119" s="23"/>
    </row>
    <row r="120">
      <c r="A120" s="107"/>
      <c r="B120" s="103" t="str">
        <f>IFERROR( VLOOKUP($A120,'INVOICE DETAILS.'!$F$3:$G$1994,2,0)," ")</f>
        <v> </v>
      </c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8"/>
      <c r="O120" s="109"/>
      <c r="P120" s="109"/>
      <c r="Q120" s="107"/>
      <c r="R120" s="107"/>
      <c r="S120" s="107"/>
      <c r="T120" s="107"/>
      <c r="U120" s="107"/>
      <c r="V120" s="107" t="str">
        <f t="shared" si="1"/>
        <v> </v>
      </c>
      <c r="W120" s="107"/>
      <c r="X120" s="23"/>
      <c r="Y120" s="23"/>
      <c r="Z120" s="23"/>
    </row>
    <row r="121">
      <c r="A121" s="107"/>
      <c r="B121" s="103" t="str">
        <f>IFERROR( VLOOKUP($A121,'INVOICE DETAILS.'!$F$3:$G$1994,2,0)," ")</f>
        <v> </v>
      </c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8"/>
      <c r="O121" s="109"/>
      <c r="P121" s="109"/>
      <c r="Q121" s="107"/>
      <c r="R121" s="107"/>
      <c r="S121" s="107"/>
      <c r="T121" s="107"/>
      <c r="U121" s="107"/>
      <c r="V121" s="107" t="str">
        <f t="shared" si="1"/>
        <v> </v>
      </c>
      <c r="W121" s="107"/>
      <c r="X121" s="23"/>
      <c r="Y121" s="23"/>
      <c r="Z121" s="23"/>
    </row>
    <row r="122">
      <c r="A122" s="107"/>
      <c r="B122" s="103" t="str">
        <f>IFERROR( VLOOKUP($A122,'INVOICE DETAILS.'!$F$3:$G$1994,2,0)," ")</f>
        <v> </v>
      </c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8"/>
      <c r="O122" s="109"/>
      <c r="P122" s="109"/>
      <c r="Q122" s="107"/>
      <c r="R122" s="107"/>
      <c r="S122" s="107"/>
      <c r="T122" s="107"/>
      <c r="U122" s="107"/>
      <c r="V122" s="107" t="str">
        <f t="shared" si="1"/>
        <v> </v>
      </c>
      <c r="W122" s="107"/>
      <c r="X122" s="23"/>
      <c r="Y122" s="23"/>
      <c r="Z122" s="23"/>
    </row>
    <row r="123">
      <c r="A123" s="107"/>
      <c r="B123" s="103" t="str">
        <f>IFERROR( VLOOKUP($A123,'INVOICE DETAILS.'!$F$3:$G$1994,2,0)," ")</f>
        <v> </v>
      </c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8"/>
      <c r="O123" s="109"/>
      <c r="P123" s="109"/>
      <c r="Q123" s="107"/>
      <c r="R123" s="107"/>
      <c r="S123" s="107"/>
      <c r="T123" s="107"/>
      <c r="U123" s="107"/>
      <c r="V123" s="107" t="str">
        <f t="shared" si="1"/>
        <v> </v>
      </c>
      <c r="W123" s="107"/>
      <c r="X123" s="23"/>
      <c r="Y123" s="23"/>
      <c r="Z123" s="23"/>
    </row>
    <row r="124">
      <c r="A124" s="107"/>
      <c r="B124" s="103" t="str">
        <f>IFERROR( VLOOKUP($A124,'INVOICE DETAILS.'!$F$3:$G$1994,2,0)," ")</f>
        <v> </v>
      </c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8"/>
      <c r="O124" s="109"/>
      <c r="P124" s="109"/>
      <c r="Q124" s="107"/>
      <c r="R124" s="107"/>
      <c r="S124" s="107"/>
      <c r="T124" s="107"/>
      <c r="U124" s="107"/>
      <c r="V124" s="107" t="str">
        <f t="shared" si="1"/>
        <v> </v>
      </c>
      <c r="W124" s="107"/>
      <c r="X124" s="23"/>
      <c r="Y124" s="23"/>
      <c r="Z124" s="23"/>
    </row>
    <row r="125">
      <c r="A125" s="107"/>
      <c r="B125" s="103" t="str">
        <f>IFERROR( VLOOKUP($A125,'INVOICE DETAILS.'!$F$3:$G$1994,2,0)," ")</f>
        <v> </v>
      </c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8"/>
      <c r="O125" s="109"/>
      <c r="P125" s="109"/>
      <c r="Q125" s="107"/>
      <c r="R125" s="107"/>
      <c r="S125" s="107"/>
      <c r="T125" s="107"/>
      <c r="U125" s="107"/>
      <c r="V125" s="107" t="str">
        <f t="shared" si="1"/>
        <v> </v>
      </c>
      <c r="W125" s="107"/>
      <c r="X125" s="23"/>
      <c r="Y125" s="23"/>
      <c r="Z125" s="23"/>
    </row>
    <row r="126">
      <c r="A126" s="107"/>
      <c r="B126" s="103" t="str">
        <f>IFERROR( VLOOKUP($A126,'INVOICE DETAILS.'!$F$3:$G$1994,2,0)," ")</f>
        <v> </v>
      </c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8"/>
      <c r="O126" s="109"/>
      <c r="P126" s="109"/>
      <c r="Q126" s="107"/>
      <c r="R126" s="107"/>
      <c r="S126" s="107"/>
      <c r="T126" s="107"/>
      <c r="U126" s="107"/>
      <c r="V126" s="107" t="str">
        <f t="shared" si="1"/>
        <v> </v>
      </c>
      <c r="W126" s="107"/>
      <c r="X126" s="23"/>
      <c r="Y126" s="23"/>
      <c r="Z126" s="23"/>
    </row>
    <row r="127">
      <c r="A127" s="107"/>
      <c r="B127" s="103" t="str">
        <f>IFERROR( VLOOKUP($A127,'INVOICE DETAILS.'!$F$3:$G$1994,2,0)," ")</f>
        <v> </v>
      </c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8"/>
      <c r="O127" s="109"/>
      <c r="P127" s="109"/>
      <c r="Q127" s="107"/>
      <c r="R127" s="107"/>
      <c r="S127" s="107"/>
      <c r="T127" s="107"/>
      <c r="U127" s="107"/>
      <c r="V127" s="107" t="str">
        <f t="shared" si="1"/>
        <v> </v>
      </c>
      <c r="W127" s="107"/>
      <c r="X127" s="23"/>
      <c r="Y127" s="23"/>
      <c r="Z127" s="23"/>
    </row>
    <row r="128">
      <c r="A128" s="107"/>
      <c r="B128" s="103" t="str">
        <f>IFERROR( VLOOKUP($A128,'INVOICE DETAILS.'!$F$3:$G$1994,2,0)," ")</f>
        <v> </v>
      </c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8"/>
      <c r="O128" s="109"/>
      <c r="P128" s="109"/>
      <c r="Q128" s="107"/>
      <c r="R128" s="107"/>
      <c r="S128" s="107"/>
      <c r="T128" s="107"/>
      <c r="U128" s="107"/>
      <c r="V128" s="107" t="str">
        <f t="shared" si="1"/>
        <v> </v>
      </c>
      <c r="W128" s="107"/>
      <c r="X128" s="23"/>
      <c r="Y128" s="23"/>
      <c r="Z128" s="23"/>
    </row>
    <row r="129">
      <c r="A129" s="107"/>
      <c r="B129" s="103" t="str">
        <f>IFERROR( VLOOKUP($A129,'INVOICE DETAILS.'!$F$3:$G$1994,2,0)," ")</f>
        <v> </v>
      </c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8"/>
      <c r="O129" s="109"/>
      <c r="P129" s="109"/>
      <c r="Q129" s="107"/>
      <c r="R129" s="107"/>
      <c r="S129" s="107"/>
      <c r="T129" s="107"/>
      <c r="U129" s="107"/>
      <c r="V129" s="107" t="str">
        <f t="shared" si="1"/>
        <v> </v>
      </c>
      <c r="W129" s="107"/>
      <c r="X129" s="23"/>
      <c r="Y129" s="23"/>
      <c r="Z129" s="23"/>
    </row>
    <row r="130">
      <c r="A130" s="107"/>
      <c r="B130" s="103" t="str">
        <f>IFERROR( VLOOKUP($A130,'INVOICE DETAILS.'!$F$3:$G$1994,2,0)," ")</f>
        <v> </v>
      </c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8"/>
      <c r="O130" s="109"/>
      <c r="P130" s="109"/>
      <c r="Q130" s="107"/>
      <c r="R130" s="107"/>
      <c r="S130" s="107"/>
      <c r="T130" s="107"/>
      <c r="U130" s="107"/>
      <c r="V130" s="107" t="str">
        <f t="shared" si="1"/>
        <v> </v>
      </c>
      <c r="W130" s="107"/>
      <c r="X130" s="23"/>
      <c r="Y130" s="23"/>
      <c r="Z130" s="23"/>
    </row>
    <row r="131">
      <c r="A131" s="107"/>
      <c r="B131" s="103" t="str">
        <f>IFERROR( VLOOKUP($A131,'INVOICE DETAILS.'!$F$3:$G$1994,2,0)," ")</f>
        <v> </v>
      </c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8"/>
      <c r="O131" s="109"/>
      <c r="P131" s="109"/>
      <c r="Q131" s="107"/>
      <c r="R131" s="107"/>
      <c r="S131" s="107"/>
      <c r="T131" s="107"/>
      <c r="U131" s="107"/>
      <c r="V131" s="107" t="str">
        <f t="shared" si="1"/>
        <v> </v>
      </c>
      <c r="W131" s="107"/>
      <c r="X131" s="23"/>
      <c r="Y131" s="23"/>
      <c r="Z131" s="23"/>
    </row>
    <row r="132">
      <c r="A132" s="107"/>
      <c r="B132" s="103" t="str">
        <f>IFERROR( VLOOKUP($A132,'INVOICE DETAILS.'!$F$3:$G$1994,2,0)," ")</f>
        <v> </v>
      </c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8"/>
      <c r="O132" s="109"/>
      <c r="P132" s="109"/>
      <c r="Q132" s="107"/>
      <c r="R132" s="107"/>
      <c r="S132" s="107"/>
      <c r="T132" s="107"/>
      <c r="U132" s="107"/>
      <c r="V132" s="107" t="str">
        <f t="shared" si="1"/>
        <v> </v>
      </c>
      <c r="W132" s="107"/>
      <c r="X132" s="23"/>
      <c r="Y132" s="23"/>
      <c r="Z132" s="23"/>
    </row>
    <row r="133">
      <c r="A133" s="107"/>
      <c r="B133" s="103" t="str">
        <f>IFERROR( VLOOKUP($A133,'INVOICE DETAILS.'!$F$3:$G$1994,2,0)," ")</f>
        <v> </v>
      </c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8"/>
      <c r="O133" s="109"/>
      <c r="P133" s="109"/>
      <c r="Q133" s="107"/>
      <c r="R133" s="107"/>
      <c r="S133" s="107"/>
      <c r="T133" s="107"/>
      <c r="U133" s="107"/>
      <c r="V133" s="107" t="str">
        <f t="shared" si="1"/>
        <v> </v>
      </c>
      <c r="W133" s="107"/>
      <c r="X133" s="23"/>
      <c r="Y133" s="23"/>
      <c r="Z133" s="23"/>
    </row>
    <row r="134">
      <c r="A134" s="107"/>
      <c r="B134" s="103" t="str">
        <f>IFERROR( VLOOKUP($A134,'INVOICE DETAILS.'!$F$3:$G$1994,2,0)," ")</f>
        <v> </v>
      </c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8"/>
      <c r="O134" s="109"/>
      <c r="P134" s="109"/>
      <c r="Q134" s="107"/>
      <c r="R134" s="107"/>
      <c r="S134" s="107"/>
      <c r="T134" s="107"/>
      <c r="U134" s="107"/>
      <c r="V134" s="107" t="str">
        <f t="shared" si="1"/>
        <v> </v>
      </c>
      <c r="W134" s="107"/>
      <c r="X134" s="23"/>
      <c r="Y134" s="23"/>
      <c r="Z134" s="23"/>
    </row>
    <row r="135">
      <c r="A135" s="107"/>
      <c r="B135" s="103" t="str">
        <f>IFERROR( VLOOKUP($A135,'INVOICE DETAILS.'!$F$3:$G$1994,2,0)," ")</f>
        <v> </v>
      </c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8"/>
      <c r="O135" s="109"/>
      <c r="P135" s="109"/>
      <c r="Q135" s="107"/>
      <c r="R135" s="107"/>
      <c r="S135" s="107"/>
      <c r="T135" s="107"/>
      <c r="U135" s="107"/>
      <c r="V135" s="107" t="str">
        <f t="shared" si="1"/>
        <v> </v>
      </c>
      <c r="W135" s="107"/>
      <c r="X135" s="23"/>
      <c r="Y135" s="23"/>
      <c r="Z135" s="23"/>
    </row>
    <row r="136">
      <c r="A136" s="107"/>
      <c r="B136" s="103" t="str">
        <f>IFERROR( VLOOKUP($A136,'INVOICE DETAILS.'!$F$3:$G$1994,2,0)," ")</f>
        <v> </v>
      </c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8"/>
      <c r="O136" s="109"/>
      <c r="P136" s="109"/>
      <c r="Q136" s="107"/>
      <c r="R136" s="107"/>
      <c r="S136" s="107"/>
      <c r="T136" s="107"/>
      <c r="U136" s="107"/>
      <c r="V136" s="107" t="str">
        <f t="shared" si="1"/>
        <v> </v>
      </c>
      <c r="W136" s="107"/>
      <c r="X136" s="23"/>
      <c r="Y136" s="23"/>
      <c r="Z136" s="23"/>
    </row>
    <row r="137">
      <c r="A137" s="107"/>
      <c r="B137" s="103" t="str">
        <f>IFERROR( VLOOKUP($A137,'INVOICE DETAILS.'!$F$3:$G$1994,2,0)," ")</f>
        <v> </v>
      </c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8"/>
      <c r="O137" s="109"/>
      <c r="P137" s="109"/>
      <c r="Q137" s="107"/>
      <c r="R137" s="107"/>
      <c r="S137" s="107"/>
      <c r="T137" s="107"/>
      <c r="U137" s="107"/>
      <c r="V137" s="107" t="str">
        <f t="shared" si="1"/>
        <v> </v>
      </c>
      <c r="W137" s="107"/>
      <c r="X137" s="23"/>
      <c r="Y137" s="23"/>
      <c r="Z137" s="23"/>
    </row>
    <row r="138">
      <c r="A138" s="107"/>
      <c r="B138" s="103" t="str">
        <f>IFERROR( VLOOKUP($A138,'INVOICE DETAILS.'!$F$3:$G$1994,2,0)," ")</f>
        <v> </v>
      </c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8"/>
      <c r="O138" s="109"/>
      <c r="P138" s="109"/>
      <c r="Q138" s="107"/>
      <c r="R138" s="107"/>
      <c r="S138" s="107"/>
      <c r="T138" s="107"/>
      <c r="U138" s="107"/>
      <c r="V138" s="107" t="str">
        <f t="shared" si="1"/>
        <v> </v>
      </c>
      <c r="W138" s="107"/>
      <c r="X138" s="23"/>
      <c r="Y138" s="23"/>
      <c r="Z138" s="23"/>
    </row>
    <row r="139">
      <c r="A139" s="107"/>
      <c r="B139" s="103" t="str">
        <f>IFERROR( VLOOKUP($A139,'INVOICE DETAILS.'!$F$3:$G$1994,2,0)," ")</f>
        <v> </v>
      </c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8"/>
      <c r="O139" s="109"/>
      <c r="P139" s="109"/>
      <c r="Q139" s="107"/>
      <c r="R139" s="107"/>
      <c r="S139" s="107"/>
      <c r="T139" s="107"/>
      <c r="U139" s="107"/>
      <c r="V139" s="107" t="str">
        <f t="shared" si="1"/>
        <v> </v>
      </c>
      <c r="W139" s="107"/>
      <c r="X139" s="23"/>
      <c r="Y139" s="23"/>
      <c r="Z139" s="23"/>
    </row>
    <row r="140">
      <c r="A140" s="107"/>
      <c r="B140" s="103" t="str">
        <f>IFERROR( VLOOKUP($A140,'INVOICE DETAILS.'!$F$3:$G$1994,2,0)," ")</f>
        <v> </v>
      </c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8"/>
      <c r="O140" s="109"/>
      <c r="P140" s="109"/>
      <c r="Q140" s="107"/>
      <c r="R140" s="107"/>
      <c r="S140" s="107"/>
      <c r="T140" s="107"/>
      <c r="U140" s="107"/>
      <c r="V140" s="107" t="str">
        <f t="shared" si="1"/>
        <v> </v>
      </c>
      <c r="W140" s="107"/>
      <c r="X140" s="23"/>
      <c r="Y140" s="23"/>
      <c r="Z140" s="23"/>
    </row>
    <row r="141">
      <c r="A141" s="107"/>
      <c r="B141" s="103" t="str">
        <f>IFERROR( VLOOKUP($A141,'INVOICE DETAILS.'!$F$3:$G$1994,2,0)," ")</f>
        <v> </v>
      </c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8"/>
      <c r="O141" s="109"/>
      <c r="P141" s="109"/>
      <c r="Q141" s="107"/>
      <c r="R141" s="107"/>
      <c r="S141" s="107"/>
      <c r="T141" s="107"/>
      <c r="U141" s="107"/>
      <c r="V141" s="107" t="str">
        <f t="shared" si="1"/>
        <v> </v>
      </c>
      <c r="W141" s="107"/>
      <c r="X141" s="23"/>
      <c r="Y141" s="23"/>
      <c r="Z141" s="23"/>
    </row>
    <row r="142">
      <c r="A142" s="107"/>
      <c r="B142" s="103" t="str">
        <f>IFERROR( VLOOKUP($A142,'INVOICE DETAILS.'!$F$3:$G$1994,2,0)," ")</f>
        <v> </v>
      </c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8"/>
      <c r="O142" s="109"/>
      <c r="P142" s="109"/>
      <c r="Q142" s="107"/>
      <c r="R142" s="107"/>
      <c r="S142" s="107"/>
      <c r="T142" s="107"/>
      <c r="U142" s="107"/>
      <c r="V142" s="107" t="str">
        <f t="shared" si="1"/>
        <v> </v>
      </c>
      <c r="W142" s="107"/>
      <c r="X142" s="23"/>
      <c r="Y142" s="23"/>
      <c r="Z142" s="23"/>
    </row>
    <row r="143">
      <c r="A143" s="107"/>
      <c r="B143" s="103" t="str">
        <f>IFERROR( VLOOKUP($A143,'INVOICE DETAILS.'!$F$3:$G$1994,2,0)," ")</f>
        <v> </v>
      </c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8"/>
      <c r="O143" s="109"/>
      <c r="P143" s="109"/>
      <c r="Q143" s="107"/>
      <c r="R143" s="107"/>
      <c r="S143" s="107"/>
      <c r="T143" s="107"/>
      <c r="U143" s="107"/>
      <c r="V143" s="107" t="str">
        <f t="shared" si="1"/>
        <v> </v>
      </c>
      <c r="W143" s="107"/>
      <c r="X143" s="23"/>
      <c r="Y143" s="23"/>
      <c r="Z143" s="23"/>
    </row>
    <row r="144">
      <c r="A144" s="107"/>
      <c r="B144" s="103" t="str">
        <f>IFERROR( VLOOKUP($A144,'INVOICE DETAILS.'!$F$3:$G$1994,2,0)," ")</f>
        <v> </v>
      </c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8"/>
      <c r="O144" s="109"/>
      <c r="P144" s="109"/>
      <c r="Q144" s="107"/>
      <c r="R144" s="107"/>
      <c r="S144" s="107"/>
      <c r="T144" s="107"/>
      <c r="U144" s="107"/>
      <c r="V144" s="107" t="str">
        <f t="shared" si="1"/>
        <v> </v>
      </c>
      <c r="W144" s="107"/>
      <c r="X144" s="23"/>
      <c r="Y144" s="23"/>
      <c r="Z144" s="23"/>
    </row>
    <row r="145">
      <c r="A145" s="107"/>
      <c r="B145" s="103" t="str">
        <f>IFERROR( VLOOKUP($A145,'INVOICE DETAILS.'!$F$3:$G$1994,2,0)," ")</f>
        <v> </v>
      </c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8"/>
      <c r="O145" s="109"/>
      <c r="P145" s="109"/>
      <c r="Q145" s="107"/>
      <c r="R145" s="107"/>
      <c r="S145" s="107"/>
      <c r="T145" s="107"/>
      <c r="U145" s="107"/>
      <c r="V145" s="107" t="str">
        <f t="shared" si="1"/>
        <v> </v>
      </c>
      <c r="W145" s="107"/>
      <c r="X145" s="23"/>
      <c r="Y145" s="23"/>
      <c r="Z145" s="23"/>
    </row>
    <row r="146">
      <c r="A146" s="107"/>
      <c r="B146" s="103" t="str">
        <f>IFERROR( VLOOKUP($A146,'INVOICE DETAILS.'!$F$3:$G$1994,2,0)," ")</f>
        <v> </v>
      </c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8"/>
      <c r="O146" s="109"/>
      <c r="P146" s="109"/>
      <c r="Q146" s="107"/>
      <c r="R146" s="107"/>
      <c r="S146" s="107"/>
      <c r="T146" s="107"/>
      <c r="U146" s="107"/>
      <c r="V146" s="107" t="str">
        <f t="shared" si="1"/>
        <v> </v>
      </c>
      <c r="W146" s="107"/>
      <c r="X146" s="23"/>
      <c r="Y146" s="23"/>
      <c r="Z146" s="23"/>
    </row>
    <row r="147">
      <c r="A147" s="107"/>
      <c r="B147" s="103" t="str">
        <f>IFERROR( VLOOKUP($A147,'INVOICE DETAILS.'!$F$3:$G$1994,2,0)," ")</f>
        <v> </v>
      </c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8"/>
      <c r="O147" s="109"/>
      <c r="P147" s="109"/>
      <c r="Q147" s="107"/>
      <c r="R147" s="107"/>
      <c r="S147" s="107"/>
      <c r="T147" s="107"/>
      <c r="U147" s="107"/>
      <c r="V147" s="107" t="str">
        <f t="shared" si="1"/>
        <v> </v>
      </c>
      <c r="W147" s="107"/>
      <c r="X147" s="23"/>
      <c r="Y147" s="23"/>
      <c r="Z147" s="23"/>
    </row>
    <row r="148">
      <c r="A148" s="107"/>
      <c r="B148" s="103" t="str">
        <f>IFERROR( VLOOKUP($A148,'INVOICE DETAILS.'!$F$3:$G$1994,2,0)," ")</f>
        <v> </v>
      </c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8"/>
      <c r="O148" s="109"/>
      <c r="P148" s="109"/>
      <c r="Q148" s="107"/>
      <c r="R148" s="107"/>
      <c r="S148" s="107"/>
      <c r="T148" s="107"/>
      <c r="U148" s="107"/>
      <c r="V148" s="107" t="str">
        <f t="shared" si="1"/>
        <v> </v>
      </c>
      <c r="W148" s="107"/>
      <c r="X148" s="23"/>
      <c r="Y148" s="23"/>
      <c r="Z148" s="23"/>
    </row>
    <row r="149">
      <c r="A149" s="107"/>
      <c r="B149" s="103" t="str">
        <f>IFERROR( VLOOKUP($A149,'INVOICE DETAILS.'!$F$3:$G$1994,2,0)," ")</f>
        <v> </v>
      </c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8"/>
      <c r="O149" s="109"/>
      <c r="P149" s="109"/>
      <c r="Q149" s="107"/>
      <c r="R149" s="107"/>
      <c r="S149" s="107"/>
      <c r="T149" s="107"/>
      <c r="U149" s="107"/>
      <c r="V149" s="107" t="str">
        <f t="shared" si="1"/>
        <v> </v>
      </c>
      <c r="W149" s="107"/>
      <c r="X149" s="23"/>
      <c r="Y149" s="23"/>
      <c r="Z149" s="23"/>
    </row>
    <row r="150">
      <c r="A150" s="107"/>
      <c r="B150" s="103" t="str">
        <f>IFERROR( VLOOKUP($A150,'INVOICE DETAILS.'!$F$3:$G$1994,2,0)," ")</f>
        <v> </v>
      </c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8"/>
      <c r="O150" s="109"/>
      <c r="P150" s="109"/>
      <c r="Q150" s="107"/>
      <c r="R150" s="107"/>
      <c r="S150" s="107"/>
      <c r="T150" s="107"/>
      <c r="U150" s="107"/>
      <c r="V150" s="107" t="str">
        <f t="shared" si="1"/>
        <v> </v>
      </c>
      <c r="W150" s="107"/>
      <c r="X150" s="23"/>
      <c r="Y150" s="23"/>
      <c r="Z150" s="23"/>
    </row>
    <row r="151">
      <c r="A151" s="107"/>
      <c r="B151" s="103" t="str">
        <f>IFERROR( VLOOKUP($A151,'INVOICE DETAILS.'!$F$3:$G$1994,2,0)," ")</f>
        <v> </v>
      </c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8"/>
      <c r="O151" s="109"/>
      <c r="P151" s="109"/>
      <c r="Q151" s="107"/>
      <c r="R151" s="107"/>
      <c r="S151" s="107"/>
      <c r="T151" s="107"/>
      <c r="U151" s="107"/>
      <c r="V151" s="107" t="str">
        <f t="shared" si="1"/>
        <v> </v>
      </c>
      <c r="W151" s="107"/>
      <c r="X151" s="23"/>
      <c r="Y151" s="23"/>
      <c r="Z151" s="23"/>
    </row>
    <row r="152">
      <c r="A152" s="107"/>
      <c r="B152" s="103" t="str">
        <f>IFERROR( VLOOKUP($A152,'INVOICE DETAILS.'!$F$3:$G$1994,2,0)," ")</f>
        <v> 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8"/>
      <c r="O152" s="109"/>
      <c r="P152" s="109"/>
      <c r="Q152" s="107"/>
      <c r="R152" s="107"/>
      <c r="S152" s="107"/>
      <c r="T152" s="107"/>
      <c r="U152" s="107"/>
      <c r="V152" s="107" t="str">
        <f t="shared" si="1"/>
        <v> </v>
      </c>
      <c r="W152" s="107"/>
      <c r="X152" s="23"/>
      <c r="Y152" s="23"/>
      <c r="Z152" s="23"/>
    </row>
    <row r="153">
      <c r="A153" s="107"/>
      <c r="B153" s="103" t="str">
        <f>IFERROR( VLOOKUP($A153,'INVOICE DETAILS.'!$F$3:$G$1994,2,0)," ")</f>
        <v> </v>
      </c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8"/>
      <c r="O153" s="109"/>
      <c r="P153" s="109"/>
      <c r="Q153" s="107"/>
      <c r="R153" s="107"/>
      <c r="S153" s="107"/>
      <c r="T153" s="107"/>
      <c r="U153" s="107"/>
      <c r="V153" s="107" t="str">
        <f t="shared" si="1"/>
        <v> </v>
      </c>
      <c r="W153" s="107"/>
      <c r="X153" s="23"/>
      <c r="Y153" s="23"/>
      <c r="Z153" s="23"/>
    </row>
    <row r="154">
      <c r="A154" s="107"/>
      <c r="B154" s="103" t="str">
        <f>IFERROR( VLOOKUP($A154,'INVOICE DETAILS.'!$F$3:$G$1994,2,0)," ")</f>
        <v> </v>
      </c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8"/>
      <c r="O154" s="109"/>
      <c r="P154" s="109"/>
      <c r="Q154" s="107"/>
      <c r="R154" s="107"/>
      <c r="S154" s="107"/>
      <c r="T154" s="107"/>
      <c r="U154" s="107"/>
      <c r="V154" s="107" t="str">
        <f t="shared" si="1"/>
        <v> </v>
      </c>
      <c r="W154" s="107"/>
      <c r="X154" s="23"/>
      <c r="Y154" s="23"/>
      <c r="Z154" s="23"/>
    </row>
    <row r="155">
      <c r="A155" s="107"/>
      <c r="B155" s="103" t="str">
        <f>IFERROR( VLOOKUP($A155,'INVOICE DETAILS.'!$F$3:$G$1994,2,0)," ")</f>
        <v> </v>
      </c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8"/>
      <c r="O155" s="109"/>
      <c r="P155" s="109"/>
      <c r="Q155" s="107"/>
      <c r="R155" s="107"/>
      <c r="S155" s="107"/>
      <c r="T155" s="107"/>
      <c r="U155" s="107"/>
      <c r="V155" s="107" t="str">
        <f t="shared" si="1"/>
        <v> </v>
      </c>
      <c r="W155" s="107"/>
      <c r="X155" s="23"/>
      <c r="Y155" s="23"/>
      <c r="Z155" s="23"/>
    </row>
    <row r="156">
      <c r="A156" s="107"/>
      <c r="B156" s="103" t="str">
        <f>IFERROR( VLOOKUP($A156,'INVOICE DETAILS.'!$F$3:$G$1994,2,0)," ")</f>
        <v> 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8"/>
      <c r="O156" s="109"/>
      <c r="P156" s="109"/>
      <c r="Q156" s="107"/>
      <c r="R156" s="107"/>
      <c r="S156" s="107"/>
      <c r="T156" s="107"/>
      <c r="U156" s="107"/>
      <c r="V156" s="107" t="str">
        <f t="shared" si="1"/>
        <v> </v>
      </c>
      <c r="W156" s="107"/>
      <c r="X156" s="23"/>
      <c r="Y156" s="23"/>
      <c r="Z156" s="23"/>
    </row>
    <row r="157">
      <c r="A157" s="107"/>
      <c r="B157" s="103" t="str">
        <f>IFERROR( VLOOKUP($A157,'INVOICE DETAILS.'!$F$3:$G$1994,2,0)," ")</f>
        <v> 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8"/>
      <c r="O157" s="109"/>
      <c r="P157" s="109"/>
      <c r="Q157" s="107"/>
      <c r="R157" s="107"/>
      <c r="S157" s="107"/>
      <c r="T157" s="107"/>
      <c r="U157" s="107"/>
      <c r="V157" s="107" t="str">
        <f t="shared" si="1"/>
        <v> </v>
      </c>
      <c r="W157" s="107"/>
      <c r="X157" s="23"/>
      <c r="Y157" s="23"/>
      <c r="Z157" s="23"/>
    </row>
    <row r="158">
      <c r="A158" s="107"/>
      <c r="B158" s="103" t="str">
        <f>IFERROR( VLOOKUP($A158,'INVOICE DETAILS.'!$F$3:$G$1994,2,0)," ")</f>
        <v> </v>
      </c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8"/>
      <c r="O158" s="109"/>
      <c r="P158" s="109"/>
      <c r="Q158" s="107"/>
      <c r="R158" s="107"/>
      <c r="S158" s="107"/>
      <c r="T158" s="107"/>
      <c r="U158" s="107"/>
      <c r="V158" s="107" t="str">
        <f t="shared" si="1"/>
        <v> </v>
      </c>
      <c r="W158" s="107"/>
      <c r="X158" s="23"/>
      <c r="Y158" s="23"/>
      <c r="Z158" s="23"/>
    </row>
    <row r="159">
      <c r="A159" s="107"/>
      <c r="B159" s="103" t="str">
        <f>IFERROR( VLOOKUP($A159,'INVOICE DETAILS.'!$F$3:$G$1994,2,0)," ")</f>
        <v> </v>
      </c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8"/>
      <c r="O159" s="109"/>
      <c r="P159" s="109"/>
      <c r="Q159" s="107"/>
      <c r="R159" s="107"/>
      <c r="S159" s="107"/>
      <c r="T159" s="107"/>
      <c r="U159" s="107"/>
      <c r="V159" s="107" t="str">
        <f t="shared" si="1"/>
        <v> </v>
      </c>
      <c r="W159" s="107"/>
      <c r="X159" s="23"/>
      <c r="Y159" s="23"/>
      <c r="Z159" s="23"/>
    </row>
    <row r="160">
      <c r="A160" s="107"/>
      <c r="B160" s="103" t="str">
        <f>IFERROR( VLOOKUP($A160,'INVOICE DETAILS.'!$F$3:$G$1994,2,0)," ")</f>
        <v> </v>
      </c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8"/>
      <c r="O160" s="109"/>
      <c r="P160" s="109"/>
      <c r="Q160" s="107"/>
      <c r="R160" s="107"/>
      <c r="S160" s="107"/>
      <c r="T160" s="107"/>
      <c r="U160" s="107"/>
      <c r="V160" s="107" t="str">
        <f t="shared" si="1"/>
        <v> </v>
      </c>
      <c r="W160" s="107"/>
      <c r="X160" s="23"/>
      <c r="Y160" s="23"/>
      <c r="Z160" s="23"/>
    </row>
    <row r="161">
      <c r="A161" s="107"/>
      <c r="B161" s="103" t="str">
        <f>IFERROR( VLOOKUP($A161,'INVOICE DETAILS.'!$F$3:$G$1994,2,0)," ")</f>
        <v> </v>
      </c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8"/>
      <c r="O161" s="109"/>
      <c r="P161" s="109"/>
      <c r="Q161" s="107"/>
      <c r="R161" s="107"/>
      <c r="S161" s="107"/>
      <c r="T161" s="107"/>
      <c r="U161" s="107"/>
      <c r="V161" s="107" t="str">
        <f t="shared" si="1"/>
        <v> </v>
      </c>
      <c r="W161" s="107"/>
      <c r="X161" s="23"/>
      <c r="Y161" s="23"/>
      <c r="Z161" s="23"/>
    </row>
    <row r="162">
      <c r="A162" s="107"/>
      <c r="B162" s="103" t="str">
        <f>IFERROR( VLOOKUP($A162,'INVOICE DETAILS.'!$F$3:$G$1994,2,0)," ")</f>
        <v> </v>
      </c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8"/>
      <c r="O162" s="109"/>
      <c r="P162" s="109"/>
      <c r="Q162" s="107"/>
      <c r="R162" s="107"/>
      <c r="S162" s="107"/>
      <c r="T162" s="107"/>
      <c r="U162" s="107"/>
      <c r="V162" s="107" t="str">
        <f t="shared" si="1"/>
        <v> </v>
      </c>
      <c r="W162" s="107"/>
      <c r="X162" s="23"/>
      <c r="Y162" s="23"/>
      <c r="Z162" s="23"/>
    </row>
    <row r="163">
      <c r="A163" s="107"/>
      <c r="B163" s="103" t="str">
        <f>IFERROR( VLOOKUP($A163,'INVOICE DETAILS.'!$F$3:$G$1994,2,0)," ")</f>
        <v> </v>
      </c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8"/>
      <c r="O163" s="109"/>
      <c r="P163" s="109"/>
      <c r="Q163" s="107"/>
      <c r="R163" s="107"/>
      <c r="S163" s="107"/>
      <c r="T163" s="107"/>
      <c r="U163" s="107"/>
      <c r="V163" s="107" t="str">
        <f t="shared" si="1"/>
        <v> </v>
      </c>
      <c r="W163" s="107"/>
      <c r="X163" s="23"/>
      <c r="Y163" s="23"/>
      <c r="Z163" s="23"/>
    </row>
    <row r="164">
      <c r="A164" s="107"/>
      <c r="B164" s="103" t="str">
        <f>IFERROR( VLOOKUP($A164,'INVOICE DETAILS.'!$F$3:$G$1994,2,0)," ")</f>
        <v> </v>
      </c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8"/>
      <c r="O164" s="109"/>
      <c r="P164" s="109"/>
      <c r="Q164" s="107"/>
      <c r="R164" s="107"/>
      <c r="S164" s="107"/>
      <c r="T164" s="107"/>
      <c r="U164" s="107"/>
      <c r="V164" s="107" t="str">
        <f t="shared" si="1"/>
        <v> </v>
      </c>
      <c r="W164" s="107"/>
      <c r="X164" s="23"/>
      <c r="Y164" s="23"/>
      <c r="Z164" s="23"/>
    </row>
    <row r="165">
      <c r="A165" s="107"/>
      <c r="B165" s="103" t="str">
        <f>IFERROR( VLOOKUP($A165,'INVOICE DETAILS.'!$F$3:$G$1994,2,0)," ")</f>
        <v> </v>
      </c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8"/>
      <c r="O165" s="109"/>
      <c r="P165" s="109"/>
      <c r="Q165" s="107"/>
      <c r="R165" s="107"/>
      <c r="S165" s="107"/>
      <c r="T165" s="107"/>
      <c r="U165" s="107"/>
      <c r="V165" s="107" t="str">
        <f t="shared" si="1"/>
        <v> </v>
      </c>
      <c r="W165" s="107"/>
      <c r="X165" s="23"/>
      <c r="Y165" s="23"/>
      <c r="Z165" s="23"/>
    </row>
    <row r="166">
      <c r="A166" s="107"/>
      <c r="B166" s="103" t="str">
        <f>IFERROR( VLOOKUP($A166,'INVOICE DETAILS.'!$F$3:$G$1994,2,0)," ")</f>
        <v> </v>
      </c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8"/>
      <c r="O166" s="109"/>
      <c r="P166" s="109"/>
      <c r="Q166" s="107"/>
      <c r="R166" s="107"/>
      <c r="S166" s="107"/>
      <c r="T166" s="107"/>
      <c r="U166" s="107"/>
      <c r="V166" s="107" t="str">
        <f t="shared" si="1"/>
        <v> </v>
      </c>
      <c r="W166" s="107"/>
      <c r="X166" s="23"/>
      <c r="Y166" s="23"/>
      <c r="Z166" s="23"/>
    </row>
    <row r="167">
      <c r="A167" s="107"/>
      <c r="B167" s="103" t="str">
        <f>IFERROR( VLOOKUP($A167,'INVOICE DETAILS.'!$F$3:$G$1994,2,0)," ")</f>
        <v> </v>
      </c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8"/>
      <c r="O167" s="109"/>
      <c r="P167" s="109"/>
      <c r="Q167" s="107"/>
      <c r="R167" s="107"/>
      <c r="S167" s="107"/>
      <c r="T167" s="107"/>
      <c r="U167" s="107"/>
      <c r="V167" s="107" t="str">
        <f t="shared" si="1"/>
        <v> </v>
      </c>
      <c r="W167" s="107"/>
      <c r="X167" s="23"/>
      <c r="Y167" s="23"/>
      <c r="Z167" s="23"/>
    </row>
    <row r="168">
      <c r="A168" s="107"/>
      <c r="B168" s="103" t="str">
        <f>IFERROR( VLOOKUP($A168,'INVOICE DETAILS.'!$F$3:$G$1994,2,0)," ")</f>
        <v> </v>
      </c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8"/>
      <c r="O168" s="109"/>
      <c r="P168" s="109"/>
      <c r="Q168" s="107"/>
      <c r="R168" s="107"/>
      <c r="S168" s="107"/>
      <c r="T168" s="107"/>
      <c r="U168" s="107"/>
      <c r="V168" s="107" t="str">
        <f t="shared" si="1"/>
        <v> </v>
      </c>
      <c r="W168" s="107"/>
      <c r="X168" s="23"/>
      <c r="Y168" s="23"/>
      <c r="Z168" s="23"/>
    </row>
    <row r="169">
      <c r="A169" s="107"/>
      <c r="B169" s="103" t="str">
        <f>IFERROR( VLOOKUP($A169,'INVOICE DETAILS.'!$F$3:$G$1994,2,0)," ")</f>
        <v> </v>
      </c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8"/>
      <c r="O169" s="109"/>
      <c r="P169" s="109"/>
      <c r="Q169" s="107"/>
      <c r="R169" s="107"/>
      <c r="S169" s="107"/>
      <c r="T169" s="107"/>
      <c r="U169" s="107"/>
      <c r="V169" s="107" t="str">
        <f t="shared" si="1"/>
        <v> </v>
      </c>
      <c r="W169" s="107"/>
      <c r="X169" s="23"/>
      <c r="Y169" s="23"/>
      <c r="Z169" s="23"/>
    </row>
    <row r="170">
      <c r="A170" s="107"/>
      <c r="B170" s="103" t="str">
        <f>IFERROR( VLOOKUP($A170,'INVOICE DETAILS.'!$F$3:$G$1994,2,0)," ")</f>
        <v> </v>
      </c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8"/>
      <c r="O170" s="109"/>
      <c r="P170" s="109"/>
      <c r="Q170" s="107"/>
      <c r="R170" s="107"/>
      <c r="S170" s="107"/>
      <c r="T170" s="107"/>
      <c r="U170" s="107"/>
      <c r="V170" s="107" t="str">
        <f t="shared" si="1"/>
        <v> </v>
      </c>
      <c r="W170" s="107"/>
      <c r="X170" s="23"/>
      <c r="Y170" s="23"/>
      <c r="Z170" s="23"/>
    </row>
    <row r="171">
      <c r="A171" s="107"/>
      <c r="B171" s="103" t="str">
        <f>IFERROR( VLOOKUP($A171,'INVOICE DETAILS.'!$F$3:$G$1994,2,0)," ")</f>
        <v> </v>
      </c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8"/>
      <c r="O171" s="109"/>
      <c r="P171" s="109"/>
      <c r="Q171" s="107"/>
      <c r="R171" s="107"/>
      <c r="S171" s="107"/>
      <c r="T171" s="107"/>
      <c r="U171" s="107"/>
      <c r="V171" s="107" t="str">
        <f t="shared" si="1"/>
        <v> </v>
      </c>
      <c r="W171" s="107"/>
      <c r="X171" s="23"/>
      <c r="Y171" s="23"/>
      <c r="Z171" s="23"/>
    </row>
    <row r="172">
      <c r="A172" s="107"/>
      <c r="B172" s="103" t="str">
        <f>IFERROR( VLOOKUP($A172,'INVOICE DETAILS.'!$F$3:$G$1994,2,0)," ")</f>
        <v> </v>
      </c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8"/>
      <c r="O172" s="109"/>
      <c r="P172" s="109"/>
      <c r="Q172" s="107"/>
      <c r="R172" s="107"/>
      <c r="S172" s="107"/>
      <c r="T172" s="107"/>
      <c r="U172" s="107"/>
      <c r="V172" s="107" t="str">
        <f t="shared" si="1"/>
        <v> </v>
      </c>
      <c r="W172" s="107"/>
      <c r="X172" s="23"/>
      <c r="Y172" s="23"/>
      <c r="Z172" s="23"/>
    </row>
    <row r="173">
      <c r="A173" s="107"/>
      <c r="B173" s="103" t="str">
        <f>IFERROR( VLOOKUP($A173,'INVOICE DETAILS.'!$F$3:$G$1994,2,0)," ")</f>
        <v> </v>
      </c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8"/>
      <c r="O173" s="109"/>
      <c r="P173" s="109"/>
      <c r="Q173" s="107"/>
      <c r="R173" s="107"/>
      <c r="S173" s="107"/>
      <c r="T173" s="107"/>
      <c r="U173" s="107"/>
      <c r="V173" s="107" t="str">
        <f t="shared" si="1"/>
        <v> </v>
      </c>
      <c r="W173" s="107"/>
      <c r="X173" s="23"/>
      <c r="Y173" s="23"/>
      <c r="Z173" s="23"/>
    </row>
    <row r="174">
      <c r="A174" s="107"/>
      <c r="B174" s="103" t="str">
        <f>IFERROR( VLOOKUP($A174,'INVOICE DETAILS.'!$F$3:$G$1994,2,0)," ")</f>
        <v> </v>
      </c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8"/>
      <c r="O174" s="109"/>
      <c r="P174" s="109"/>
      <c r="Q174" s="107"/>
      <c r="R174" s="107"/>
      <c r="S174" s="107"/>
      <c r="T174" s="107"/>
      <c r="U174" s="107"/>
      <c r="V174" s="107" t="str">
        <f t="shared" si="1"/>
        <v> </v>
      </c>
      <c r="W174" s="107"/>
      <c r="X174" s="23"/>
      <c r="Y174" s="23"/>
      <c r="Z174" s="23"/>
    </row>
    <row r="175">
      <c r="A175" s="107"/>
      <c r="B175" s="103" t="str">
        <f>IFERROR( VLOOKUP($A175,'INVOICE DETAILS.'!$F$3:$G$1994,2,0)," ")</f>
        <v> </v>
      </c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8"/>
      <c r="O175" s="109"/>
      <c r="P175" s="109"/>
      <c r="Q175" s="107"/>
      <c r="R175" s="107"/>
      <c r="S175" s="107"/>
      <c r="T175" s="107"/>
      <c r="U175" s="107"/>
      <c r="V175" s="107" t="str">
        <f t="shared" si="1"/>
        <v> </v>
      </c>
      <c r="W175" s="107"/>
      <c r="X175" s="23"/>
      <c r="Y175" s="23"/>
      <c r="Z175" s="23"/>
    </row>
    <row r="176">
      <c r="A176" s="107"/>
      <c r="B176" s="103" t="str">
        <f>IFERROR( VLOOKUP($A176,'INVOICE DETAILS.'!$F$3:$G$1994,2,0)," ")</f>
        <v> </v>
      </c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8"/>
      <c r="O176" s="109"/>
      <c r="P176" s="109"/>
      <c r="Q176" s="107"/>
      <c r="R176" s="107"/>
      <c r="S176" s="107"/>
      <c r="T176" s="107"/>
      <c r="U176" s="107"/>
      <c r="V176" s="107" t="str">
        <f t="shared" si="1"/>
        <v> </v>
      </c>
      <c r="W176" s="107"/>
      <c r="X176" s="23"/>
      <c r="Y176" s="23"/>
      <c r="Z176" s="23"/>
    </row>
    <row r="177">
      <c r="A177" s="107"/>
      <c r="B177" s="103" t="str">
        <f>IFERROR( VLOOKUP($A177,'INVOICE DETAILS.'!$F$3:$G$1994,2,0)," ")</f>
        <v> </v>
      </c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8"/>
      <c r="O177" s="109"/>
      <c r="P177" s="109"/>
      <c r="Q177" s="107"/>
      <c r="R177" s="107"/>
      <c r="S177" s="107"/>
      <c r="T177" s="107"/>
      <c r="U177" s="107"/>
      <c r="V177" s="107" t="str">
        <f t="shared" si="1"/>
        <v> </v>
      </c>
      <c r="W177" s="107"/>
      <c r="X177" s="23"/>
      <c r="Y177" s="23"/>
      <c r="Z177" s="23"/>
    </row>
    <row r="178">
      <c r="A178" s="107"/>
      <c r="B178" s="103" t="str">
        <f>IFERROR( VLOOKUP($A178,'INVOICE DETAILS.'!$F$3:$G$1994,2,0)," ")</f>
        <v> </v>
      </c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8"/>
      <c r="O178" s="109"/>
      <c r="P178" s="109"/>
      <c r="Q178" s="107"/>
      <c r="R178" s="107"/>
      <c r="S178" s="107"/>
      <c r="T178" s="107"/>
      <c r="U178" s="107"/>
      <c r="V178" s="107" t="str">
        <f t="shared" si="1"/>
        <v> </v>
      </c>
      <c r="W178" s="107"/>
      <c r="X178" s="23"/>
      <c r="Y178" s="23"/>
      <c r="Z178" s="23"/>
    </row>
    <row r="179">
      <c r="A179" s="107"/>
      <c r="B179" s="103" t="str">
        <f>IFERROR( VLOOKUP($A179,'INVOICE DETAILS.'!$F$3:$G$1994,2,0)," ")</f>
        <v> </v>
      </c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8"/>
      <c r="O179" s="109"/>
      <c r="P179" s="109"/>
      <c r="Q179" s="107"/>
      <c r="R179" s="107"/>
      <c r="S179" s="107"/>
      <c r="T179" s="107"/>
      <c r="U179" s="107"/>
      <c r="V179" s="107" t="str">
        <f t="shared" si="1"/>
        <v> </v>
      </c>
      <c r="W179" s="107"/>
      <c r="X179" s="23"/>
      <c r="Y179" s="23"/>
      <c r="Z179" s="23"/>
    </row>
    <row r="180">
      <c r="A180" s="107"/>
      <c r="B180" s="103" t="str">
        <f>IFERROR( VLOOKUP($A180,'INVOICE DETAILS.'!$F$3:$G$1994,2,0)," ")</f>
        <v> </v>
      </c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8"/>
      <c r="O180" s="109"/>
      <c r="P180" s="109"/>
      <c r="Q180" s="107"/>
      <c r="R180" s="107"/>
      <c r="S180" s="107"/>
      <c r="T180" s="107"/>
      <c r="U180" s="107"/>
      <c r="V180" s="107" t="str">
        <f t="shared" si="1"/>
        <v> </v>
      </c>
      <c r="W180" s="107"/>
      <c r="X180" s="23"/>
      <c r="Y180" s="23"/>
      <c r="Z180" s="23"/>
    </row>
    <row r="181">
      <c r="A181" s="107"/>
      <c r="B181" s="103" t="str">
        <f>IFERROR( VLOOKUP($A181,'INVOICE DETAILS.'!$F$3:$G$1994,2,0)," ")</f>
        <v> </v>
      </c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8"/>
      <c r="O181" s="109"/>
      <c r="P181" s="109"/>
      <c r="Q181" s="107"/>
      <c r="R181" s="107"/>
      <c r="S181" s="107"/>
      <c r="T181" s="107"/>
      <c r="U181" s="107"/>
      <c r="V181" s="107" t="str">
        <f t="shared" si="1"/>
        <v> </v>
      </c>
      <c r="W181" s="107"/>
      <c r="X181" s="23"/>
      <c r="Y181" s="23"/>
      <c r="Z181" s="23"/>
    </row>
    <row r="182">
      <c r="A182" s="107"/>
      <c r="B182" s="103" t="str">
        <f>IFERROR( VLOOKUP($A182,'INVOICE DETAILS.'!$F$3:$G$1994,2,0)," ")</f>
        <v> </v>
      </c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8"/>
      <c r="O182" s="109"/>
      <c r="P182" s="109"/>
      <c r="Q182" s="107"/>
      <c r="R182" s="107"/>
      <c r="S182" s="107"/>
      <c r="T182" s="107"/>
      <c r="U182" s="107"/>
      <c r="V182" s="107" t="str">
        <f t="shared" si="1"/>
        <v> </v>
      </c>
      <c r="W182" s="107"/>
      <c r="X182" s="23"/>
      <c r="Y182" s="23"/>
      <c r="Z182" s="23"/>
    </row>
    <row r="183">
      <c r="A183" s="107"/>
      <c r="B183" s="103" t="str">
        <f>IFERROR( VLOOKUP($A183,'INVOICE DETAILS.'!$F$3:$G$1994,2,0)," ")</f>
        <v> </v>
      </c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8"/>
      <c r="O183" s="109"/>
      <c r="P183" s="109"/>
      <c r="Q183" s="107"/>
      <c r="R183" s="107"/>
      <c r="S183" s="107"/>
      <c r="T183" s="107"/>
      <c r="U183" s="107"/>
      <c r="V183" s="107" t="str">
        <f t="shared" si="1"/>
        <v> </v>
      </c>
      <c r="W183" s="107"/>
      <c r="X183" s="23"/>
      <c r="Y183" s="23"/>
      <c r="Z183" s="23"/>
    </row>
    <row r="184">
      <c r="A184" s="107"/>
      <c r="B184" s="103" t="str">
        <f>IFERROR( VLOOKUP($A184,'INVOICE DETAILS.'!$F$3:$G$1994,2,0)," ")</f>
        <v> </v>
      </c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8"/>
      <c r="O184" s="109"/>
      <c r="P184" s="109"/>
      <c r="Q184" s="107"/>
      <c r="R184" s="107"/>
      <c r="S184" s="107"/>
      <c r="T184" s="107"/>
      <c r="U184" s="107"/>
      <c r="V184" s="107" t="str">
        <f t="shared" si="1"/>
        <v> </v>
      </c>
      <c r="W184" s="107"/>
      <c r="X184" s="23"/>
      <c r="Y184" s="23"/>
      <c r="Z184" s="23"/>
    </row>
    <row r="185">
      <c r="A185" s="107"/>
      <c r="B185" s="103" t="str">
        <f>IFERROR( VLOOKUP($A185,'INVOICE DETAILS.'!$F$3:$G$1994,2,0)," ")</f>
        <v> </v>
      </c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8"/>
      <c r="O185" s="109"/>
      <c r="P185" s="109"/>
      <c r="Q185" s="107"/>
      <c r="R185" s="107"/>
      <c r="S185" s="107"/>
      <c r="T185" s="107"/>
      <c r="U185" s="107"/>
      <c r="V185" s="107" t="str">
        <f t="shared" si="1"/>
        <v> </v>
      </c>
      <c r="W185" s="107"/>
      <c r="X185" s="23"/>
      <c r="Y185" s="23"/>
      <c r="Z185" s="23"/>
    </row>
    <row r="186">
      <c r="A186" s="107"/>
      <c r="B186" s="103" t="str">
        <f>IFERROR( VLOOKUP($A186,'INVOICE DETAILS.'!$F$3:$G$1994,2,0)," ")</f>
        <v> </v>
      </c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8"/>
      <c r="O186" s="109"/>
      <c r="P186" s="109"/>
      <c r="Q186" s="107"/>
      <c r="R186" s="107"/>
      <c r="S186" s="107"/>
      <c r="T186" s="107"/>
      <c r="U186" s="107"/>
      <c r="V186" s="107" t="str">
        <f t="shared" si="1"/>
        <v> </v>
      </c>
      <c r="W186" s="107"/>
      <c r="X186" s="23"/>
      <c r="Y186" s="23"/>
      <c r="Z186" s="23"/>
    </row>
    <row r="187">
      <c r="A187" s="107"/>
      <c r="B187" s="103" t="str">
        <f>IFERROR( VLOOKUP($A187,'INVOICE DETAILS.'!$F$3:$G$1994,2,0)," ")</f>
        <v> </v>
      </c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8"/>
      <c r="O187" s="109"/>
      <c r="P187" s="109"/>
      <c r="Q187" s="107"/>
      <c r="R187" s="107"/>
      <c r="S187" s="107"/>
      <c r="T187" s="107"/>
      <c r="U187" s="107"/>
      <c r="V187" s="107" t="str">
        <f t="shared" si="1"/>
        <v> </v>
      </c>
      <c r="W187" s="107"/>
      <c r="X187" s="23"/>
      <c r="Y187" s="23"/>
      <c r="Z187" s="23"/>
    </row>
    <row r="188">
      <c r="A188" s="107"/>
      <c r="B188" s="103" t="str">
        <f>IFERROR( VLOOKUP($A188,'INVOICE DETAILS.'!$F$3:$G$1994,2,0)," ")</f>
        <v> </v>
      </c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8"/>
      <c r="O188" s="109"/>
      <c r="P188" s="109"/>
      <c r="Q188" s="107"/>
      <c r="R188" s="107"/>
      <c r="S188" s="107"/>
      <c r="T188" s="107"/>
      <c r="U188" s="107"/>
      <c r="V188" s="107" t="str">
        <f t="shared" si="1"/>
        <v> </v>
      </c>
      <c r="W188" s="107"/>
      <c r="X188" s="23"/>
      <c r="Y188" s="23"/>
      <c r="Z188" s="23"/>
    </row>
    <row r="189">
      <c r="A189" s="107"/>
      <c r="B189" s="103" t="str">
        <f>IFERROR( VLOOKUP($A189,'INVOICE DETAILS.'!$F$3:$G$1994,2,0)," ")</f>
        <v> </v>
      </c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8"/>
      <c r="O189" s="109"/>
      <c r="P189" s="109"/>
      <c r="Q189" s="107"/>
      <c r="R189" s="107"/>
      <c r="S189" s="107"/>
      <c r="T189" s="107"/>
      <c r="U189" s="107"/>
      <c r="V189" s="107" t="str">
        <f t="shared" si="1"/>
        <v> </v>
      </c>
      <c r="W189" s="107"/>
      <c r="X189" s="23"/>
      <c r="Y189" s="23"/>
      <c r="Z189" s="23"/>
    </row>
    <row r="190">
      <c r="A190" s="107"/>
      <c r="B190" s="103" t="str">
        <f>IFERROR( VLOOKUP($A190,'INVOICE DETAILS.'!$F$3:$G$1994,2,0)," ")</f>
        <v> </v>
      </c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8"/>
      <c r="O190" s="109"/>
      <c r="P190" s="109"/>
      <c r="Q190" s="107"/>
      <c r="R190" s="107"/>
      <c r="S190" s="107"/>
      <c r="T190" s="107"/>
      <c r="U190" s="107"/>
      <c r="V190" s="107" t="str">
        <f t="shared" si="1"/>
        <v> </v>
      </c>
      <c r="W190" s="107"/>
      <c r="X190" s="23"/>
      <c r="Y190" s="23"/>
      <c r="Z190" s="23"/>
    </row>
    <row r="191">
      <c r="A191" s="107"/>
      <c r="B191" s="103" t="str">
        <f>IFERROR( VLOOKUP($A191,'INVOICE DETAILS.'!$F$3:$G$1994,2,0)," ")</f>
        <v> </v>
      </c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8"/>
      <c r="O191" s="109"/>
      <c r="P191" s="109"/>
      <c r="Q191" s="107"/>
      <c r="R191" s="107"/>
      <c r="S191" s="107"/>
      <c r="T191" s="107"/>
      <c r="U191" s="107"/>
      <c r="V191" s="107" t="str">
        <f t="shared" si="1"/>
        <v> </v>
      </c>
      <c r="W191" s="107"/>
      <c r="X191" s="23"/>
      <c r="Y191" s="23"/>
      <c r="Z191" s="23"/>
    </row>
    <row r="192">
      <c r="A192" s="107"/>
      <c r="B192" s="103" t="str">
        <f>IFERROR( VLOOKUP($A192,'INVOICE DETAILS.'!$F$3:$G$1994,2,0)," ")</f>
        <v> </v>
      </c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8"/>
      <c r="O192" s="109"/>
      <c r="P192" s="109"/>
      <c r="Q192" s="107"/>
      <c r="R192" s="107"/>
      <c r="S192" s="107"/>
      <c r="T192" s="107"/>
      <c r="U192" s="107"/>
      <c r="V192" s="107" t="str">
        <f t="shared" si="1"/>
        <v> </v>
      </c>
      <c r="W192" s="107"/>
      <c r="X192" s="23"/>
      <c r="Y192" s="23"/>
      <c r="Z192" s="23"/>
    </row>
    <row r="193">
      <c r="A193" s="107"/>
      <c r="B193" s="103" t="str">
        <f>IFERROR( VLOOKUP($A193,'INVOICE DETAILS.'!$F$3:$G$1994,2,0)," ")</f>
        <v> </v>
      </c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8"/>
      <c r="O193" s="109"/>
      <c r="P193" s="109"/>
      <c r="Q193" s="107"/>
      <c r="R193" s="107"/>
      <c r="S193" s="107"/>
      <c r="T193" s="107"/>
      <c r="U193" s="107"/>
      <c r="V193" s="107" t="str">
        <f t="shared" si="1"/>
        <v> </v>
      </c>
      <c r="W193" s="107"/>
      <c r="X193" s="23"/>
      <c r="Y193" s="23"/>
      <c r="Z193" s="23"/>
    </row>
    <row r="194">
      <c r="A194" s="107"/>
      <c r="B194" s="103" t="str">
        <f>IFERROR( VLOOKUP($A194,'INVOICE DETAILS.'!$F$3:$G$1994,2,0)," ")</f>
        <v> </v>
      </c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8"/>
      <c r="O194" s="109"/>
      <c r="P194" s="109"/>
      <c r="Q194" s="107"/>
      <c r="R194" s="107"/>
      <c r="S194" s="107"/>
      <c r="T194" s="107"/>
      <c r="U194" s="107"/>
      <c r="V194" s="107" t="str">
        <f t="shared" si="1"/>
        <v> </v>
      </c>
      <c r="W194" s="107"/>
      <c r="X194" s="23"/>
      <c r="Y194" s="23"/>
      <c r="Z194" s="23"/>
    </row>
    <row r="195">
      <c r="A195" s="107"/>
      <c r="B195" s="103" t="str">
        <f>IFERROR( VLOOKUP($A195,'INVOICE DETAILS.'!$F$3:$G$1994,2,0)," ")</f>
        <v> </v>
      </c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8"/>
      <c r="O195" s="109"/>
      <c r="P195" s="109"/>
      <c r="Q195" s="107"/>
      <c r="R195" s="107"/>
      <c r="S195" s="107"/>
      <c r="T195" s="107"/>
      <c r="U195" s="107"/>
      <c r="V195" s="107" t="str">
        <f t="shared" si="1"/>
        <v> </v>
      </c>
      <c r="W195" s="107"/>
      <c r="X195" s="23"/>
      <c r="Y195" s="23"/>
      <c r="Z195" s="23"/>
    </row>
    <row r="196">
      <c r="A196" s="107"/>
      <c r="B196" s="103" t="str">
        <f>IFERROR( VLOOKUP($A196,'INVOICE DETAILS.'!$F$3:$G$1994,2,0)," ")</f>
        <v> </v>
      </c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8"/>
      <c r="O196" s="109"/>
      <c r="P196" s="109"/>
      <c r="Q196" s="107"/>
      <c r="R196" s="107"/>
      <c r="S196" s="107"/>
      <c r="T196" s="107"/>
      <c r="U196" s="107"/>
      <c r="V196" s="107" t="str">
        <f t="shared" si="1"/>
        <v> </v>
      </c>
      <c r="W196" s="107"/>
      <c r="X196" s="23"/>
      <c r="Y196" s="23"/>
      <c r="Z196" s="23"/>
    </row>
    <row r="197">
      <c r="A197" s="107"/>
      <c r="B197" s="103" t="str">
        <f>IFERROR( VLOOKUP($A197,'INVOICE DETAILS.'!$F$3:$G$1994,2,0)," ")</f>
        <v> 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8"/>
      <c r="O197" s="109"/>
      <c r="P197" s="109"/>
      <c r="Q197" s="107"/>
      <c r="R197" s="107"/>
      <c r="S197" s="107"/>
      <c r="T197" s="107"/>
      <c r="U197" s="107"/>
      <c r="V197" s="107" t="str">
        <f t="shared" si="1"/>
        <v> </v>
      </c>
      <c r="W197" s="107"/>
      <c r="X197" s="23"/>
      <c r="Y197" s="23"/>
      <c r="Z197" s="23"/>
    </row>
    <row r="198">
      <c r="A198" s="107"/>
      <c r="B198" s="103" t="str">
        <f>IFERROR( VLOOKUP($A198,'INVOICE DETAILS.'!$F$3:$G$1994,2,0)," ")</f>
        <v> </v>
      </c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8"/>
      <c r="O198" s="109"/>
      <c r="P198" s="109"/>
      <c r="Q198" s="107"/>
      <c r="R198" s="107"/>
      <c r="S198" s="107"/>
      <c r="T198" s="107"/>
      <c r="U198" s="107"/>
      <c r="V198" s="107" t="str">
        <f t="shared" si="1"/>
        <v> </v>
      </c>
      <c r="W198" s="107"/>
      <c r="X198" s="23"/>
      <c r="Y198" s="23"/>
      <c r="Z198" s="23"/>
    </row>
    <row r="199">
      <c r="A199" s="107"/>
      <c r="B199" s="103" t="str">
        <f>IFERROR( VLOOKUP($A199,'INVOICE DETAILS.'!$F$3:$G$1994,2,0)," ")</f>
        <v> </v>
      </c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8"/>
      <c r="O199" s="109"/>
      <c r="P199" s="109"/>
      <c r="Q199" s="107"/>
      <c r="R199" s="107"/>
      <c r="S199" s="107"/>
      <c r="T199" s="107"/>
      <c r="U199" s="107"/>
      <c r="V199" s="107" t="str">
        <f t="shared" si="1"/>
        <v> </v>
      </c>
      <c r="W199" s="107"/>
      <c r="X199" s="23"/>
      <c r="Y199" s="23"/>
      <c r="Z199" s="23"/>
    </row>
    <row r="200">
      <c r="A200" s="107"/>
      <c r="B200" s="103" t="str">
        <f>IFERROR( VLOOKUP($A200,'INVOICE DETAILS.'!$F$3:$G$1994,2,0)," ")</f>
        <v> </v>
      </c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8"/>
      <c r="O200" s="109"/>
      <c r="P200" s="109"/>
      <c r="Q200" s="107"/>
      <c r="R200" s="107"/>
      <c r="S200" s="107"/>
      <c r="T200" s="107"/>
      <c r="U200" s="107"/>
      <c r="V200" s="107" t="str">
        <f t="shared" si="1"/>
        <v> </v>
      </c>
      <c r="W200" s="107"/>
      <c r="X200" s="23"/>
      <c r="Y200" s="23"/>
      <c r="Z200" s="23"/>
    </row>
    <row r="201">
      <c r="A201" s="107"/>
      <c r="B201" s="103" t="str">
        <f>IFERROR( VLOOKUP($A201,'INVOICE DETAILS.'!$F$3:$G$1994,2,0)," ")</f>
        <v> </v>
      </c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8"/>
      <c r="O201" s="109"/>
      <c r="P201" s="109"/>
      <c r="Q201" s="107"/>
      <c r="R201" s="107"/>
      <c r="S201" s="107"/>
      <c r="T201" s="107"/>
      <c r="U201" s="107"/>
      <c r="V201" s="107" t="str">
        <f t="shared" si="1"/>
        <v> </v>
      </c>
      <c r="W201" s="107"/>
      <c r="X201" s="23"/>
      <c r="Y201" s="23"/>
      <c r="Z201" s="23"/>
    </row>
    <row r="202">
      <c r="A202" s="107"/>
      <c r="B202" s="103" t="str">
        <f>IFERROR( VLOOKUP($A202,'INVOICE DETAILS.'!$F$3:$G$1994,2,0)," ")</f>
        <v> </v>
      </c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8"/>
      <c r="O202" s="109"/>
      <c r="P202" s="109"/>
      <c r="Q202" s="107"/>
      <c r="R202" s="107"/>
      <c r="S202" s="107"/>
      <c r="T202" s="107"/>
      <c r="U202" s="107"/>
      <c r="V202" s="107" t="str">
        <f t="shared" si="1"/>
        <v> </v>
      </c>
      <c r="W202" s="107"/>
      <c r="X202" s="23"/>
      <c r="Y202" s="23"/>
      <c r="Z202" s="23"/>
    </row>
    <row r="203">
      <c r="A203" s="107"/>
      <c r="B203" s="103" t="str">
        <f>IFERROR( VLOOKUP($A203,'INVOICE DETAILS.'!$F$3:$G$1994,2,0)," ")</f>
        <v> </v>
      </c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8"/>
      <c r="O203" s="109"/>
      <c r="P203" s="109"/>
      <c r="Q203" s="107"/>
      <c r="R203" s="107"/>
      <c r="S203" s="107"/>
      <c r="T203" s="107"/>
      <c r="U203" s="107"/>
      <c r="V203" s="107" t="str">
        <f t="shared" si="1"/>
        <v> </v>
      </c>
      <c r="W203" s="107"/>
      <c r="X203" s="23"/>
      <c r="Y203" s="23"/>
      <c r="Z203" s="23"/>
    </row>
    <row r="204">
      <c r="A204" s="107"/>
      <c r="B204" s="103" t="str">
        <f>IFERROR( VLOOKUP($A204,'INVOICE DETAILS.'!$F$3:$G$1994,2,0)," ")</f>
        <v> </v>
      </c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8"/>
      <c r="O204" s="109"/>
      <c r="P204" s="109"/>
      <c r="Q204" s="107"/>
      <c r="R204" s="107"/>
      <c r="S204" s="107"/>
      <c r="T204" s="107"/>
      <c r="U204" s="107"/>
      <c r="V204" s="107" t="str">
        <f t="shared" si="1"/>
        <v> </v>
      </c>
      <c r="W204" s="107"/>
      <c r="X204" s="23"/>
      <c r="Y204" s="23"/>
      <c r="Z204" s="23"/>
    </row>
    <row r="205">
      <c r="A205" s="107"/>
      <c r="B205" s="103" t="str">
        <f>IFERROR( VLOOKUP($A205,'INVOICE DETAILS.'!$F$3:$G$1994,2,0)," ")</f>
        <v> </v>
      </c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8"/>
      <c r="O205" s="109"/>
      <c r="P205" s="109"/>
      <c r="Q205" s="107"/>
      <c r="R205" s="107"/>
      <c r="S205" s="107"/>
      <c r="T205" s="107"/>
      <c r="U205" s="107"/>
      <c r="V205" s="107" t="str">
        <f t="shared" si="1"/>
        <v> </v>
      </c>
      <c r="W205" s="107"/>
      <c r="X205" s="23"/>
      <c r="Y205" s="23"/>
      <c r="Z205" s="23"/>
    </row>
    <row r="206">
      <c r="A206" s="107"/>
      <c r="B206" s="103" t="str">
        <f>IFERROR( VLOOKUP($A206,'INVOICE DETAILS.'!$F$3:$G$1994,2,0)," ")</f>
        <v> </v>
      </c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8"/>
      <c r="O206" s="109"/>
      <c r="P206" s="109"/>
      <c r="Q206" s="107"/>
      <c r="R206" s="107"/>
      <c r="S206" s="107"/>
      <c r="T206" s="107"/>
      <c r="U206" s="107"/>
      <c r="V206" s="107" t="str">
        <f t="shared" si="1"/>
        <v> </v>
      </c>
      <c r="W206" s="107"/>
      <c r="X206" s="23"/>
      <c r="Y206" s="23"/>
      <c r="Z206" s="23"/>
    </row>
    <row r="207">
      <c r="A207" s="107"/>
      <c r="B207" s="103" t="str">
        <f>IFERROR( VLOOKUP($A207,'INVOICE DETAILS.'!$F$3:$G$1994,2,0)," ")</f>
        <v> </v>
      </c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8"/>
      <c r="O207" s="109"/>
      <c r="P207" s="109"/>
      <c r="Q207" s="107"/>
      <c r="R207" s="107"/>
      <c r="S207" s="107"/>
      <c r="T207" s="107"/>
      <c r="U207" s="107"/>
      <c r="V207" s="107" t="str">
        <f t="shared" si="1"/>
        <v> </v>
      </c>
      <c r="W207" s="107"/>
      <c r="X207" s="23"/>
      <c r="Y207" s="23"/>
      <c r="Z207" s="23"/>
    </row>
    <row r="208">
      <c r="A208" s="107"/>
      <c r="B208" s="103" t="str">
        <f>IFERROR( VLOOKUP($A208,'INVOICE DETAILS.'!$F$3:$G$1994,2,0)," ")</f>
        <v> </v>
      </c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8"/>
      <c r="O208" s="109"/>
      <c r="P208" s="109"/>
      <c r="Q208" s="107"/>
      <c r="R208" s="107"/>
      <c r="S208" s="107"/>
      <c r="T208" s="107"/>
      <c r="U208" s="107"/>
      <c r="V208" s="107" t="str">
        <f t="shared" si="1"/>
        <v> </v>
      </c>
      <c r="W208" s="107"/>
      <c r="X208" s="23"/>
      <c r="Y208" s="23"/>
      <c r="Z208" s="23"/>
    </row>
    <row r="209">
      <c r="A209" s="107"/>
      <c r="B209" s="103" t="str">
        <f>IFERROR( VLOOKUP($A209,'INVOICE DETAILS.'!$F$3:$G$1994,2,0)," ")</f>
        <v> </v>
      </c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8"/>
      <c r="O209" s="109"/>
      <c r="P209" s="109"/>
      <c r="Q209" s="107"/>
      <c r="R209" s="107"/>
      <c r="S209" s="107"/>
      <c r="T209" s="107"/>
      <c r="U209" s="107"/>
      <c r="V209" s="107" t="str">
        <f t="shared" si="1"/>
        <v> </v>
      </c>
      <c r="W209" s="107"/>
      <c r="X209" s="23"/>
      <c r="Y209" s="23"/>
      <c r="Z209" s="23"/>
    </row>
    <row r="210">
      <c r="A210" s="107"/>
      <c r="B210" s="103" t="str">
        <f>IFERROR( VLOOKUP($A210,'INVOICE DETAILS.'!$F$3:$G$1994,2,0)," ")</f>
        <v> </v>
      </c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8"/>
      <c r="O210" s="109"/>
      <c r="P210" s="109"/>
      <c r="Q210" s="107"/>
      <c r="R210" s="107"/>
      <c r="S210" s="107"/>
      <c r="T210" s="107"/>
      <c r="U210" s="107"/>
      <c r="V210" s="107" t="str">
        <f t="shared" si="1"/>
        <v> </v>
      </c>
      <c r="W210" s="107"/>
      <c r="X210" s="23"/>
      <c r="Y210" s="23"/>
      <c r="Z210" s="23"/>
    </row>
    <row r="211">
      <c r="A211" s="107"/>
      <c r="B211" s="103" t="str">
        <f>IFERROR( VLOOKUP($A211,'INVOICE DETAILS.'!$F$3:$G$1994,2,0)," ")</f>
        <v> </v>
      </c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8"/>
      <c r="O211" s="109"/>
      <c r="P211" s="109"/>
      <c r="Q211" s="107"/>
      <c r="R211" s="107"/>
      <c r="S211" s="107"/>
      <c r="T211" s="107"/>
      <c r="U211" s="107"/>
      <c r="V211" s="107" t="str">
        <f t="shared" si="1"/>
        <v> </v>
      </c>
      <c r="W211" s="107"/>
      <c r="X211" s="23"/>
      <c r="Y211" s="23"/>
      <c r="Z211" s="23"/>
    </row>
    <row r="212">
      <c r="A212" s="107"/>
      <c r="B212" s="103" t="str">
        <f>IFERROR( VLOOKUP($A212,'INVOICE DETAILS.'!$F$3:$G$1994,2,0)," ")</f>
        <v> </v>
      </c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8"/>
      <c r="O212" s="109"/>
      <c r="P212" s="109"/>
      <c r="Q212" s="107"/>
      <c r="R212" s="107"/>
      <c r="S212" s="107"/>
      <c r="T212" s="107"/>
      <c r="U212" s="107"/>
      <c r="V212" s="107" t="str">
        <f t="shared" si="1"/>
        <v> </v>
      </c>
      <c r="W212" s="107"/>
      <c r="X212" s="23"/>
      <c r="Y212" s="23"/>
      <c r="Z212" s="23"/>
    </row>
    <row r="213">
      <c r="A213" s="107"/>
      <c r="B213" s="103" t="str">
        <f>IFERROR( VLOOKUP($A213,'INVOICE DETAILS.'!$F$3:$G$1994,2,0)," ")</f>
        <v> </v>
      </c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8"/>
      <c r="O213" s="109"/>
      <c r="P213" s="109"/>
      <c r="Q213" s="107"/>
      <c r="R213" s="107"/>
      <c r="S213" s="107"/>
      <c r="T213" s="107"/>
      <c r="U213" s="107"/>
      <c r="V213" s="107" t="str">
        <f t="shared" si="1"/>
        <v> </v>
      </c>
      <c r="W213" s="107"/>
      <c r="X213" s="23"/>
      <c r="Y213" s="23"/>
      <c r="Z213" s="23"/>
    </row>
    <row r="214">
      <c r="A214" s="107"/>
      <c r="B214" s="103" t="str">
        <f>IFERROR( VLOOKUP($A214,'INVOICE DETAILS.'!$F$3:$G$1994,2,0)," ")</f>
        <v> </v>
      </c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8"/>
      <c r="O214" s="109"/>
      <c r="P214" s="109"/>
      <c r="Q214" s="107"/>
      <c r="R214" s="107"/>
      <c r="S214" s="107"/>
      <c r="T214" s="107"/>
      <c r="U214" s="107"/>
      <c r="V214" s="107" t="str">
        <f t="shared" si="1"/>
        <v> </v>
      </c>
      <c r="W214" s="107"/>
      <c r="X214" s="23"/>
      <c r="Y214" s="23"/>
      <c r="Z214" s="23"/>
    </row>
    <row r="215">
      <c r="A215" s="107"/>
      <c r="B215" s="103" t="str">
        <f>IFERROR( VLOOKUP($A215,'INVOICE DETAILS.'!$F$3:$G$1994,2,0)," ")</f>
        <v> </v>
      </c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8"/>
      <c r="O215" s="109"/>
      <c r="P215" s="109"/>
      <c r="Q215" s="107"/>
      <c r="R215" s="107"/>
      <c r="S215" s="107"/>
      <c r="T215" s="107"/>
      <c r="U215" s="107"/>
      <c r="V215" s="107" t="str">
        <f t="shared" si="1"/>
        <v> </v>
      </c>
      <c r="W215" s="107"/>
      <c r="X215" s="23"/>
      <c r="Y215" s="23"/>
      <c r="Z215" s="23"/>
    </row>
    <row r="216">
      <c r="A216" s="107"/>
      <c r="B216" s="103" t="str">
        <f>IFERROR( VLOOKUP($A216,'INVOICE DETAILS.'!$F$3:$G$1994,2,0)," ")</f>
        <v> </v>
      </c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8"/>
      <c r="O216" s="109"/>
      <c r="P216" s="109"/>
      <c r="Q216" s="107"/>
      <c r="R216" s="107"/>
      <c r="S216" s="107"/>
      <c r="T216" s="107"/>
      <c r="U216" s="107"/>
      <c r="V216" s="107" t="str">
        <f t="shared" si="1"/>
        <v> </v>
      </c>
      <c r="W216" s="107"/>
      <c r="X216" s="23"/>
      <c r="Y216" s="23"/>
      <c r="Z216" s="23"/>
    </row>
    <row r="217">
      <c r="A217" s="107"/>
      <c r="B217" s="103" t="str">
        <f>IFERROR( VLOOKUP($A217,'INVOICE DETAILS.'!$F$3:$G$1994,2,0)," ")</f>
        <v> </v>
      </c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8"/>
      <c r="O217" s="109"/>
      <c r="P217" s="109"/>
      <c r="Q217" s="107"/>
      <c r="R217" s="107"/>
      <c r="S217" s="107"/>
      <c r="T217" s="107"/>
      <c r="U217" s="107"/>
      <c r="V217" s="107" t="str">
        <f t="shared" si="1"/>
        <v> </v>
      </c>
      <c r="W217" s="107"/>
      <c r="X217" s="23"/>
      <c r="Y217" s="23"/>
      <c r="Z217" s="23"/>
    </row>
    <row r="218">
      <c r="A218" s="107"/>
      <c r="B218" s="103" t="str">
        <f>IFERROR( VLOOKUP($A218,'INVOICE DETAILS.'!$F$3:$G$1994,2,0)," ")</f>
        <v> </v>
      </c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8"/>
      <c r="O218" s="109"/>
      <c r="P218" s="109"/>
      <c r="Q218" s="107"/>
      <c r="R218" s="107"/>
      <c r="S218" s="107"/>
      <c r="T218" s="107"/>
      <c r="U218" s="107"/>
      <c r="V218" s="107" t="str">
        <f t="shared" si="1"/>
        <v> </v>
      </c>
      <c r="W218" s="107"/>
      <c r="X218" s="23"/>
      <c r="Y218" s="23"/>
      <c r="Z218" s="23"/>
    </row>
    <row r="219">
      <c r="A219" s="107"/>
      <c r="B219" s="103" t="str">
        <f>IFERROR( VLOOKUP($A219,'INVOICE DETAILS.'!$F$3:$G$1994,2,0)," ")</f>
        <v> </v>
      </c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8"/>
      <c r="O219" s="109"/>
      <c r="P219" s="109"/>
      <c r="Q219" s="107"/>
      <c r="R219" s="107"/>
      <c r="S219" s="107"/>
      <c r="T219" s="107"/>
      <c r="U219" s="107"/>
      <c r="V219" s="107" t="str">
        <f t="shared" si="1"/>
        <v> </v>
      </c>
      <c r="W219" s="107"/>
      <c r="X219" s="23"/>
      <c r="Y219" s="23"/>
      <c r="Z219" s="23"/>
    </row>
    <row r="220">
      <c r="A220" s="107"/>
      <c r="B220" s="103" t="str">
        <f>IFERROR( VLOOKUP($A220,'INVOICE DETAILS.'!$F$3:$G$1994,2,0)," ")</f>
        <v> </v>
      </c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8"/>
      <c r="O220" s="109"/>
      <c r="P220" s="109"/>
      <c r="Q220" s="107"/>
      <c r="R220" s="107"/>
      <c r="S220" s="107"/>
      <c r="T220" s="107"/>
      <c r="U220" s="107"/>
      <c r="V220" s="107" t="str">
        <f t="shared" si="1"/>
        <v> </v>
      </c>
      <c r="W220" s="107"/>
      <c r="X220" s="23"/>
      <c r="Y220" s="23"/>
      <c r="Z220" s="23"/>
    </row>
    <row r="221">
      <c r="A221" s="107"/>
      <c r="B221" s="103" t="str">
        <f>IFERROR( VLOOKUP($A221,'INVOICE DETAILS.'!$F$3:$G$1994,2,0)," ")</f>
        <v> </v>
      </c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8"/>
      <c r="O221" s="109"/>
      <c r="P221" s="109"/>
      <c r="Q221" s="107"/>
      <c r="R221" s="107"/>
      <c r="S221" s="107"/>
      <c r="T221" s="107"/>
      <c r="U221" s="107"/>
      <c r="V221" s="107" t="str">
        <f t="shared" si="1"/>
        <v> </v>
      </c>
      <c r="W221" s="107"/>
      <c r="X221" s="23"/>
      <c r="Y221" s="23"/>
      <c r="Z221" s="23"/>
    </row>
    <row r="222">
      <c r="A222" s="107"/>
      <c r="B222" s="103" t="str">
        <f>IFERROR( VLOOKUP($A222,'INVOICE DETAILS.'!$F$3:$G$1994,2,0)," ")</f>
        <v> </v>
      </c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8"/>
      <c r="O222" s="109"/>
      <c r="P222" s="109"/>
      <c r="Q222" s="107"/>
      <c r="R222" s="107"/>
      <c r="S222" s="107"/>
      <c r="T222" s="107"/>
      <c r="U222" s="107"/>
      <c r="V222" s="107" t="str">
        <f t="shared" si="1"/>
        <v> </v>
      </c>
      <c r="W222" s="107"/>
      <c r="X222" s="23"/>
      <c r="Y222" s="23"/>
      <c r="Z222" s="23"/>
    </row>
    <row r="223">
      <c r="A223" s="107"/>
      <c r="B223" s="103" t="str">
        <f>IFERROR( VLOOKUP($A223,'INVOICE DETAILS.'!$F$3:$G$1994,2,0)," ")</f>
        <v> </v>
      </c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8"/>
      <c r="O223" s="109"/>
      <c r="P223" s="109"/>
      <c r="Q223" s="107"/>
      <c r="R223" s="107"/>
      <c r="S223" s="107"/>
      <c r="T223" s="107"/>
      <c r="U223" s="107"/>
      <c r="V223" s="107" t="str">
        <f t="shared" si="1"/>
        <v> </v>
      </c>
      <c r="W223" s="107"/>
      <c r="X223" s="23"/>
      <c r="Y223" s="23"/>
      <c r="Z223" s="23"/>
    </row>
    <row r="224">
      <c r="A224" s="107"/>
      <c r="B224" s="103" t="str">
        <f>IFERROR( VLOOKUP($A224,'INVOICE DETAILS.'!$F$3:$G$1994,2,0)," ")</f>
        <v> </v>
      </c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8"/>
      <c r="O224" s="109"/>
      <c r="P224" s="109"/>
      <c r="Q224" s="107"/>
      <c r="R224" s="107"/>
      <c r="S224" s="107"/>
      <c r="T224" s="107"/>
      <c r="U224" s="107"/>
      <c r="V224" s="107" t="str">
        <f t="shared" si="1"/>
        <v> </v>
      </c>
      <c r="W224" s="107"/>
      <c r="X224" s="23"/>
      <c r="Y224" s="23"/>
      <c r="Z224" s="23"/>
    </row>
    <row r="225">
      <c r="A225" s="107"/>
      <c r="B225" s="103" t="str">
        <f>IFERROR( VLOOKUP($A225,'INVOICE DETAILS.'!$F$3:$G$1994,2,0)," ")</f>
        <v> </v>
      </c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8"/>
      <c r="O225" s="109"/>
      <c r="P225" s="109"/>
      <c r="Q225" s="107"/>
      <c r="R225" s="107"/>
      <c r="S225" s="107"/>
      <c r="T225" s="107"/>
      <c r="U225" s="107"/>
      <c r="V225" s="107" t="str">
        <f t="shared" si="1"/>
        <v> </v>
      </c>
      <c r="W225" s="107"/>
      <c r="X225" s="23"/>
      <c r="Y225" s="23"/>
      <c r="Z225" s="23"/>
    </row>
    <row r="226">
      <c r="A226" s="107"/>
      <c r="B226" s="103" t="str">
        <f>IFERROR( VLOOKUP($A226,'INVOICE DETAILS.'!$F$3:$G$1994,2,0)," ")</f>
        <v> </v>
      </c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8"/>
      <c r="O226" s="109"/>
      <c r="P226" s="109"/>
      <c r="Q226" s="107"/>
      <c r="R226" s="107"/>
      <c r="S226" s="107"/>
      <c r="T226" s="107"/>
      <c r="U226" s="107"/>
      <c r="V226" s="107" t="str">
        <f t="shared" si="1"/>
        <v> </v>
      </c>
      <c r="W226" s="107"/>
      <c r="X226" s="23"/>
      <c r="Y226" s="23"/>
      <c r="Z226" s="23"/>
    </row>
    <row r="227">
      <c r="A227" s="107"/>
      <c r="B227" s="103" t="str">
        <f>IFERROR( VLOOKUP($A227,'INVOICE DETAILS.'!$F$3:$G$1994,2,0)," ")</f>
        <v> </v>
      </c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8"/>
      <c r="O227" s="109"/>
      <c r="P227" s="109"/>
      <c r="Q227" s="107"/>
      <c r="R227" s="107"/>
      <c r="S227" s="107"/>
      <c r="T227" s="107"/>
      <c r="U227" s="107"/>
      <c r="V227" s="107" t="str">
        <f t="shared" si="1"/>
        <v> </v>
      </c>
      <c r="W227" s="107"/>
      <c r="X227" s="23"/>
      <c r="Y227" s="23"/>
      <c r="Z227" s="23"/>
    </row>
    <row r="228">
      <c r="A228" s="107"/>
      <c r="B228" s="103" t="str">
        <f>IFERROR( VLOOKUP($A228,'INVOICE DETAILS.'!$F$3:$G$1994,2,0)," ")</f>
        <v> </v>
      </c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8"/>
      <c r="O228" s="109"/>
      <c r="P228" s="109"/>
      <c r="Q228" s="107"/>
      <c r="R228" s="107"/>
      <c r="S228" s="107"/>
      <c r="T228" s="107"/>
      <c r="U228" s="107"/>
      <c r="V228" s="107" t="str">
        <f t="shared" si="1"/>
        <v> </v>
      </c>
      <c r="W228" s="107"/>
      <c r="X228" s="23"/>
      <c r="Y228" s="23"/>
      <c r="Z228" s="23"/>
    </row>
    <row r="229">
      <c r="A229" s="107"/>
      <c r="B229" s="103" t="str">
        <f>IFERROR( VLOOKUP($A229,'INVOICE DETAILS.'!$F$3:$G$1994,2,0)," ")</f>
        <v> </v>
      </c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8"/>
      <c r="O229" s="109"/>
      <c r="P229" s="109"/>
      <c r="Q229" s="107"/>
      <c r="R229" s="107"/>
      <c r="S229" s="107"/>
      <c r="T229" s="107"/>
      <c r="U229" s="107"/>
      <c r="V229" s="107" t="str">
        <f t="shared" si="1"/>
        <v> </v>
      </c>
      <c r="W229" s="107"/>
      <c r="X229" s="23"/>
      <c r="Y229" s="23"/>
      <c r="Z229" s="23"/>
    </row>
    <row r="230">
      <c r="A230" s="107"/>
      <c r="B230" s="103" t="str">
        <f>IFERROR( VLOOKUP($A230,'INVOICE DETAILS.'!$F$3:$G$1994,2,0)," ")</f>
        <v> </v>
      </c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8"/>
      <c r="O230" s="109"/>
      <c r="P230" s="109"/>
      <c r="Q230" s="107"/>
      <c r="R230" s="107"/>
      <c r="S230" s="107"/>
      <c r="T230" s="107"/>
      <c r="U230" s="107"/>
      <c r="V230" s="107" t="str">
        <f t="shared" si="1"/>
        <v> </v>
      </c>
      <c r="W230" s="107"/>
      <c r="X230" s="23"/>
      <c r="Y230" s="23"/>
      <c r="Z230" s="23"/>
    </row>
    <row r="231">
      <c r="A231" s="107"/>
      <c r="B231" s="103" t="str">
        <f>IFERROR( VLOOKUP($A231,'INVOICE DETAILS.'!$F$3:$G$1994,2,0)," ")</f>
        <v> </v>
      </c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8"/>
      <c r="O231" s="109"/>
      <c r="P231" s="109"/>
      <c r="Q231" s="107"/>
      <c r="R231" s="107"/>
      <c r="S231" s="107"/>
      <c r="T231" s="107"/>
      <c r="U231" s="107"/>
      <c r="V231" s="107" t="str">
        <f t="shared" si="1"/>
        <v> </v>
      </c>
      <c r="W231" s="107"/>
      <c r="X231" s="23"/>
      <c r="Y231" s="23"/>
      <c r="Z231" s="23"/>
    </row>
    <row r="232">
      <c r="A232" s="107"/>
      <c r="B232" s="103" t="str">
        <f>IFERROR( VLOOKUP($A232,'INVOICE DETAILS.'!$F$3:$G$1994,2,0)," ")</f>
        <v> </v>
      </c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8"/>
      <c r="O232" s="109"/>
      <c r="P232" s="109"/>
      <c r="Q232" s="107"/>
      <c r="R232" s="107"/>
      <c r="S232" s="107"/>
      <c r="T232" s="107"/>
      <c r="U232" s="107"/>
      <c r="V232" s="107" t="str">
        <f t="shared" si="1"/>
        <v> </v>
      </c>
      <c r="W232" s="107"/>
      <c r="X232" s="23"/>
      <c r="Y232" s="23"/>
      <c r="Z232" s="23"/>
    </row>
    <row r="233">
      <c r="A233" s="107"/>
      <c r="B233" s="103" t="str">
        <f>IFERROR( VLOOKUP($A233,'INVOICE DETAILS.'!$F$3:$G$1994,2,0)," ")</f>
        <v> </v>
      </c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8"/>
      <c r="O233" s="109"/>
      <c r="P233" s="109"/>
      <c r="Q233" s="107"/>
      <c r="R233" s="107"/>
      <c r="S233" s="107"/>
      <c r="T233" s="107"/>
      <c r="U233" s="107"/>
      <c r="V233" s="107" t="str">
        <f t="shared" si="1"/>
        <v> </v>
      </c>
      <c r="W233" s="107"/>
      <c r="X233" s="23"/>
      <c r="Y233" s="23"/>
      <c r="Z233" s="23"/>
    </row>
    <row r="234">
      <c r="A234" s="107"/>
      <c r="B234" s="103" t="str">
        <f>IFERROR( VLOOKUP($A234,'INVOICE DETAILS.'!$F$3:$G$1994,2,0)," ")</f>
        <v> </v>
      </c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8"/>
      <c r="O234" s="109"/>
      <c r="P234" s="109"/>
      <c r="Q234" s="107"/>
      <c r="R234" s="107"/>
      <c r="S234" s="107"/>
      <c r="T234" s="107"/>
      <c r="U234" s="107"/>
      <c r="V234" s="107" t="str">
        <f t="shared" si="1"/>
        <v> </v>
      </c>
      <c r="W234" s="107"/>
      <c r="X234" s="23"/>
      <c r="Y234" s="23"/>
      <c r="Z234" s="23"/>
    </row>
    <row r="235">
      <c r="A235" s="107"/>
      <c r="B235" s="103" t="str">
        <f>IFERROR( VLOOKUP($A235,'INVOICE DETAILS.'!$F$3:$G$1994,2,0)," ")</f>
        <v> </v>
      </c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8"/>
      <c r="O235" s="109"/>
      <c r="P235" s="109"/>
      <c r="Q235" s="107"/>
      <c r="R235" s="107"/>
      <c r="S235" s="107"/>
      <c r="T235" s="107"/>
      <c r="U235" s="107"/>
      <c r="V235" s="107" t="str">
        <f t="shared" si="1"/>
        <v> </v>
      </c>
      <c r="W235" s="107"/>
      <c r="X235" s="23"/>
      <c r="Y235" s="23"/>
      <c r="Z235" s="23"/>
    </row>
    <row r="236">
      <c r="A236" s="107"/>
      <c r="B236" s="103" t="str">
        <f>IFERROR( VLOOKUP($A236,'INVOICE DETAILS.'!$F$3:$G$1994,2,0)," ")</f>
        <v> </v>
      </c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8"/>
      <c r="O236" s="109"/>
      <c r="P236" s="109"/>
      <c r="Q236" s="107"/>
      <c r="R236" s="107"/>
      <c r="S236" s="107"/>
      <c r="T236" s="107"/>
      <c r="U236" s="107"/>
      <c r="V236" s="107" t="str">
        <f t="shared" si="1"/>
        <v> </v>
      </c>
      <c r="W236" s="107"/>
      <c r="X236" s="23"/>
      <c r="Y236" s="23"/>
      <c r="Z236" s="23"/>
    </row>
    <row r="237">
      <c r="A237" s="107"/>
      <c r="B237" s="103" t="str">
        <f>IFERROR( VLOOKUP($A237,'INVOICE DETAILS.'!$F$3:$G$1994,2,0)," ")</f>
        <v> </v>
      </c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8"/>
      <c r="O237" s="109"/>
      <c r="P237" s="109"/>
      <c r="Q237" s="107"/>
      <c r="R237" s="107"/>
      <c r="S237" s="107"/>
      <c r="T237" s="107"/>
      <c r="U237" s="107"/>
      <c r="V237" s="107" t="str">
        <f t="shared" si="1"/>
        <v> </v>
      </c>
      <c r="W237" s="107"/>
      <c r="X237" s="23"/>
      <c r="Y237" s="23"/>
      <c r="Z237" s="23"/>
    </row>
    <row r="238">
      <c r="A238" s="107"/>
      <c r="B238" s="103" t="str">
        <f>IFERROR( VLOOKUP($A238,'INVOICE DETAILS.'!$F$3:$G$1994,2,0)," ")</f>
        <v> </v>
      </c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8"/>
      <c r="O238" s="109"/>
      <c r="P238" s="109"/>
      <c r="Q238" s="107"/>
      <c r="R238" s="107"/>
      <c r="S238" s="107"/>
      <c r="T238" s="107"/>
      <c r="U238" s="107"/>
      <c r="V238" s="107" t="str">
        <f t="shared" si="1"/>
        <v> </v>
      </c>
      <c r="W238" s="107"/>
      <c r="X238" s="23"/>
      <c r="Y238" s="23"/>
      <c r="Z238" s="23"/>
    </row>
    <row r="239">
      <c r="A239" s="107"/>
      <c r="B239" s="103" t="str">
        <f>IFERROR( VLOOKUP($A239,'INVOICE DETAILS.'!$F$3:$G$1994,2,0)," ")</f>
        <v> </v>
      </c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8"/>
      <c r="O239" s="109"/>
      <c r="P239" s="109"/>
      <c r="Q239" s="107"/>
      <c r="R239" s="107"/>
      <c r="S239" s="107"/>
      <c r="T239" s="107"/>
      <c r="U239" s="107"/>
      <c r="V239" s="107" t="str">
        <f t="shared" si="1"/>
        <v> </v>
      </c>
      <c r="W239" s="107"/>
      <c r="X239" s="23"/>
      <c r="Y239" s="23"/>
      <c r="Z239" s="23"/>
    </row>
    <row r="240">
      <c r="A240" s="107"/>
      <c r="B240" s="103" t="str">
        <f>IFERROR( VLOOKUP($A240,'INVOICE DETAILS.'!$F$3:$G$1994,2,0)," ")</f>
        <v> </v>
      </c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8"/>
      <c r="O240" s="109"/>
      <c r="P240" s="109"/>
      <c r="Q240" s="107"/>
      <c r="R240" s="107"/>
      <c r="S240" s="107"/>
      <c r="T240" s="107"/>
      <c r="U240" s="107"/>
      <c r="V240" s="107" t="str">
        <f t="shared" si="1"/>
        <v> </v>
      </c>
      <c r="W240" s="107"/>
      <c r="X240" s="23"/>
      <c r="Y240" s="23"/>
      <c r="Z240" s="23"/>
    </row>
    <row r="241">
      <c r="A241" s="107"/>
      <c r="B241" s="103" t="str">
        <f>IFERROR( VLOOKUP($A241,'INVOICE DETAILS.'!$F$3:$G$1994,2,0)," ")</f>
        <v> </v>
      </c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8"/>
      <c r="O241" s="109"/>
      <c r="P241" s="109"/>
      <c r="Q241" s="107"/>
      <c r="R241" s="107"/>
      <c r="S241" s="107"/>
      <c r="T241" s="107"/>
      <c r="U241" s="107"/>
      <c r="V241" s="107" t="str">
        <f t="shared" si="1"/>
        <v> </v>
      </c>
      <c r="W241" s="107"/>
      <c r="X241" s="23"/>
      <c r="Y241" s="23"/>
      <c r="Z241" s="23"/>
    </row>
    <row r="242">
      <c r="A242" s="107"/>
      <c r="B242" s="103" t="str">
        <f>IFERROR( VLOOKUP($A242,'INVOICE DETAILS.'!$F$3:$G$1994,2,0)," ")</f>
        <v> 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8"/>
      <c r="O242" s="109"/>
      <c r="P242" s="109"/>
      <c r="Q242" s="107"/>
      <c r="R242" s="107"/>
      <c r="S242" s="107"/>
      <c r="T242" s="107"/>
      <c r="U242" s="107"/>
      <c r="V242" s="107" t="str">
        <f t="shared" si="1"/>
        <v> </v>
      </c>
      <c r="W242" s="107"/>
      <c r="X242" s="23"/>
      <c r="Y242" s="23"/>
      <c r="Z242" s="23"/>
    </row>
    <row r="243">
      <c r="A243" s="107"/>
      <c r="B243" s="103" t="str">
        <f>IFERROR( VLOOKUP($A243,'INVOICE DETAILS.'!$F$3:$G$1994,2,0)," ")</f>
        <v> </v>
      </c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8"/>
      <c r="O243" s="109"/>
      <c r="P243" s="109"/>
      <c r="Q243" s="107"/>
      <c r="R243" s="107"/>
      <c r="S243" s="107"/>
      <c r="T243" s="107"/>
      <c r="U243" s="107"/>
      <c r="V243" s="107" t="str">
        <f t="shared" si="1"/>
        <v> </v>
      </c>
      <c r="W243" s="107"/>
      <c r="X243" s="23"/>
      <c r="Y243" s="23"/>
      <c r="Z243" s="23"/>
    </row>
    <row r="244">
      <c r="A244" s="107"/>
      <c r="B244" s="103" t="str">
        <f>IFERROR( VLOOKUP($A244,'INVOICE DETAILS.'!$F$3:$G$1994,2,0)," ")</f>
        <v> </v>
      </c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8"/>
      <c r="O244" s="109"/>
      <c r="P244" s="109"/>
      <c r="Q244" s="107"/>
      <c r="R244" s="107"/>
      <c r="S244" s="107"/>
      <c r="T244" s="107"/>
      <c r="U244" s="107"/>
      <c r="V244" s="107" t="str">
        <f t="shared" si="1"/>
        <v> </v>
      </c>
      <c r="W244" s="107"/>
      <c r="X244" s="23"/>
      <c r="Y244" s="23"/>
      <c r="Z244" s="23"/>
    </row>
    <row r="245">
      <c r="A245" s="107"/>
      <c r="B245" s="103" t="str">
        <f>IFERROR( VLOOKUP($A245,'INVOICE DETAILS.'!$F$3:$G$1994,2,0)," ")</f>
        <v> </v>
      </c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8"/>
      <c r="O245" s="109"/>
      <c r="P245" s="109"/>
      <c r="Q245" s="107"/>
      <c r="R245" s="107"/>
      <c r="S245" s="107"/>
      <c r="T245" s="107"/>
      <c r="U245" s="107"/>
      <c r="V245" s="107" t="str">
        <f t="shared" si="1"/>
        <v> </v>
      </c>
      <c r="W245" s="107"/>
      <c r="X245" s="23"/>
      <c r="Y245" s="23"/>
      <c r="Z245" s="23"/>
    </row>
    <row r="246">
      <c r="A246" s="107"/>
      <c r="B246" s="103" t="str">
        <f>IFERROR( VLOOKUP($A246,'INVOICE DETAILS.'!$F$3:$G$1994,2,0)," ")</f>
        <v> </v>
      </c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8"/>
      <c r="O246" s="109"/>
      <c r="P246" s="109"/>
      <c r="Q246" s="107"/>
      <c r="R246" s="107"/>
      <c r="S246" s="107"/>
      <c r="T246" s="107"/>
      <c r="U246" s="107"/>
      <c r="V246" s="107" t="str">
        <f t="shared" si="1"/>
        <v> </v>
      </c>
      <c r="W246" s="107"/>
      <c r="X246" s="23"/>
      <c r="Y246" s="23"/>
      <c r="Z246" s="23"/>
    </row>
    <row r="247">
      <c r="A247" s="107"/>
      <c r="B247" s="103" t="str">
        <f>IFERROR( VLOOKUP($A247,'INVOICE DETAILS.'!$F$3:$G$1994,2,0)," ")</f>
        <v> </v>
      </c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8"/>
      <c r="O247" s="109"/>
      <c r="P247" s="109"/>
      <c r="Q247" s="107"/>
      <c r="R247" s="107"/>
      <c r="S247" s="107"/>
      <c r="T247" s="107"/>
      <c r="U247" s="107"/>
      <c r="V247" s="107" t="str">
        <f t="shared" si="1"/>
        <v> </v>
      </c>
      <c r="W247" s="107"/>
      <c r="X247" s="23"/>
      <c r="Y247" s="23"/>
      <c r="Z247" s="23"/>
    </row>
    <row r="248">
      <c r="A248" s="107"/>
      <c r="B248" s="103" t="str">
        <f>IFERROR( VLOOKUP($A248,'INVOICE DETAILS.'!$F$3:$G$1994,2,0)," ")</f>
        <v> </v>
      </c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8"/>
      <c r="O248" s="109"/>
      <c r="P248" s="109"/>
      <c r="Q248" s="107"/>
      <c r="R248" s="107"/>
      <c r="S248" s="107"/>
      <c r="T248" s="107"/>
      <c r="U248" s="107"/>
      <c r="V248" s="107" t="str">
        <f t="shared" si="1"/>
        <v> </v>
      </c>
      <c r="W248" s="107"/>
      <c r="X248" s="23"/>
      <c r="Y248" s="23"/>
      <c r="Z248" s="23"/>
    </row>
    <row r="249">
      <c r="A249" s="107"/>
      <c r="B249" s="103" t="str">
        <f>IFERROR( VLOOKUP($A249,'INVOICE DETAILS.'!$F$3:$G$1994,2,0)," ")</f>
        <v> </v>
      </c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8"/>
      <c r="O249" s="109"/>
      <c r="P249" s="109"/>
      <c r="Q249" s="107"/>
      <c r="R249" s="107"/>
      <c r="S249" s="107"/>
      <c r="T249" s="107"/>
      <c r="U249" s="107"/>
      <c r="V249" s="107" t="str">
        <f t="shared" si="1"/>
        <v> </v>
      </c>
      <c r="W249" s="107"/>
      <c r="X249" s="23"/>
      <c r="Y249" s="23"/>
      <c r="Z249" s="23"/>
    </row>
    <row r="250">
      <c r="A250" s="107"/>
      <c r="B250" s="103" t="str">
        <f>IFERROR( VLOOKUP($A250,'INVOICE DETAILS.'!$F$3:$G$1994,2,0)," ")</f>
        <v> </v>
      </c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8"/>
      <c r="O250" s="109"/>
      <c r="P250" s="109"/>
      <c r="Q250" s="107"/>
      <c r="R250" s="107"/>
      <c r="S250" s="107"/>
      <c r="T250" s="107"/>
      <c r="U250" s="107"/>
      <c r="V250" s="107" t="str">
        <f t="shared" si="1"/>
        <v> </v>
      </c>
      <c r="W250" s="107"/>
      <c r="X250" s="23"/>
      <c r="Y250" s="23"/>
      <c r="Z250" s="23"/>
    </row>
    <row r="251">
      <c r="A251" s="107"/>
      <c r="B251" s="103" t="str">
        <f>IFERROR( VLOOKUP($A251,'INVOICE DETAILS.'!$F$3:$G$1994,2,0)," ")</f>
        <v> </v>
      </c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8"/>
      <c r="O251" s="109"/>
      <c r="P251" s="109"/>
      <c r="Q251" s="107"/>
      <c r="R251" s="107"/>
      <c r="S251" s="107"/>
      <c r="T251" s="107"/>
      <c r="U251" s="107"/>
      <c r="V251" s="107" t="str">
        <f t="shared" si="1"/>
        <v> </v>
      </c>
      <c r="W251" s="107"/>
      <c r="X251" s="23"/>
      <c r="Y251" s="23"/>
      <c r="Z251" s="23"/>
    </row>
    <row r="252">
      <c r="A252" s="107"/>
      <c r="B252" s="103" t="str">
        <f>IFERROR( VLOOKUP($A252,'INVOICE DETAILS.'!$F$3:$G$1994,2,0)," ")</f>
        <v> </v>
      </c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8"/>
      <c r="O252" s="109"/>
      <c r="P252" s="109"/>
      <c r="Q252" s="107"/>
      <c r="R252" s="107"/>
      <c r="S252" s="107"/>
      <c r="T252" s="107"/>
      <c r="U252" s="107"/>
      <c r="V252" s="107" t="str">
        <f t="shared" si="1"/>
        <v> </v>
      </c>
      <c r="W252" s="107"/>
      <c r="X252" s="23"/>
      <c r="Y252" s="23"/>
      <c r="Z252" s="23"/>
    </row>
    <row r="253">
      <c r="A253" s="107"/>
      <c r="B253" s="103" t="str">
        <f>IFERROR( VLOOKUP($A253,'INVOICE DETAILS.'!$F$3:$G$1994,2,0)," ")</f>
        <v> </v>
      </c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8"/>
      <c r="O253" s="109"/>
      <c r="P253" s="109"/>
      <c r="Q253" s="107"/>
      <c r="R253" s="107"/>
      <c r="S253" s="107"/>
      <c r="T253" s="107"/>
      <c r="U253" s="107"/>
      <c r="V253" s="107" t="str">
        <f t="shared" si="1"/>
        <v> </v>
      </c>
      <c r="W253" s="107"/>
      <c r="X253" s="23"/>
      <c r="Y253" s="23"/>
      <c r="Z253" s="23"/>
    </row>
    <row r="254">
      <c r="A254" s="107"/>
      <c r="B254" s="103" t="str">
        <f>IFERROR( VLOOKUP($A254,'INVOICE DETAILS.'!$F$3:$G$1994,2,0)," ")</f>
        <v> </v>
      </c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8"/>
      <c r="O254" s="109"/>
      <c r="P254" s="109"/>
      <c r="Q254" s="107"/>
      <c r="R254" s="107"/>
      <c r="S254" s="107"/>
      <c r="T254" s="107"/>
      <c r="U254" s="107"/>
      <c r="V254" s="107" t="str">
        <f t="shared" si="1"/>
        <v> </v>
      </c>
      <c r="W254" s="107"/>
      <c r="X254" s="23"/>
      <c r="Y254" s="23"/>
      <c r="Z254" s="23"/>
    </row>
    <row r="255">
      <c r="A255" s="107"/>
      <c r="B255" s="103" t="str">
        <f>IFERROR( VLOOKUP($A255,'INVOICE DETAILS.'!$F$3:$G$1994,2,0)," ")</f>
        <v> </v>
      </c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8"/>
      <c r="O255" s="109"/>
      <c r="P255" s="109"/>
      <c r="Q255" s="107"/>
      <c r="R255" s="107"/>
      <c r="S255" s="107"/>
      <c r="T255" s="107"/>
      <c r="U255" s="107"/>
      <c r="V255" s="107" t="str">
        <f t="shared" si="1"/>
        <v> </v>
      </c>
      <c r="W255" s="107"/>
      <c r="X255" s="23"/>
      <c r="Y255" s="23"/>
      <c r="Z255" s="23"/>
    </row>
    <row r="256">
      <c r="A256" s="107"/>
      <c r="B256" s="103" t="str">
        <f>IFERROR( VLOOKUP($A256,'INVOICE DETAILS.'!$F$3:$G$1994,2,0)," ")</f>
        <v> </v>
      </c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8"/>
      <c r="O256" s="109"/>
      <c r="P256" s="109"/>
      <c r="Q256" s="107"/>
      <c r="R256" s="107"/>
      <c r="S256" s="107"/>
      <c r="T256" s="107"/>
      <c r="U256" s="107"/>
      <c r="V256" s="107" t="str">
        <f t="shared" si="1"/>
        <v> </v>
      </c>
      <c r="W256" s="107"/>
      <c r="X256" s="23"/>
      <c r="Y256" s="23"/>
      <c r="Z256" s="23"/>
    </row>
    <row r="257">
      <c r="A257" s="107"/>
      <c r="B257" s="103" t="str">
        <f>IFERROR( VLOOKUP($A257,'INVOICE DETAILS.'!$F$3:$G$1994,2,0)," ")</f>
        <v> </v>
      </c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8"/>
      <c r="O257" s="109"/>
      <c r="P257" s="109"/>
      <c r="Q257" s="107"/>
      <c r="R257" s="107"/>
      <c r="S257" s="107"/>
      <c r="T257" s="107"/>
      <c r="U257" s="107"/>
      <c r="V257" s="107" t="str">
        <f t="shared" si="1"/>
        <v> </v>
      </c>
      <c r="W257" s="107"/>
      <c r="X257" s="23"/>
      <c r="Y257" s="23"/>
      <c r="Z257" s="23"/>
    </row>
    <row r="258">
      <c r="A258" s="107"/>
      <c r="B258" s="103" t="str">
        <f>IFERROR( VLOOKUP($A258,'INVOICE DETAILS.'!$F$3:$G$1994,2,0)," ")</f>
        <v> </v>
      </c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8"/>
      <c r="O258" s="109"/>
      <c r="P258" s="109"/>
      <c r="Q258" s="107"/>
      <c r="R258" s="107"/>
      <c r="S258" s="107"/>
      <c r="T258" s="107"/>
      <c r="U258" s="107"/>
      <c r="V258" s="107" t="str">
        <f t="shared" si="1"/>
        <v> </v>
      </c>
      <c r="W258" s="107"/>
      <c r="X258" s="23"/>
      <c r="Y258" s="23"/>
      <c r="Z258" s="23"/>
    </row>
    <row r="259">
      <c r="A259" s="107"/>
      <c r="B259" s="103" t="str">
        <f>IFERROR( VLOOKUP($A259,'INVOICE DETAILS.'!$F$3:$G$1994,2,0)," ")</f>
        <v> </v>
      </c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8"/>
      <c r="O259" s="109"/>
      <c r="P259" s="109"/>
      <c r="Q259" s="107"/>
      <c r="R259" s="107"/>
      <c r="S259" s="107"/>
      <c r="T259" s="107"/>
      <c r="U259" s="107"/>
      <c r="V259" s="107" t="str">
        <f t="shared" si="1"/>
        <v> </v>
      </c>
      <c r="W259" s="107"/>
      <c r="X259" s="23"/>
      <c r="Y259" s="23"/>
      <c r="Z259" s="23"/>
    </row>
    <row r="260">
      <c r="A260" s="107"/>
      <c r="B260" s="103" t="str">
        <f>IFERROR( VLOOKUP($A260,'INVOICE DETAILS.'!$F$3:$G$1994,2,0)," ")</f>
        <v> </v>
      </c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8"/>
      <c r="O260" s="109"/>
      <c r="P260" s="109"/>
      <c r="Q260" s="107"/>
      <c r="R260" s="107"/>
      <c r="S260" s="107"/>
      <c r="T260" s="107"/>
      <c r="U260" s="107"/>
      <c r="V260" s="107" t="str">
        <f t="shared" si="1"/>
        <v> </v>
      </c>
      <c r="W260" s="107"/>
      <c r="X260" s="23"/>
      <c r="Y260" s="23"/>
      <c r="Z260" s="23"/>
    </row>
    <row r="261">
      <c r="A261" s="107"/>
      <c r="B261" s="103" t="str">
        <f>IFERROR( VLOOKUP($A261,'INVOICE DETAILS.'!$F$3:$G$1994,2,0)," ")</f>
        <v> </v>
      </c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8"/>
      <c r="O261" s="109"/>
      <c r="P261" s="109"/>
      <c r="Q261" s="107"/>
      <c r="R261" s="107"/>
      <c r="S261" s="107"/>
      <c r="T261" s="107"/>
      <c r="U261" s="107"/>
      <c r="V261" s="107" t="str">
        <f t="shared" si="1"/>
        <v> </v>
      </c>
      <c r="W261" s="107"/>
      <c r="X261" s="23"/>
      <c r="Y261" s="23"/>
      <c r="Z261" s="23"/>
    </row>
    <row r="262">
      <c r="A262" s="107"/>
      <c r="B262" s="103" t="str">
        <f>IFERROR( VLOOKUP($A262,'INVOICE DETAILS.'!$F$3:$G$1994,2,0)," ")</f>
        <v> </v>
      </c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8"/>
      <c r="O262" s="109"/>
      <c r="P262" s="109"/>
      <c r="Q262" s="107"/>
      <c r="R262" s="107"/>
      <c r="S262" s="107"/>
      <c r="T262" s="107"/>
      <c r="U262" s="107"/>
      <c r="V262" s="107" t="str">
        <f t="shared" si="1"/>
        <v> </v>
      </c>
      <c r="W262" s="107"/>
      <c r="X262" s="23"/>
      <c r="Y262" s="23"/>
      <c r="Z262" s="23"/>
    </row>
    <row r="263">
      <c r="A263" s="107"/>
      <c r="B263" s="103" t="str">
        <f>IFERROR( VLOOKUP($A263,'INVOICE DETAILS.'!$F$3:$G$1994,2,0)," ")</f>
        <v> </v>
      </c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8"/>
      <c r="O263" s="109"/>
      <c r="P263" s="109"/>
      <c r="Q263" s="107"/>
      <c r="R263" s="107"/>
      <c r="S263" s="107"/>
      <c r="T263" s="107"/>
      <c r="U263" s="107"/>
      <c r="V263" s="107" t="str">
        <f t="shared" si="1"/>
        <v> </v>
      </c>
      <c r="W263" s="107"/>
      <c r="X263" s="23"/>
      <c r="Y263" s="23"/>
      <c r="Z263" s="23"/>
    </row>
    <row r="264">
      <c r="A264" s="107"/>
      <c r="B264" s="103" t="str">
        <f>IFERROR( VLOOKUP($A264,'INVOICE DETAILS.'!$F$3:$G$1994,2,0)," ")</f>
        <v> </v>
      </c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8"/>
      <c r="O264" s="109"/>
      <c r="P264" s="109"/>
      <c r="Q264" s="107"/>
      <c r="R264" s="107"/>
      <c r="S264" s="107"/>
      <c r="T264" s="107"/>
      <c r="U264" s="107"/>
      <c r="V264" s="107" t="str">
        <f t="shared" si="1"/>
        <v> </v>
      </c>
      <c r="W264" s="107"/>
      <c r="X264" s="23"/>
      <c r="Y264" s="23"/>
      <c r="Z264" s="23"/>
    </row>
    <row r="265">
      <c r="A265" s="107"/>
      <c r="B265" s="103" t="str">
        <f>IFERROR( VLOOKUP($A265,'INVOICE DETAILS.'!$F$3:$G$1994,2,0)," ")</f>
        <v> </v>
      </c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8"/>
      <c r="O265" s="109"/>
      <c r="P265" s="109"/>
      <c r="Q265" s="107"/>
      <c r="R265" s="107"/>
      <c r="S265" s="107"/>
      <c r="T265" s="107"/>
      <c r="U265" s="107"/>
      <c r="V265" s="107" t="str">
        <f t="shared" si="1"/>
        <v> </v>
      </c>
      <c r="W265" s="107"/>
      <c r="X265" s="23"/>
      <c r="Y265" s="23"/>
      <c r="Z265" s="23"/>
    </row>
    <row r="266">
      <c r="A266" s="107"/>
      <c r="B266" s="103" t="str">
        <f>IFERROR( VLOOKUP($A266,'INVOICE DETAILS.'!$F$3:$G$1994,2,0)," ")</f>
        <v> </v>
      </c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8"/>
      <c r="O266" s="109"/>
      <c r="P266" s="109"/>
      <c r="Q266" s="107"/>
      <c r="R266" s="107"/>
      <c r="S266" s="107"/>
      <c r="T266" s="107"/>
      <c r="U266" s="107"/>
      <c r="V266" s="107" t="str">
        <f t="shared" si="1"/>
        <v> </v>
      </c>
      <c r="W266" s="107"/>
      <c r="X266" s="23"/>
      <c r="Y266" s="23"/>
      <c r="Z266" s="23"/>
    </row>
    <row r="267">
      <c r="A267" s="107"/>
      <c r="B267" s="103" t="str">
        <f>IFERROR( VLOOKUP($A267,'INVOICE DETAILS.'!$F$3:$G$1994,2,0)," ")</f>
        <v> </v>
      </c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8"/>
      <c r="O267" s="109"/>
      <c r="P267" s="109"/>
      <c r="Q267" s="107"/>
      <c r="R267" s="107"/>
      <c r="S267" s="107"/>
      <c r="T267" s="107"/>
      <c r="U267" s="107"/>
      <c r="V267" s="107" t="str">
        <f t="shared" si="1"/>
        <v> </v>
      </c>
      <c r="W267" s="107"/>
      <c r="X267" s="23"/>
      <c r="Y267" s="23"/>
      <c r="Z267" s="23"/>
    </row>
    <row r="268">
      <c r="A268" s="107"/>
      <c r="B268" s="103" t="str">
        <f>IFERROR( VLOOKUP($A268,'INVOICE DETAILS.'!$F$3:$G$1994,2,0)," ")</f>
        <v> </v>
      </c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8"/>
      <c r="O268" s="109"/>
      <c r="P268" s="109"/>
      <c r="Q268" s="107"/>
      <c r="R268" s="107"/>
      <c r="S268" s="107"/>
      <c r="T268" s="107"/>
      <c r="U268" s="107"/>
      <c r="V268" s="107" t="str">
        <f t="shared" si="1"/>
        <v> </v>
      </c>
      <c r="W268" s="107"/>
      <c r="X268" s="23"/>
      <c r="Y268" s="23"/>
      <c r="Z268" s="23"/>
    </row>
    <row r="269">
      <c r="A269" s="107"/>
      <c r="B269" s="103" t="str">
        <f>IFERROR( VLOOKUP($A269,'INVOICE DETAILS.'!$F$3:$G$1994,2,0)," ")</f>
        <v> </v>
      </c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8"/>
      <c r="O269" s="109"/>
      <c r="P269" s="109"/>
      <c r="Q269" s="107"/>
      <c r="R269" s="107"/>
      <c r="S269" s="107"/>
      <c r="T269" s="107"/>
      <c r="U269" s="107"/>
      <c r="V269" s="107" t="str">
        <f t="shared" si="1"/>
        <v> </v>
      </c>
      <c r="W269" s="107"/>
      <c r="X269" s="23"/>
      <c r="Y269" s="23"/>
      <c r="Z269" s="23"/>
    </row>
    <row r="270">
      <c r="A270" s="107"/>
      <c r="B270" s="103" t="str">
        <f>IFERROR( VLOOKUP($A270,'INVOICE DETAILS.'!$F$3:$G$1994,2,0)," ")</f>
        <v> </v>
      </c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8"/>
      <c r="O270" s="109"/>
      <c r="P270" s="109"/>
      <c r="Q270" s="107"/>
      <c r="R270" s="107"/>
      <c r="S270" s="107"/>
      <c r="T270" s="107"/>
      <c r="U270" s="107"/>
      <c r="V270" s="107" t="str">
        <f t="shared" si="1"/>
        <v> </v>
      </c>
      <c r="W270" s="107"/>
      <c r="X270" s="23"/>
      <c r="Y270" s="23"/>
      <c r="Z270" s="23"/>
    </row>
    <row r="271">
      <c r="A271" s="107"/>
      <c r="B271" s="103" t="str">
        <f>IFERROR( VLOOKUP($A271,'INVOICE DETAILS.'!$F$3:$G$1994,2,0)," ")</f>
        <v> </v>
      </c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8"/>
      <c r="O271" s="109"/>
      <c r="P271" s="109"/>
      <c r="Q271" s="107"/>
      <c r="R271" s="107"/>
      <c r="S271" s="107"/>
      <c r="T271" s="107"/>
      <c r="U271" s="107"/>
      <c r="V271" s="107" t="str">
        <f t="shared" si="1"/>
        <v> </v>
      </c>
      <c r="W271" s="107"/>
      <c r="X271" s="23"/>
      <c r="Y271" s="23"/>
      <c r="Z271" s="23"/>
    </row>
    <row r="272">
      <c r="A272" s="107"/>
      <c r="B272" s="103" t="str">
        <f>IFERROR( VLOOKUP($A272,'INVOICE DETAILS.'!$F$3:$G$1994,2,0)," ")</f>
        <v> </v>
      </c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8"/>
      <c r="O272" s="109"/>
      <c r="P272" s="109"/>
      <c r="Q272" s="107"/>
      <c r="R272" s="107"/>
      <c r="S272" s="107"/>
      <c r="T272" s="107"/>
      <c r="U272" s="107"/>
      <c r="V272" s="107" t="str">
        <f t="shared" si="1"/>
        <v> </v>
      </c>
      <c r="W272" s="107"/>
      <c r="X272" s="23"/>
      <c r="Y272" s="23"/>
      <c r="Z272" s="23"/>
    </row>
    <row r="273">
      <c r="A273" s="107"/>
      <c r="B273" s="103" t="str">
        <f>IFERROR( VLOOKUP($A273,'INVOICE DETAILS.'!$F$3:$G$1994,2,0)," ")</f>
        <v> </v>
      </c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8"/>
      <c r="O273" s="109"/>
      <c r="P273" s="109"/>
      <c r="Q273" s="107"/>
      <c r="R273" s="107"/>
      <c r="S273" s="107"/>
      <c r="T273" s="107"/>
      <c r="U273" s="107"/>
      <c r="V273" s="107" t="str">
        <f t="shared" si="1"/>
        <v> </v>
      </c>
      <c r="W273" s="107"/>
      <c r="X273" s="23"/>
      <c r="Y273" s="23"/>
      <c r="Z273" s="23"/>
    </row>
    <row r="274">
      <c r="A274" s="107"/>
      <c r="B274" s="103" t="str">
        <f>IFERROR( VLOOKUP($A274,'INVOICE DETAILS.'!$F$3:$G$1994,2,0)," ")</f>
        <v> </v>
      </c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8"/>
      <c r="O274" s="109"/>
      <c r="P274" s="109"/>
      <c r="Q274" s="107"/>
      <c r="R274" s="107"/>
      <c r="S274" s="107"/>
      <c r="T274" s="107"/>
      <c r="U274" s="107"/>
      <c r="V274" s="107" t="str">
        <f t="shared" si="1"/>
        <v> </v>
      </c>
      <c r="W274" s="107"/>
      <c r="X274" s="23"/>
      <c r="Y274" s="23"/>
      <c r="Z274" s="23"/>
    </row>
    <row r="275">
      <c r="A275" s="107"/>
      <c r="B275" s="103" t="str">
        <f>IFERROR( VLOOKUP($A275,'INVOICE DETAILS.'!$F$3:$G$1994,2,0)," ")</f>
        <v> </v>
      </c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8"/>
      <c r="O275" s="109"/>
      <c r="P275" s="109"/>
      <c r="Q275" s="107"/>
      <c r="R275" s="107"/>
      <c r="S275" s="107"/>
      <c r="T275" s="107"/>
      <c r="U275" s="107"/>
      <c r="V275" s="107" t="str">
        <f t="shared" si="1"/>
        <v> </v>
      </c>
      <c r="W275" s="107"/>
      <c r="X275" s="23"/>
      <c r="Y275" s="23"/>
      <c r="Z275" s="23"/>
    </row>
    <row r="276">
      <c r="A276" s="107"/>
      <c r="B276" s="103" t="str">
        <f>IFERROR( VLOOKUP($A276,'INVOICE DETAILS.'!$F$3:$G$1994,2,0)," ")</f>
        <v> </v>
      </c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8"/>
      <c r="O276" s="109"/>
      <c r="P276" s="109"/>
      <c r="Q276" s="107"/>
      <c r="R276" s="107"/>
      <c r="S276" s="107"/>
      <c r="T276" s="107"/>
      <c r="U276" s="107"/>
      <c r="V276" s="107" t="str">
        <f t="shared" si="1"/>
        <v> </v>
      </c>
      <c r="W276" s="107"/>
      <c r="X276" s="23"/>
      <c r="Y276" s="23"/>
      <c r="Z276" s="23"/>
    </row>
    <row r="277">
      <c r="A277" s="107"/>
      <c r="B277" s="103" t="str">
        <f>IFERROR( VLOOKUP($A277,'INVOICE DETAILS.'!$F$3:$G$1994,2,0)," ")</f>
        <v> </v>
      </c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8"/>
      <c r="O277" s="109"/>
      <c r="P277" s="109"/>
      <c r="Q277" s="107"/>
      <c r="R277" s="107"/>
      <c r="S277" s="107"/>
      <c r="T277" s="107"/>
      <c r="U277" s="107"/>
      <c r="V277" s="107" t="str">
        <f t="shared" si="1"/>
        <v> </v>
      </c>
      <c r="W277" s="107"/>
      <c r="X277" s="23"/>
      <c r="Y277" s="23"/>
      <c r="Z277" s="23"/>
    </row>
    <row r="278">
      <c r="A278" s="107"/>
      <c r="B278" s="103" t="str">
        <f>IFERROR( VLOOKUP($A278,'INVOICE DETAILS.'!$F$3:$G$1994,2,0)," ")</f>
        <v> </v>
      </c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8"/>
      <c r="O278" s="109"/>
      <c r="P278" s="109"/>
      <c r="Q278" s="107"/>
      <c r="R278" s="107"/>
      <c r="S278" s="107"/>
      <c r="T278" s="107"/>
      <c r="U278" s="107"/>
      <c r="V278" s="107" t="str">
        <f t="shared" si="1"/>
        <v> </v>
      </c>
      <c r="W278" s="107"/>
      <c r="X278" s="23"/>
      <c r="Y278" s="23"/>
      <c r="Z278" s="23"/>
    </row>
    <row r="279">
      <c r="A279" s="107"/>
      <c r="B279" s="103" t="str">
        <f>IFERROR( VLOOKUP($A279,'INVOICE DETAILS.'!$F$3:$G$1994,2,0)," ")</f>
        <v> </v>
      </c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8"/>
      <c r="O279" s="109"/>
      <c r="P279" s="109"/>
      <c r="Q279" s="107"/>
      <c r="R279" s="107"/>
      <c r="S279" s="107"/>
      <c r="T279" s="107"/>
      <c r="U279" s="107"/>
      <c r="V279" s="107" t="str">
        <f t="shared" si="1"/>
        <v> </v>
      </c>
      <c r="W279" s="107"/>
      <c r="X279" s="23"/>
      <c r="Y279" s="23"/>
      <c r="Z279" s="23"/>
    </row>
    <row r="280">
      <c r="A280" s="107"/>
      <c r="B280" s="103" t="str">
        <f>IFERROR( VLOOKUP($A280,'INVOICE DETAILS.'!$F$3:$G$1994,2,0)," ")</f>
        <v> </v>
      </c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8"/>
      <c r="O280" s="109"/>
      <c r="P280" s="109"/>
      <c r="Q280" s="107"/>
      <c r="R280" s="107"/>
      <c r="S280" s="107"/>
      <c r="T280" s="107"/>
      <c r="U280" s="107"/>
      <c r="V280" s="107" t="str">
        <f t="shared" si="1"/>
        <v> </v>
      </c>
      <c r="W280" s="107"/>
      <c r="X280" s="23"/>
      <c r="Y280" s="23"/>
      <c r="Z280" s="23"/>
    </row>
    <row r="281">
      <c r="A281" s="107"/>
      <c r="B281" s="103" t="str">
        <f>IFERROR( VLOOKUP($A281,'INVOICE DETAILS.'!$F$3:$G$1994,2,0)," ")</f>
        <v> </v>
      </c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8"/>
      <c r="O281" s="109"/>
      <c r="P281" s="109"/>
      <c r="Q281" s="107"/>
      <c r="R281" s="107"/>
      <c r="S281" s="107"/>
      <c r="T281" s="107"/>
      <c r="U281" s="107"/>
      <c r="V281" s="107" t="str">
        <f t="shared" si="1"/>
        <v> </v>
      </c>
      <c r="W281" s="107"/>
      <c r="X281" s="23"/>
      <c r="Y281" s="23"/>
      <c r="Z281" s="23"/>
    </row>
    <row r="282">
      <c r="A282" s="107"/>
      <c r="B282" s="103" t="str">
        <f>IFERROR( VLOOKUP($A282,'INVOICE DETAILS.'!$F$3:$G$1994,2,0)," ")</f>
        <v> </v>
      </c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8"/>
      <c r="O282" s="109"/>
      <c r="P282" s="109"/>
      <c r="Q282" s="107"/>
      <c r="R282" s="107"/>
      <c r="S282" s="107"/>
      <c r="T282" s="107"/>
      <c r="U282" s="107"/>
      <c r="V282" s="107" t="str">
        <f t="shared" si="1"/>
        <v> </v>
      </c>
      <c r="W282" s="107"/>
      <c r="X282" s="23"/>
      <c r="Y282" s="23"/>
      <c r="Z282" s="23"/>
    </row>
    <row r="283">
      <c r="A283" s="107"/>
      <c r="B283" s="103" t="str">
        <f>IFERROR( VLOOKUP($A283,'INVOICE DETAILS.'!$F$3:$G$1994,2,0)," ")</f>
        <v> </v>
      </c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8"/>
      <c r="O283" s="109"/>
      <c r="P283" s="109"/>
      <c r="Q283" s="107"/>
      <c r="R283" s="107"/>
      <c r="S283" s="107"/>
      <c r="T283" s="107"/>
      <c r="U283" s="107"/>
      <c r="V283" s="107" t="str">
        <f t="shared" si="1"/>
        <v> </v>
      </c>
      <c r="W283" s="107"/>
      <c r="X283" s="23"/>
      <c r="Y283" s="23"/>
      <c r="Z283" s="23"/>
    </row>
    <row r="284">
      <c r="A284" s="107"/>
      <c r="B284" s="103" t="str">
        <f>IFERROR( VLOOKUP($A284,'INVOICE DETAILS.'!$F$3:$G$1994,2,0)," ")</f>
        <v> </v>
      </c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8"/>
      <c r="O284" s="109"/>
      <c r="P284" s="109"/>
      <c r="Q284" s="107"/>
      <c r="R284" s="107"/>
      <c r="S284" s="107"/>
      <c r="T284" s="107"/>
      <c r="U284" s="107"/>
      <c r="V284" s="107" t="str">
        <f t="shared" si="1"/>
        <v> </v>
      </c>
      <c r="W284" s="107"/>
      <c r="X284" s="23"/>
      <c r="Y284" s="23"/>
      <c r="Z284" s="23"/>
    </row>
    <row r="285">
      <c r="A285" s="107"/>
      <c r="B285" s="103" t="str">
        <f>IFERROR( VLOOKUP($A285,'INVOICE DETAILS.'!$F$3:$G$1994,2,0)," ")</f>
        <v> </v>
      </c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8"/>
      <c r="O285" s="109"/>
      <c r="P285" s="109"/>
      <c r="Q285" s="107"/>
      <c r="R285" s="107"/>
      <c r="S285" s="107"/>
      <c r="T285" s="107"/>
      <c r="U285" s="107"/>
      <c r="V285" s="107" t="str">
        <f t="shared" si="1"/>
        <v> </v>
      </c>
      <c r="W285" s="107"/>
      <c r="X285" s="23"/>
      <c r="Y285" s="23"/>
      <c r="Z285" s="23"/>
    </row>
    <row r="286">
      <c r="A286" s="107"/>
      <c r="B286" s="103" t="str">
        <f>IFERROR( VLOOKUP($A286,'INVOICE DETAILS.'!$F$3:$G$1994,2,0)," ")</f>
        <v> 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8"/>
      <c r="O286" s="109"/>
      <c r="P286" s="109"/>
      <c r="Q286" s="107"/>
      <c r="R286" s="107"/>
      <c r="S286" s="107"/>
      <c r="T286" s="107"/>
      <c r="U286" s="107"/>
      <c r="V286" s="107" t="str">
        <f t="shared" si="1"/>
        <v> </v>
      </c>
      <c r="W286" s="107"/>
      <c r="X286" s="23"/>
      <c r="Y286" s="23"/>
      <c r="Z286" s="23"/>
    </row>
    <row r="287">
      <c r="A287" s="107"/>
      <c r="B287" s="103" t="str">
        <f>IFERROR( VLOOKUP($A287,'INVOICE DETAILS.'!$F$3:$G$1994,2,0)," ")</f>
        <v> </v>
      </c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8"/>
      <c r="O287" s="109"/>
      <c r="P287" s="109"/>
      <c r="Q287" s="107"/>
      <c r="R287" s="107"/>
      <c r="S287" s="107"/>
      <c r="T287" s="107"/>
      <c r="U287" s="107"/>
      <c r="V287" s="107" t="str">
        <f t="shared" si="1"/>
        <v> </v>
      </c>
      <c r="W287" s="107"/>
      <c r="X287" s="23"/>
      <c r="Y287" s="23"/>
      <c r="Z287" s="23"/>
    </row>
    <row r="288">
      <c r="A288" s="107"/>
      <c r="B288" s="103" t="str">
        <f>IFERROR( VLOOKUP($A288,'INVOICE DETAILS.'!$F$3:$G$1994,2,0)," ")</f>
        <v> </v>
      </c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8"/>
      <c r="O288" s="109"/>
      <c r="P288" s="109"/>
      <c r="Q288" s="107"/>
      <c r="R288" s="107"/>
      <c r="S288" s="107"/>
      <c r="T288" s="107"/>
      <c r="U288" s="107"/>
      <c r="V288" s="107" t="str">
        <f t="shared" si="1"/>
        <v> </v>
      </c>
      <c r="W288" s="107"/>
      <c r="X288" s="23"/>
      <c r="Y288" s="23"/>
      <c r="Z288" s="23"/>
    </row>
    <row r="289">
      <c r="A289" s="107"/>
      <c r="B289" s="103" t="str">
        <f>IFERROR( VLOOKUP($A289,'INVOICE DETAILS.'!$F$3:$G$1994,2,0)," ")</f>
        <v> </v>
      </c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8"/>
      <c r="O289" s="109"/>
      <c r="P289" s="109"/>
      <c r="Q289" s="107"/>
      <c r="R289" s="107"/>
      <c r="S289" s="107"/>
      <c r="T289" s="107"/>
      <c r="U289" s="107"/>
      <c r="V289" s="107" t="str">
        <f t="shared" si="1"/>
        <v> </v>
      </c>
      <c r="W289" s="107"/>
      <c r="X289" s="23"/>
      <c r="Y289" s="23"/>
      <c r="Z289" s="23"/>
    </row>
    <row r="290">
      <c r="A290" s="107"/>
      <c r="B290" s="103" t="str">
        <f>IFERROR( VLOOKUP($A290,'INVOICE DETAILS.'!$F$3:$G$1994,2,0)," ")</f>
        <v> </v>
      </c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8"/>
      <c r="O290" s="109"/>
      <c r="P290" s="109"/>
      <c r="Q290" s="107"/>
      <c r="R290" s="107"/>
      <c r="S290" s="107"/>
      <c r="T290" s="107"/>
      <c r="U290" s="107"/>
      <c r="V290" s="107" t="str">
        <f t="shared" si="1"/>
        <v> </v>
      </c>
      <c r="W290" s="107"/>
      <c r="X290" s="23"/>
      <c r="Y290" s="23"/>
      <c r="Z290" s="23"/>
    </row>
    <row r="291">
      <c r="A291" s="107"/>
      <c r="B291" s="103" t="str">
        <f>IFERROR( VLOOKUP($A291,'INVOICE DETAILS.'!$F$3:$G$1994,2,0)," ")</f>
        <v> </v>
      </c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8"/>
      <c r="O291" s="109"/>
      <c r="P291" s="109"/>
      <c r="Q291" s="107"/>
      <c r="R291" s="107"/>
      <c r="S291" s="107"/>
      <c r="T291" s="107"/>
      <c r="U291" s="107"/>
      <c r="V291" s="107" t="str">
        <f t="shared" si="1"/>
        <v> </v>
      </c>
      <c r="W291" s="107"/>
      <c r="X291" s="23"/>
      <c r="Y291" s="23"/>
      <c r="Z291" s="23"/>
    </row>
    <row r="292">
      <c r="A292" s="107"/>
      <c r="B292" s="103" t="str">
        <f>IFERROR( VLOOKUP($A292,'INVOICE DETAILS.'!$F$3:$G$1994,2,0)," ")</f>
        <v> </v>
      </c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8"/>
      <c r="O292" s="109"/>
      <c r="P292" s="109"/>
      <c r="Q292" s="107"/>
      <c r="R292" s="107"/>
      <c r="S292" s="107"/>
      <c r="T292" s="107"/>
      <c r="U292" s="107"/>
      <c r="V292" s="107" t="str">
        <f t="shared" si="1"/>
        <v> </v>
      </c>
      <c r="W292" s="107"/>
      <c r="X292" s="23"/>
      <c r="Y292" s="23"/>
      <c r="Z292" s="23"/>
    </row>
    <row r="293">
      <c r="A293" s="107"/>
      <c r="B293" s="103" t="str">
        <f>IFERROR( VLOOKUP($A293,'INVOICE DETAILS.'!$F$3:$G$1994,2,0)," ")</f>
        <v> </v>
      </c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8"/>
      <c r="O293" s="109"/>
      <c r="P293" s="109"/>
      <c r="Q293" s="107"/>
      <c r="R293" s="107"/>
      <c r="S293" s="107"/>
      <c r="T293" s="107"/>
      <c r="U293" s="107"/>
      <c r="V293" s="107" t="str">
        <f t="shared" si="1"/>
        <v> </v>
      </c>
      <c r="W293" s="107"/>
      <c r="X293" s="23"/>
      <c r="Y293" s="23"/>
      <c r="Z293" s="23"/>
    </row>
    <row r="294">
      <c r="A294" s="107"/>
      <c r="B294" s="103" t="str">
        <f>IFERROR( VLOOKUP($A294,'INVOICE DETAILS.'!$F$3:$G$1994,2,0)," ")</f>
        <v> </v>
      </c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8"/>
      <c r="O294" s="109"/>
      <c r="P294" s="109"/>
      <c r="Q294" s="107"/>
      <c r="R294" s="107"/>
      <c r="S294" s="107"/>
      <c r="T294" s="107"/>
      <c r="U294" s="107"/>
      <c r="V294" s="107" t="str">
        <f t="shared" si="1"/>
        <v> </v>
      </c>
      <c r="W294" s="107"/>
      <c r="X294" s="23"/>
      <c r="Y294" s="23"/>
      <c r="Z294" s="23"/>
    </row>
    <row r="295">
      <c r="A295" s="107"/>
      <c r="B295" s="103" t="str">
        <f>IFERROR( VLOOKUP($A295,'INVOICE DETAILS.'!$F$3:$G$1994,2,0)," ")</f>
        <v> </v>
      </c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8"/>
      <c r="O295" s="109"/>
      <c r="P295" s="109"/>
      <c r="Q295" s="107"/>
      <c r="R295" s="107"/>
      <c r="S295" s="107"/>
      <c r="T295" s="107"/>
      <c r="U295" s="107"/>
      <c r="V295" s="107" t="str">
        <f t="shared" si="1"/>
        <v> </v>
      </c>
      <c r="W295" s="107"/>
      <c r="X295" s="23"/>
      <c r="Y295" s="23"/>
      <c r="Z295" s="23"/>
    </row>
    <row r="296">
      <c r="A296" s="107"/>
      <c r="B296" s="103" t="str">
        <f>IFERROR( VLOOKUP($A296,'INVOICE DETAILS.'!$F$3:$G$1994,2,0)," ")</f>
        <v> </v>
      </c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8"/>
      <c r="O296" s="109"/>
      <c r="P296" s="109"/>
      <c r="Q296" s="107"/>
      <c r="R296" s="107"/>
      <c r="S296" s="107"/>
      <c r="T296" s="107"/>
      <c r="U296" s="107"/>
      <c r="V296" s="107" t="str">
        <f t="shared" si="1"/>
        <v> </v>
      </c>
      <c r="W296" s="107"/>
      <c r="X296" s="23"/>
      <c r="Y296" s="23"/>
      <c r="Z296" s="23"/>
    </row>
    <row r="297">
      <c r="A297" s="107"/>
      <c r="B297" s="103" t="str">
        <f>IFERROR( VLOOKUP($A297,'INVOICE DETAILS.'!$F$3:$G$1994,2,0)," ")</f>
        <v> </v>
      </c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8"/>
      <c r="O297" s="109"/>
      <c r="P297" s="109"/>
      <c r="Q297" s="107"/>
      <c r="R297" s="107"/>
      <c r="S297" s="107"/>
      <c r="T297" s="107"/>
      <c r="U297" s="107"/>
      <c r="V297" s="107" t="str">
        <f t="shared" si="1"/>
        <v> </v>
      </c>
      <c r="W297" s="107"/>
      <c r="X297" s="23"/>
      <c r="Y297" s="23"/>
      <c r="Z297" s="23"/>
    </row>
    <row r="298">
      <c r="A298" s="107"/>
      <c r="B298" s="103" t="str">
        <f>IFERROR( VLOOKUP($A298,'INVOICE DETAILS.'!$F$3:$G$1994,2,0)," ")</f>
        <v> </v>
      </c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8"/>
      <c r="O298" s="109"/>
      <c r="P298" s="109"/>
      <c r="Q298" s="107"/>
      <c r="R298" s="107"/>
      <c r="S298" s="107"/>
      <c r="T298" s="107"/>
      <c r="U298" s="107"/>
      <c r="V298" s="107" t="str">
        <f t="shared" si="1"/>
        <v> </v>
      </c>
      <c r="W298" s="107"/>
      <c r="X298" s="23"/>
      <c r="Y298" s="23"/>
      <c r="Z298" s="23"/>
    </row>
    <row r="299">
      <c r="A299" s="107"/>
      <c r="B299" s="103" t="str">
        <f>IFERROR( VLOOKUP($A299,'INVOICE DETAILS.'!$F$3:$G$1994,2,0)," ")</f>
        <v> </v>
      </c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8"/>
      <c r="O299" s="109"/>
      <c r="P299" s="109"/>
      <c r="Q299" s="107"/>
      <c r="R299" s="107"/>
      <c r="S299" s="107"/>
      <c r="T299" s="107"/>
      <c r="U299" s="107"/>
      <c r="V299" s="107" t="str">
        <f t="shared" si="1"/>
        <v> </v>
      </c>
      <c r="W299" s="107"/>
      <c r="X299" s="23"/>
      <c r="Y299" s="23"/>
      <c r="Z299" s="23"/>
    </row>
    <row r="300">
      <c r="A300" s="107"/>
      <c r="B300" s="103" t="str">
        <f>IFERROR( VLOOKUP($A300,'INVOICE DETAILS.'!$F$3:$G$1994,2,0)," ")</f>
        <v> </v>
      </c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8"/>
      <c r="O300" s="109"/>
      <c r="P300" s="109"/>
      <c r="Q300" s="107"/>
      <c r="R300" s="107"/>
      <c r="S300" s="107"/>
      <c r="T300" s="107"/>
      <c r="U300" s="107"/>
      <c r="V300" s="107" t="str">
        <f t="shared" si="1"/>
        <v> </v>
      </c>
      <c r="W300" s="107"/>
      <c r="X300" s="23"/>
      <c r="Y300" s="23"/>
      <c r="Z300" s="23"/>
    </row>
    <row r="301">
      <c r="A301" s="107"/>
      <c r="B301" s="103" t="str">
        <f>IFERROR( VLOOKUP($A301,'INVOICE DETAILS.'!$F$3:$G$1994,2,0)," ")</f>
        <v> </v>
      </c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8"/>
      <c r="O301" s="109"/>
      <c r="P301" s="109"/>
      <c r="Q301" s="107"/>
      <c r="R301" s="107"/>
      <c r="S301" s="107"/>
      <c r="T301" s="107"/>
      <c r="U301" s="107"/>
      <c r="V301" s="107" t="str">
        <f t="shared" si="1"/>
        <v> </v>
      </c>
      <c r="W301" s="107"/>
      <c r="X301" s="23"/>
      <c r="Y301" s="23"/>
      <c r="Z301" s="23"/>
    </row>
    <row r="302">
      <c r="A302" s="107"/>
      <c r="B302" s="103" t="str">
        <f>IFERROR( VLOOKUP($A302,'INVOICE DETAILS.'!$F$3:$G$1994,2,0)," ")</f>
        <v> </v>
      </c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8"/>
      <c r="O302" s="109"/>
      <c r="P302" s="109"/>
      <c r="Q302" s="107"/>
      <c r="R302" s="107"/>
      <c r="S302" s="107"/>
      <c r="T302" s="107"/>
      <c r="U302" s="107"/>
      <c r="V302" s="107" t="str">
        <f t="shared" si="1"/>
        <v> </v>
      </c>
      <c r="W302" s="107"/>
      <c r="X302" s="23"/>
      <c r="Y302" s="23"/>
      <c r="Z302" s="23"/>
    </row>
    <row r="303">
      <c r="A303" s="107"/>
      <c r="B303" s="103" t="str">
        <f>IFERROR( VLOOKUP($A303,'INVOICE DETAILS.'!$F$3:$G$1994,2,0)," ")</f>
        <v> </v>
      </c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8"/>
      <c r="O303" s="109"/>
      <c r="P303" s="109"/>
      <c r="Q303" s="107"/>
      <c r="R303" s="107"/>
      <c r="S303" s="107"/>
      <c r="T303" s="107"/>
      <c r="U303" s="107"/>
      <c r="V303" s="107" t="str">
        <f t="shared" si="1"/>
        <v> </v>
      </c>
      <c r="W303" s="107"/>
      <c r="X303" s="23"/>
      <c r="Y303" s="23"/>
      <c r="Z303" s="23"/>
    </row>
    <row r="304">
      <c r="A304" s="107"/>
      <c r="B304" s="103" t="str">
        <f>IFERROR( VLOOKUP($A304,'INVOICE DETAILS.'!$F$3:$G$1994,2,0)," ")</f>
        <v> </v>
      </c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8"/>
      <c r="O304" s="109"/>
      <c r="P304" s="109"/>
      <c r="Q304" s="107"/>
      <c r="R304" s="107"/>
      <c r="S304" s="107"/>
      <c r="T304" s="107"/>
      <c r="U304" s="107"/>
      <c r="V304" s="107" t="str">
        <f t="shared" si="1"/>
        <v> </v>
      </c>
      <c r="W304" s="107"/>
      <c r="X304" s="23"/>
      <c r="Y304" s="23"/>
      <c r="Z304" s="23"/>
    </row>
    <row r="305">
      <c r="A305" s="107"/>
      <c r="B305" s="103" t="str">
        <f>IFERROR( VLOOKUP($A305,'INVOICE DETAILS.'!$F$3:$G$1994,2,0)," ")</f>
        <v> </v>
      </c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8"/>
      <c r="O305" s="109"/>
      <c r="P305" s="109"/>
      <c r="Q305" s="107"/>
      <c r="R305" s="107"/>
      <c r="S305" s="107"/>
      <c r="T305" s="107"/>
      <c r="U305" s="107"/>
      <c r="V305" s="107" t="str">
        <f t="shared" si="1"/>
        <v> </v>
      </c>
      <c r="W305" s="107"/>
      <c r="X305" s="23"/>
      <c r="Y305" s="23"/>
      <c r="Z305" s="23"/>
    </row>
    <row r="306">
      <c r="A306" s="107"/>
      <c r="B306" s="103" t="str">
        <f>IFERROR( VLOOKUP($A306,'INVOICE DETAILS.'!$F$3:$G$1994,2,0)," ")</f>
        <v> </v>
      </c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8"/>
      <c r="O306" s="109"/>
      <c r="P306" s="109"/>
      <c r="Q306" s="107"/>
      <c r="R306" s="107"/>
      <c r="S306" s="107"/>
      <c r="T306" s="107"/>
      <c r="U306" s="107"/>
      <c r="V306" s="107" t="str">
        <f t="shared" si="1"/>
        <v> </v>
      </c>
      <c r="W306" s="107"/>
      <c r="X306" s="23"/>
      <c r="Y306" s="23"/>
      <c r="Z306" s="23"/>
    </row>
    <row r="307">
      <c r="A307" s="107"/>
      <c r="B307" s="103" t="str">
        <f>IFERROR( VLOOKUP($A307,'INVOICE DETAILS.'!$F$3:$G$1994,2,0)," ")</f>
        <v> </v>
      </c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8"/>
      <c r="O307" s="109"/>
      <c r="P307" s="109"/>
      <c r="Q307" s="107"/>
      <c r="R307" s="107"/>
      <c r="S307" s="107"/>
      <c r="T307" s="107"/>
      <c r="U307" s="107"/>
      <c r="V307" s="107" t="str">
        <f t="shared" si="1"/>
        <v> </v>
      </c>
      <c r="W307" s="107"/>
      <c r="X307" s="23"/>
      <c r="Y307" s="23"/>
      <c r="Z307" s="23"/>
    </row>
    <row r="308">
      <c r="A308" s="107"/>
      <c r="B308" s="103" t="str">
        <f>IFERROR( VLOOKUP($A308,'INVOICE DETAILS.'!$F$3:$G$1994,2,0)," ")</f>
        <v> </v>
      </c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8"/>
      <c r="O308" s="109"/>
      <c r="P308" s="109"/>
      <c r="Q308" s="107"/>
      <c r="R308" s="107"/>
      <c r="S308" s="107"/>
      <c r="T308" s="107"/>
      <c r="U308" s="107"/>
      <c r="V308" s="107" t="str">
        <f t="shared" si="1"/>
        <v> </v>
      </c>
      <c r="W308" s="107"/>
      <c r="X308" s="23"/>
      <c r="Y308" s="23"/>
      <c r="Z308" s="23"/>
    </row>
    <row r="309">
      <c r="A309" s="107"/>
      <c r="B309" s="103" t="str">
        <f>IFERROR( VLOOKUP($A309,'INVOICE DETAILS.'!$F$3:$G$1994,2,0)," ")</f>
        <v> </v>
      </c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8"/>
      <c r="O309" s="109"/>
      <c r="P309" s="109"/>
      <c r="Q309" s="107"/>
      <c r="R309" s="107"/>
      <c r="S309" s="107"/>
      <c r="T309" s="107"/>
      <c r="U309" s="107"/>
      <c r="V309" s="107" t="str">
        <f t="shared" si="1"/>
        <v> </v>
      </c>
      <c r="W309" s="107"/>
      <c r="X309" s="23"/>
      <c r="Y309" s="23"/>
      <c r="Z309" s="23"/>
    </row>
    <row r="310">
      <c r="A310" s="107"/>
      <c r="B310" s="103" t="str">
        <f>IFERROR( VLOOKUP($A310,'INVOICE DETAILS.'!$F$3:$G$1994,2,0)," ")</f>
        <v> </v>
      </c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8"/>
      <c r="O310" s="109"/>
      <c r="P310" s="109"/>
      <c r="Q310" s="107"/>
      <c r="R310" s="107"/>
      <c r="S310" s="107"/>
      <c r="T310" s="107"/>
      <c r="U310" s="107"/>
      <c r="V310" s="107" t="str">
        <f t="shared" si="1"/>
        <v> </v>
      </c>
      <c r="W310" s="107"/>
      <c r="X310" s="23"/>
      <c r="Y310" s="23"/>
      <c r="Z310" s="23"/>
    </row>
    <row r="311">
      <c r="A311" s="107"/>
      <c r="B311" s="103" t="str">
        <f>IFERROR( VLOOKUP($A311,'INVOICE DETAILS.'!$F$3:$G$1994,2,0)," ")</f>
        <v> </v>
      </c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8"/>
      <c r="O311" s="109"/>
      <c r="P311" s="109"/>
      <c r="Q311" s="107"/>
      <c r="R311" s="107"/>
      <c r="S311" s="107"/>
      <c r="T311" s="107"/>
      <c r="U311" s="107"/>
      <c r="V311" s="107" t="str">
        <f t="shared" si="1"/>
        <v> </v>
      </c>
      <c r="W311" s="107"/>
      <c r="X311" s="23"/>
      <c r="Y311" s="23"/>
      <c r="Z311" s="23"/>
    </row>
    <row r="312">
      <c r="A312" s="107"/>
      <c r="B312" s="103" t="str">
        <f>IFERROR( VLOOKUP($A312,'INVOICE DETAILS.'!$F$3:$G$1994,2,0)," ")</f>
        <v> </v>
      </c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8"/>
      <c r="O312" s="109"/>
      <c r="P312" s="109"/>
      <c r="Q312" s="107"/>
      <c r="R312" s="107"/>
      <c r="S312" s="107"/>
      <c r="T312" s="107"/>
      <c r="U312" s="107"/>
      <c r="V312" s="107" t="str">
        <f t="shared" si="1"/>
        <v> </v>
      </c>
      <c r="W312" s="107"/>
      <c r="X312" s="23"/>
      <c r="Y312" s="23"/>
      <c r="Z312" s="23"/>
    </row>
    <row r="313">
      <c r="A313" s="107"/>
      <c r="B313" s="103" t="str">
        <f>IFERROR( VLOOKUP($A313,'INVOICE DETAILS.'!$F$3:$G$1994,2,0)," ")</f>
        <v> </v>
      </c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8"/>
      <c r="O313" s="109"/>
      <c r="P313" s="109"/>
      <c r="Q313" s="107"/>
      <c r="R313" s="107"/>
      <c r="S313" s="107"/>
      <c r="T313" s="107"/>
      <c r="U313" s="107"/>
      <c r="V313" s="107" t="str">
        <f t="shared" si="1"/>
        <v> </v>
      </c>
      <c r="W313" s="107"/>
      <c r="X313" s="23"/>
      <c r="Y313" s="23"/>
      <c r="Z313" s="23"/>
    </row>
    <row r="314">
      <c r="A314" s="107"/>
      <c r="B314" s="103" t="str">
        <f>IFERROR( VLOOKUP($A314,'INVOICE DETAILS.'!$F$3:$G$1994,2,0)," ")</f>
        <v> </v>
      </c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8"/>
      <c r="O314" s="109"/>
      <c r="P314" s="109"/>
      <c r="Q314" s="107"/>
      <c r="R314" s="107"/>
      <c r="S314" s="107"/>
      <c r="T314" s="107"/>
      <c r="U314" s="107"/>
      <c r="V314" s="107" t="str">
        <f t="shared" si="1"/>
        <v> </v>
      </c>
      <c r="W314" s="107"/>
      <c r="X314" s="23"/>
      <c r="Y314" s="23"/>
      <c r="Z314" s="23"/>
    </row>
    <row r="315">
      <c r="A315" s="107"/>
      <c r="B315" s="103" t="str">
        <f>IFERROR( VLOOKUP($A315,'INVOICE DETAILS.'!$F$3:$G$1994,2,0)," ")</f>
        <v> </v>
      </c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8"/>
      <c r="O315" s="109"/>
      <c r="P315" s="109"/>
      <c r="Q315" s="107"/>
      <c r="R315" s="107"/>
      <c r="S315" s="107"/>
      <c r="T315" s="107"/>
      <c r="U315" s="107"/>
      <c r="V315" s="107" t="str">
        <f t="shared" si="1"/>
        <v> </v>
      </c>
      <c r="W315" s="107"/>
      <c r="X315" s="23"/>
      <c r="Y315" s="23"/>
      <c r="Z315" s="23"/>
    </row>
    <row r="316">
      <c r="A316" s="107"/>
      <c r="B316" s="103" t="str">
        <f>IFERROR( VLOOKUP($A316,'INVOICE DETAILS.'!$F$3:$G$1994,2,0)," ")</f>
        <v> </v>
      </c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8"/>
      <c r="O316" s="109"/>
      <c r="P316" s="109"/>
      <c r="Q316" s="107"/>
      <c r="R316" s="107"/>
      <c r="S316" s="107"/>
      <c r="T316" s="107"/>
      <c r="U316" s="107"/>
      <c r="V316" s="107" t="str">
        <f t="shared" si="1"/>
        <v> </v>
      </c>
      <c r="W316" s="107"/>
      <c r="X316" s="23"/>
      <c r="Y316" s="23"/>
      <c r="Z316" s="23"/>
    </row>
    <row r="317">
      <c r="A317" s="107"/>
      <c r="B317" s="103" t="str">
        <f>IFERROR( VLOOKUP($A317,'INVOICE DETAILS.'!$F$3:$G$1994,2,0)," ")</f>
        <v> </v>
      </c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8"/>
      <c r="O317" s="109"/>
      <c r="P317" s="109"/>
      <c r="Q317" s="107"/>
      <c r="R317" s="107"/>
      <c r="S317" s="107"/>
      <c r="T317" s="107"/>
      <c r="U317" s="107"/>
      <c r="V317" s="107" t="str">
        <f t="shared" si="1"/>
        <v> </v>
      </c>
      <c r="W317" s="107"/>
      <c r="X317" s="23"/>
      <c r="Y317" s="23"/>
      <c r="Z317" s="23"/>
    </row>
    <row r="318">
      <c r="A318" s="107"/>
      <c r="B318" s="103" t="str">
        <f>IFERROR( VLOOKUP($A318,'INVOICE DETAILS.'!$F$3:$G$1994,2,0)," ")</f>
        <v> </v>
      </c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8"/>
      <c r="O318" s="109"/>
      <c r="P318" s="109"/>
      <c r="Q318" s="107"/>
      <c r="R318" s="107"/>
      <c r="S318" s="107"/>
      <c r="T318" s="107"/>
      <c r="U318" s="107"/>
      <c r="V318" s="107" t="str">
        <f t="shared" si="1"/>
        <v> </v>
      </c>
      <c r="W318" s="107"/>
      <c r="X318" s="23"/>
      <c r="Y318" s="23"/>
      <c r="Z318" s="23"/>
    </row>
    <row r="319">
      <c r="A319" s="107"/>
      <c r="B319" s="103" t="str">
        <f>IFERROR( VLOOKUP($A319,'INVOICE DETAILS.'!$F$3:$G$1994,2,0)," ")</f>
        <v> </v>
      </c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8"/>
      <c r="O319" s="109"/>
      <c r="P319" s="109"/>
      <c r="Q319" s="107"/>
      <c r="R319" s="107"/>
      <c r="S319" s="107"/>
      <c r="T319" s="107"/>
      <c r="U319" s="107"/>
      <c r="V319" s="107" t="str">
        <f t="shared" si="1"/>
        <v> </v>
      </c>
      <c r="W319" s="107"/>
      <c r="X319" s="23"/>
      <c r="Y319" s="23"/>
      <c r="Z319" s="23"/>
    </row>
    <row r="320">
      <c r="A320" s="107"/>
      <c r="B320" s="103" t="str">
        <f>IFERROR( VLOOKUP($A320,'INVOICE DETAILS.'!$F$3:$G$1994,2,0)," ")</f>
        <v> </v>
      </c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8"/>
      <c r="O320" s="109"/>
      <c r="P320" s="109"/>
      <c r="Q320" s="107"/>
      <c r="R320" s="107"/>
      <c r="S320" s="107"/>
      <c r="T320" s="107"/>
      <c r="U320" s="107"/>
      <c r="V320" s="107" t="str">
        <f t="shared" si="1"/>
        <v> </v>
      </c>
      <c r="W320" s="107"/>
      <c r="X320" s="23"/>
      <c r="Y320" s="23"/>
      <c r="Z320" s="23"/>
    </row>
    <row r="321">
      <c r="A321" s="107"/>
      <c r="B321" s="103" t="str">
        <f>IFERROR( VLOOKUP($A321,'INVOICE DETAILS.'!$F$3:$G$1994,2,0)," ")</f>
        <v> </v>
      </c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8"/>
      <c r="O321" s="109"/>
      <c r="P321" s="109"/>
      <c r="Q321" s="107"/>
      <c r="R321" s="107"/>
      <c r="S321" s="107"/>
      <c r="T321" s="107"/>
      <c r="U321" s="107"/>
      <c r="V321" s="107" t="str">
        <f t="shared" si="1"/>
        <v> </v>
      </c>
      <c r="W321" s="107"/>
      <c r="X321" s="23"/>
      <c r="Y321" s="23"/>
      <c r="Z321" s="23"/>
    </row>
    <row r="322">
      <c r="A322" s="107"/>
      <c r="B322" s="103" t="str">
        <f>IFERROR( VLOOKUP($A322,'INVOICE DETAILS.'!$F$3:$G$1994,2,0)," ")</f>
        <v> </v>
      </c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8"/>
      <c r="O322" s="109"/>
      <c r="P322" s="109"/>
      <c r="Q322" s="107"/>
      <c r="R322" s="107"/>
      <c r="S322" s="107"/>
      <c r="T322" s="107"/>
      <c r="U322" s="107"/>
      <c r="V322" s="107" t="str">
        <f t="shared" si="1"/>
        <v> </v>
      </c>
      <c r="W322" s="107"/>
      <c r="X322" s="23"/>
      <c r="Y322" s="23"/>
      <c r="Z322" s="23"/>
    </row>
    <row r="323">
      <c r="A323" s="107"/>
      <c r="B323" s="103" t="str">
        <f>IFERROR( VLOOKUP($A323,'INVOICE DETAILS.'!$F$3:$G$1994,2,0)," ")</f>
        <v> </v>
      </c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8"/>
      <c r="O323" s="109"/>
      <c r="P323" s="109"/>
      <c r="Q323" s="107"/>
      <c r="R323" s="107"/>
      <c r="S323" s="107"/>
      <c r="T323" s="107"/>
      <c r="U323" s="107"/>
      <c r="V323" s="107" t="str">
        <f t="shared" si="1"/>
        <v> </v>
      </c>
      <c r="W323" s="107"/>
      <c r="X323" s="23"/>
      <c r="Y323" s="23"/>
      <c r="Z323" s="23"/>
    </row>
    <row r="324">
      <c r="A324" s="107"/>
      <c r="B324" s="103" t="str">
        <f>IFERROR( VLOOKUP($A324,'INVOICE DETAILS.'!$F$3:$G$1994,2,0)," ")</f>
        <v> </v>
      </c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8"/>
      <c r="O324" s="109"/>
      <c r="P324" s="109"/>
      <c r="Q324" s="107"/>
      <c r="R324" s="107"/>
      <c r="S324" s="107"/>
      <c r="T324" s="107"/>
      <c r="U324" s="107"/>
      <c r="V324" s="107" t="str">
        <f t="shared" si="1"/>
        <v> </v>
      </c>
      <c r="W324" s="107"/>
      <c r="X324" s="23"/>
      <c r="Y324" s="23"/>
      <c r="Z324" s="23"/>
    </row>
    <row r="325">
      <c r="A325" s="107"/>
      <c r="B325" s="103" t="str">
        <f>IFERROR( VLOOKUP($A325,'INVOICE DETAILS.'!$F$3:$G$1994,2,0)," ")</f>
        <v> </v>
      </c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8"/>
      <c r="O325" s="109"/>
      <c r="P325" s="109"/>
      <c r="Q325" s="107"/>
      <c r="R325" s="107"/>
      <c r="S325" s="107"/>
      <c r="T325" s="107"/>
      <c r="U325" s="107"/>
      <c r="V325" s="107" t="str">
        <f t="shared" si="1"/>
        <v> </v>
      </c>
      <c r="W325" s="107"/>
      <c r="X325" s="23"/>
      <c r="Y325" s="23"/>
      <c r="Z325" s="23"/>
    </row>
    <row r="326">
      <c r="A326" s="107"/>
      <c r="B326" s="103" t="str">
        <f>IFERROR( VLOOKUP($A326,'INVOICE DETAILS.'!$F$3:$G$1994,2,0)," ")</f>
        <v> </v>
      </c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8"/>
      <c r="O326" s="109"/>
      <c r="P326" s="109"/>
      <c r="Q326" s="107"/>
      <c r="R326" s="107"/>
      <c r="S326" s="107"/>
      <c r="T326" s="107"/>
      <c r="U326" s="107"/>
      <c r="V326" s="107" t="str">
        <f t="shared" si="1"/>
        <v> </v>
      </c>
      <c r="W326" s="107"/>
      <c r="X326" s="23"/>
      <c r="Y326" s="23"/>
      <c r="Z326" s="23"/>
    </row>
    <row r="327">
      <c r="A327" s="107"/>
      <c r="B327" s="103" t="str">
        <f>IFERROR( VLOOKUP($A327,'INVOICE DETAILS.'!$F$3:$G$1994,2,0)," ")</f>
        <v> </v>
      </c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8"/>
      <c r="O327" s="109"/>
      <c r="P327" s="109"/>
      <c r="Q327" s="107"/>
      <c r="R327" s="107"/>
      <c r="S327" s="107"/>
      <c r="T327" s="107"/>
      <c r="U327" s="107"/>
      <c r="V327" s="107" t="str">
        <f t="shared" si="1"/>
        <v> </v>
      </c>
      <c r="W327" s="107"/>
      <c r="X327" s="23"/>
      <c r="Y327" s="23"/>
      <c r="Z327" s="23"/>
    </row>
    <row r="328">
      <c r="A328" s="107"/>
      <c r="B328" s="103" t="str">
        <f>IFERROR( VLOOKUP($A328,'INVOICE DETAILS.'!$F$3:$G$1994,2,0)," ")</f>
        <v> </v>
      </c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8"/>
      <c r="O328" s="109"/>
      <c r="P328" s="109"/>
      <c r="Q328" s="107"/>
      <c r="R328" s="107"/>
      <c r="S328" s="107"/>
      <c r="T328" s="107"/>
      <c r="U328" s="107"/>
      <c r="V328" s="107" t="str">
        <f t="shared" si="1"/>
        <v> </v>
      </c>
      <c r="W328" s="107"/>
      <c r="X328" s="23"/>
      <c r="Y328" s="23"/>
      <c r="Z328" s="23"/>
    </row>
    <row r="329">
      <c r="A329" s="107"/>
      <c r="B329" s="103" t="str">
        <f>IFERROR( VLOOKUP($A329,'INVOICE DETAILS.'!$F$3:$G$1994,2,0)," ")</f>
        <v> </v>
      </c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8"/>
      <c r="O329" s="109"/>
      <c r="P329" s="109"/>
      <c r="Q329" s="107"/>
      <c r="R329" s="107"/>
      <c r="S329" s="107"/>
      <c r="T329" s="107"/>
      <c r="U329" s="107"/>
      <c r="V329" s="107" t="str">
        <f t="shared" si="1"/>
        <v> </v>
      </c>
      <c r="W329" s="107"/>
      <c r="X329" s="23"/>
      <c r="Y329" s="23"/>
      <c r="Z329" s="23"/>
    </row>
    <row r="330">
      <c r="A330" s="107"/>
      <c r="B330" s="103" t="str">
        <f>IFERROR( VLOOKUP($A330,'INVOICE DETAILS.'!$F$3:$G$1994,2,0)," ")</f>
        <v> </v>
      </c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8"/>
      <c r="O330" s="109"/>
      <c r="P330" s="109"/>
      <c r="Q330" s="107"/>
      <c r="R330" s="107"/>
      <c r="S330" s="107"/>
      <c r="T330" s="107"/>
      <c r="U330" s="107"/>
      <c r="V330" s="107" t="str">
        <f t="shared" si="1"/>
        <v> </v>
      </c>
      <c r="W330" s="107"/>
      <c r="X330" s="23"/>
      <c r="Y330" s="23"/>
      <c r="Z330" s="23"/>
    </row>
    <row r="331">
      <c r="A331" s="107"/>
      <c r="B331" s="103" t="str">
        <f>IFERROR( VLOOKUP($A331,'INVOICE DETAILS.'!$F$3:$G$1994,2,0)," ")</f>
        <v> </v>
      </c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8"/>
      <c r="O331" s="109"/>
      <c r="P331" s="109"/>
      <c r="Q331" s="107"/>
      <c r="R331" s="107"/>
      <c r="S331" s="107"/>
      <c r="T331" s="107"/>
      <c r="U331" s="107"/>
      <c r="V331" s="107" t="str">
        <f t="shared" si="1"/>
        <v> </v>
      </c>
      <c r="W331" s="107"/>
      <c r="X331" s="23"/>
      <c r="Y331" s="23"/>
      <c r="Z331" s="23"/>
    </row>
    <row r="332">
      <c r="A332" s="107"/>
      <c r="B332" s="103" t="str">
        <f>IFERROR( VLOOKUP($A332,'INVOICE DETAILS.'!$F$3:$G$1994,2,0)," ")</f>
        <v> </v>
      </c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8"/>
      <c r="O332" s="109"/>
      <c r="P332" s="109"/>
      <c r="Q332" s="107"/>
      <c r="R332" s="107"/>
      <c r="S332" s="107"/>
      <c r="T332" s="107"/>
      <c r="U332" s="107"/>
      <c r="V332" s="107" t="str">
        <f t="shared" si="1"/>
        <v> </v>
      </c>
      <c r="W332" s="107"/>
      <c r="X332" s="23"/>
      <c r="Y332" s="23"/>
      <c r="Z332" s="23"/>
    </row>
    <row r="333">
      <c r="A333" s="107"/>
      <c r="B333" s="103" t="str">
        <f>IFERROR( VLOOKUP($A333,'INVOICE DETAILS.'!$F$3:$G$1994,2,0)," ")</f>
        <v> </v>
      </c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8"/>
      <c r="O333" s="109"/>
      <c r="P333" s="109"/>
      <c r="Q333" s="107"/>
      <c r="R333" s="107"/>
      <c r="S333" s="107"/>
      <c r="T333" s="107"/>
      <c r="U333" s="107"/>
      <c r="V333" s="107" t="str">
        <f t="shared" si="1"/>
        <v> </v>
      </c>
      <c r="W333" s="107"/>
      <c r="X333" s="23"/>
      <c r="Y333" s="23"/>
      <c r="Z333" s="23"/>
    </row>
    <row r="334">
      <c r="A334" s="107"/>
      <c r="B334" s="103" t="str">
        <f>IFERROR( VLOOKUP($A334,'INVOICE DETAILS.'!$F$3:$G$1994,2,0)," ")</f>
        <v> </v>
      </c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8"/>
      <c r="O334" s="109"/>
      <c r="P334" s="109"/>
      <c r="Q334" s="107"/>
      <c r="R334" s="107"/>
      <c r="S334" s="107"/>
      <c r="T334" s="107"/>
      <c r="U334" s="107"/>
      <c r="V334" s="107" t="str">
        <f t="shared" si="1"/>
        <v> </v>
      </c>
      <c r="W334" s="107"/>
      <c r="X334" s="23"/>
      <c r="Y334" s="23"/>
      <c r="Z334" s="23"/>
    </row>
    <row r="335">
      <c r="A335" s="107"/>
      <c r="B335" s="103" t="str">
        <f>IFERROR( VLOOKUP($A335,'INVOICE DETAILS.'!$F$3:$G$1994,2,0)," ")</f>
        <v> </v>
      </c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8"/>
      <c r="O335" s="109"/>
      <c r="P335" s="109"/>
      <c r="Q335" s="107"/>
      <c r="R335" s="107"/>
      <c r="S335" s="107"/>
      <c r="T335" s="107"/>
      <c r="U335" s="107"/>
      <c r="V335" s="107" t="str">
        <f t="shared" si="1"/>
        <v> </v>
      </c>
      <c r="W335" s="107"/>
      <c r="X335" s="23"/>
      <c r="Y335" s="23"/>
      <c r="Z335" s="23"/>
    </row>
    <row r="336">
      <c r="A336" s="107"/>
      <c r="B336" s="103" t="str">
        <f>IFERROR( VLOOKUP($A336,'INVOICE DETAILS.'!$F$3:$G$1994,2,0)," ")</f>
        <v> </v>
      </c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8"/>
      <c r="O336" s="109"/>
      <c r="P336" s="109"/>
      <c r="Q336" s="107"/>
      <c r="R336" s="107"/>
      <c r="S336" s="107"/>
      <c r="T336" s="107"/>
      <c r="U336" s="107"/>
      <c r="V336" s="107" t="str">
        <f t="shared" si="1"/>
        <v> </v>
      </c>
      <c r="W336" s="107"/>
      <c r="X336" s="23"/>
      <c r="Y336" s="23"/>
      <c r="Z336" s="23"/>
    </row>
    <row r="337">
      <c r="A337" s="107"/>
      <c r="B337" s="103" t="str">
        <f>IFERROR( VLOOKUP($A337,'INVOICE DETAILS.'!$F$3:$G$1994,2,0)," ")</f>
        <v> </v>
      </c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8"/>
      <c r="O337" s="109"/>
      <c r="P337" s="109"/>
      <c r="Q337" s="107"/>
      <c r="R337" s="107"/>
      <c r="S337" s="107"/>
      <c r="T337" s="107"/>
      <c r="U337" s="107"/>
      <c r="V337" s="107" t="str">
        <f t="shared" si="1"/>
        <v> </v>
      </c>
      <c r="W337" s="107"/>
      <c r="X337" s="23"/>
      <c r="Y337" s="23"/>
      <c r="Z337" s="23"/>
    </row>
    <row r="338">
      <c r="A338" s="107"/>
      <c r="B338" s="103" t="str">
        <f>IFERROR( VLOOKUP($A338,'INVOICE DETAILS.'!$F$3:$G$1994,2,0)," ")</f>
        <v> </v>
      </c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8"/>
      <c r="O338" s="109"/>
      <c r="P338" s="109"/>
      <c r="Q338" s="107"/>
      <c r="R338" s="107"/>
      <c r="S338" s="107"/>
      <c r="T338" s="107"/>
      <c r="U338" s="107"/>
      <c r="V338" s="107" t="str">
        <f t="shared" si="1"/>
        <v> </v>
      </c>
      <c r="W338" s="107"/>
      <c r="X338" s="23"/>
      <c r="Y338" s="23"/>
      <c r="Z338" s="23"/>
    </row>
    <row r="339">
      <c r="A339" s="107"/>
      <c r="B339" s="103" t="str">
        <f>IFERROR( VLOOKUP($A339,'INVOICE DETAILS.'!$F$3:$G$1994,2,0)," ")</f>
        <v> </v>
      </c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8"/>
      <c r="O339" s="109"/>
      <c r="P339" s="109"/>
      <c r="Q339" s="107"/>
      <c r="R339" s="107"/>
      <c r="S339" s="107"/>
      <c r="T339" s="107"/>
      <c r="U339" s="107"/>
      <c r="V339" s="107" t="str">
        <f t="shared" si="1"/>
        <v> </v>
      </c>
      <c r="W339" s="107"/>
      <c r="X339" s="23"/>
      <c r="Y339" s="23"/>
      <c r="Z339" s="23"/>
    </row>
    <row r="340">
      <c r="A340" s="107"/>
      <c r="B340" s="103" t="str">
        <f>IFERROR( VLOOKUP($A340,'INVOICE DETAILS.'!$F$3:$G$1994,2,0)," ")</f>
        <v> </v>
      </c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8"/>
      <c r="O340" s="109"/>
      <c r="P340" s="109"/>
      <c r="Q340" s="107"/>
      <c r="R340" s="107"/>
      <c r="S340" s="107"/>
      <c r="T340" s="107"/>
      <c r="U340" s="107"/>
      <c r="V340" s="107" t="str">
        <f t="shared" si="1"/>
        <v> </v>
      </c>
      <c r="W340" s="107"/>
      <c r="X340" s="23"/>
      <c r="Y340" s="23"/>
      <c r="Z340" s="23"/>
    </row>
    <row r="341">
      <c r="A341" s="107"/>
      <c r="B341" s="103" t="str">
        <f>IFERROR( VLOOKUP($A341,'INVOICE DETAILS.'!$F$3:$G$1994,2,0)," ")</f>
        <v> </v>
      </c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8"/>
      <c r="O341" s="109"/>
      <c r="P341" s="109"/>
      <c r="Q341" s="107"/>
      <c r="R341" s="107"/>
      <c r="S341" s="107"/>
      <c r="T341" s="107"/>
      <c r="U341" s="107"/>
      <c r="V341" s="107" t="str">
        <f t="shared" si="1"/>
        <v> </v>
      </c>
      <c r="W341" s="107"/>
      <c r="X341" s="23"/>
      <c r="Y341" s="23"/>
      <c r="Z341" s="23"/>
    </row>
    <row r="342">
      <c r="A342" s="107"/>
      <c r="B342" s="103" t="str">
        <f>IFERROR( VLOOKUP($A342,'INVOICE DETAILS.'!$F$3:$G$1994,2,0)," ")</f>
        <v> </v>
      </c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8"/>
      <c r="O342" s="109"/>
      <c r="P342" s="109"/>
      <c r="Q342" s="107"/>
      <c r="R342" s="107"/>
      <c r="S342" s="107"/>
      <c r="T342" s="107"/>
      <c r="U342" s="107"/>
      <c r="V342" s="107" t="str">
        <f t="shared" si="1"/>
        <v> </v>
      </c>
      <c r="W342" s="107"/>
      <c r="X342" s="23"/>
      <c r="Y342" s="23"/>
      <c r="Z342" s="23"/>
    </row>
    <row r="343">
      <c r="A343" s="107"/>
      <c r="B343" s="103" t="str">
        <f>IFERROR( VLOOKUP($A343,'INVOICE DETAILS.'!$F$3:$G$1994,2,0)," ")</f>
        <v> </v>
      </c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8"/>
      <c r="O343" s="109"/>
      <c r="P343" s="109"/>
      <c r="Q343" s="107"/>
      <c r="R343" s="107"/>
      <c r="S343" s="107"/>
      <c r="T343" s="107"/>
      <c r="U343" s="107"/>
      <c r="V343" s="107" t="str">
        <f t="shared" si="1"/>
        <v> </v>
      </c>
      <c r="W343" s="107"/>
      <c r="X343" s="23"/>
      <c r="Y343" s="23"/>
      <c r="Z343" s="23"/>
    </row>
    <row r="344">
      <c r="A344" s="107"/>
      <c r="B344" s="103" t="str">
        <f>IFERROR( VLOOKUP($A344,'INVOICE DETAILS.'!$F$3:$G$1994,2,0)," ")</f>
        <v> </v>
      </c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8"/>
      <c r="O344" s="109"/>
      <c r="P344" s="109"/>
      <c r="Q344" s="107"/>
      <c r="R344" s="107"/>
      <c r="S344" s="107"/>
      <c r="T344" s="107"/>
      <c r="U344" s="107"/>
      <c r="V344" s="107" t="str">
        <f t="shared" si="1"/>
        <v> </v>
      </c>
      <c r="W344" s="107"/>
      <c r="X344" s="23"/>
      <c r="Y344" s="23"/>
      <c r="Z344" s="23"/>
    </row>
    <row r="345">
      <c r="A345" s="107"/>
      <c r="B345" s="103" t="str">
        <f>IFERROR( VLOOKUP($A345,'INVOICE DETAILS.'!$F$3:$G$1994,2,0)," ")</f>
        <v> </v>
      </c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8"/>
      <c r="O345" s="109"/>
      <c r="P345" s="109"/>
      <c r="Q345" s="107"/>
      <c r="R345" s="107"/>
      <c r="S345" s="107"/>
      <c r="T345" s="107"/>
      <c r="U345" s="107"/>
      <c r="V345" s="107" t="str">
        <f t="shared" si="1"/>
        <v> </v>
      </c>
      <c r="W345" s="107"/>
      <c r="X345" s="23"/>
      <c r="Y345" s="23"/>
      <c r="Z345" s="23"/>
    </row>
    <row r="346">
      <c r="A346" s="107"/>
      <c r="B346" s="103" t="str">
        <f>IFERROR( VLOOKUP($A346,'INVOICE DETAILS.'!$F$3:$G$1994,2,0)," ")</f>
        <v> </v>
      </c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8"/>
      <c r="O346" s="109"/>
      <c r="P346" s="109"/>
      <c r="Q346" s="107"/>
      <c r="R346" s="107"/>
      <c r="S346" s="107"/>
      <c r="T346" s="107"/>
      <c r="U346" s="107"/>
      <c r="V346" s="107" t="str">
        <f t="shared" si="1"/>
        <v> </v>
      </c>
      <c r="W346" s="107"/>
      <c r="X346" s="23"/>
      <c r="Y346" s="23"/>
      <c r="Z346" s="23"/>
    </row>
    <row r="347">
      <c r="A347" s="107"/>
      <c r="B347" s="103" t="str">
        <f>IFERROR( VLOOKUP($A347,'INVOICE DETAILS.'!$F$3:$G$1994,2,0)," ")</f>
        <v> </v>
      </c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8"/>
      <c r="O347" s="109"/>
      <c r="P347" s="109"/>
      <c r="Q347" s="107"/>
      <c r="R347" s="107"/>
      <c r="S347" s="107"/>
      <c r="T347" s="107"/>
      <c r="U347" s="107"/>
      <c r="V347" s="107" t="str">
        <f t="shared" si="1"/>
        <v> </v>
      </c>
      <c r="W347" s="107"/>
      <c r="X347" s="23"/>
      <c r="Y347" s="23"/>
      <c r="Z347" s="23"/>
    </row>
    <row r="348">
      <c r="A348" s="107"/>
      <c r="B348" s="103" t="str">
        <f>IFERROR( VLOOKUP($A348,'INVOICE DETAILS.'!$F$3:$G$1994,2,0)," ")</f>
        <v> </v>
      </c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8"/>
      <c r="O348" s="109"/>
      <c r="P348" s="109"/>
      <c r="Q348" s="107"/>
      <c r="R348" s="107"/>
      <c r="S348" s="107"/>
      <c r="T348" s="107"/>
      <c r="U348" s="107"/>
      <c r="V348" s="107" t="str">
        <f t="shared" si="1"/>
        <v> </v>
      </c>
      <c r="W348" s="107"/>
      <c r="X348" s="23"/>
      <c r="Y348" s="23"/>
      <c r="Z348" s="23"/>
    </row>
    <row r="349">
      <c r="A349" s="107"/>
      <c r="B349" s="103" t="str">
        <f>IFERROR( VLOOKUP($A349,'INVOICE DETAILS.'!$F$3:$G$1994,2,0)," ")</f>
        <v> </v>
      </c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8"/>
      <c r="O349" s="109"/>
      <c r="P349" s="109"/>
      <c r="Q349" s="107"/>
      <c r="R349" s="107"/>
      <c r="S349" s="107"/>
      <c r="T349" s="107"/>
      <c r="U349" s="107"/>
      <c r="V349" s="107" t="str">
        <f t="shared" si="1"/>
        <v> </v>
      </c>
      <c r="W349" s="107"/>
      <c r="X349" s="23"/>
      <c r="Y349" s="23"/>
      <c r="Z349" s="23"/>
    </row>
    <row r="350">
      <c r="A350" s="107"/>
      <c r="B350" s="103" t="str">
        <f>IFERROR( VLOOKUP($A350,'INVOICE DETAILS.'!$F$3:$G$1994,2,0)," ")</f>
        <v> </v>
      </c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8"/>
      <c r="O350" s="109"/>
      <c r="P350" s="109"/>
      <c r="Q350" s="107"/>
      <c r="R350" s="107"/>
      <c r="S350" s="107"/>
      <c r="T350" s="107"/>
      <c r="U350" s="107"/>
      <c r="V350" s="107" t="str">
        <f t="shared" si="1"/>
        <v> </v>
      </c>
      <c r="W350" s="107"/>
      <c r="X350" s="23"/>
      <c r="Y350" s="23"/>
      <c r="Z350" s="23"/>
    </row>
    <row r="351">
      <c r="A351" s="107"/>
      <c r="B351" s="103" t="str">
        <f>IFERROR( VLOOKUP($A351,'INVOICE DETAILS.'!$F$3:$G$1994,2,0)," ")</f>
        <v> </v>
      </c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8"/>
      <c r="O351" s="109"/>
      <c r="P351" s="109"/>
      <c r="Q351" s="107"/>
      <c r="R351" s="107"/>
      <c r="S351" s="107"/>
      <c r="T351" s="107"/>
      <c r="U351" s="107"/>
      <c r="V351" s="107" t="str">
        <f t="shared" si="1"/>
        <v> </v>
      </c>
      <c r="W351" s="107"/>
      <c r="X351" s="23"/>
      <c r="Y351" s="23"/>
      <c r="Z351" s="23"/>
    </row>
    <row r="352">
      <c r="A352" s="107"/>
      <c r="B352" s="103" t="str">
        <f>IFERROR( VLOOKUP($A352,'INVOICE DETAILS.'!$F$3:$G$1994,2,0)," ")</f>
        <v> </v>
      </c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8"/>
      <c r="O352" s="109"/>
      <c r="P352" s="109"/>
      <c r="Q352" s="107"/>
      <c r="R352" s="107"/>
      <c r="S352" s="107"/>
      <c r="T352" s="107"/>
      <c r="U352" s="107"/>
      <c r="V352" s="107" t="str">
        <f t="shared" si="1"/>
        <v> </v>
      </c>
      <c r="W352" s="107"/>
      <c r="X352" s="23"/>
      <c r="Y352" s="23"/>
      <c r="Z352" s="23"/>
    </row>
    <row r="353">
      <c r="A353" s="107"/>
      <c r="B353" s="103" t="str">
        <f>IFERROR( VLOOKUP($A353,'INVOICE DETAILS.'!$F$3:$G$1994,2,0)," ")</f>
        <v> </v>
      </c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8"/>
      <c r="O353" s="109"/>
      <c r="P353" s="109"/>
      <c r="Q353" s="107"/>
      <c r="R353" s="107"/>
      <c r="S353" s="107"/>
      <c r="T353" s="107"/>
      <c r="U353" s="107"/>
      <c r="V353" s="107" t="str">
        <f t="shared" si="1"/>
        <v> </v>
      </c>
      <c r="W353" s="107"/>
      <c r="X353" s="23"/>
      <c r="Y353" s="23"/>
      <c r="Z353" s="23"/>
    </row>
    <row r="354">
      <c r="A354" s="107"/>
      <c r="B354" s="103" t="str">
        <f>IFERROR( VLOOKUP($A354,'INVOICE DETAILS.'!$F$3:$G$1994,2,0)," ")</f>
        <v> </v>
      </c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8"/>
      <c r="O354" s="109"/>
      <c r="P354" s="109"/>
      <c r="Q354" s="107"/>
      <c r="R354" s="107"/>
      <c r="S354" s="107"/>
      <c r="T354" s="107"/>
      <c r="U354" s="107"/>
      <c r="V354" s="107" t="str">
        <f t="shared" si="1"/>
        <v> </v>
      </c>
      <c r="W354" s="107"/>
      <c r="X354" s="23"/>
      <c r="Y354" s="23"/>
      <c r="Z354" s="23"/>
    </row>
    <row r="355">
      <c r="A355" s="107"/>
      <c r="B355" s="103" t="str">
        <f>IFERROR( VLOOKUP($A355,'INVOICE DETAILS.'!$F$3:$G$1994,2,0)," ")</f>
        <v> </v>
      </c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8"/>
      <c r="O355" s="109"/>
      <c r="P355" s="109"/>
      <c r="Q355" s="107"/>
      <c r="R355" s="107"/>
      <c r="S355" s="107"/>
      <c r="T355" s="107"/>
      <c r="U355" s="107"/>
      <c r="V355" s="107" t="str">
        <f t="shared" si="1"/>
        <v> </v>
      </c>
      <c r="W355" s="107"/>
      <c r="X355" s="23"/>
      <c r="Y355" s="23"/>
      <c r="Z355" s="23"/>
    </row>
    <row r="356">
      <c r="A356" s="107"/>
      <c r="B356" s="103" t="str">
        <f>IFERROR( VLOOKUP($A356,'INVOICE DETAILS.'!$F$3:$G$1994,2,0)," ")</f>
        <v> </v>
      </c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8"/>
      <c r="O356" s="109"/>
      <c r="P356" s="109"/>
      <c r="Q356" s="107"/>
      <c r="R356" s="107"/>
      <c r="S356" s="107"/>
      <c r="T356" s="107"/>
      <c r="U356" s="107"/>
      <c r="V356" s="107" t="str">
        <f t="shared" si="1"/>
        <v> </v>
      </c>
      <c r="W356" s="107"/>
      <c r="X356" s="23"/>
      <c r="Y356" s="23"/>
      <c r="Z356" s="23"/>
    </row>
    <row r="357">
      <c r="A357" s="107"/>
      <c r="B357" s="103" t="str">
        <f>IFERROR( VLOOKUP($A357,'INVOICE DETAILS.'!$F$3:$G$1994,2,0)," ")</f>
        <v> </v>
      </c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8"/>
      <c r="O357" s="109"/>
      <c r="P357" s="109"/>
      <c r="Q357" s="107"/>
      <c r="R357" s="107"/>
      <c r="S357" s="107"/>
      <c r="T357" s="107"/>
      <c r="U357" s="107"/>
      <c r="V357" s="107" t="str">
        <f t="shared" si="1"/>
        <v> </v>
      </c>
      <c r="W357" s="107"/>
      <c r="X357" s="23"/>
      <c r="Y357" s="23"/>
      <c r="Z357" s="23"/>
    </row>
    <row r="358">
      <c r="A358" s="107"/>
      <c r="B358" s="103" t="str">
        <f>IFERROR( VLOOKUP($A358,'INVOICE DETAILS.'!$F$3:$G$1994,2,0)," ")</f>
        <v> </v>
      </c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8"/>
      <c r="O358" s="109"/>
      <c r="P358" s="109"/>
      <c r="Q358" s="107"/>
      <c r="R358" s="107"/>
      <c r="S358" s="107"/>
      <c r="T358" s="107"/>
      <c r="U358" s="107"/>
      <c r="V358" s="107" t="str">
        <f t="shared" si="1"/>
        <v> </v>
      </c>
      <c r="W358" s="107"/>
      <c r="X358" s="23"/>
      <c r="Y358" s="23"/>
      <c r="Z358" s="23"/>
    </row>
    <row r="359">
      <c r="A359" s="107"/>
      <c r="B359" s="103" t="str">
        <f>IFERROR( VLOOKUP($A359,'INVOICE DETAILS.'!$F$3:$G$1994,2,0)," ")</f>
        <v> </v>
      </c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8"/>
      <c r="O359" s="109"/>
      <c r="P359" s="109"/>
      <c r="Q359" s="107"/>
      <c r="R359" s="107"/>
      <c r="S359" s="107"/>
      <c r="T359" s="107"/>
      <c r="U359" s="107"/>
      <c r="V359" s="107" t="str">
        <f t="shared" si="1"/>
        <v> </v>
      </c>
      <c r="W359" s="107"/>
      <c r="X359" s="23"/>
      <c r="Y359" s="23"/>
      <c r="Z359" s="23"/>
    </row>
    <row r="360">
      <c r="A360" s="107"/>
      <c r="B360" s="103" t="str">
        <f>IFERROR( VLOOKUP($A360,'INVOICE DETAILS.'!$F$3:$G$1994,2,0)," ")</f>
        <v> </v>
      </c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8"/>
      <c r="O360" s="109"/>
      <c r="P360" s="109"/>
      <c r="Q360" s="107"/>
      <c r="R360" s="107"/>
      <c r="S360" s="107"/>
      <c r="T360" s="107"/>
      <c r="U360" s="107"/>
      <c r="V360" s="107" t="str">
        <f t="shared" si="1"/>
        <v> </v>
      </c>
      <c r="W360" s="107"/>
      <c r="X360" s="23"/>
      <c r="Y360" s="23"/>
      <c r="Z360" s="23"/>
    </row>
    <row r="361">
      <c r="A361" s="107"/>
      <c r="B361" s="103" t="str">
        <f>IFERROR( VLOOKUP($A361,'INVOICE DETAILS.'!$F$3:$G$1994,2,0)," ")</f>
        <v> </v>
      </c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8"/>
      <c r="O361" s="109"/>
      <c r="P361" s="109"/>
      <c r="Q361" s="107"/>
      <c r="R361" s="107"/>
      <c r="S361" s="107"/>
      <c r="T361" s="107"/>
      <c r="U361" s="107"/>
      <c r="V361" s="107" t="str">
        <f t="shared" si="1"/>
        <v> </v>
      </c>
      <c r="W361" s="107"/>
      <c r="X361" s="23"/>
      <c r="Y361" s="23"/>
      <c r="Z361" s="23"/>
    </row>
    <row r="362">
      <c r="A362" s="107"/>
      <c r="B362" s="103" t="str">
        <f>IFERROR( VLOOKUP($A362,'INVOICE DETAILS.'!$F$3:$G$1994,2,0)," ")</f>
        <v> </v>
      </c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8"/>
      <c r="O362" s="109"/>
      <c r="P362" s="109"/>
      <c r="Q362" s="107"/>
      <c r="R362" s="107"/>
      <c r="S362" s="107"/>
      <c r="T362" s="107"/>
      <c r="U362" s="107"/>
      <c r="V362" s="107" t="str">
        <f t="shared" si="1"/>
        <v> </v>
      </c>
      <c r="W362" s="107"/>
      <c r="X362" s="23"/>
      <c r="Y362" s="23"/>
      <c r="Z362" s="23"/>
    </row>
    <row r="363">
      <c r="A363" s="107"/>
      <c r="B363" s="103" t="str">
        <f>IFERROR( VLOOKUP($A363,'INVOICE DETAILS.'!$F$3:$G$1994,2,0)," ")</f>
        <v> </v>
      </c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8"/>
      <c r="O363" s="109"/>
      <c r="P363" s="109"/>
      <c r="Q363" s="107"/>
      <c r="R363" s="107"/>
      <c r="S363" s="107"/>
      <c r="T363" s="107"/>
      <c r="U363" s="107"/>
      <c r="V363" s="107" t="str">
        <f t="shared" si="1"/>
        <v> </v>
      </c>
      <c r="W363" s="107"/>
      <c r="X363" s="23"/>
      <c r="Y363" s="23"/>
      <c r="Z363" s="23"/>
    </row>
    <row r="364">
      <c r="A364" s="107"/>
      <c r="B364" s="103" t="str">
        <f>IFERROR( VLOOKUP($A364,'INVOICE DETAILS.'!$F$3:$G$1994,2,0)," ")</f>
        <v> </v>
      </c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8"/>
      <c r="O364" s="109"/>
      <c r="P364" s="109"/>
      <c r="Q364" s="107"/>
      <c r="R364" s="107"/>
      <c r="S364" s="107"/>
      <c r="T364" s="107"/>
      <c r="U364" s="107"/>
      <c r="V364" s="107" t="str">
        <f t="shared" si="1"/>
        <v> </v>
      </c>
      <c r="W364" s="107"/>
      <c r="X364" s="23"/>
      <c r="Y364" s="23"/>
      <c r="Z364" s="23"/>
    </row>
    <row r="365">
      <c r="A365" s="107"/>
      <c r="B365" s="103" t="str">
        <f>IFERROR( VLOOKUP($A365,'INVOICE DETAILS.'!$F$3:$G$1994,2,0)," ")</f>
        <v> </v>
      </c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8"/>
      <c r="O365" s="109"/>
      <c r="P365" s="109"/>
      <c r="Q365" s="107"/>
      <c r="R365" s="107"/>
      <c r="S365" s="107"/>
      <c r="T365" s="107"/>
      <c r="U365" s="107"/>
      <c r="V365" s="107" t="str">
        <f t="shared" si="1"/>
        <v> </v>
      </c>
      <c r="W365" s="107"/>
      <c r="X365" s="23"/>
      <c r="Y365" s="23"/>
      <c r="Z365" s="23"/>
    </row>
    <row r="366">
      <c r="A366" s="107"/>
      <c r="B366" s="103" t="str">
        <f>IFERROR( VLOOKUP($A366,'INVOICE DETAILS.'!$F$3:$G$1994,2,0)," ")</f>
        <v> </v>
      </c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8"/>
      <c r="O366" s="109"/>
      <c r="P366" s="109"/>
      <c r="Q366" s="107"/>
      <c r="R366" s="107"/>
      <c r="S366" s="107"/>
      <c r="T366" s="107"/>
      <c r="U366" s="107"/>
      <c r="V366" s="107" t="str">
        <f t="shared" si="1"/>
        <v> </v>
      </c>
      <c r="W366" s="107"/>
      <c r="X366" s="23"/>
      <c r="Y366" s="23"/>
      <c r="Z366" s="23"/>
    </row>
    <row r="367">
      <c r="A367" s="107"/>
      <c r="B367" s="103" t="str">
        <f>IFERROR( VLOOKUP($A367,'INVOICE DETAILS.'!$F$3:$G$1994,2,0)," ")</f>
        <v> </v>
      </c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8"/>
      <c r="O367" s="109"/>
      <c r="P367" s="109"/>
      <c r="Q367" s="107"/>
      <c r="R367" s="107"/>
      <c r="S367" s="107"/>
      <c r="T367" s="107"/>
      <c r="U367" s="107"/>
      <c r="V367" s="107" t="str">
        <f t="shared" si="1"/>
        <v> </v>
      </c>
      <c r="W367" s="107"/>
      <c r="X367" s="23"/>
      <c r="Y367" s="23"/>
      <c r="Z367" s="23"/>
    </row>
    <row r="368">
      <c r="A368" s="107"/>
      <c r="B368" s="103" t="str">
        <f>IFERROR( VLOOKUP($A368,'INVOICE DETAILS.'!$F$3:$G$1994,2,0)," ")</f>
        <v> </v>
      </c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8"/>
      <c r="O368" s="109"/>
      <c r="P368" s="109"/>
      <c r="Q368" s="107"/>
      <c r="R368" s="107"/>
      <c r="S368" s="107"/>
      <c r="T368" s="107"/>
      <c r="U368" s="107"/>
      <c r="V368" s="107" t="str">
        <f t="shared" si="1"/>
        <v> </v>
      </c>
      <c r="W368" s="107"/>
      <c r="X368" s="23"/>
      <c r="Y368" s="23"/>
      <c r="Z368" s="23"/>
    </row>
    <row r="369">
      <c r="A369" s="107"/>
      <c r="B369" s="103" t="str">
        <f>IFERROR( VLOOKUP($A369,'INVOICE DETAILS.'!$F$3:$G$1994,2,0)," ")</f>
        <v> </v>
      </c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8"/>
      <c r="O369" s="109"/>
      <c r="P369" s="109"/>
      <c r="Q369" s="107"/>
      <c r="R369" s="107"/>
      <c r="S369" s="107"/>
      <c r="T369" s="107"/>
      <c r="U369" s="107"/>
      <c r="V369" s="107" t="str">
        <f t="shared" si="1"/>
        <v> </v>
      </c>
      <c r="W369" s="107"/>
      <c r="X369" s="23"/>
      <c r="Y369" s="23"/>
      <c r="Z369" s="23"/>
    </row>
    <row r="370">
      <c r="A370" s="107"/>
      <c r="B370" s="103" t="str">
        <f>IFERROR( VLOOKUP($A370,'INVOICE DETAILS.'!$F$3:$G$1994,2,0)," ")</f>
        <v> </v>
      </c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8"/>
      <c r="O370" s="109"/>
      <c r="P370" s="109"/>
      <c r="Q370" s="107"/>
      <c r="R370" s="107"/>
      <c r="S370" s="107"/>
      <c r="T370" s="107"/>
      <c r="U370" s="107"/>
      <c r="V370" s="107" t="str">
        <f t="shared" si="1"/>
        <v> </v>
      </c>
      <c r="W370" s="107"/>
      <c r="X370" s="23"/>
      <c r="Y370" s="23"/>
      <c r="Z370" s="23"/>
    </row>
    <row r="371">
      <c r="A371" s="107"/>
      <c r="B371" s="103" t="str">
        <f>IFERROR( VLOOKUP($A371,'INVOICE DETAILS.'!$F$3:$G$1994,2,0)," ")</f>
        <v> </v>
      </c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8"/>
      <c r="O371" s="109"/>
      <c r="P371" s="109"/>
      <c r="Q371" s="107"/>
      <c r="R371" s="107"/>
      <c r="S371" s="107"/>
      <c r="T371" s="107"/>
      <c r="U371" s="107"/>
      <c r="V371" s="107" t="str">
        <f t="shared" si="1"/>
        <v> </v>
      </c>
      <c r="W371" s="107"/>
      <c r="X371" s="23"/>
      <c r="Y371" s="23"/>
      <c r="Z371" s="23"/>
    </row>
    <row r="372">
      <c r="A372" s="107"/>
      <c r="B372" s="103" t="str">
        <f>IFERROR( VLOOKUP($A372,'INVOICE DETAILS.'!$F$3:$G$1994,2,0)," ")</f>
        <v> </v>
      </c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8"/>
      <c r="O372" s="109"/>
      <c r="P372" s="109"/>
      <c r="Q372" s="107"/>
      <c r="R372" s="107"/>
      <c r="S372" s="107"/>
      <c r="T372" s="107"/>
      <c r="U372" s="107"/>
      <c r="V372" s="107" t="str">
        <f t="shared" si="1"/>
        <v> </v>
      </c>
      <c r="W372" s="107"/>
      <c r="X372" s="23"/>
      <c r="Y372" s="23"/>
      <c r="Z372" s="23"/>
    </row>
    <row r="373">
      <c r="A373" s="107"/>
      <c r="B373" s="103" t="str">
        <f>IFERROR( VLOOKUP($A373,'INVOICE DETAILS.'!$F$3:$G$1994,2,0)," ")</f>
        <v> </v>
      </c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8"/>
      <c r="O373" s="109"/>
      <c r="P373" s="109"/>
      <c r="Q373" s="107"/>
      <c r="R373" s="107"/>
      <c r="S373" s="107"/>
      <c r="T373" s="107"/>
      <c r="U373" s="107"/>
      <c r="V373" s="107" t="str">
        <f t="shared" si="1"/>
        <v> </v>
      </c>
      <c r="W373" s="107"/>
      <c r="X373" s="23"/>
      <c r="Y373" s="23"/>
      <c r="Z373" s="23"/>
    </row>
    <row r="374">
      <c r="A374" s="107"/>
      <c r="B374" s="103" t="str">
        <f>IFERROR( VLOOKUP($A374,'INVOICE DETAILS.'!$F$3:$G$1994,2,0)," ")</f>
        <v> </v>
      </c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8"/>
      <c r="O374" s="109"/>
      <c r="P374" s="109"/>
      <c r="Q374" s="107"/>
      <c r="R374" s="107"/>
      <c r="S374" s="107"/>
      <c r="T374" s="107"/>
      <c r="U374" s="107"/>
      <c r="V374" s="107" t="str">
        <f t="shared" si="1"/>
        <v> </v>
      </c>
      <c r="W374" s="107"/>
      <c r="X374" s="23"/>
      <c r="Y374" s="23"/>
      <c r="Z374" s="23"/>
    </row>
    <row r="375">
      <c r="A375" s="107"/>
      <c r="B375" s="103" t="str">
        <f>IFERROR( VLOOKUP($A375,'INVOICE DETAILS.'!$F$3:$G$1994,2,0)," ")</f>
        <v> </v>
      </c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8"/>
      <c r="O375" s="109"/>
      <c r="P375" s="109"/>
      <c r="Q375" s="107"/>
      <c r="R375" s="107"/>
      <c r="S375" s="107"/>
      <c r="T375" s="107"/>
      <c r="U375" s="107"/>
      <c r="V375" s="107" t="str">
        <f t="shared" si="1"/>
        <v> </v>
      </c>
      <c r="W375" s="107"/>
      <c r="X375" s="23"/>
      <c r="Y375" s="23"/>
      <c r="Z375" s="23"/>
    </row>
    <row r="376">
      <c r="A376" s="107"/>
      <c r="B376" s="103" t="str">
        <f>IFERROR( VLOOKUP($A376,'INVOICE DETAILS.'!$F$3:$G$1994,2,0)," ")</f>
        <v> </v>
      </c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8"/>
      <c r="O376" s="109"/>
      <c r="P376" s="109"/>
      <c r="Q376" s="107"/>
      <c r="R376" s="107"/>
      <c r="S376" s="107"/>
      <c r="T376" s="107"/>
      <c r="U376" s="107"/>
      <c r="V376" s="107" t="str">
        <f t="shared" si="1"/>
        <v> </v>
      </c>
      <c r="W376" s="107"/>
      <c r="X376" s="23"/>
      <c r="Y376" s="23"/>
      <c r="Z376" s="23"/>
    </row>
    <row r="377">
      <c r="A377" s="107"/>
      <c r="B377" s="103" t="str">
        <f>IFERROR( VLOOKUP($A377,'INVOICE DETAILS.'!$F$3:$G$1994,2,0)," ")</f>
        <v> </v>
      </c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8"/>
      <c r="O377" s="109"/>
      <c r="P377" s="109"/>
      <c r="Q377" s="107"/>
      <c r="R377" s="107"/>
      <c r="S377" s="107"/>
      <c r="T377" s="107"/>
      <c r="U377" s="107"/>
      <c r="V377" s="107" t="str">
        <f t="shared" si="1"/>
        <v> </v>
      </c>
      <c r="W377" s="107"/>
      <c r="X377" s="23"/>
      <c r="Y377" s="23"/>
      <c r="Z377" s="23"/>
    </row>
    <row r="378">
      <c r="A378" s="107"/>
      <c r="B378" s="103" t="str">
        <f>IFERROR( VLOOKUP($A378,'INVOICE DETAILS.'!$F$3:$G$1994,2,0)," ")</f>
        <v> </v>
      </c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8"/>
      <c r="O378" s="109"/>
      <c r="P378" s="109"/>
      <c r="Q378" s="107"/>
      <c r="R378" s="107"/>
      <c r="S378" s="107"/>
      <c r="T378" s="107"/>
      <c r="U378" s="107"/>
      <c r="V378" s="107" t="str">
        <f t="shared" si="1"/>
        <v> </v>
      </c>
      <c r="W378" s="107"/>
      <c r="X378" s="23"/>
      <c r="Y378" s="23"/>
      <c r="Z378" s="23"/>
    </row>
    <row r="379">
      <c r="A379" s="107"/>
      <c r="B379" s="103" t="str">
        <f>IFERROR( VLOOKUP($A379,'INVOICE DETAILS.'!$F$3:$G$1994,2,0)," ")</f>
        <v> </v>
      </c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8"/>
      <c r="O379" s="109"/>
      <c r="P379" s="109"/>
      <c r="Q379" s="107"/>
      <c r="R379" s="107"/>
      <c r="S379" s="107"/>
      <c r="T379" s="107"/>
      <c r="U379" s="107"/>
      <c r="V379" s="107" t="str">
        <f t="shared" si="1"/>
        <v> </v>
      </c>
      <c r="W379" s="107"/>
      <c r="X379" s="23"/>
      <c r="Y379" s="23"/>
      <c r="Z379" s="23"/>
    </row>
    <row r="380">
      <c r="A380" s="107"/>
      <c r="B380" s="103" t="str">
        <f>IFERROR( VLOOKUP($A380,'INVOICE DETAILS.'!$F$3:$G$1994,2,0)," ")</f>
        <v> </v>
      </c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8"/>
      <c r="O380" s="109"/>
      <c r="P380" s="109"/>
      <c r="Q380" s="107"/>
      <c r="R380" s="107"/>
      <c r="S380" s="107"/>
      <c r="T380" s="107"/>
      <c r="U380" s="107"/>
      <c r="V380" s="107" t="str">
        <f t="shared" si="1"/>
        <v> </v>
      </c>
      <c r="W380" s="107"/>
      <c r="X380" s="23"/>
      <c r="Y380" s="23"/>
      <c r="Z380" s="23"/>
    </row>
    <row r="381">
      <c r="A381" s="107"/>
      <c r="B381" s="103" t="str">
        <f>IFERROR( VLOOKUP($A381,'INVOICE DETAILS.'!$F$3:$G$1994,2,0)," ")</f>
        <v> </v>
      </c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8"/>
      <c r="O381" s="109"/>
      <c r="P381" s="109"/>
      <c r="Q381" s="107"/>
      <c r="R381" s="107"/>
      <c r="S381" s="107"/>
      <c r="T381" s="107"/>
      <c r="U381" s="107"/>
      <c r="V381" s="107" t="str">
        <f t="shared" si="1"/>
        <v> </v>
      </c>
      <c r="W381" s="107"/>
      <c r="X381" s="23"/>
      <c r="Y381" s="23"/>
      <c r="Z381" s="23"/>
    </row>
    <row r="382">
      <c r="A382" s="107"/>
      <c r="B382" s="103" t="str">
        <f>IFERROR( VLOOKUP($A382,'INVOICE DETAILS.'!$F$3:$G$1994,2,0)," ")</f>
        <v> </v>
      </c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8"/>
      <c r="O382" s="109"/>
      <c r="P382" s="109"/>
      <c r="Q382" s="107"/>
      <c r="R382" s="107"/>
      <c r="S382" s="107"/>
      <c r="T382" s="107"/>
      <c r="U382" s="107"/>
      <c r="V382" s="107" t="str">
        <f t="shared" si="1"/>
        <v> </v>
      </c>
      <c r="W382" s="107"/>
      <c r="X382" s="23"/>
      <c r="Y382" s="23"/>
      <c r="Z382" s="23"/>
    </row>
    <row r="383">
      <c r="A383" s="107"/>
      <c r="B383" s="103" t="str">
        <f>IFERROR( VLOOKUP($A383,'INVOICE DETAILS.'!$F$3:$G$1994,2,0)," ")</f>
        <v> </v>
      </c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8"/>
      <c r="O383" s="109"/>
      <c r="P383" s="109"/>
      <c r="Q383" s="107"/>
      <c r="R383" s="107"/>
      <c r="S383" s="107"/>
      <c r="T383" s="107"/>
      <c r="U383" s="107"/>
      <c r="V383" s="107" t="str">
        <f t="shared" si="1"/>
        <v> </v>
      </c>
      <c r="W383" s="107"/>
      <c r="X383" s="23"/>
      <c r="Y383" s="23"/>
      <c r="Z383" s="23"/>
    </row>
    <row r="384">
      <c r="A384" s="107"/>
      <c r="B384" s="103" t="str">
        <f>IFERROR( VLOOKUP($A384,'INVOICE DETAILS.'!$F$3:$G$1994,2,0)," ")</f>
        <v> </v>
      </c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8"/>
      <c r="O384" s="109"/>
      <c r="P384" s="109"/>
      <c r="Q384" s="107"/>
      <c r="R384" s="107"/>
      <c r="S384" s="107"/>
      <c r="T384" s="107"/>
      <c r="U384" s="107"/>
      <c r="V384" s="107" t="str">
        <f t="shared" si="1"/>
        <v> </v>
      </c>
      <c r="W384" s="107"/>
      <c r="X384" s="23"/>
      <c r="Y384" s="23"/>
      <c r="Z384" s="23"/>
    </row>
    <row r="385">
      <c r="A385" s="107"/>
      <c r="B385" s="103" t="str">
        <f>IFERROR( VLOOKUP($A385,'INVOICE DETAILS.'!$F$3:$G$1994,2,0)," ")</f>
        <v> </v>
      </c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8"/>
      <c r="O385" s="109"/>
      <c r="P385" s="109"/>
      <c r="Q385" s="107"/>
      <c r="R385" s="107"/>
      <c r="S385" s="107"/>
      <c r="T385" s="107"/>
      <c r="U385" s="107"/>
      <c r="V385" s="107" t="str">
        <f t="shared" si="1"/>
        <v> </v>
      </c>
      <c r="W385" s="107"/>
      <c r="X385" s="23"/>
      <c r="Y385" s="23"/>
      <c r="Z385" s="23"/>
    </row>
    <row r="386">
      <c r="A386" s="107"/>
      <c r="B386" s="103" t="str">
        <f>IFERROR( VLOOKUP($A386,'INVOICE DETAILS.'!$F$3:$G$1994,2,0)," ")</f>
        <v> </v>
      </c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8"/>
      <c r="O386" s="109"/>
      <c r="P386" s="109"/>
      <c r="Q386" s="107"/>
      <c r="R386" s="107"/>
      <c r="S386" s="107"/>
      <c r="T386" s="107"/>
      <c r="U386" s="107"/>
      <c r="V386" s="107" t="str">
        <f t="shared" si="1"/>
        <v> </v>
      </c>
      <c r="W386" s="107"/>
      <c r="X386" s="23"/>
      <c r="Y386" s="23"/>
      <c r="Z386" s="23"/>
    </row>
    <row r="387">
      <c r="A387" s="107"/>
      <c r="B387" s="103" t="str">
        <f>IFERROR( VLOOKUP($A387,'INVOICE DETAILS.'!$F$3:$G$1994,2,0)," ")</f>
        <v> </v>
      </c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8"/>
      <c r="O387" s="109"/>
      <c r="P387" s="109"/>
      <c r="Q387" s="107"/>
      <c r="R387" s="107"/>
      <c r="S387" s="107"/>
      <c r="T387" s="107"/>
      <c r="U387" s="107"/>
      <c r="V387" s="107" t="str">
        <f t="shared" si="1"/>
        <v> </v>
      </c>
      <c r="W387" s="107"/>
      <c r="X387" s="23"/>
      <c r="Y387" s="23"/>
      <c r="Z387" s="23"/>
    </row>
    <row r="388">
      <c r="A388" s="107"/>
      <c r="B388" s="103" t="str">
        <f>IFERROR( VLOOKUP($A388,'INVOICE DETAILS.'!$F$3:$G$1994,2,0)," ")</f>
        <v> </v>
      </c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8"/>
      <c r="O388" s="109"/>
      <c r="P388" s="109"/>
      <c r="Q388" s="107"/>
      <c r="R388" s="107"/>
      <c r="S388" s="107"/>
      <c r="T388" s="107"/>
      <c r="U388" s="107"/>
      <c r="V388" s="107" t="str">
        <f t="shared" si="1"/>
        <v> </v>
      </c>
      <c r="W388" s="107"/>
      <c r="X388" s="23"/>
      <c r="Y388" s="23"/>
      <c r="Z388" s="23"/>
    </row>
    <row r="389">
      <c r="A389" s="107"/>
      <c r="B389" s="103" t="str">
        <f>IFERROR( VLOOKUP($A389,'INVOICE DETAILS.'!$F$3:$G$1994,2,0)," ")</f>
        <v> </v>
      </c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8"/>
      <c r="O389" s="109"/>
      <c r="P389" s="109"/>
      <c r="Q389" s="107"/>
      <c r="R389" s="107"/>
      <c r="S389" s="107"/>
      <c r="T389" s="107"/>
      <c r="U389" s="107"/>
      <c r="V389" s="107" t="str">
        <f t="shared" si="1"/>
        <v> </v>
      </c>
      <c r="W389" s="107"/>
      <c r="X389" s="23"/>
      <c r="Y389" s="23"/>
      <c r="Z389" s="23"/>
    </row>
    <row r="390">
      <c r="A390" s="107"/>
      <c r="B390" s="103" t="str">
        <f>IFERROR( VLOOKUP($A390,'INVOICE DETAILS.'!$F$3:$G$1994,2,0)," ")</f>
        <v> </v>
      </c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8"/>
      <c r="O390" s="109"/>
      <c r="P390" s="109"/>
      <c r="Q390" s="107"/>
      <c r="R390" s="107"/>
      <c r="S390" s="107"/>
      <c r="T390" s="107"/>
      <c r="U390" s="107"/>
      <c r="V390" s="107" t="str">
        <f t="shared" si="1"/>
        <v> </v>
      </c>
      <c r="W390" s="107"/>
      <c r="X390" s="23"/>
      <c r="Y390" s="23"/>
      <c r="Z390" s="23"/>
    </row>
    <row r="391">
      <c r="A391" s="107"/>
      <c r="B391" s="103" t="str">
        <f>IFERROR( VLOOKUP($A391,'INVOICE DETAILS.'!$F$3:$G$1994,2,0)," ")</f>
        <v> </v>
      </c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8"/>
      <c r="O391" s="109"/>
      <c r="P391" s="109"/>
      <c r="Q391" s="107"/>
      <c r="R391" s="107"/>
      <c r="S391" s="107"/>
      <c r="T391" s="107"/>
      <c r="U391" s="107"/>
      <c r="V391" s="107" t="str">
        <f t="shared" si="1"/>
        <v> </v>
      </c>
      <c r="W391" s="107"/>
      <c r="X391" s="23"/>
      <c r="Y391" s="23"/>
      <c r="Z391" s="23"/>
    </row>
    <row r="392">
      <c r="A392" s="107"/>
      <c r="B392" s="103" t="str">
        <f>IFERROR( VLOOKUP($A392,'INVOICE DETAILS.'!$F$3:$G$1994,2,0)," ")</f>
        <v> </v>
      </c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8"/>
      <c r="O392" s="109"/>
      <c r="P392" s="109"/>
      <c r="Q392" s="107"/>
      <c r="R392" s="107"/>
      <c r="S392" s="107"/>
      <c r="T392" s="107"/>
      <c r="U392" s="107"/>
      <c r="V392" s="107" t="str">
        <f t="shared" si="1"/>
        <v> </v>
      </c>
      <c r="W392" s="107"/>
      <c r="X392" s="23"/>
      <c r="Y392" s="23"/>
      <c r="Z392" s="23"/>
    </row>
    <row r="393">
      <c r="A393" s="107"/>
      <c r="B393" s="103" t="str">
        <f>IFERROR( VLOOKUP($A393,'INVOICE DETAILS.'!$F$3:$G$1994,2,0)," ")</f>
        <v> </v>
      </c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8"/>
      <c r="O393" s="109"/>
      <c r="P393" s="109"/>
      <c r="Q393" s="107"/>
      <c r="R393" s="107"/>
      <c r="S393" s="107"/>
      <c r="T393" s="107"/>
      <c r="U393" s="107"/>
      <c r="V393" s="107" t="str">
        <f t="shared" si="1"/>
        <v> </v>
      </c>
      <c r="W393" s="107"/>
      <c r="X393" s="23"/>
      <c r="Y393" s="23"/>
      <c r="Z393" s="23"/>
    </row>
    <row r="394">
      <c r="A394" s="107"/>
      <c r="B394" s="103" t="str">
        <f>IFERROR( VLOOKUP($A394,'INVOICE DETAILS.'!$F$3:$G$1994,2,0)," ")</f>
        <v> </v>
      </c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8"/>
      <c r="O394" s="109"/>
      <c r="P394" s="109"/>
      <c r="Q394" s="107"/>
      <c r="R394" s="107"/>
      <c r="S394" s="107"/>
      <c r="T394" s="107"/>
      <c r="U394" s="107"/>
      <c r="V394" s="107" t="str">
        <f t="shared" si="1"/>
        <v> </v>
      </c>
      <c r="W394" s="107"/>
      <c r="X394" s="23"/>
      <c r="Y394" s="23"/>
      <c r="Z394" s="23"/>
    </row>
    <row r="395">
      <c r="A395" s="107"/>
      <c r="B395" s="103" t="str">
        <f>IFERROR( VLOOKUP($A395,'INVOICE DETAILS.'!$F$3:$G$1994,2,0)," ")</f>
        <v> </v>
      </c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8"/>
      <c r="O395" s="109"/>
      <c r="P395" s="109"/>
      <c r="Q395" s="107"/>
      <c r="R395" s="107"/>
      <c r="S395" s="107"/>
      <c r="T395" s="107"/>
      <c r="U395" s="107"/>
      <c r="V395" s="107" t="str">
        <f t="shared" si="1"/>
        <v> </v>
      </c>
      <c r="W395" s="107"/>
      <c r="X395" s="23"/>
      <c r="Y395" s="23"/>
      <c r="Z395" s="23"/>
    </row>
    <row r="396">
      <c r="A396" s="107"/>
      <c r="B396" s="103" t="str">
        <f>IFERROR( VLOOKUP($A396,'INVOICE DETAILS.'!$F$3:$G$1994,2,0)," ")</f>
        <v> </v>
      </c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8"/>
      <c r="O396" s="109"/>
      <c r="P396" s="109"/>
      <c r="Q396" s="107"/>
      <c r="R396" s="107"/>
      <c r="S396" s="107"/>
      <c r="T396" s="107"/>
      <c r="U396" s="107"/>
      <c r="V396" s="107" t="str">
        <f t="shared" si="1"/>
        <v> </v>
      </c>
      <c r="W396" s="107"/>
      <c r="X396" s="23"/>
      <c r="Y396" s="23"/>
      <c r="Z396" s="23"/>
    </row>
    <row r="397">
      <c r="A397" s="107"/>
      <c r="B397" s="103" t="str">
        <f>IFERROR( VLOOKUP($A397,'INVOICE DETAILS.'!$F$3:$G$1994,2,0)," ")</f>
        <v> </v>
      </c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8"/>
      <c r="O397" s="109"/>
      <c r="P397" s="109"/>
      <c r="Q397" s="107"/>
      <c r="R397" s="107"/>
      <c r="S397" s="107"/>
      <c r="T397" s="107"/>
      <c r="U397" s="107"/>
      <c r="V397" s="107" t="str">
        <f t="shared" si="1"/>
        <v> </v>
      </c>
      <c r="W397" s="107"/>
      <c r="X397" s="23"/>
      <c r="Y397" s="23"/>
      <c r="Z397" s="23"/>
    </row>
    <row r="398">
      <c r="A398" s="107"/>
      <c r="B398" s="103" t="str">
        <f>IFERROR( VLOOKUP($A398,'INVOICE DETAILS.'!$F$3:$G$1994,2,0)," ")</f>
        <v> </v>
      </c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8"/>
      <c r="O398" s="109"/>
      <c r="P398" s="109"/>
      <c r="Q398" s="107"/>
      <c r="R398" s="107"/>
      <c r="S398" s="107"/>
      <c r="T398" s="107"/>
      <c r="U398" s="107"/>
      <c r="V398" s="107" t="str">
        <f t="shared" si="1"/>
        <v> </v>
      </c>
      <c r="W398" s="107"/>
      <c r="X398" s="23"/>
      <c r="Y398" s="23"/>
      <c r="Z398" s="23"/>
    </row>
    <row r="399">
      <c r="A399" s="107"/>
      <c r="B399" s="103" t="str">
        <f>IFERROR( VLOOKUP($A399,'INVOICE DETAILS.'!$F$3:$G$1994,2,0)," ")</f>
        <v> </v>
      </c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8"/>
      <c r="O399" s="109"/>
      <c r="P399" s="109"/>
      <c r="Q399" s="107"/>
      <c r="R399" s="107"/>
      <c r="S399" s="107"/>
      <c r="T399" s="107"/>
      <c r="U399" s="107"/>
      <c r="V399" s="107" t="str">
        <f t="shared" si="1"/>
        <v> </v>
      </c>
      <c r="W399" s="107"/>
      <c r="X399" s="23"/>
      <c r="Y399" s="23"/>
      <c r="Z399" s="23"/>
    </row>
    <row r="400">
      <c r="A400" s="107"/>
      <c r="B400" s="103" t="str">
        <f>IFERROR( VLOOKUP($A400,'INVOICE DETAILS.'!$F$3:$G$1994,2,0)," ")</f>
        <v> </v>
      </c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8"/>
      <c r="O400" s="109"/>
      <c r="P400" s="109"/>
      <c r="Q400" s="107"/>
      <c r="R400" s="107"/>
      <c r="S400" s="107"/>
      <c r="T400" s="107"/>
      <c r="U400" s="107"/>
      <c r="V400" s="107" t="str">
        <f t="shared" si="1"/>
        <v> </v>
      </c>
      <c r="W400" s="107"/>
      <c r="X400" s="23"/>
      <c r="Y400" s="23"/>
      <c r="Z400" s="23"/>
    </row>
    <row r="401">
      <c r="A401" s="107"/>
      <c r="B401" s="103" t="str">
        <f>IFERROR( VLOOKUP($A401,'INVOICE DETAILS.'!$F$3:$G$1994,2,0)," ")</f>
        <v> </v>
      </c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8"/>
      <c r="O401" s="109"/>
      <c r="P401" s="109"/>
      <c r="Q401" s="107"/>
      <c r="R401" s="107"/>
      <c r="S401" s="107"/>
      <c r="T401" s="107"/>
      <c r="U401" s="107"/>
      <c r="V401" s="107" t="str">
        <f t="shared" si="1"/>
        <v> </v>
      </c>
      <c r="W401" s="107"/>
      <c r="X401" s="23"/>
      <c r="Y401" s="23"/>
      <c r="Z401" s="23"/>
    </row>
    <row r="402">
      <c r="A402" s="107"/>
      <c r="B402" s="103" t="str">
        <f>IFERROR( VLOOKUP($A402,'INVOICE DETAILS.'!$F$3:$G$1994,2,0)," ")</f>
        <v> </v>
      </c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8"/>
      <c r="O402" s="109"/>
      <c r="P402" s="109"/>
      <c r="Q402" s="107"/>
      <c r="R402" s="107"/>
      <c r="S402" s="107"/>
      <c r="T402" s="107"/>
      <c r="U402" s="107"/>
      <c r="V402" s="107" t="str">
        <f t="shared" si="1"/>
        <v> </v>
      </c>
      <c r="W402" s="107"/>
      <c r="X402" s="23"/>
      <c r="Y402" s="23"/>
      <c r="Z402" s="23"/>
    </row>
    <row r="403">
      <c r="A403" s="107"/>
      <c r="B403" s="103" t="str">
        <f>IFERROR( VLOOKUP($A403,'INVOICE DETAILS.'!$F$3:$G$1994,2,0)," ")</f>
        <v> </v>
      </c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8"/>
      <c r="O403" s="109"/>
      <c r="P403" s="109"/>
      <c r="Q403" s="107"/>
      <c r="R403" s="107"/>
      <c r="S403" s="107"/>
      <c r="T403" s="107"/>
      <c r="U403" s="107"/>
      <c r="V403" s="107" t="str">
        <f t="shared" si="1"/>
        <v> </v>
      </c>
      <c r="W403" s="107"/>
      <c r="X403" s="23"/>
      <c r="Y403" s="23"/>
      <c r="Z403" s="23"/>
    </row>
    <row r="404">
      <c r="A404" s="107"/>
      <c r="B404" s="103" t="str">
        <f>IFERROR( VLOOKUP($A404,'INVOICE DETAILS.'!$F$3:$G$1994,2,0)," ")</f>
        <v> </v>
      </c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8"/>
      <c r="O404" s="109"/>
      <c r="P404" s="109"/>
      <c r="Q404" s="107"/>
      <c r="R404" s="107"/>
      <c r="S404" s="107"/>
      <c r="T404" s="107"/>
      <c r="U404" s="107"/>
      <c r="V404" s="107" t="str">
        <f t="shared" si="1"/>
        <v> </v>
      </c>
      <c r="W404" s="107"/>
      <c r="X404" s="23"/>
      <c r="Y404" s="23"/>
      <c r="Z404" s="23"/>
    </row>
    <row r="405">
      <c r="A405" s="107"/>
      <c r="B405" s="103" t="str">
        <f>IFERROR( VLOOKUP($A405,'INVOICE DETAILS.'!$F$3:$G$1994,2,0)," ")</f>
        <v> </v>
      </c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8"/>
      <c r="O405" s="109"/>
      <c r="P405" s="109"/>
      <c r="Q405" s="107"/>
      <c r="R405" s="107"/>
      <c r="S405" s="107"/>
      <c r="T405" s="107"/>
      <c r="U405" s="107"/>
      <c r="V405" s="107" t="str">
        <f t="shared" si="1"/>
        <v> </v>
      </c>
      <c r="W405" s="107"/>
      <c r="X405" s="23"/>
      <c r="Y405" s="23"/>
      <c r="Z405" s="23"/>
    </row>
    <row r="406">
      <c r="A406" s="107"/>
      <c r="B406" s="103" t="str">
        <f>IFERROR( VLOOKUP($A406,'INVOICE DETAILS.'!$F$3:$G$1994,2,0)," ")</f>
        <v> </v>
      </c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8"/>
      <c r="O406" s="109"/>
      <c r="P406" s="109"/>
      <c r="Q406" s="107"/>
      <c r="R406" s="107"/>
      <c r="S406" s="107"/>
      <c r="T406" s="107"/>
      <c r="U406" s="107"/>
      <c r="V406" s="107" t="str">
        <f t="shared" si="1"/>
        <v> </v>
      </c>
      <c r="W406" s="107"/>
      <c r="X406" s="23"/>
      <c r="Y406" s="23"/>
      <c r="Z406" s="23"/>
    </row>
    <row r="407">
      <c r="A407" s="107"/>
      <c r="B407" s="103" t="str">
        <f>IFERROR( VLOOKUP($A407,'INVOICE DETAILS.'!$F$3:$G$1994,2,0)," ")</f>
        <v> </v>
      </c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8"/>
      <c r="O407" s="109"/>
      <c r="P407" s="109"/>
      <c r="Q407" s="107"/>
      <c r="R407" s="107"/>
      <c r="S407" s="107"/>
      <c r="T407" s="107"/>
      <c r="U407" s="107"/>
      <c r="V407" s="107" t="str">
        <f t="shared" si="1"/>
        <v> </v>
      </c>
      <c r="W407" s="107"/>
      <c r="X407" s="23"/>
      <c r="Y407" s="23"/>
      <c r="Z407" s="23"/>
    </row>
    <row r="408">
      <c r="A408" s="107"/>
      <c r="B408" s="103" t="str">
        <f>IFERROR( VLOOKUP($A408,'INVOICE DETAILS.'!$F$3:$G$1994,2,0)," ")</f>
        <v> </v>
      </c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8"/>
      <c r="O408" s="109"/>
      <c r="P408" s="109"/>
      <c r="Q408" s="107"/>
      <c r="R408" s="107"/>
      <c r="S408" s="107"/>
      <c r="T408" s="107"/>
      <c r="U408" s="107"/>
      <c r="V408" s="107" t="str">
        <f t="shared" si="1"/>
        <v> </v>
      </c>
      <c r="W408" s="107"/>
      <c r="X408" s="23"/>
      <c r="Y408" s="23"/>
      <c r="Z408" s="23"/>
    </row>
    <row r="409">
      <c r="A409" s="107"/>
      <c r="B409" s="103" t="str">
        <f>IFERROR( VLOOKUP($A409,'INVOICE DETAILS.'!$F$3:$G$1994,2,0)," ")</f>
        <v> </v>
      </c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8"/>
      <c r="O409" s="109"/>
      <c r="P409" s="109"/>
      <c r="Q409" s="107"/>
      <c r="R409" s="107"/>
      <c r="S409" s="107"/>
      <c r="T409" s="107"/>
      <c r="U409" s="107"/>
      <c r="V409" s="107" t="str">
        <f t="shared" si="1"/>
        <v> </v>
      </c>
      <c r="W409" s="107"/>
      <c r="X409" s="23"/>
      <c r="Y409" s="23"/>
      <c r="Z409" s="23"/>
    </row>
    <row r="410">
      <c r="A410" s="107"/>
      <c r="B410" s="103" t="str">
        <f>IFERROR( VLOOKUP($A410,'INVOICE DETAILS.'!$F$3:$G$1994,2,0)," ")</f>
        <v> </v>
      </c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8"/>
      <c r="O410" s="109"/>
      <c r="P410" s="109"/>
      <c r="Q410" s="107"/>
      <c r="R410" s="107"/>
      <c r="S410" s="107"/>
      <c r="T410" s="107"/>
      <c r="U410" s="107"/>
      <c r="V410" s="107" t="str">
        <f t="shared" si="1"/>
        <v> </v>
      </c>
      <c r="W410" s="107"/>
      <c r="X410" s="23"/>
      <c r="Y410" s="23"/>
      <c r="Z410" s="23"/>
    </row>
    <row r="411">
      <c r="A411" s="107"/>
      <c r="B411" s="103" t="str">
        <f>IFERROR( VLOOKUP($A411,'INVOICE DETAILS.'!$F$3:$G$1994,2,0)," ")</f>
        <v> </v>
      </c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8"/>
      <c r="O411" s="109"/>
      <c r="P411" s="109"/>
      <c r="Q411" s="107"/>
      <c r="R411" s="107"/>
      <c r="S411" s="107"/>
      <c r="T411" s="107"/>
      <c r="U411" s="107"/>
      <c r="V411" s="107" t="str">
        <f t="shared" si="1"/>
        <v> </v>
      </c>
      <c r="W411" s="107"/>
      <c r="X411" s="23"/>
      <c r="Y411" s="23"/>
      <c r="Z411" s="23"/>
    </row>
    <row r="412">
      <c r="A412" s="107"/>
      <c r="B412" s="103" t="str">
        <f>IFERROR( VLOOKUP($A412,'INVOICE DETAILS.'!$F$3:$G$1994,2,0)," ")</f>
        <v> </v>
      </c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8"/>
      <c r="O412" s="109"/>
      <c r="P412" s="109"/>
      <c r="Q412" s="107"/>
      <c r="R412" s="107"/>
      <c r="S412" s="107"/>
      <c r="T412" s="107"/>
      <c r="U412" s="107"/>
      <c r="V412" s="107" t="str">
        <f t="shared" si="1"/>
        <v> </v>
      </c>
      <c r="W412" s="107"/>
      <c r="X412" s="23"/>
      <c r="Y412" s="23"/>
      <c r="Z412" s="23"/>
    </row>
    <row r="413">
      <c r="A413" s="107"/>
      <c r="B413" s="103" t="str">
        <f>IFERROR( VLOOKUP($A413,'INVOICE DETAILS.'!$F$3:$G$1994,2,0)," ")</f>
        <v> </v>
      </c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8"/>
      <c r="O413" s="109"/>
      <c r="P413" s="109"/>
      <c r="Q413" s="107"/>
      <c r="R413" s="107"/>
      <c r="S413" s="107"/>
      <c r="T413" s="107"/>
      <c r="U413" s="107"/>
      <c r="V413" s="107" t="str">
        <f t="shared" si="1"/>
        <v> </v>
      </c>
      <c r="W413" s="107"/>
      <c r="X413" s="23"/>
      <c r="Y413" s="23"/>
      <c r="Z413" s="23"/>
    </row>
    <row r="414">
      <c r="A414" s="107"/>
      <c r="B414" s="103" t="str">
        <f>IFERROR( VLOOKUP($A414,'INVOICE DETAILS.'!$F$3:$G$1994,2,0)," ")</f>
        <v> </v>
      </c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8"/>
      <c r="O414" s="109"/>
      <c r="P414" s="109"/>
      <c r="Q414" s="107"/>
      <c r="R414" s="107"/>
      <c r="S414" s="107"/>
      <c r="T414" s="107"/>
      <c r="U414" s="107"/>
      <c r="V414" s="107" t="str">
        <f t="shared" si="1"/>
        <v> </v>
      </c>
      <c r="W414" s="107"/>
      <c r="X414" s="23"/>
      <c r="Y414" s="23"/>
      <c r="Z414" s="23"/>
    </row>
    <row r="415">
      <c r="A415" s="107"/>
      <c r="B415" s="103" t="str">
        <f>IFERROR( VLOOKUP($A415,'INVOICE DETAILS.'!$F$3:$G$1994,2,0)," ")</f>
        <v> </v>
      </c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8"/>
      <c r="O415" s="109"/>
      <c r="P415" s="109"/>
      <c r="Q415" s="107"/>
      <c r="R415" s="107"/>
      <c r="S415" s="107"/>
      <c r="T415" s="107"/>
      <c r="U415" s="107"/>
      <c r="V415" s="107" t="str">
        <f t="shared" si="1"/>
        <v> </v>
      </c>
      <c r="W415" s="107"/>
      <c r="X415" s="23"/>
      <c r="Y415" s="23"/>
      <c r="Z415" s="23"/>
    </row>
    <row r="416">
      <c r="A416" s="107"/>
      <c r="B416" s="103" t="str">
        <f>IFERROR( VLOOKUP($A416,'INVOICE DETAILS.'!$F$3:$G$1994,2,0)," ")</f>
        <v> </v>
      </c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8"/>
      <c r="O416" s="109"/>
      <c r="P416" s="109"/>
      <c r="Q416" s="107"/>
      <c r="R416" s="107"/>
      <c r="S416" s="107"/>
      <c r="T416" s="107"/>
      <c r="U416" s="107"/>
      <c r="V416" s="107" t="str">
        <f t="shared" si="1"/>
        <v> </v>
      </c>
      <c r="W416" s="107"/>
      <c r="X416" s="23"/>
      <c r="Y416" s="23"/>
      <c r="Z416" s="23"/>
    </row>
    <row r="417">
      <c r="A417" s="107"/>
      <c r="B417" s="103" t="str">
        <f>IFERROR( VLOOKUP($A417,'INVOICE DETAILS.'!$F$3:$G$1994,2,0)," ")</f>
        <v> </v>
      </c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8"/>
      <c r="O417" s="109"/>
      <c r="P417" s="109"/>
      <c r="Q417" s="107"/>
      <c r="R417" s="107"/>
      <c r="S417" s="107"/>
      <c r="T417" s="107"/>
      <c r="U417" s="107"/>
      <c r="V417" s="107" t="str">
        <f t="shared" si="1"/>
        <v> </v>
      </c>
      <c r="W417" s="107"/>
      <c r="X417" s="23"/>
      <c r="Y417" s="23"/>
      <c r="Z417" s="23"/>
    </row>
    <row r="418">
      <c r="A418" s="107"/>
      <c r="B418" s="103" t="str">
        <f>IFERROR( VLOOKUP($A418,'INVOICE DETAILS.'!$F$3:$G$1994,2,0)," ")</f>
        <v> </v>
      </c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8"/>
      <c r="O418" s="109"/>
      <c r="P418" s="109"/>
      <c r="Q418" s="107"/>
      <c r="R418" s="107"/>
      <c r="S418" s="107"/>
      <c r="T418" s="107"/>
      <c r="U418" s="107"/>
      <c r="V418" s="107" t="str">
        <f t="shared" si="1"/>
        <v> </v>
      </c>
      <c r="W418" s="107"/>
      <c r="X418" s="23"/>
      <c r="Y418" s="23"/>
      <c r="Z418" s="23"/>
    </row>
    <row r="419">
      <c r="A419" s="107"/>
      <c r="B419" s="103" t="str">
        <f>IFERROR( VLOOKUP($A419,'INVOICE DETAILS.'!$F$3:$G$1994,2,0)," ")</f>
        <v> </v>
      </c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8"/>
      <c r="O419" s="109"/>
      <c r="P419" s="109"/>
      <c r="Q419" s="107"/>
      <c r="R419" s="107"/>
      <c r="S419" s="107"/>
      <c r="T419" s="107"/>
      <c r="U419" s="107"/>
      <c r="V419" s="107" t="str">
        <f t="shared" si="1"/>
        <v> </v>
      </c>
      <c r="W419" s="107"/>
      <c r="X419" s="23"/>
      <c r="Y419" s="23"/>
      <c r="Z419" s="23"/>
    </row>
    <row r="420">
      <c r="A420" s="107"/>
      <c r="B420" s="103" t="str">
        <f>IFERROR( VLOOKUP($A420,'INVOICE DETAILS.'!$F$3:$G$1994,2,0)," ")</f>
        <v> </v>
      </c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8"/>
      <c r="O420" s="109"/>
      <c r="P420" s="109"/>
      <c r="Q420" s="107"/>
      <c r="R420" s="107"/>
      <c r="S420" s="107"/>
      <c r="T420" s="107"/>
      <c r="U420" s="107"/>
      <c r="V420" s="107" t="str">
        <f t="shared" si="1"/>
        <v> </v>
      </c>
      <c r="W420" s="107"/>
      <c r="X420" s="23"/>
      <c r="Y420" s="23"/>
      <c r="Z420" s="23"/>
    </row>
    <row r="421">
      <c r="A421" s="107"/>
      <c r="B421" s="103" t="str">
        <f>IFERROR( VLOOKUP($A421,'INVOICE DETAILS.'!$F$3:$G$1994,2,0)," ")</f>
        <v> </v>
      </c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8"/>
      <c r="O421" s="109"/>
      <c r="P421" s="109"/>
      <c r="Q421" s="107"/>
      <c r="R421" s="107"/>
      <c r="S421" s="107"/>
      <c r="T421" s="107"/>
      <c r="U421" s="107"/>
      <c r="V421" s="107" t="str">
        <f t="shared" si="1"/>
        <v> </v>
      </c>
      <c r="W421" s="107"/>
      <c r="X421" s="23"/>
      <c r="Y421" s="23"/>
      <c r="Z421" s="23"/>
    </row>
    <row r="422">
      <c r="A422" s="107"/>
      <c r="B422" s="103" t="str">
        <f>IFERROR( VLOOKUP($A422,'INVOICE DETAILS.'!$F$3:$G$1994,2,0)," ")</f>
        <v> </v>
      </c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8"/>
      <c r="O422" s="109"/>
      <c r="P422" s="109"/>
      <c r="Q422" s="107"/>
      <c r="R422" s="107"/>
      <c r="S422" s="107"/>
      <c r="T422" s="107"/>
      <c r="U422" s="107"/>
      <c r="V422" s="107" t="str">
        <f t="shared" si="1"/>
        <v> </v>
      </c>
      <c r="W422" s="107"/>
      <c r="X422" s="23"/>
      <c r="Y422" s="23"/>
      <c r="Z422" s="23"/>
    </row>
    <row r="423">
      <c r="A423" s="107"/>
      <c r="B423" s="103" t="str">
        <f>IFERROR( VLOOKUP($A423,'INVOICE DETAILS.'!$F$3:$G$1994,2,0)," ")</f>
        <v> </v>
      </c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8"/>
      <c r="O423" s="109"/>
      <c r="P423" s="109"/>
      <c r="Q423" s="107"/>
      <c r="R423" s="107"/>
      <c r="S423" s="107"/>
      <c r="T423" s="107"/>
      <c r="U423" s="107"/>
      <c r="V423" s="107" t="str">
        <f t="shared" si="1"/>
        <v> </v>
      </c>
      <c r="W423" s="107"/>
      <c r="X423" s="23"/>
      <c r="Y423" s="23"/>
      <c r="Z423" s="23"/>
    </row>
    <row r="424">
      <c r="A424" s="107"/>
      <c r="B424" s="103" t="str">
        <f>IFERROR( VLOOKUP($A424,'INVOICE DETAILS.'!$F$3:$G$1994,2,0)," ")</f>
        <v> </v>
      </c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8"/>
      <c r="O424" s="109"/>
      <c r="P424" s="109"/>
      <c r="Q424" s="107"/>
      <c r="R424" s="107"/>
      <c r="S424" s="107"/>
      <c r="T424" s="107"/>
      <c r="U424" s="107"/>
      <c r="V424" s="107" t="str">
        <f t="shared" si="1"/>
        <v> </v>
      </c>
      <c r="W424" s="107"/>
      <c r="X424" s="23"/>
      <c r="Y424" s="23"/>
      <c r="Z424" s="23"/>
    </row>
    <row r="425">
      <c r="A425" s="107"/>
      <c r="B425" s="103" t="str">
        <f>IFERROR( VLOOKUP($A425,'INVOICE DETAILS.'!$F$3:$G$1994,2,0)," ")</f>
        <v> </v>
      </c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8"/>
      <c r="O425" s="109"/>
      <c r="P425" s="109"/>
      <c r="Q425" s="107"/>
      <c r="R425" s="107"/>
      <c r="S425" s="107"/>
      <c r="T425" s="107"/>
      <c r="U425" s="107"/>
      <c r="V425" s="107" t="str">
        <f t="shared" si="1"/>
        <v> </v>
      </c>
      <c r="W425" s="107"/>
      <c r="X425" s="23"/>
      <c r="Y425" s="23"/>
      <c r="Z425" s="23"/>
    </row>
    <row r="426">
      <c r="A426" s="107"/>
      <c r="B426" s="103" t="str">
        <f>IFERROR( VLOOKUP($A426,'INVOICE DETAILS.'!$F$3:$G$1994,2,0)," ")</f>
        <v> </v>
      </c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8"/>
      <c r="O426" s="109"/>
      <c r="P426" s="109"/>
      <c r="Q426" s="107"/>
      <c r="R426" s="107"/>
      <c r="S426" s="107"/>
      <c r="T426" s="107"/>
      <c r="U426" s="107"/>
      <c r="V426" s="107" t="str">
        <f t="shared" si="1"/>
        <v> </v>
      </c>
      <c r="W426" s="107"/>
      <c r="X426" s="23"/>
      <c r="Y426" s="23"/>
      <c r="Z426" s="23"/>
    </row>
    <row r="427">
      <c r="A427" s="107"/>
      <c r="B427" s="103" t="str">
        <f>IFERROR( VLOOKUP($A427,'INVOICE DETAILS.'!$F$3:$G$1994,2,0)," ")</f>
        <v> </v>
      </c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8"/>
      <c r="O427" s="109"/>
      <c r="P427" s="109"/>
      <c r="Q427" s="107"/>
      <c r="R427" s="107"/>
      <c r="S427" s="107"/>
      <c r="T427" s="107"/>
      <c r="U427" s="107"/>
      <c r="V427" s="107" t="str">
        <f t="shared" si="1"/>
        <v> </v>
      </c>
      <c r="W427" s="107"/>
      <c r="X427" s="23"/>
      <c r="Y427" s="23"/>
      <c r="Z427" s="23"/>
    </row>
    <row r="428">
      <c r="A428" s="107"/>
      <c r="B428" s="103" t="str">
        <f>IFERROR( VLOOKUP($A428,'INVOICE DETAILS.'!$F$3:$G$1994,2,0)," ")</f>
        <v> </v>
      </c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8"/>
      <c r="O428" s="109"/>
      <c r="P428" s="109"/>
      <c r="Q428" s="107"/>
      <c r="R428" s="107"/>
      <c r="S428" s="107"/>
      <c r="T428" s="107"/>
      <c r="U428" s="107"/>
      <c r="V428" s="107" t="str">
        <f t="shared" si="1"/>
        <v> </v>
      </c>
      <c r="W428" s="107"/>
      <c r="X428" s="23"/>
      <c r="Y428" s="23"/>
      <c r="Z428" s="23"/>
    </row>
    <row r="429">
      <c r="A429" s="107"/>
      <c r="B429" s="103" t="str">
        <f>IFERROR( VLOOKUP($A429,'INVOICE DETAILS.'!$F$3:$G$1994,2,0)," ")</f>
        <v> </v>
      </c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8"/>
      <c r="O429" s="109"/>
      <c r="P429" s="109"/>
      <c r="Q429" s="107"/>
      <c r="R429" s="107"/>
      <c r="S429" s="107"/>
      <c r="T429" s="107"/>
      <c r="U429" s="107"/>
      <c r="V429" s="107" t="str">
        <f t="shared" si="1"/>
        <v> </v>
      </c>
      <c r="W429" s="107"/>
      <c r="X429" s="23"/>
      <c r="Y429" s="23"/>
      <c r="Z429" s="23"/>
    </row>
    <row r="430">
      <c r="A430" s="107"/>
      <c r="B430" s="103" t="str">
        <f>IFERROR( VLOOKUP($A430,'INVOICE DETAILS.'!$F$3:$G$1994,2,0)," ")</f>
        <v> </v>
      </c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8"/>
      <c r="O430" s="109"/>
      <c r="P430" s="109"/>
      <c r="Q430" s="107"/>
      <c r="R430" s="107"/>
      <c r="S430" s="107"/>
      <c r="T430" s="107"/>
      <c r="U430" s="107"/>
      <c r="V430" s="107" t="str">
        <f t="shared" si="1"/>
        <v> </v>
      </c>
      <c r="W430" s="107"/>
      <c r="X430" s="23"/>
      <c r="Y430" s="23"/>
      <c r="Z430" s="23"/>
    </row>
    <row r="431">
      <c r="A431" s="107"/>
      <c r="B431" s="103" t="str">
        <f>IFERROR( VLOOKUP($A431,'INVOICE DETAILS.'!$F$3:$G$1994,2,0)," ")</f>
        <v> </v>
      </c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8"/>
      <c r="O431" s="109"/>
      <c r="P431" s="109"/>
      <c r="Q431" s="107"/>
      <c r="R431" s="107"/>
      <c r="S431" s="107"/>
      <c r="T431" s="107"/>
      <c r="U431" s="107"/>
      <c r="V431" s="107" t="str">
        <f t="shared" si="1"/>
        <v> </v>
      </c>
      <c r="W431" s="107"/>
      <c r="X431" s="23"/>
      <c r="Y431" s="23"/>
      <c r="Z431" s="23"/>
    </row>
    <row r="432">
      <c r="A432" s="107"/>
      <c r="B432" s="103" t="str">
        <f>IFERROR( VLOOKUP($A432,'INVOICE DETAILS.'!$F$3:$G$1994,2,0)," ")</f>
        <v> </v>
      </c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8"/>
      <c r="O432" s="109"/>
      <c r="P432" s="109"/>
      <c r="Q432" s="107"/>
      <c r="R432" s="107"/>
      <c r="S432" s="107"/>
      <c r="T432" s="107"/>
      <c r="U432" s="107"/>
      <c r="V432" s="107" t="str">
        <f t="shared" si="1"/>
        <v> </v>
      </c>
      <c r="W432" s="107"/>
      <c r="X432" s="23"/>
      <c r="Y432" s="23"/>
      <c r="Z432" s="23"/>
    </row>
    <row r="433">
      <c r="A433" s="107"/>
      <c r="B433" s="103" t="str">
        <f>IFERROR( VLOOKUP($A433,'INVOICE DETAILS.'!$F$3:$G$1994,2,0)," ")</f>
        <v> </v>
      </c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8"/>
      <c r="O433" s="109"/>
      <c r="P433" s="109"/>
      <c r="Q433" s="107"/>
      <c r="R433" s="107"/>
      <c r="S433" s="107"/>
      <c r="T433" s="107"/>
      <c r="U433" s="107"/>
      <c r="V433" s="107" t="str">
        <f t="shared" si="1"/>
        <v> </v>
      </c>
      <c r="W433" s="107"/>
      <c r="X433" s="23"/>
      <c r="Y433" s="23"/>
      <c r="Z433" s="23"/>
    </row>
    <row r="434">
      <c r="A434" s="107"/>
      <c r="B434" s="103" t="str">
        <f>IFERROR( VLOOKUP($A434,'INVOICE DETAILS.'!$F$3:$G$1994,2,0)," ")</f>
        <v> </v>
      </c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8"/>
      <c r="O434" s="109"/>
      <c r="P434" s="109"/>
      <c r="Q434" s="107"/>
      <c r="R434" s="107"/>
      <c r="S434" s="107"/>
      <c r="T434" s="107"/>
      <c r="U434" s="107"/>
      <c r="V434" s="107" t="str">
        <f t="shared" si="1"/>
        <v> </v>
      </c>
      <c r="W434" s="107"/>
      <c r="X434" s="23"/>
      <c r="Y434" s="23"/>
      <c r="Z434" s="23"/>
    </row>
    <row r="435">
      <c r="A435" s="107"/>
      <c r="B435" s="103" t="str">
        <f>IFERROR( VLOOKUP($A435,'INVOICE DETAILS.'!$F$3:$G$1994,2,0)," ")</f>
        <v> </v>
      </c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8"/>
      <c r="O435" s="109"/>
      <c r="P435" s="109"/>
      <c r="Q435" s="107"/>
      <c r="R435" s="107"/>
      <c r="S435" s="107"/>
      <c r="T435" s="107"/>
      <c r="U435" s="107"/>
      <c r="V435" s="107" t="str">
        <f t="shared" si="1"/>
        <v> </v>
      </c>
      <c r="W435" s="107"/>
      <c r="X435" s="23"/>
      <c r="Y435" s="23"/>
      <c r="Z435" s="23"/>
    </row>
    <row r="436">
      <c r="A436" s="107"/>
      <c r="B436" s="103" t="str">
        <f>IFERROR( VLOOKUP($A436,'INVOICE DETAILS.'!$F$3:$G$1994,2,0)," ")</f>
        <v> </v>
      </c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8"/>
      <c r="O436" s="109"/>
      <c r="P436" s="109"/>
      <c r="Q436" s="107"/>
      <c r="R436" s="107"/>
      <c r="S436" s="107"/>
      <c r="T436" s="107"/>
      <c r="U436" s="107"/>
      <c r="V436" s="107" t="str">
        <f t="shared" si="1"/>
        <v> </v>
      </c>
      <c r="W436" s="107"/>
      <c r="X436" s="23"/>
      <c r="Y436" s="23"/>
      <c r="Z436" s="23"/>
    </row>
    <row r="437">
      <c r="A437" s="107"/>
      <c r="B437" s="103" t="str">
        <f>IFERROR( VLOOKUP($A437,'INVOICE DETAILS.'!$F$3:$G$1994,2,0)," ")</f>
        <v> </v>
      </c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8"/>
      <c r="O437" s="109"/>
      <c r="P437" s="109"/>
      <c r="Q437" s="107"/>
      <c r="R437" s="107"/>
      <c r="S437" s="107"/>
      <c r="T437" s="107"/>
      <c r="U437" s="107"/>
      <c r="V437" s="107" t="str">
        <f t="shared" si="1"/>
        <v> </v>
      </c>
      <c r="W437" s="107"/>
      <c r="X437" s="23"/>
      <c r="Y437" s="23"/>
      <c r="Z437" s="23"/>
    </row>
    <row r="438">
      <c r="A438" s="107"/>
      <c r="B438" s="103" t="str">
        <f>IFERROR( VLOOKUP($A438,'INVOICE DETAILS.'!$F$3:$G$1994,2,0)," ")</f>
        <v> </v>
      </c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8"/>
      <c r="O438" s="109"/>
      <c r="P438" s="109"/>
      <c r="Q438" s="107"/>
      <c r="R438" s="107"/>
      <c r="S438" s="107"/>
      <c r="T438" s="107"/>
      <c r="U438" s="107"/>
      <c r="V438" s="107" t="str">
        <f t="shared" si="1"/>
        <v> </v>
      </c>
      <c r="W438" s="107"/>
      <c r="X438" s="23"/>
      <c r="Y438" s="23"/>
      <c r="Z438" s="23"/>
    </row>
    <row r="439">
      <c r="A439" s="107"/>
      <c r="B439" s="103" t="str">
        <f>IFERROR( VLOOKUP($A439,'INVOICE DETAILS.'!$F$3:$G$1994,2,0)," ")</f>
        <v> </v>
      </c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8"/>
      <c r="O439" s="109"/>
      <c r="P439" s="109"/>
      <c r="Q439" s="107"/>
      <c r="R439" s="107"/>
      <c r="S439" s="107"/>
      <c r="T439" s="107"/>
      <c r="U439" s="107"/>
      <c r="V439" s="107" t="str">
        <f t="shared" si="1"/>
        <v> </v>
      </c>
      <c r="W439" s="107"/>
      <c r="X439" s="23"/>
      <c r="Y439" s="23"/>
      <c r="Z439" s="23"/>
    </row>
    <row r="440">
      <c r="A440" s="107"/>
      <c r="B440" s="103" t="str">
        <f>IFERROR( VLOOKUP($A440,'INVOICE DETAILS.'!$F$3:$G$1994,2,0)," ")</f>
        <v> </v>
      </c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8"/>
      <c r="O440" s="109"/>
      <c r="P440" s="109"/>
      <c r="Q440" s="107"/>
      <c r="R440" s="107"/>
      <c r="S440" s="107"/>
      <c r="T440" s="107"/>
      <c r="U440" s="107"/>
      <c r="V440" s="107" t="str">
        <f t="shared" si="1"/>
        <v> </v>
      </c>
      <c r="W440" s="107"/>
      <c r="X440" s="23"/>
      <c r="Y440" s="23"/>
      <c r="Z440" s="23"/>
    </row>
    <row r="441">
      <c r="A441" s="107"/>
      <c r="B441" s="103" t="str">
        <f>IFERROR( VLOOKUP($A441,'INVOICE DETAILS.'!$F$3:$G$1994,2,0)," ")</f>
        <v> </v>
      </c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8"/>
      <c r="O441" s="109"/>
      <c r="P441" s="109"/>
      <c r="Q441" s="107"/>
      <c r="R441" s="107"/>
      <c r="S441" s="107"/>
      <c r="T441" s="107"/>
      <c r="U441" s="107"/>
      <c r="V441" s="107" t="str">
        <f t="shared" si="1"/>
        <v> </v>
      </c>
      <c r="W441" s="107"/>
      <c r="X441" s="23"/>
      <c r="Y441" s="23"/>
      <c r="Z441" s="23"/>
    </row>
    <row r="442">
      <c r="A442" s="107"/>
      <c r="B442" s="103" t="str">
        <f>IFERROR( VLOOKUP($A442,'INVOICE DETAILS.'!$F$3:$G$1994,2,0)," ")</f>
        <v> </v>
      </c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8"/>
      <c r="O442" s="109"/>
      <c r="P442" s="109"/>
      <c r="Q442" s="107"/>
      <c r="R442" s="107"/>
      <c r="S442" s="107"/>
      <c r="T442" s="107"/>
      <c r="U442" s="107"/>
      <c r="V442" s="107" t="str">
        <f t="shared" si="1"/>
        <v> </v>
      </c>
      <c r="W442" s="107"/>
      <c r="X442" s="23"/>
      <c r="Y442" s="23"/>
      <c r="Z442" s="23"/>
    </row>
    <row r="443">
      <c r="A443" s="107"/>
      <c r="B443" s="103" t="str">
        <f>IFERROR( VLOOKUP($A443,'INVOICE DETAILS.'!$F$3:$G$1994,2,0)," ")</f>
        <v> </v>
      </c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8"/>
      <c r="O443" s="109"/>
      <c r="P443" s="109"/>
      <c r="Q443" s="107"/>
      <c r="R443" s="107"/>
      <c r="S443" s="107"/>
      <c r="T443" s="107"/>
      <c r="U443" s="107"/>
      <c r="V443" s="107" t="str">
        <f t="shared" si="1"/>
        <v> </v>
      </c>
      <c r="W443" s="107"/>
      <c r="X443" s="23"/>
      <c r="Y443" s="23"/>
      <c r="Z443" s="23"/>
    </row>
    <row r="444">
      <c r="A444" s="107"/>
      <c r="B444" s="103" t="str">
        <f>IFERROR( VLOOKUP($A444,'INVOICE DETAILS.'!$F$3:$G$1994,2,0)," ")</f>
        <v> </v>
      </c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8"/>
      <c r="O444" s="109"/>
      <c r="P444" s="109"/>
      <c r="Q444" s="107"/>
      <c r="R444" s="107"/>
      <c r="S444" s="107"/>
      <c r="T444" s="107"/>
      <c r="U444" s="107"/>
      <c r="V444" s="107" t="str">
        <f t="shared" si="1"/>
        <v> </v>
      </c>
      <c r="W444" s="107"/>
      <c r="X444" s="23"/>
      <c r="Y444" s="23"/>
      <c r="Z444" s="23"/>
    </row>
    <row r="445">
      <c r="A445" s="107"/>
      <c r="B445" s="103" t="str">
        <f>IFERROR( VLOOKUP($A445,'INVOICE DETAILS.'!$F$3:$G$1994,2,0)," ")</f>
        <v> </v>
      </c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8"/>
      <c r="O445" s="109"/>
      <c r="P445" s="109"/>
      <c r="Q445" s="107"/>
      <c r="R445" s="107"/>
      <c r="S445" s="107"/>
      <c r="T445" s="107"/>
      <c r="U445" s="107"/>
      <c r="V445" s="107" t="str">
        <f t="shared" si="1"/>
        <v> </v>
      </c>
      <c r="W445" s="107"/>
      <c r="X445" s="23"/>
      <c r="Y445" s="23"/>
      <c r="Z445" s="23"/>
    </row>
    <row r="446">
      <c r="A446" s="107"/>
      <c r="B446" s="103" t="str">
        <f>IFERROR( VLOOKUP($A446,'INVOICE DETAILS.'!$F$3:$G$1994,2,0)," ")</f>
        <v> </v>
      </c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8"/>
      <c r="O446" s="109"/>
      <c r="P446" s="109"/>
      <c r="Q446" s="107"/>
      <c r="R446" s="107"/>
      <c r="S446" s="107"/>
      <c r="T446" s="107"/>
      <c r="U446" s="107"/>
      <c r="V446" s="107" t="str">
        <f t="shared" si="1"/>
        <v> </v>
      </c>
      <c r="W446" s="107"/>
      <c r="X446" s="23"/>
      <c r="Y446" s="23"/>
      <c r="Z446" s="23"/>
    </row>
    <row r="447">
      <c r="A447" s="107"/>
      <c r="B447" s="103" t="str">
        <f>IFERROR( VLOOKUP($A447,'INVOICE DETAILS.'!$F$3:$G$1994,2,0)," ")</f>
        <v> </v>
      </c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8"/>
      <c r="O447" s="109"/>
      <c r="P447" s="109"/>
      <c r="Q447" s="107"/>
      <c r="R447" s="107"/>
      <c r="S447" s="107"/>
      <c r="T447" s="107"/>
      <c r="U447" s="107"/>
      <c r="V447" s="107" t="str">
        <f t="shared" si="1"/>
        <v> </v>
      </c>
      <c r="W447" s="107"/>
      <c r="X447" s="23"/>
      <c r="Y447" s="23"/>
      <c r="Z447" s="23"/>
    </row>
    <row r="448">
      <c r="A448" s="107"/>
      <c r="B448" s="103" t="str">
        <f>IFERROR( VLOOKUP($A448,'INVOICE DETAILS.'!$F$3:$G$1994,2,0)," ")</f>
        <v> </v>
      </c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8"/>
      <c r="O448" s="109"/>
      <c r="P448" s="109"/>
      <c r="Q448" s="107"/>
      <c r="R448" s="107"/>
      <c r="S448" s="107"/>
      <c r="T448" s="107"/>
      <c r="U448" s="107"/>
      <c r="V448" s="107" t="str">
        <f t="shared" si="1"/>
        <v> </v>
      </c>
      <c r="W448" s="107"/>
      <c r="X448" s="23"/>
      <c r="Y448" s="23"/>
      <c r="Z448" s="23"/>
    </row>
    <row r="449">
      <c r="A449" s="107"/>
      <c r="B449" s="103" t="str">
        <f>IFERROR( VLOOKUP($A449,'INVOICE DETAILS.'!$F$3:$G$1994,2,0)," ")</f>
        <v> </v>
      </c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8"/>
      <c r="O449" s="109"/>
      <c r="P449" s="109"/>
      <c r="Q449" s="107"/>
      <c r="R449" s="107"/>
      <c r="S449" s="107"/>
      <c r="T449" s="107"/>
      <c r="U449" s="107"/>
      <c r="V449" s="107" t="str">
        <f t="shared" si="1"/>
        <v> </v>
      </c>
      <c r="W449" s="107"/>
      <c r="X449" s="23"/>
      <c r="Y449" s="23"/>
      <c r="Z449" s="23"/>
    </row>
    <row r="450">
      <c r="A450" s="107"/>
      <c r="B450" s="103" t="str">
        <f>IFERROR( VLOOKUP($A450,'INVOICE DETAILS.'!$F$3:$G$1994,2,0)," ")</f>
        <v> </v>
      </c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8"/>
      <c r="O450" s="109"/>
      <c r="P450" s="109"/>
      <c r="Q450" s="107"/>
      <c r="R450" s="107"/>
      <c r="S450" s="107"/>
      <c r="T450" s="107"/>
      <c r="U450" s="107"/>
      <c r="V450" s="107" t="str">
        <f t="shared" si="1"/>
        <v> </v>
      </c>
      <c r="W450" s="107"/>
      <c r="X450" s="23"/>
      <c r="Y450" s="23"/>
      <c r="Z450" s="23"/>
    </row>
    <row r="451">
      <c r="A451" s="107"/>
      <c r="B451" s="103" t="str">
        <f>IFERROR( VLOOKUP($A451,'INVOICE DETAILS.'!$F$3:$G$1994,2,0)," ")</f>
        <v> </v>
      </c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8"/>
      <c r="O451" s="109"/>
      <c r="P451" s="109"/>
      <c r="Q451" s="107"/>
      <c r="R451" s="107"/>
      <c r="S451" s="107"/>
      <c r="T451" s="107"/>
      <c r="U451" s="107"/>
      <c r="V451" s="107" t="str">
        <f t="shared" si="1"/>
        <v> </v>
      </c>
      <c r="W451" s="107"/>
      <c r="X451" s="23"/>
      <c r="Y451" s="23"/>
      <c r="Z451" s="23"/>
    </row>
    <row r="452">
      <c r="A452" s="107"/>
      <c r="B452" s="103" t="str">
        <f>IFERROR( VLOOKUP($A452,'INVOICE DETAILS.'!$F$3:$G$1994,2,0)," ")</f>
        <v> </v>
      </c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8"/>
      <c r="O452" s="109"/>
      <c r="P452" s="109"/>
      <c r="Q452" s="107"/>
      <c r="R452" s="107"/>
      <c r="S452" s="107"/>
      <c r="T452" s="107"/>
      <c r="U452" s="107"/>
      <c r="V452" s="107" t="str">
        <f t="shared" si="1"/>
        <v> </v>
      </c>
      <c r="W452" s="107"/>
      <c r="X452" s="23"/>
      <c r="Y452" s="23"/>
      <c r="Z452" s="23"/>
    </row>
    <row r="453">
      <c r="A453" s="107"/>
      <c r="B453" s="103" t="str">
        <f>IFERROR( VLOOKUP($A453,'INVOICE DETAILS.'!$F$3:$G$1994,2,0)," ")</f>
        <v> </v>
      </c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8"/>
      <c r="O453" s="109"/>
      <c r="P453" s="109"/>
      <c r="Q453" s="107"/>
      <c r="R453" s="107"/>
      <c r="S453" s="107"/>
      <c r="T453" s="107"/>
      <c r="U453" s="107"/>
      <c r="V453" s="107" t="str">
        <f t="shared" si="1"/>
        <v> </v>
      </c>
      <c r="W453" s="107"/>
      <c r="X453" s="23"/>
      <c r="Y453" s="23"/>
      <c r="Z453" s="23"/>
    </row>
    <row r="454">
      <c r="A454" s="107"/>
      <c r="B454" s="103" t="str">
        <f>IFERROR( VLOOKUP($A454,'INVOICE DETAILS.'!$F$3:$G$1994,2,0)," ")</f>
        <v> </v>
      </c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8"/>
      <c r="O454" s="109"/>
      <c r="P454" s="109"/>
      <c r="Q454" s="107"/>
      <c r="R454" s="107"/>
      <c r="S454" s="107"/>
      <c r="T454" s="107"/>
      <c r="U454" s="107"/>
      <c r="V454" s="107" t="str">
        <f t="shared" si="1"/>
        <v> </v>
      </c>
      <c r="W454" s="107"/>
      <c r="X454" s="23"/>
      <c r="Y454" s="23"/>
      <c r="Z454" s="23"/>
    </row>
    <row r="455">
      <c r="A455" s="107"/>
      <c r="B455" s="103" t="str">
        <f>IFERROR( VLOOKUP($A455,'INVOICE DETAILS.'!$F$3:$G$1994,2,0)," ")</f>
        <v> </v>
      </c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8"/>
      <c r="O455" s="109"/>
      <c r="P455" s="109"/>
      <c r="Q455" s="107"/>
      <c r="R455" s="107"/>
      <c r="S455" s="107"/>
      <c r="T455" s="107"/>
      <c r="U455" s="107"/>
      <c r="V455" s="107" t="str">
        <f t="shared" si="1"/>
        <v> </v>
      </c>
      <c r="W455" s="107"/>
      <c r="X455" s="23"/>
      <c r="Y455" s="23"/>
      <c r="Z455" s="23"/>
    </row>
    <row r="456">
      <c r="A456" s="107"/>
      <c r="B456" s="103" t="str">
        <f>IFERROR( VLOOKUP($A456,'INVOICE DETAILS.'!$F$3:$G$1994,2,0)," ")</f>
        <v> </v>
      </c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8"/>
      <c r="O456" s="109"/>
      <c r="P456" s="109"/>
      <c r="Q456" s="107"/>
      <c r="R456" s="107"/>
      <c r="S456" s="107"/>
      <c r="T456" s="107"/>
      <c r="U456" s="107"/>
      <c r="V456" s="107" t="str">
        <f t="shared" si="1"/>
        <v> </v>
      </c>
      <c r="W456" s="107"/>
      <c r="X456" s="23"/>
      <c r="Y456" s="23"/>
      <c r="Z456" s="23"/>
    </row>
    <row r="457">
      <c r="A457" s="107"/>
      <c r="B457" s="103" t="str">
        <f>IFERROR( VLOOKUP($A457,'INVOICE DETAILS.'!$F$3:$G$1994,2,0)," ")</f>
        <v> </v>
      </c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8"/>
      <c r="O457" s="109"/>
      <c r="P457" s="109"/>
      <c r="Q457" s="107"/>
      <c r="R457" s="107"/>
      <c r="S457" s="107"/>
      <c r="T457" s="107"/>
      <c r="U457" s="107"/>
      <c r="V457" s="107" t="str">
        <f t="shared" si="1"/>
        <v> </v>
      </c>
      <c r="W457" s="107"/>
      <c r="X457" s="23"/>
      <c r="Y457" s="23"/>
      <c r="Z457" s="23"/>
    </row>
    <row r="458">
      <c r="A458" s="107"/>
      <c r="B458" s="103" t="str">
        <f>IFERROR( VLOOKUP($A458,'INVOICE DETAILS.'!$F$3:$G$1994,2,0)," ")</f>
        <v> </v>
      </c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8"/>
      <c r="O458" s="109"/>
      <c r="P458" s="109"/>
      <c r="Q458" s="107"/>
      <c r="R458" s="107"/>
      <c r="S458" s="107"/>
      <c r="T458" s="107"/>
      <c r="U458" s="107"/>
      <c r="V458" s="107" t="str">
        <f t="shared" si="1"/>
        <v> </v>
      </c>
      <c r="W458" s="107"/>
      <c r="X458" s="23"/>
      <c r="Y458" s="23"/>
      <c r="Z458" s="23"/>
    </row>
    <row r="459">
      <c r="A459" s="107"/>
      <c r="B459" s="103" t="str">
        <f>IFERROR( VLOOKUP($A459,'INVOICE DETAILS.'!$F$3:$G$1994,2,0)," ")</f>
        <v> </v>
      </c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8"/>
      <c r="O459" s="109"/>
      <c r="P459" s="109"/>
      <c r="Q459" s="107"/>
      <c r="R459" s="107"/>
      <c r="S459" s="107"/>
      <c r="T459" s="107"/>
      <c r="U459" s="107"/>
      <c r="V459" s="107" t="str">
        <f t="shared" si="1"/>
        <v> </v>
      </c>
      <c r="W459" s="107"/>
      <c r="X459" s="23"/>
      <c r="Y459" s="23"/>
      <c r="Z459" s="23"/>
    </row>
    <row r="460">
      <c r="A460" s="107"/>
      <c r="B460" s="103" t="str">
        <f>IFERROR( VLOOKUP($A460,'INVOICE DETAILS.'!$F$3:$G$1994,2,0)," ")</f>
        <v> </v>
      </c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8"/>
      <c r="O460" s="109"/>
      <c r="P460" s="109"/>
      <c r="Q460" s="107"/>
      <c r="R460" s="107"/>
      <c r="S460" s="107"/>
      <c r="T460" s="107"/>
      <c r="U460" s="107"/>
      <c r="V460" s="107" t="str">
        <f t="shared" si="1"/>
        <v> </v>
      </c>
      <c r="W460" s="107"/>
      <c r="X460" s="23"/>
      <c r="Y460" s="23"/>
      <c r="Z460" s="23"/>
    </row>
    <row r="461">
      <c r="A461" s="107"/>
      <c r="B461" s="103" t="str">
        <f>IFERROR( VLOOKUP($A461,'INVOICE DETAILS.'!$F$3:$G$1994,2,0)," ")</f>
        <v> </v>
      </c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8"/>
      <c r="O461" s="109"/>
      <c r="P461" s="109"/>
      <c r="Q461" s="107"/>
      <c r="R461" s="107"/>
      <c r="S461" s="107"/>
      <c r="T461" s="107"/>
      <c r="U461" s="107"/>
      <c r="V461" s="107" t="str">
        <f t="shared" si="1"/>
        <v> </v>
      </c>
      <c r="W461" s="107"/>
      <c r="X461" s="23"/>
      <c r="Y461" s="23"/>
      <c r="Z461" s="23"/>
    </row>
    <row r="462">
      <c r="A462" s="107"/>
      <c r="B462" s="103" t="str">
        <f>IFERROR( VLOOKUP($A462,'INVOICE DETAILS.'!$F$3:$G$1994,2,0)," ")</f>
        <v> </v>
      </c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8"/>
      <c r="O462" s="109"/>
      <c r="P462" s="109"/>
      <c r="Q462" s="107"/>
      <c r="R462" s="107"/>
      <c r="S462" s="107"/>
      <c r="T462" s="107"/>
      <c r="U462" s="107"/>
      <c r="V462" s="107" t="str">
        <f t="shared" si="1"/>
        <v> </v>
      </c>
      <c r="W462" s="107"/>
      <c r="X462" s="23"/>
      <c r="Y462" s="23"/>
      <c r="Z462" s="23"/>
    </row>
    <row r="463">
      <c r="A463" s="107"/>
      <c r="B463" s="103" t="str">
        <f>IFERROR( VLOOKUP($A463,'INVOICE DETAILS.'!$F$3:$G$1994,2,0)," ")</f>
        <v> </v>
      </c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8"/>
      <c r="O463" s="109"/>
      <c r="P463" s="109"/>
      <c r="Q463" s="107"/>
      <c r="R463" s="107"/>
      <c r="S463" s="107"/>
      <c r="T463" s="107"/>
      <c r="U463" s="107"/>
      <c r="V463" s="107" t="str">
        <f t="shared" si="1"/>
        <v> </v>
      </c>
      <c r="W463" s="107"/>
      <c r="X463" s="23"/>
      <c r="Y463" s="23"/>
      <c r="Z463" s="23"/>
    </row>
    <row r="464">
      <c r="A464" s="107"/>
      <c r="B464" s="103" t="str">
        <f>IFERROR( VLOOKUP($A464,'INVOICE DETAILS.'!$F$3:$G$1994,2,0)," ")</f>
        <v> </v>
      </c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8"/>
      <c r="O464" s="109"/>
      <c r="P464" s="109"/>
      <c r="Q464" s="107"/>
      <c r="R464" s="107"/>
      <c r="S464" s="107"/>
      <c r="T464" s="107"/>
      <c r="U464" s="107"/>
      <c r="V464" s="107" t="str">
        <f t="shared" si="1"/>
        <v> </v>
      </c>
      <c r="W464" s="107"/>
      <c r="X464" s="23"/>
      <c r="Y464" s="23"/>
      <c r="Z464" s="23"/>
    </row>
    <row r="465">
      <c r="A465" s="107"/>
      <c r="B465" s="103" t="str">
        <f>IFERROR( VLOOKUP($A465,'INVOICE DETAILS.'!$F$3:$G$1994,2,0)," ")</f>
        <v> </v>
      </c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8"/>
      <c r="O465" s="109"/>
      <c r="P465" s="109"/>
      <c r="Q465" s="107"/>
      <c r="R465" s="107"/>
      <c r="S465" s="107"/>
      <c r="T465" s="107"/>
      <c r="U465" s="107"/>
      <c r="V465" s="107" t="str">
        <f t="shared" si="1"/>
        <v> </v>
      </c>
      <c r="W465" s="107"/>
      <c r="X465" s="23"/>
      <c r="Y465" s="23"/>
      <c r="Z465" s="23"/>
    </row>
    <row r="466">
      <c r="A466" s="107"/>
      <c r="B466" s="103" t="str">
        <f>IFERROR( VLOOKUP($A466,'INVOICE DETAILS.'!$F$3:$G$1994,2,0)," ")</f>
        <v> </v>
      </c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8"/>
      <c r="O466" s="109"/>
      <c r="P466" s="109"/>
      <c r="Q466" s="107"/>
      <c r="R466" s="107"/>
      <c r="S466" s="107"/>
      <c r="T466" s="107"/>
      <c r="U466" s="107"/>
      <c r="V466" s="107" t="str">
        <f t="shared" si="1"/>
        <v> </v>
      </c>
      <c r="W466" s="107"/>
      <c r="X466" s="23"/>
      <c r="Y466" s="23"/>
      <c r="Z466" s="23"/>
    </row>
    <row r="467">
      <c r="A467" s="107"/>
      <c r="B467" s="103" t="str">
        <f>IFERROR( VLOOKUP($A467,'INVOICE DETAILS.'!$F$3:$G$1994,2,0)," ")</f>
        <v> </v>
      </c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8"/>
      <c r="O467" s="109"/>
      <c r="P467" s="109"/>
      <c r="Q467" s="107"/>
      <c r="R467" s="107"/>
      <c r="S467" s="107"/>
      <c r="T467" s="107"/>
      <c r="U467" s="107"/>
      <c r="V467" s="107" t="str">
        <f t="shared" si="1"/>
        <v> </v>
      </c>
      <c r="W467" s="107"/>
      <c r="X467" s="23"/>
      <c r="Y467" s="23"/>
      <c r="Z467" s="23"/>
    </row>
    <row r="468">
      <c r="A468" s="107"/>
      <c r="B468" s="103" t="str">
        <f>IFERROR( VLOOKUP($A468,'INVOICE DETAILS.'!$F$3:$G$1994,2,0)," ")</f>
        <v> </v>
      </c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8"/>
      <c r="O468" s="109"/>
      <c r="P468" s="109"/>
      <c r="Q468" s="107"/>
      <c r="R468" s="107"/>
      <c r="S468" s="107"/>
      <c r="T468" s="107"/>
      <c r="U468" s="107"/>
      <c r="V468" s="107" t="str">
        <f t="shared" si="1"/>
        <v> </v>
      </c>
      <c r="W468" s="107"/>
      <c r="X468" s="23"/>
      <c r="Y468" s="23"/>
      <c r="Z468" s="23"/>
    </row>
    <row r="469">
      <c r="A469" s="107"/>
      <c r="B469" s="103" t="str">
        <f>IFERROR( VLOOKUP($A469,'INVOICE DETAILS.'!$F$3:$G$1994,2,0)," ")</f>
        <v> </v>
      </c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8"/>
      <c r="O469" s="109"/>
      <c r="P469" s="109"/>
      <c r="Q469" s="107"/>
      <c r="R469" s="107"/>
      <c r="S469" s="107"/>
      <c r="T469" s="107"/>
      <c r="U469" s="107"/>
      <c r="V469" s="107" t="str">
        <f t="shared" si="1"/>
        <v> </v>
      </c>
      <c r="W469" s="107"/>
      <c r="X469" s="23"/>
      <c r="Y469" s="23"/>
      <c r="Z469" s="23"/>
    </row>
    <row r="470">
      <c r="A470" s="107"/>
      <c r="B470" s="103" t="str">
        <f>IFERROR( VLOOKUP($A470,'INVOICE DETAILS.'!$F$3:$G$1994,2,0)," ")</f>
        <v> </v>
      </c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8"/>
      <c r="O470" s="109"/>
      <c r="P470" s="109"/>
      <c r="Q470" s="107"/>
      <c r="R470" s="107"/>
      <c r="S470" s="107"/>
      <c r="T470" s="107"/>
      <c r="U470" s="107"/>
      <c r="V470" s="107" t="str">
        <f t="shared" si="1"/>
        <v> </v>
      </c>
      <c r="W470" s="107"/>
      <c r="X470" s="23"/>
      <c r="Y470" s="23"/>
      <c r="Z470" s="23"/>
    </row>
    <row r="471">
      <c r="A471" s="107"/>
      <c r="B471" s="103" t="str">
        <f>IFERROR( VLOOKUP($A471,'INVOICE DETAILS.'!$F$3:$G$1994,2,0)," ")</f>
        <v> </v>
      </c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8"/>
      <c r="O471" s="109"/>
      <c r="P471" s="109"/>
      <c r="Q471" s="107"/>
      <c r="R471" s="107"/>
      <c r="S471" s="107"/>
      <c r="T471" s="107"/>
      <c r="U471" s="107"/>
      <c r="V471" s="107" t="str">
        <f t="shared" si="1"/>
        <v> </v>
      </c>
      <c r="W471" s="107"/>
      <c r="X471" s="23"/>
      <c r="Y471" s="23"/>
      <c r="Z471" s="23"/>
    </row>
    <row r="472">
      <c r="A472" s="107"/>
      <c r="B472" s="103" t="str">
        <f>IFERROR( VLOOKUP($A472,'INVOICE DETAILS.'!$F$3:$G$1994,2,0)," ")</f>
        <v> </v>
      </c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8"/>
      <c r="O472" s="109"/>
      <c r="P472" s="109"/>
      <c r="Q472" s="107"/>
      <c r="R472" s="107"/>
      <c r="S472" s="107"/>
      <c r="T472" s="107"/>
      <c r="U472" s="107"/>
      <c r="V472" s="107" t="str">
        <f t="shared" si="1"/>
        <v> </v>
      </c>
      <c r="W472" s="107"/>
      <c r="X472" s="23"/>
      <c r="Y472" s="23"/>
      <c r="Z472" s="23"/>
    </row>
    <row r="473">
      <c r="A473" s="107"/>
      <c r="B473" s="103" t="str">
        <f>IFERROR( VLOOKUP($A473,'INVOICE DETAILS.'!$F$3:$G$1994,2,0)," ")</f>
        <v> </v>
      </c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8"/>
      <c r="O473" s="109"/>
      <c r="P473" s="109"/>
      <c r="Q473" s="107"/>
      <c r="R473" s="107"/>
      <c r="S473" s="107"/>
      <c r="T473" s="107"/>
      <c r="U473" s="107"/>
      <c r="V473" s="107" t="str">
        <f t="shared" si="1"/>
        <v> </v>
      </c>
      <c r="W473" s="107"/>
      <c r="X473" s="23"/>
      <c r="Y473" s="23"/>
      <c r="Z473" s="23"/>
    </row>
    <row r="474">
      <c r="A474" s="107"/>
      <c r="B474" s="103" t="str">
        <f>IFERROR( VLOOKUP($A474,'INVOICE DETAILS.'!$F$3:$G$1994,2,0)," ")</f>
        <v> </v>
      </c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8"/>
      <c r="O474" s="109"/>
      <c r="P474" s="109"/>
      <c r="Q474" s="107"/>
      <c r="R474" s="107"/>
      <c r="S474" s="107"/>
      <c r="T474" s="107"/>
      <c r="U474" s="107"/>
      <c r="V474" s="107" t="str">
        <f t="shared" si="1"/>
        <v> </v>
      </c>
      <c r="W474" s="107"/>
      <c r="X474" s="23"/>
      <c r="Y474" s="23"/>
      <c r="Z474" s="23"/>
    </row>
    <row r="475">
      <c r="A475" s="107"/>
      <c r="B475" s="103" t="str">
        <f>IFERROR( VLOOKUP($A475,'INVOICE DETAILS.'!$F$3:$G$1994,2,0)," ")</f>
        <v> </v>
      </c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8"/>
      <c r="O475" s="109"/>
      <c r="P475" s="109"/>
      <c r="Q475" s="107"/>
      <c r="R475" s="107"/>
      <c r="S475" s="107"/>
      <c r="T475" s="107"/>
      <c r="U475" s="107"/>
      <c r="V475" s="107" t="str">
        <f t="shared" si="1"/>
        <v> </v>
      </c>
      <c r="W475" s="107"/>
      <c r="X475" s="23"/>
      <c r="Y475" s="23"/>
      <c r="Z475" s="23"/>
    </row>
    <row r="476">
      <c r="A476" s="107"/>
      <c r="B476" s="103" t="str">
        <f>IFERROR( VLOOKUP($A476,'INVOICE DETAILS.'!$F$3:$G$1994,2,0)," ")</f>
        <v> </v>
      </c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8"/>
      <c r="O476" s="109"/>
      <c r="P476" s="109"/>
      <c r="Q476" s="107"/>
      <c r="R476" s="107"/>
      <c r="S476" s="107"/>
      <c r="T476" s="107"/>
      <c r="U476" s="107"/>
      <c r="V476" s="107" t="str">
        <f t="shared" si="1"/>
        <v> </v>
      </c>
      <c r="W476" s="107"/>
      <c r="X476" s="23"/>
      <c r="Y476" s="23"/>
      <c r="Z476" s="23"/>
    </row>
    <row r="477">
      <c r="A477" s="107"/>
      <c r="B477" s="103" t="str">
        <f>IFERROR( VLOOKUP($A477,'INVOICE DETAILS.'!$F$3:$G$1994,2,0)," ")</f>
        <v> </v>
      </c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8"/>
      <c r="O477" s="109"/>
      <c r="P477" s="109"/>
      <c r="Q477" s="107"/>
      <c r="R477" s="107"/>
      <c r="S477" s="107"/>
      <c r="T477" s="107"/>
      <c r="U477" s="107"/>
      <c r="V477" s="107" t="str">
        <f t="shared" si="1"/>
        <v> </v>
      </c>
      <c r="W477" s="107"/>
      <c r="X477" s="23"/>
      <c r="Y477" s="23"/>
      <c r="Z477" s="23"/>
    </row>
    <row r="478">
      <c r="A478" s="107"/>
      <c r="B478" s="103" t="str">
        <f>IFERROR( VLOOKUP($A478,'INVOICE DETAILS.'!$F$3:$G$1994,2,0)," ")</f>
        <v> </v>
      </c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8"/>
      <c r="O478" s="109"/>
      <c r="P478" s="109"/>
      <c r="Q478" s="107"/>
      <c r="R478" s="107"/>
      <c r="S478" s="107"/>
      <c r="T478" s="107"/>
      <c r="U478" s="107"/>
      <c r="V478" s="107" t="str">
        <f t="shared" si="1"/>
        <v> </v>
      </c>
      <c r="W478" s="107"/>
      <c r="X478" s="23"/>
      <c r="Y478" s="23"/>
      <c r="Z478" s="23"/>
    </row>
    <row r="479">
      <c r="A479" s="107"/>
      <c r="B479" s="103" t="str">
        <f>IFERROR( VLOOKUP($A479,'INVOICE DETAILS.'!$F$3:$G$1994,2,0)," ")</f>
        <v> </v>
      </c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8"/>
      <c r="O479" s="109"/>
      <c r="P479" s="109"/>
      <c r="Q479" s="107"/>
      <c r="R479" s="107"/>
      <c r="S479" s="107"/>
      <c r="T479" s="107"/>
      <c r="U479" s="107"/>
      <c r="V479" s="107" t="str">
        <f t="shared" si="1"/>
        <v> </v>
      </c>
      <c r="W479" s="107"/>
      <c r="X479" s="23"/>
      <c r="Y479" s="23"/>
      <c r="Z479" s="23"/>
    </row>
    <row r="480">
      <c r="A480" s="107"/>
      <c r="B480" s="103" t="str">
        <f>IFERROR( VLOOKUP($A480,'INVOICE DETAILS.'!$F$3:$G$1994,2,0)," ")</f>
        <v> </v>
      </c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8"/>
      <c r="O480" s="109"/>
      <c r="P480" s="109"/>
      <c r="Q480" s="107"/>
      <c r="R480" s="107"/>
      <c r="S480" s="107"/>
      <c r="T480" s="107"/>
      <c r="U480" s="107"/>
      <c r="V480" s="107" t="str">
        <f t="shared" si="1"/>
        <v> </v>
      </c>
      <c r="W480" s="107"/>
      <c r="X480" s="23"/>
      <c r="Y480" s="23"/>
      <c r="Z480" s="23"/>
    </row>
    <row r="481">
      <c r="A481" s="107"/>
      <c r="B481" s="103" t="str">
        <f>IFERROR( VLOOKUP($A481,'INVOICE DETAILS.'!$F$3:$G$1994,2,0)," ")</f>
        <v> </v>
      </c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8"/>
      <c r="O481" s="109"/>
      <c r="P481" s="109"/>
      <c r="Q481" s="107"/>
      <c r="R481" s="107"/>
      <c r="S481" s="107"/>
      <c r="T481" s="107"/>
      <c r="U481" s="107"/>
      <c r="V481" s="107" t="str">
        <f t="shared" si="1"/>
        <v> </v>
      </c>
      <c r="W481" s="107"/>
      <c r="X481" s="23"/>
      <c r="Y481" s="23"/>
      <c r="Z481" s="23"/>
    </row>
    <row r="482">
      <c r="A482" s="107"/>
      <c r="B482" s="103" t="str">
        <f>IFERROR( VLOOKUP($A482,'INVOICE DETAILS.'!$F$3:$G$1994,2,0)," ")</f>
        <v> </v>
      </c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8"/>
      <c r="O482" s="109"/>
      <c r="P482" s="109"/>
      <c r="Q482" s="107"/>
      <c r="R482" s="107"/>
      <c r="S482" s="107"/>
      <c r="T482" s="107"/>
      <c r="U482" s="107"/>
      <c r="V482" s="107" t="str">
        <f t="shared" si="1"/>
        <v> </v>
      </c>
      <c r="W482" s="107"/>
      <c r="X482" s="23"/>
      <c r="Y482" s="23"/>
      <c r="Z482" s="23"/>
    </row>
    <row r="483">
      <c r="A483" s="107"/>
      <c r="B483" s="103" t="str">
        <f>IFERROR( VLOOKUP($A483,'INVOICE DETAILS.'!$F$3:$G$1994,2,0)," ")</f>
        <v> </v>
      </c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8"/>
      <c r="O483" s="109"/>
      <c r="P483" s="109"/>
      <c r="Q483" s="107"/>
      <c r="R483" s="107"/>
      <c r="S483" s="107"/>
      <c r="T483" s="107"/>
      <c r="U483" s="107"/>
      <c r="V483" s="107" t="str">
        <f t="shared" si="1"/>
        <v> </v>
      </c>
      <c r="W483" s="107"/>
      <c r="X483" s="23"/>
      <c r="Y483" s="23"/>
      <c r="Z483" s="23"/>
    </row>
    <row r="484">
      <c r="A484" s="107"/>
      <c r="B484" s="103" t="str">
        <f>IFERROR( VLOOKUP($A484,'INVOICE DETAILS.'!$F$3:$G$1994,2,0)," ")</f>
        <v> </v>
      </c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8"/>
      <c r="O484" s="109"/>
      <c r="P484" s="109"/>
      <c r="Q484" s="107"/>
      <c r="R484" s="107"/>
      <c r="S484" s="107"/>
      <c r="T484" s="107"/>
      <c r="U484" s="107"/>
      <c r="V484" s="107" t="str">
        <f t="shared" si="1"/>
        <v> </v>
      </c>
      <c r="W484" s="107"/>
      <c r="X484" s="23"/>
      <c r="Y484" s="23"/>
      <c r="Z484" s="23"/>
    </row>
    <row r="485">
      <c r="A485" s="107"/>
      <c r="B485" s="103" t="str">
        <f>IFERROR( VLOOKUP($A485,'INVOICE DETAILS.'!$F$3:$G$1994,2,0)," ")</f>
        <v> </v>
      </c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8"/>
      <c r="O485" s="109"/>
      <c r="P485" s="109"/>
      <c r="Q485" s="107"/>
      <c r="R485" s="107"/>
      <c r="S485" s="107"/>
      <c r="T485" s="107"/>
      <c r="U485" s="107"/>
      <c r="V485" s="107" t="str">
        <f t="shared" si="1"/>
        <v> </v>
      </c>
      <c r="W485" s="107"/>
      <c r="X485" s="23"/>
      <c r="Y485" s="23"/>
      <c r="Z485" s="23"/>
    </row>
    <row r="486">
      <c r="A486" s="107"/>
      <c r="B486" s="103" t="str">
        <f>IFERROR( VLOOKUP($A486,'INVOICE DETAILS.'!$F$3:$G$1994,2,0)," ")</f>
        <v> </v>
      </c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8"/>
      <c r="O486" s="109"/>
      <c r="P486" s="109"/>
      <c r="Q486" s="107"/>
      <c r="R486" s="107"/>
      <c r="S486" s="107"/>
      <c r="T486" s="107"/>
      <c r="U486" s="107"/>
      <c r="V486" s="107" t="str">
        <f t="shared" si="1"/>
        <v> </v>
      </c>
      <c r="W486" s="107"/>
      <c r="X486" s="23"/>
      <c r="Y486" s="23"/>
      <c r="Z486" s="23"/>
    </row>
    <row r="487">
      <c r="A487" s="107"/>
      <c r="B487" s="103" t="str">
        <f>IFERROR( VLOOKUP($A487,'INVOICE DETAILS.'!$F$3:$G$1994,2,0)," ")</f>
        <v> </v>
      </c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8"/>
      <c r="O487" s="109"/>
      <c r="P487" s="109"/>
      <c r="Q487" s="107"/>
      <c r="R487" s="107"/>
      <c r="S487" s="107"/>
      <c r="T487" s="107"/>
      <c r="U487" s="107"/>
      <c r="V487" s="107" t="str">
        <f t="shared" si="1"/>
        <v> </v>
      </c>
      <c r="W487" s="107"/>
      <c r="X487" s="23"/>
      <c r="Y487" s="23"/>
      <c r="Z487" s="23"/>
    </row>
    <row r="488">
      <c r="A488" s="107"/>
      <c r="B488" s="103" t="str">
        <f>IFERROR( VLOOKUP($A488,'INVOICE DETAILS.'!$F$3:$G$1994,2,0)," ")</f>
        <v> </v>
      </c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8"/>
      <c r="O488" s="109"/>
      <c r="P488" s="109"/>
      <c r="Q488" s="107"/>
      <c r="R488" s="107"/>
      <c r="S488" s="107"/>
      <c r="T488" s="107"/>
      <c r="U488" s="107"/>
      <c r="V488" s="107" t="str">
        <f t="shared" si="1"/>
        <v> </v>
      </c>
      <c r="W488" s="107"/>
      <c r="X488" s="23"/>
      <c r="Y488" s="23"/>
      <c r="Z488" s="23"/>
    </row>
    <row r="489">
      <c r="A489" s="107"/>
      <c r="B489" s="103" t="str">
        <f>IFERROR( VLOOKUP($A489,'INVOICE DETAILS.'!$F$3:$G$1994,2,0)," ")</f>
        <v> </v>
      </c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8"/>
      <c r="O489" s="109"/>
      <c r="P489" s="109"/>
      <c r="Q489" s="107"/>
      <c r="R489" s="107"/>
      <c r="S489" s="107"/>
      <c r="T489" s="107"/>
      <c r="U489" s="107"/>
      <c r="V489" s="107" t="str">
        <f t="shared" si="1"/>
        <v> </v>
      </c>
      <c r="W489" s="107"/>
      <c r="X489" s="23"/>
      <c r="Y489" s="23"/>
      <c r="Z489" s="23"/>
    </row>
    <row r="490">
      <c r="A490" s="107"/>
      <c r="B490" s="103" t="str">
        <f>IFERROR( VLOOKUP($A490,'INVOICE DETAILS.'!$F$3:$G$1994,2,0)," ")</f>
        <v> </v>
      </c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8"/>
      <c r="O490" s="109"/>
      <c r="P490" s="109"/>
      <c r="Q490" s="107"/>
      <c r="R490" s="107"/>
      <c r="S490" s="107"/>
      <c r="T490" s="107"/>
      <c r="U490" s="107"/>
      <c r="V490" s="107" t="str">
        <f t="shared" si="1"/>
        <v> </v>
      </c>
      <c r="W490" s="107"/>
      <c r="X490" s="23"/>
      <c r="Y490" s="23"/>
      <c r="Z490" s="23"/>
    </row>
    <row r="491">
      <c r="A491" s="107"/>
      <c r="B491" s="103" t="str">
        <f>IFERROR( VLOOKUP($A491,'INVOICE DETAILS.'!$F$3:$G$1994,2,0)," ")</f>
        <v> </v>
      </c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8"/>
      <c r="O491" s="109"/>
      <c r="P491" s="109"/>
      <c r="Q491" s="107"/>
      <c r="R491" s="107"/>
      <c r="S491" s="107"/>
      <c r="T491" s="107"/>
      <c r="U491" s="107"/>
      <c r="V491" s="107" t="str">
        <f t="shared" si="1"/>
        <v> </v>
      </c>
      <c r="W491" s="107"/>
      <c r="X491" s="23"/>
      <c r="Y491" s="23"/>
      <c r="Z491" s="23"/>
    </row>
    <row r="492">
      <c r="A492" s="107"/>
      <c r="B492" s="103" t="str">
        <f>IFERROR( VLOOKUP($A492,'INVOICE DETAILS.'!$F$3:$G$1994,2,0)," ")</f>
        <v> </v>
      </c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8"/>
      <c r="O492" s="109"/>
      <c r="P492" s="109"/>
      <c r="Q492" s="107"/>
      <c r="R492" s="107"/>
      <c r="S492" s="107"/>
      <c r="T492" s="107"/>
      <c r="U492" s="107"/>
      <c r="V492" s="107" t="str">
        <f t="shared" si="1"/>
        <v> </v>
      </c>
      <c r="W492" s="107"/>
      <c r="X492" s="23"/>
      <c r="Y492" s="23"/>
      <c r="Z492" s="23"/>
    </row>
    <row r="493">
      <c r="A493" s="107"/>
      <c r="B493" s="103" t="str">
        <f>IFERROR( VLOOKUP($A493,'INVOICE DETAILS.'!$F$3:$G$1994,2,0)," ")</f>
        <v> </v>
      </c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8"/>
      <c r="O493" s="109"/>
      <c r="P493" s="109"/>
      <c r="Q493" s="107"/>
      <c r="R493" s="107"/>
      <c r="S493" s="107"/>
      <c r="T493" s="107"/>
      <c r="U493" s="107"/>
      <c r="V493" s="107" t="str">
        <f t="shared" si="1"/>
        <v> </v>
      </c>
      <c r="W493" s="107"/>
      <c r="X493" s="23"/>
      <c r="Y493" s="23"/>
      <c r="Z493" s="23"/>
    </row>
    <row r="494">
      <c r="A494" s="107"/>
      <c r="B494" s="103" t="str">
        <f>IFERROR( VLOOKUP($A494,'INVOICE DETAILS.'!$F$3:$G$1994,2,0)," ")</f>
        <v> </v>
      </c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8"/>
      <c r="O494" s="109"/>
      <c r="P494" s="109"/>
      <c r="Q494" s="107"/>
      <c r="R494" s="107"/>
      <c r="S494" s="107"/>
      <c r="T494" s="107"/>
      <c r="U494" s="107"/>
      <c r="V494" s="107" t="str">
        <f t="shared" si="1"/>
        <v> </v>
      </c>
      <c r="W494" s="107"/>
      <c r="X494" s="23"/>
      <c r="Y494" s="23"/>
      <c r="Z494" s="23"/>
    </row>
    <row r="495">
      <c r="A495" s="107"/>
      <c r="B495" s="103" t="str">
        <f>IFERROR( VLOOKUP($A495,'INVOICE DETAILS.'!$F$3:$G$1994,2,0)," ")</f>
        <v> </v>
      </c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8"/>
      <c r="O495" s="109"/>
      <c r="P495" s="109"/>
      <c r="Q495" s="107"/>
      <c r="R495" s="107"/>
      <c r="S495" s="107"/>
      <c r="T495" s="107"/>
      <c r="U495" s="107"/>
      <c r="V495" s="107" t="str">
        <f t="shared" si="1"/>
        <v> </v>
      </c>
      <c r="W495" s="107"/>
      <c r="X495" s="23"/>
      <c r="Y495" s="23"/>
      <c r="Z495" s="23"/>
    </row>
    <row r="496">
      <c r="A496" s="107"/>
      <c r="B496" s="103" t="str">
        <f>IFERROR( VLOOKUP($A496,'INVOICE DETAILS.'!$F$3:$G$1994,2,0)," ")</f>
        <v> </v>
      </c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8"/>
      <c r="O496" s="109"/>
      <c r="P496" s="109"/>
      <c r="Q496" s="107"/>
      <c r="R496" s="107"/>
      <c r="S496" s="107"/>
      <c r="T496" s="107"/>
      <c r="U496" s="107"/>
      <c r="V496" s="107" t="str">
        <f t="shared" si="1"/>
        <v> </v>
      </c>
      <c r="W496" s="107"/>
      <c r="X496" s="23"/>
      <c r="Y496" s="23"/>
      <c r="Z496" s="23"/>
    </row>
    <row r="497">
      <c r="A497" s="107"/>
      <c r="B497" s="103" t="str">
        <f>IFERROR( VLOOKUP($A497,'INVOICE DETAILS.'!$F$3:$G$1994,2,0)," ")</f>
        <v> </v>
      </c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8"/>
      <c r="O497" s="109"/>
      <c r="P497" s="109"/>
      <c r="Q497" s="107"/>
      <c r="R497" s="107"/>
      <c r="S497" s="107"/>
      <c r="T497" s="107"/>
      <c r="U497" s="107"/>
      <c r="V497" s="107" t="str">
        <f t="shared" si="1"/>
        <v> </v>
      </c>
      <c r="W497" s="107"/>
      <c r="X497" s="23"/>
      <c r="Y497" s="23"/>
      <c r="Z497" s="23"/>
    </row>
    <row r="498">
      <c r="A498" s="107"/>
      <c r="B498" s="103" t="str">
        <f>IFERROR( VLOOKUP($A498,'INVOICE DETAILS.'!$F$3:$G$1994,2,0)," ")</f>
        <v> </v>
      </c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8"/>
      <c r="O498" s="109"/>
      <c r="P498" s="109"/>
      <c r="Q498" s="107"/>
      <c r="R498" s="107"/>
      <c r="S498" s="107"/>
      <c r="T498" s="107"/>
      <c r="U498" s="107"/>
      <c r="V498" s="107" t="str">
        <f t="shared" si="1"/>
        <v> </v>
      </c>
      <c r="W498" s="107"/>
      <c r="X498" s="23"/>
      <c r="Y498" s="23"/>
      <c r="Z498" s="23"/>
    </row>
    <row r="499">
      <c r="A499" s="107"/>
      <c r="B499" s="103" t="str">
        <f>IFERROR( VLOOKUP($A499,'INVOICE DETAILS.'!$F$3:$G$1994,2,0)," ")</f>
        <v> </v>
      </c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8"/>
      <c r="O499" s="109"/>
      <c r="P499" s="109"/>
      <c r="Q499" s="107"/>
      <c r="R499" s="107"/>
      <c r="S499" s="107"/>
      <c r="T499" s="107"/>
      <c r="U499" s="107"/>
      <c r="V499" s="107" t="str">
        <f t="shared" si="1"/>
        <v> </v>
      </c>
      <c r="W499" s="107"/>
      <c r="X499" s="23"/>
      <c r="Y499" s="23"/>
      <c r="Z499" s="23"/>
    </row>
    <row r="500">
      <c r="A500" s="107"/>
      <c r="B500" s="103" t="str">
        <f>IFERROR( VLOOKUP($A500,'INVOICE DETAILS.'!$F$3:$G$1994,2,0)," ")</f>
        <v> </v>
      </c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8"/>
      <c r="O500" s="109"/>
      <c r="P500" s="109"/>
      <c r="Q500" s="107"/>
      <c r="R500" s="107"/>
      <c r="S500" s="107"/>
      <c r="T500" s="107"/>
      <c r="U500" s="107"/>
      <c r="V500" s="107" t="str">
        <f t="shared" si="1"/>
        <v> </v>
      </c>
      <c r="W500" s="107"/>
      <c r="X500" s="23"/>
      <c r="Y500" s="23"/>
      <c r="Z500" s="23"/>
    </row>
    <row r="501">
      <c r="A501" s="107"/>
      <c r="B501" s="103" t="str">
        <f>IFERROR( VLOOKUP($A501,'INVOICE DETAILS.'!$F$3:$G$1994,2,0)," ")</f>
        <v> </v>
      </c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8"/>
      <c r="O501" s="109"/>
      <c r="P501" s="109"/>
      <c r="Q501" s="107"/>
      <c r="R501" s="107"/>
      <c r="S501" s="107"/>
      <c r="T501" s="107"/>
      <c r="U501" s="107"/>
      <c r="V501" s="107" t="str">
        <f t="shared" si="1"/>
        <v> </v>
      </c>
      <c r="W501" s="107"/>
      <c r="X501" s="23"/>
      <c r="Y501" s="23"/>
      <c r="Z501" s="23"/>
    </row>
    <row r="502">
      <c r="A502" s="107"/>
      <c r="B502" s="103" t="str">
        <f>IFERROR( VLOOKUP($A502,'INVOICE DETAILS.'!$F$3:$G$1994,2,0)," ")</f>
        <v> </v>
      </c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8"/>
      <c r="O502" s="109"/>
      <c r="P502" s="109"/>
      <c r="Q502" s="107"/>
      <c r="R502" s="107"/>
      <c r="S502" s="107"/>
      <c r="T502" s="107"/>
      <c r="U502" s="107"/>
      <c r="V502" s="107" t="str">
        <f t="shared" si="1"/>
        <v> </v>
      </c>
      <c r="W502" s="107"/>
      <c r="X502" s="23"/>
      <c r="Y502" s="23"/>
      <c r="Z502" s="23"/>
    </row>
    <row r="503">
      <c r="A503" s="107"/>
      <c r="B503" s="103" t="str">
        <f>IFERROR( VLOOKUP($A503,'INVOICE DETAILS.'!$F$3:$G$1994,2,0)," ")</f>
        <v> </v>
      </c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8"/>
      <c r="O503" s="109"/>
      <c r="P503" s="109"/>
      <c r="Q503" s="107"/>
      <c r="R503" s="107"/>
      <c r="S503" s="107"/>
      <c r="T503" s="107"/>
      <c r="U503" s="107"/>
      <c r="V503" s="107" t="str">
        <f t="shared" si="1"/>
        <v> </v>
      </c>
      <c r="W503" s="107"/>
      <c r="X503" s="23"/>
      <c r="Y503" s="23"/>
      <c r="Z503" s="23"/>
    </row>
    <row r="504">
      <c r="A504" s="107"/>
      <c r="B504" s="103" t="str">
        <f>IFERROR( VLOOKUP($A504,'INVOICE DETAILS.'!$F$3:$G$1994,2,0)," ")</f>
        <v> </v>
      </c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8"/>
      <c r="O504" s="109"/>
      <c r="P504" s="109"/>
      <c r="Q504" s="107"/>
      <c r="R504" s="107"/>
      <c r="S504" s="107"/>
      <c r="T504" s="107"/>
      <c r="U504" s="107"/>
      <c r="V504" s="107" t="str">
        <f t="shared" si="1"/>
        <v> </v>
      </c>
      <c r="W504" s="107"/>
      <c r="X504" s="23"/>
      <c r="Y504" s="23"/>
      <c r="Z504" s="23"/>
    </row>
    <row r="505">
      <c r="A505" s="107"/>
      <c r="B505" s="103" t="str">
        <f>IFERROR( VLOOKUP($A505,'INVOICE DETAILS.'!$F$3:$G$1994,2,0)," ")</f>
        <v> </v>
      </c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8"/>
      <c r="O505" s="109"/>
      <c r="P505" s="109"/>
      <c r="Q505" s="107"/>
      <c r="R505" s="107"/>
      <c r="S505" s="107"/>
      <c r="T505" s="107"/>
      <c r="U505" s="107"/>
      <c r="V505" s="107" t="str">
        <f t="shared" si="1"/>
        <v> </v>
      </c>
      <c r="W505" s="107"/>
      <c r="X505" s="23"/>
      <c r="Y505" s="23"/>
      <c r="Z505" s="23"/>
    </row>
    <row r="506">
      <c r="A506" s="107"/>
      <c r="B506" s="103" t="str">
        <f>IFERROR( VLOOKUP($A506,'INVOICE DETAILS.'!$F$3:$G$1994,2,0)," ")</f>
        <v> </v>
      </c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8"/>
      <c r="O506" s="109"/>
      <c r="P506" s="109"/>
      <c r="Q506" s="107"/>
      <c r="R506" s="107"/>
      <c r="S506" s="107"/>
      <c r="T506" s="107"/>
      <c r="U506" s="107"/>
      <c r="V506" s="107" t="str">
        <f t="shared" si="1"/>
        <v> </v>
      </c>
      <c r="W506" s="107"/>
      <c r="X506" s="23"/>
      <c r="Y506" s="23"/>
      <c r="Z506" s="23"/>
    </row>
    <row r="507">
      <c r="A507" s="107"/>
      <c r="B507" s="103" t="str">
        <f>IFERROR( VLOOKUP($A507,'INVOICE DETAILS.'!$F$3:$G$1994,2,0)," ")</f>
        <v> </v>
      </c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8"/>
      <c r="O507" s="109"/>
      <c r="P507" s="109"/>
      <c r="Q507" s="107"/>
      <c r="R507" s="107"/>
      <c r="S507" s="107"/>
      <c r="T507" s="107"/>
      <c r="U507" s="107"/>
      <c r="V507" s="107" t="str">
        <f t="shared" si="1"/>
        <v> </v>
      </c>
      <c r="W507" s="107"/>
      <c r="X507" s="23"/>
      <c r="Y507" s="23"/>
      <c r="Z507" s="23"/>
    </row>
    <row r="508">
      <c r="A508" s="107"/>
      <c r="B508" s="103" t="str">
        <f>IFERROR( VLOOKUP($A508,'INVOICE DETAILS.'!$F$3:$G$1994,2,0)," ")</f>
        <v> </v>
      </c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8"/>
      <c r="O508" s="109"/>
      <c r="P508" s="109"/>
      <c r="Q508" s="107"/>
      <c r="R508" s="107"/>
      <c r="S508" s="107"/>
      <c r="T508" s="107"/>
      <c r="U508" s="107"/>
      <c r="V508" s="107" t="str">
        <f t="shared" si="1"/>
        <v> </v>
      </c>
      <c r="W508" s="107"/>
      <c r="X508" s="23"/>
      <c r="Y508" s="23"/>
      <c r="Z508" s="23"/>
    </row>
    <row r="509">
      <c r="A509" s="107"/>
      <c r="B509" s="103" t="str">
        <f>IFERROR( VLOOKUP($A509,'INVOICE DETAILS.'!$F$3:$G$1994,2,0)," ")</f>
        <v> </v>
      </c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8"/>
      <c r="O509" s="109"/>
      <c r="P509" s="109"/>
      <c r="Q509" s="107"/>
      <c r="R509" s="107"/>
      <c r="S509" s="107"/>
      <c r="T509" s="107"/>
      <c r="U509" s="107"/>
      <c r="V509" s="107" t="str">
        <f t="shared" si="1"/>
        <v> </v>
      </c>
      <c r="W509" s="107"/>
      <c r="X509" s="23"/>
      <c r="Y509" s="23"/>
      <c r="Z509" s="23"/>
    </row>
    <row r="510">
      <c r="A510" s="107"/>
      <c r="B510" s="103" t="str">
        <f>IFERROR( VLOOKUP($A510,'INVOICE DETAILS.'!$F$3:$G$1994,2,0)," ")</f>
        <v> </v>
      </c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8"/>
      <c r="O510" s="109"/>
      <c r="P510" s="109"/>
      <c r="Q510" s="107"/>
      <c r="R510" s="107"/>
      <c r="S510" s="107"/>
      <c r="T510" s="107"/>
      <c r="U510" s="107"/>
      <c r="V510" s="107" t="str">
        <f t="shared" si="1"/>
        <v> </v>
      </c>
      <c r="W510" s="107"/>
      <c r="X510" s="23"/>
      <c r="Y510" s="23"/>
      <c r="Z510" s="23"/>
    </row>
    <row r="511">
      <c r="A511" s="107"/>
      <c r="B511" s="103" t="str">
        <f>IFERROR( VLOOKUP($A511,'INVOICE DETAILS.'!$F$3:$G$1994,2,0)," ")</f>
        <v> </v>
      </c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8"/>
      <c r="O511" s="109"/>
      <c r="P511" s="109"/>
      <c r="Q511" s="107"/>
      <c r="R511" s="107"/>
      <c r="S511" s="107"/>
      <c r="T511" s="107"/>
      <c r="U511" s="107"/>
      <c r="V511" s="107" t="str">
        <f t="shared" si="1"/>
        <v> </v>
      </c>
      <c r="W511" s="107"/>
      <c r="X511" s="23"/>
      <c r="Y511" s="23"/>
      <c r="Z511" s="23"/>
    </row>
    <row r="512">
      <c r="A512" s="107"/>
      <c r="B512" s="103" t="str">
        <f>IFERROR( VLOOKUP($A512,'INVOICE DETAILS.'!$F$3:$G$1994,2,0)," ")</f>
        <v> </v>
      </c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8"/>
      <c r="O512" s="109"/>
      <c r="P512" s="109"/>
      <c r="Q512" s="107"/>
      <c r="R512" s="107"/>
      <c r="S512" s="107"/>
      <c r="T512" s="107"/>
      <c r="U512" s="107"/>
      <c r="V512" s="107" t="str">
        <f t="shared" si="1"/>
        <v> </v>
      </c>
      <c r="W512" s="107"/>
      <c r="X512" s="23"/>
      <c r="Y512" s="23"/>
      <c r="Z512" s="23"/>
    </row>
    <row r="513">
      <c r="A513" s="107"/>
      <c r="B513" s="103" t="str">
        <f>IFERROR( VLOOKUP($A513,'INVOICE DETAILS.'!$F$3:$G$1994,2,0)," ")</f>
        <v> </v>
      </c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8"/>
      <c r="O513" s="109"/>
      <c r="P513" s="109"/>
      <c r="Q513" s="107"/>
      <c r="R513" s="107"/>
      <c r="S513" s="107"/>
      <c r="T513" s="107"/>
      <c r="U513" s="107"/>
      <c r="V513" s="107" t="str">
        <f t="shared" si="1"/>
        <v> </v>
      </c>
      <c r="W513" s="107"/>
      <c r="X513" s="23"/>
      <c r="Y513" s="23"/>
      <c r="Z513" s="23"/>
    </row>
    <row r="514">
      <c r="A514" s="107"/>
      <c r="B514" s="103" t="str">
        <f>IFERROR( VLOOKUP($A514,'INVOICE DETAILS.'!$F$3:$G$1994,2,0)," ")</f>
        <v> </v>
      </c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8"/>
      <c r="O514" s="109"/>
      <c r="P514" s="109"/>
      <c r="Q514" s="107"/>
      <c r="R514" s="107"/>
      <c r="S514" s="107"/>
      <c r="T514" s="107"/>
      <c r="U514" s="107"/>
      <c r="V514" s="107" t="str">
        <f t="shared" si="1"/>
        <v> </v>
      </c>
      <c r="W514" s="107"/>
      <c r="X514" s="23"/>
      <c r="Y514" s="23"/>
      <c r="Z514" s="23"/>
    </row>
    <row r="515">
      <c r="A515" s="107"/>
      <c r="B515" s="103" t="str">
        <f>IFERROR( VLOOKUP($A515,'INVOICE DETAILS.'!$F$3:$G$1994,2,0)," ")</f>
        <v> </v>
      </c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8"/>
      <c r="O515" s="109"/>
      <c r="P515" s="109"/>
      <c r="Q515" s="107"/>
      <c r="R515" s="107"/>
      <c r="S515" s="107"/>
      <c r="T515" s="107"/>
      <c r="U515" s="107"/>
      <c r="V515" s="107" t="str">
        <f t="shared" si="1"/>
        <v> </v>
      </c>
      <c r="W515" s="107"/>
      <c r="X515" s="23"/>
      <c r="Y515" s="23"/>
      <c r="Z515" s="23"/>
    </row>
    <row r="516">
      <c r="A516" s="107"/>
      <c r="B516" s="103" t="str">
        <f>IFERROR( VLOOKUP($A516,'INVOICE DETAILS.'!$F$3:$G$1994,2,0)," ")</f>
        <v> </v>
      </c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8"/>
      <c r="O516" s="109"/>
      <c r="P516" s="109"/>
      <c r="Q516" s="107"/>
      <c r="R516" s="107"/>
      <c r="S516" s="107"/>
      <c r="T516" s="107"/>
      <c r="U516" s="107"/>
      <c r="V516" s="107" t="str">
        <f t="shared" si="1"/>
        <v> </v>
      </c>
      <c r="W516" s="107"/>
      <c r="X516" s="23"/>
      <c r="Y516" s="23"/>
      <c r="Z516" s="23"/>
    </row>
    <row r="517">
      <c r="A517" s="107"/>
      <c r="B517" s="103" t="str">
        <f>IFERROR( VLOOKUP($A517,'INVOICE DETAILS.'!$F$3:$G$1994,2,0)," ")</f>
        <v> </v>
      </c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8"/>
      <c r="O517" s="109"/>
      <c r="P517" s="109"/>
      <c r="Q517" s="107"/>
      <c r="R517" s="107"/>
      <c r="S517" s="107"/>
      <c r="T517" s="107"/>
      <c r="U517" s="107"/>
      <c r="V517" s="107" t="str">
        <f t="shared" si="1"/>
        <v> </v>
      </c>
      <c r="W517" s="107"/>
      <c r="X517" s="23"/>
      <c r="Y517" s="23"/>
      <c r="Z517" s="23"/>
    </row>
    <row r="518">
      <c r="A518" s="107"/>
      <c r="B518" s="103" t="str">
        <f>IFERROR( VLOOKUP($A518,'INVOICE DETAILS.'!$F$3:$G$1994,2,0)," ")</f>
        <v> </v>
      </c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8"/>
      <c r="O518" s="109"/>
      <c r="P518" s="109"/>
      <c r="Q518" s="107"/>
      <c r="R518" s="107"/>
      <c r="S518" s="107"/>
      <c r="T518" s="107"/>
      <c r="U518" s="107"/>
      <c r="V518" s="107" t="str">
        <f t="shared" si="1"/>
        <v> </v>
      </c>
      <c r="W518" s="107"/>
      <c r="X518" s="23"/>
      <c r="Y518" s="23"/>
      <c r="Z518" s="23"/>
    </row>
    <row r="519">
      <c r="A519" s="107"/>
      <c r="B519" s="103" t="str">
        <f>IFERROR( VLOOKUP($A519,'INVOICE DETAILS.'!$F$3:$G$1994,2,0)," ")</f>
        <v> </v>
      </c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8"/>
      <c r="O519" s="109"/>
      <c r="P519" s="109"/>
      <c r="Q519" s="107"/>
      <c r="R519" s="107"/>
      <c r="S519" s="107"/>
      <c r="T519" s="107"/>
      <c r="U519" s="107"/>
      <c r="V519" s="107" t="str">
        <f t="shared" si="1"/>
        <v> </v>
      </c>
      <c r="W519" s="107"/>
      <c r="X519" s="23"/>
      <c r="Y519" s="23"/>
      <c r="Z519" s="23"/>
    </row>
    <row r="520">
      <c r="A520" s="107"/>
      <c r="B520" s="103" t="str">
        <f>IFERROR( VLOOKUP($A520,'INVOICE DETAILS.'!$F$3:$G$1994,2,0)," ")</f>
        <v> </v>
      </c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8"/>
      <c r="O520" s="109"/>
      <c r="P520" s="109"/>
      <c r="Q520" s="107"/>
      <c r="R520" s="107"/>
      <c r="S520" s="107"/>
      <c r="T520" s="107"/>
      <c r="U520" s="107"/>
      <c r="V520" s="107" t="str">
        <f t="shared" si="1"/>
        <v> </v>
      </c>
      <c r="W520" s="107"/>
      <c r="X520" s="23"/>
      <c r="Y520" s="23"/>
      <c r="Z520" s="23"/>
    </row>
    <row r="521">
      <c r="A521" s="107"/>
      <c r="B521" s="103" t="str">
        <f>IFERROR( VLOOKUP($A521,'INVOICE DETAILS.'!$F$3:$G$1994,2,0)," ")</f>
        <v> </v>
      </c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8"/>
      <c r="O521" s="109"/>
      <c r="P521" s="109"/>
      <c r="Q521" s="107"/>
      <c r="R521" s="107"/>
      <c r="S521" s="107"/>
      <c r="T521" s="107"/>
      <c r="U521" s="107"/>
      <c r="V521" s="107" t="str">
        <f t="shared" si="1"/>
        <v> </v>
      </c>
      <c r="W521" s="107"/>
      <c r="X521" s="23"/>
      <c r="Y521" s="23"/>
      <c r="Z521" s="23"/>
    </row>
    <row r="522">
      <c r="A522" s="107"/>
      <c r="B522" s="103" t="str">
        <f>IFERROR( VLOOKUP($A522,'INVOICE DETAILS.'!$F$3:$G$1994,2,0)," ")</f>
        <v> </v>
      </c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8"/>
      <c r="O522" s="109"/>
      <c r="P522" s="109"/>
      <c r="Q522" s="107"/>
      <c r="R522" s="107"/>
      <c r="S522" s="107"/>
      <c r="T522" s="107"/>
      <c r="U522" s="107"/>
      <c r="V522" s="107" t="str">
        <f t="shared" si="1"/>
        <v> </v>
      </c>
      <c r="W522" s="107"/>
      <c r="X522" s="23"/>
      <c r="Y522" s="23"/>
      <c r="Z522" s="23"/>
    </row>
    <row r="523">
      <c r="A523" s="107"/>
      <c r="B523" s="103" t="str">
        <f>IFERROR( VLOOKUP($A523,'INVOICE DETAILS.'!$F$3:$G$1994,2,0)," ")</f>
        <v> </v>
      </c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8"/>
      <c r="O523" s="109"/>
      <c r="P523" s="109"/>
      <c r="Q523" s="107"/>
      <c r="R523" s="107"/>
      <c r="S523" s="107"/>
      <c r="T523" s="107"/>
      <c r="U523" s="107"/>
      <c r="V523" s="107" t="str">
        <f t="shared" si="1"/>
        <v> </v>
      </c>
      <c r="W523" s="107"/>
      <c r="X523" s="23"/>
      <c r="Y523" s="23"/>
      <c r="Z523" s="23"/>
    </row>
    <row r="524">
      <c r="A524" s="107"/>
      <c r="B524" s="103" t="str">
        <f>IFERROR( VLOOKUP($A524,'INVOICE DETAILS.'!$F$3:$G$1994,2,0)," ")</f>
        <v> </v>
      </c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8"/>
      <c r="O524" s="109"/>
      <c r="P524" s="109"/>
      <c r="Q524" s="107"/>
      <c r="R524" s="107"/>
      <c r="S524" s="107"/>
      <c r="T524" s="107"/>
      <c r="U524" s="107"/>
      <c r="V524" s="107" t="str">
        <f t="shared" si="1"/>
        <v> </v>
      </c>
      <c r="W524" s="107"/>
      <c r="X524" s="23"/>
      <c r="Y524" s="23"/>
      <c r="Z524" s="23"/>
    </row>
    <row r="525">
      <c r="A525" s="107"/>
      <c r="B525" s="103" t="str">
        <f>IFERROR( VLOOKUP($A525,'INVOICE DETAILS.'!$F$3:$G$1994,2,0)," ")</f>
        <v> </v>
      </c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8"/>
      <c r="O525" s="109"/>
      <c r="P525" s="109"/>
      <c r="Q525" s="107"/>
      <c r="R525" s="107"/>
      <c r="S525" s="107"/>
      <c r="T525" s="107"/>
      <c r="U525" s="107"/>
      <c r="V525" s="107" t="str">
        <f t="shared" si="1"/>
        <v> </v>
      </c>
      <c r="W525" s="107"/>
      <c r="X525" s="23"/>
      <c r="Y525" s="23"/>
      <c r="Z525" s="23"/>
    </row>
    <row r="526">
      <c r="A526" s="107"/>
      <c r="B526" s="103" t="str">
        <f>IFERROR( VLOOKUP($A526,'INVOICE DETAILS.'!$F$3:$G$1994,2,0)," ")</f>
        <v> </v>
      </c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8"/>
      <c r="O526" s="109"/>
      <c r="P526" s="109"/>
      <c r="Q526" s="107"/>
      <c r="R526" s="107"/>
      <c r="S526" s="107"/>
      <c r="T526" s="107"/>
      <c r="U526" s="107"/>
      <c r="V526" s="107" t="str">
        <f t="shared" si="1"/>
        <v> </v>
      </c>
      <c r="W526" s="107"/>
      <c r="X526" s="23"/>
      <c r="Y526" s="23"/>
      <c r="Z526" s="23"/>
    </row>
    <row r="527">
      <c r="A527" s="107"/>
      <c r="B527" s="103" t="str">
        <f>IFERROR( VLOOKUP($A527,'INVOICE DETAILS.'!$F$3:$G$1994,2,0)," ")</f>
        <v> </v>
      </c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8"/>
      <c r="O527" s="109"/>
      <c r="P527" s="109"/>
      <c r="Q527" s="107"/>
      <c r="R527" s="107"/>
      <c r="S527" s="107"/>
      <c r="T527" s="107"/>
      <c r="U527" s="107"/>
      <c r="V527" s="107" t="str">
        <f t="shared" si="1"/>
        <v> </v>
      </c>
      <c r="W527" s="107"/>
      <c r="X527" s="23"/>
      <c r="Y527" s="23"/>
      <c r="Z527" s="23"/>
    </row>
    <row r="528">
      <c r="A528" s="107"/>
      <c r="B528" s="103" t="str">
        <f>IFERROR( VLOOKUP($A528,'INVOICE DETAILS.'!$F$3:$G$1994,2,0)," ")</f>
        <v> </v>
      </c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8"/>
      <c r="O528" s="109"/>
      <c r="P528" s="109"/>
      <c r="Q528" s="107"/>
      <c r="R528" s="107"/>
      <c r="S528" s="107"/>
      <c r="T528" s="107"/>
      <c r="U528" s="107"/>
      <c r="V528" s="107" t="str">
        <f t="shared" si="1"/>
        <v> </v>
      </c>
      <c r="W528" s="107"/>
      <c r="X528" s="23"/>
      <c r="Y528" s="23"/>
      <c r="Z528" s="23"/>
    </row>
    <row r="529">
      <c r="A529" s="107"/>
      <c r="B529" s="103" t="str">
        <f>IFERROR( VLOOKUP($A529,'INVOICE DETAILS.'!$F$3:$G$1994,2,0)," ")</f>
        <v> </v>
      </c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8"/>
      <c r="O529" s="109"/>
      <c r="P529" s="109"/>
      <c r="Q529" s="107"/>
      <c r="R529" s="107"/>
      <c r="S529" s="107"/>
      <c r="T529" s="107"/>
      <c r="U529" s="107"/>
      <c r="V529" s="107" t="str">
        <f t="shared" si="1"/>
        <v> </v>
      </c>
      <c r="W529" s="107"/>
      <c r="X529" s="23"/>
      <c r="Y529" s="23"/>
      <c r="Z529" s="23"/>
    </row>
    <row r="530">
      <c r="A530" s="107"/>
      <c r="B530" s="103" t="str">
        <f>IFERROR( VLOOKUP($A530,'INVOICE DETAILS.'!$F$3:$G$1994,2,0)," ")</f>
        <v> </v>
      </c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8"/>
      <c r="O530" s="109"/>
      <c r="P530" s="109"/>
      <c r="Q530" s="107"/>
      <c r="R530" s="107"/>
      <c r="S530" s="107"/>
      <c r="T530" s="107"/>
      <c r="U530" s="107"/>
      <c r="V530" s="107" t="str">
        <f t="shared" si="1"/>
        <v> </v>
      </c>
      <c r="W530" s="107"/>
      <c r="X530" s="23"/>
      <c r="Y530" s="23"/>
      <c r="Z530" s="23"/>
    </row>
    <row r="531">
      <c r="A531" s="107"/>
      <c r="B531" s="103" t="str">
        <f>IFERROR( VLOOKUP($A531,'INVOICE DETAILS.'!$F$3:$G$1994,2,0)," ")</f>
        <v> </v>
      </c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8"/>
      <c r="O531" s="109"/>
      <c r="P531" s="109"/>
      <c r="Q531" s="107"/>
      <c r="R531" s="107"/>
      <c r="S531" s="107"/>
      <c r="T531" s="107"/>
      <c r="U531" s="107"/>
      <c r="V531" s="107" t="str">
        <f t="shared" si="1"/>
        <v> </v>
      </c>
      <c r="W531" s="107"/>
      <c r="X531" s="23"/>
      <c r="Y531" s="23"/>
      <c r="Z531" s="23"/>
    </row>
    <row r="532">
      <c r="A532" s="107"/>
      <c r="B532" s="103" t="str">
        <f>IFERROR( VLOOKUP($A532,'INVOICE DETAILS.'!$F$3:$G$1994,2,0)," ")</f>
        <v> </v>
      </c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8"/>
      <c r="O532" s="109"/>
      <c r="P532" s="109"/>
      <c r="Q532" s="107"/>
      <c r="R532" s="107"/>
      <c r="S532" s="107"/>
      <c r="T532" s="107"/>
      <c r="U532" s="107"/>
      <c r="V532" s="107" t="str">
        <f t="shared" si="1"/>
        <v> </v>
      </c>
      <c r="W532" s="107"/>
      <c r="X532" s="23"/>
      <c r="Y532" s="23"/>
      <c r="Z532" s="23"/>
    </row>
    <row r="533">
      <c r="A533" s="107"/>
      <c r="B533" s="103" t="str">
        <f>IFERROR( VLOOKUP($A533,'INVOICE DETAILS.'!$F$3:$G$1994,2,0)," ")</f>
        <v> </v>
      </c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8"/>
      <c r="O533" s="109"/>
      <c r="P533" s="109"/>
      <c r="Q533" s="107"/>
      <c r="R533" s="107"/>
      <c r="S533" s="107"/>
      <c r="T533" s="107"/>
      <c r="U533" s="107"/>
      <c r="V533" s="107" t="str">
        <f t="shared" si="1"/>
        <v> </v>
      </c>
      <c r="W533" s="107"/>
      <c r="X533" s="23"/>
      <c r="Y533" s="23"/>
      <c r="Z533" s="23"/>
    </row>
    <row r="534">
      <c r="A534" s="107"/>
      <c r="B534" s="103" t="str">
        <f>IFERROR( VLOOKUP($A534,'INVOICE DETAILS.'!$F$3:$G$1994,2,0)," ")</f>
        <v> </v>
      </c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8"/>
      <c r="O534" s="109"/>
      <c r="P534" s="109"/>
      <c r="Q534" s="107"/>
      <c r="R534" s="107"/>
      <c r="S534" s="107"/>
      <c r="T534" s="107"/>
      <c r="U534" s="107"/>
      <c r="V534" s="107" t="str">
        <f t="shared" si="1"/>
        <v> </v>
      </c>
      <c r="W534" s="107"/>
      <c r="X534" s="23"/>
      <c r="Y534" s="23"/>
      <c r="Z534" s="23"/>
    </row>
    <row r="535">
      <c r="A535" s="107"/>
      <c r="B535" s="103" t="str">
        <f>IFERROR( VLOOKUP($A535,'INVOICE DETAILS.'!$F$3:$G$1994,2,0)," ")</f>
        <v> </v>
      </c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8"/>
      <c r="O535" s="109"/>
      <c r="P535" s="109"/>
      <c r="Q535" s="107"/>
      <c r="R535" s="107"/>
      <c r="S535" s="107"/>
      <c r="T535" s="107"/>
      <c r="U535" s="107"/>
      <c r="V535" s="107" t="str">
        <f t="shared" si="1"/>
        <v> </v>
      </c>
      <c r="W535" s="107"/>
      <c r="X535" s="23"/>
      <c r="Y535" s="23"/>
      <c r="Z535" s="23"/>
    </row>
    <row r="536">
      <c r="A536" s="107"/>
      <c r="B536" s="103" t="str">
        <f>IFERROR( VLOOKUP($A536,'INVOICE DETAILS.'!$F$3:$G$1994,2,0)," ")</f>
        <v> </v>
      </c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8"/>
      <c r="O536" s="109"/>
      <c r="P536" s="109"/>
      <c r="Q536" s="107"/>
      <c r="R536" s="107"/>
      <c r="S536" s="107"/>
      <c r="T536" s="107"/>
      <c r="U536" s="107"/>
      <c r="V536" s="107" t="str">
        <f t="shared" si="1"/>
        <v> </v>
      </c>
      <c r="W536" s="107"/>
      <c r="X536" s="23"/>
      <c r="Y536" s="23"/>
      <c r="Z536" s="23"/>
    </row>
    <row r="537">
      <c r="A537" s="107"/>
      <c r="B537" s="103" t="str">
        <f>IFERROR( VLOOKUP($A537,'INVOICE DETAILS.'!$F$3:$G$1994,2,0)," ")</f>
        <v> </v>
      </c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8"/>
      <c r="O537" s="109"/>
      <c r="P537" s="109"/>
      <c r="Q537" s="107"/>
      <c r="R537" s="107"/>
      <c r="S537" s="107"/>
      <c r="T537" s="107"/>
      <c r="U537" s="107"/>
      <c r="V537" s="107" t="str">
        <f t="shared" si="1"/>
        <v> </v>
      </c>
      <c r="W537" s="107"/>
      <c r="X537" s="23"/>
      <c r="Y537" s="23"/>
      <c r="Z537" s="23"/>
    </row>
    <row r="538">
      <c r="A538" s="107"/>
      <c r="B538" s="103" t="str">
        <f>IFERROR( VLOOKUP($A538,'INVOICE DETAILS.'!$F$3:$G$1994,2,0)," ")</f>
        <v> </v>
      </c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8"/>
      <c r="O538" s="109"/>
      <c r="P538" s="109"/>
      <c r="Q538" s="107"/>
      <c r="R538" s="107"/>
      <c r="S538" s="107"/>
      <c r="T538" s="107"/>
      <c r="U538" s="107"/>
      <c r="V538" s="107" t="str">
        <f t="shared" si="1"/>
        <v> </v>
      </c>
      <c r="W538" s="107"/>
      <c r="X538" s="23"/>
      <c r="Y538" s="23"/>
      <c r="Z538" s="23"/>
    </row>
    <row r="539">
      <c r="A539" s="107"/>
      <c r="B539" s="103" t="str">
        <f>IFERROR( VLOOKUP($A539,'INVOICE DETAILS.'!$F$3:$G$1994,2,0)," ")</f>
        <v> </v>
      </c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8"/>
      <c r="O539" s="109"/>
      <c r="P539" s="109"/>
      <c r="Q539" s="107"/>
      <c r="R539" s="107"/>
      <c r="S539" s="107"/>
      <c r="T539" s="107"/>
      <c r="U539" s="107"/>
      <c r="V539" s="107" t="str">
        <f t="shared" si="1"/>
        <v> </v>
      </c>
      <c r="W539" s="107"/>
      <c r="X539" s="23"/>
      <c r="Y539" s="23"/>
      <c r="Z539" s="23"/>
    </row>
    <row r="540">
      <c r="A540" s="107"/>
      <c r="B540" s="103" t="str">
        <f>IFERROR( VLOOKUP($A540,'INVOICE DETAILS.'!$F$3:$G$1994,2,0)," ")</f>
        <v> </v>
      </c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8"/>
      <c r="O540" s="109"/>
      <c r="P540" s="109"/>
      <c r="Q540" s="107"/>
      <c r="R540" s="107"/>
      <c r="S540" s="107"/>
      <c r="T540" s="107"/>
      <c r="U540" s="107"/>
      <c r="V540" s="107" t="str">
        <f t="shared" si="1"/>
        <v> </v>
      </c>
      <c r="W540" s="107"/>
      <c r="X540" s="23"/>
      <c r="Y540" s="23"/>
      <c r="Z540" s="23"/>
    </row>
    <row r="541">
      <c r="A541" s="107"/>
      <c r="B541" s="103" t="str">
        <f>IFERROR( VLOOKUP($A541,'INVOICE DETAILS.'!$F$3:$G$1994,2,0)," ")</f>
        <v> </v>
      </c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8"/>
      <c r="O541" s="109"/>
      <c r="P541" s="109"/>
      <c r="Q541" s="107"/>
      <c r="R541" s="107"/>
      <c r="S541" s="107"/>
      <c r="T541" s="107"/>
      <c r="U541" s="107"/>
      <c r="V541" s="107" t="str">
        <f t="shared" si="1"/>
        <v> </v>
      </c>
      <c r="W541" s="107"/>
      <c r="X541" s="23"/>
      <c r="Y541" s="23"/>
      <c r="Z541" s="23"/>
    </row>
    <row r="542">
      <c r="A542" s="107"/>
      <c r="B542" s="103" t="str">
        <f>IFERROR( VLOOKUP($A542,'INVOICE DETAILS.'!$F$3:$G$1994,2,0)," ")</f>
        <v> </v>
      </c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8"/>
      <c r="O542" s="109"/>
      <c r="P542" s="109"/>
      <c r="Q542" s="107"/>
      <c r="R542" s="107"/>
      <c r="S542" s="107"/>
      <c r="T542" s="107"/>
      <c r="U542" s="107"/>
      <c r="V542" s="107" t="str">
        <f t="shared" si="1"/>
        <v> </v>
      </c>
      <c r="W542" s="107"/>
      <c r="X542" s="23"/>
      <c r="Y542" s="23"/>
      <c r="Z542" s="23"/>
    </row>
    <row r="543">
      <c r="A543" s="107"/>
      <c r="B543" s="103" t="str">
        <f>IFERROR( VLOOKUP($A543,'INVOICE DETAILS.'!$F$3:$G$1994,2,0)," ")</f>
        <v> </v>
      </c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8"/>
      <c r="O543" s="109"/>
      <c r="P543" s="109"/>
      <c r="Q543" s="107"/>
      <c r="R543" s="107"/>
      <c r="S543" s="107"/>
      <c r="T543" s="107"/>
      <c r="U543" s="107"/>
      <c r="V543" s="107" t="str">
        <f t="shared" si="1"/>
        <v> </v>
      </c>
      <c r="W543" s="107"/>
      <c r="X543" s="23"/>
      <c r="Y543" s="23"/>
      <c r="Z543" s="23"/>
    </row>
    <row r="544">
      <c r="A544" s="107"/>
      <c r="B544" s="103" t="str">
        <f>IFERROR( VLOOKUP($A544,'INVOICE DETAILS.'!$F$3:$G$1994,2,0)," ")</f>
        <v> </v>
      </c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8"/>
      <c r="O544" s="109"/>
      <c r="P544" s="109"/>
      <c r="Q544" s="107"/>
      <c r="R544" s="107"/>
      <c r="S544" s="107"/>
      <c r="T544" s="107"/>
      <c r="U544" s="107"/>
      <c r="V544" s="107" t="str">
        <f t="shared" si="1"/>
        <v> </v>
      </c>
      <c r="W544" s="107"/>
      <c r="X544" s="23"/>
      <c r="Y544" s="23"/>
      <c r="Z544" s="23"/>
    </row>
    <row r="545">
      <c r="A545" s="107"/>
      <c r="B545" s="103" t="str">
        <f>IFERROR( VLOOKUP($A545,'INVOICE DETAILS.'!$F$3:$G$1994,2,0)," ")</f>
        <v> </v>
      </c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8"/>
      <c r="O545" s="109"/>
      <c r="P545" s="109"/>
      <c r="Q545" s="107"/>
      <c r="R545" s="107"/>
      <c r="S545" s="107"/>
      <c r="T545" s="107"/>
      <c r="U545" s="107"/>
      <c r="V545" s="107" t="str">
        <f t="shared" si="1"/>
        <v> </v>
      </c>
      <c r="W545" s="107"/>
      <c r="X545" s="23"/>
      <c r="Y545" s="23"/>
      <c r="Z545" s="23"/>
    </row>
    <row r="546">
      <c r="A546" s="107"/>
      <c r="B546" s="103" t="str">
        <f>IFERROR( VLOOKUP($A546,'INVOICE DETAILS.'!$F$3:$G$1994,2,0)," ")</f>
        <v> </v>
      </c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8"/>
      <c r="O546" s="109"/>
      <c r="P546" s="109"/>
      <c r="Q546" s="107"/>
      <c r="R546" s="107"/>
      <c r="S546" s="107"/>
      <c r="T546" s="107"/>
      <c r="U546" s="107"/>
      <c r="V546" s="107" t="str">
        <f t="shared" si="1"/>
        <v> </v>
      </c>
      <c r="W546" s="107"/>
      <c r="X546" s="23"/>
      <c r="Y546" s="23"/>
      <c r="Z546" s="23"/>
    </row>
    <row r="547">
      <c r="A547" s="107"/>
      <c r="B547" s="103" t="str">
        <f>IFERROR( VLOOKUP($A547,'INVOICE DETAILS.'!$F$3:$G$1994,2,0)," ")</f>
        <v> </v>
      </c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8"/>
      <c r="O547" s="109"/>
      <c r="P547" s="109"/>
      <c r="Q547" s="107"/>
      <c r="R547" s="107"/>
      <c r="S547" s="107"/>
      <c r="T547" s="107"/>
      <c r="U547" s="107"/>
      <c r="V547" s="107" t="str">
        <f t="shared" si="1"/>
        <v> </v>
      </c>
      <c r="W547" s="107"/>
      <c r="X547" s="23"/>
      <c r="Y547" s="23"/>
      <c r="Z547" s="23"/>
    </row>
    <row r="548">
      <c r="A548" s="107"/>
      <c r="B548" s="103" t="str">
        <f>IFERROR( VLOOKUP($A548,'INVOICE DETAILS.'!$F$3:$G$1994,2,0)," ")</f>
        <v> </v>
      </c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8"/>
      <c r="O548" s="109"/>
      <c r="P548" s="109"/>
      <c r="Q548" s="107"/>
      <c r="R548" s="107"/>
      <c r="S548" s="107"/>
      <c r="T548" s="107"/>
      <c r="U548" s="107"/>
      <c r="V548" s="107" t="str">
        <f t="shared" si="1"/>
        <v> </v>
      </c>
      <c r="W548" s="107"/>
      <c r="X548" s="23"/>
      <c r="Y548" s="23"/>
      <c r="Z548" s="23"/>
    </row>
    <row r="549">
      <c r="A549" s="107"/>
      <c r="B549" s="103" t="str">
        <f>IFERROR( VLOOKUP($A549,'INVOICE DETAILS.'!$F$3:$G$1994,2,0)," ")</f>
        <v> </v>
      </c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8"/>
      <c r="O549" s="109"/>
      <c r="P549" s="109"/>
      <c r="Q549" s="107"/>
      <c r="R549" s="107"/>
      <c r="S549" s="107"/>
      <c r="T549" s="107"/>
      <c r="U549" s="107"/>
      <c r="V549" s="107" t="str">
        <f t="shared" si="1"/>
        <v> </v>
      </c>
      <c r="W549" s="107"/>
      <c r="X549" s="23"/>
      <c r="Y549" s="23"/>
      <c r="Z549" s="23"/>
    </row>
    <row r="550">
      <c r="A550" s="107"/>
      <c r="B550" s="103" t="str">
        <f>IFERROR( VLOOKUP($A550,'INVOICE DETAILS.'!$F$3:$G$1994,2,0)," ")</f>
        <v> </v>
      </c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8"/>
      <c r="O550" s="109"/>
      <c r="P550" s="109"/>
      <c r="Q550" s="107"/>
      <c r="R550" s="107"/>
      <c r="S550" s="107"/>
      <c r="T550" s="107"/>
      <c r="U550" s="107"/>
      <c r="V550" s="107" t="str">
        <f t="shared" si="1"/>
        <v> </v>
      </c>
      <c r="W550" s="107"/>
      <c r="X550" s="23"/>
      <c r="Y550" s="23"/>
      <c r="Z550" s="23"/>
    </row>
    <row r="551">
      <c r="A551" s="107"/>
      <c r="B551" s="103" t="str">
        <f>IFERROR( VLOOKUP($A551,'INVOICE DETAILS.'!$F$3:$G$1994,2,0)," ")</f>
        <v> </v>
      </c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8"/>
      <c r="O551" s="109"/>
      <c r="P551" s="109"/>
      <c r="Q551" s="107"/>
      <c r="R551" s="107"/>
      <c r="S551" s="107"/>
      <c r="T551" s="107"/>
      <c r="U551" s="107"/>
      <c r="V551" s="107" t="str">
        <f t="shared" si="1"/>
        <v> </v>
      </c>
      <c r="W551" s="107"/>
      <c r="X551" s="23"/>
      <c r="Y551" s="23"/>
      <c r="Z551" s="23"/>
    </row>
    <row r="552">
      <c r="A552" s="107"/>
      <c r="B552" s="103" t="str">
        <f>IFERROR( VLOOKUP($A552,'INVOICE DETAILS.'!$F$3:$G$1994,2,0)," ")</f>
        <v> </v>
      </c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8"/>
      <c r="O552" s="109"/>
      <c r="P552" s="109"/>
      <c r="Q552" s="107"/>
      <c r="R552" s="107"/>
      <c r="S552" s="107"/>
      <c r="T552" s="107"/>
      <c r="U552" s="107"/>
      <c r="V552" s="107" t="str">
        <f t="shared" si="1"/>
        <v> </v>
      </c>
      <c r="W552" s="107"/>
      <c r="X552" s="23"/>
      <c r="Y552" s="23"/>
      <c r="Z552" s="23"/>
    </row>
    <row r="553">
      <c r="A553" s="107"/>
      <c r="B553" s="103" t="str">
        <f>IFERROR( VLOOKUP($A553,'INVOICE DETAILS.'!$F$3:$G$1994,2,0)," ")</f>
        <v> </v>
      </c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8"/>
      <c r="O553" s="109"/>
      <c r="P553" s="109"/>
      <c r="Q553" s="107"/>
      <c r="R553" s="107"/>
      <c r="S553" s="107"/>
      <c r="T553" s="107"/>
      <c r="U553" s="107"/>
      <c r="V553" s="107" t="str">
        <f t="shared" si="1"/>
        <v> </v>
      </c>
      <c r="W553" s="107"/>
      <c r="X553" s="23"/>
      <c r="Y553" s="23"/>
      <c r="Z553" s="23"/>
    </row>
    <row r="554">
      <c r="A554" s="107"/>
      <c r="B554" s="103" t="str">
        <f>IFERROR( VLOOKUP($A554,'INVOICE DETAILS.'!$F$3:$G$1994,2,0)," ")</f>
        <v> </v>
      </c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8"/>
      <c r="O554" s="109"/>
      <c r="P554" s="109"/>
      <c r="Q554" s="107"/>
      <c r="R554" s="107"/>
      <c r="S554" s="107"/>
      <c r="T554" s="107"/>
      <c r="U554" s="107"/>
      <c r="V554" s="107" t="str">
        <f t="shared" si="1"/>
        <v> </v>
      </c>
      <c r="W554" s="107"/>
      <c r="X554" s="23"/>
      <c r="Y554" s="23"/>
      <c r="Z554" s="23"/>
    </row>
    <row r="555">
      <c r="A555" s="107"/>
      <c r="B555" s="103" t="str">
        <f>IFERROR( VLOOKUP($A555,'INVOICE DETAILS.'!$F$3:$G$1994,2,0)," ")</f>
        <v> </v>
      </c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8"/>
      <c r="O555" s="109"/>
      <c r="P555" s="109"/>
      <c r="Q555" s="107"/>
      <c r="R555" s="107"/>
      <c r="S555" s="107"/>
      <c r="T555" s="107"/>
      <c r="U555" s="107"/>
      <c r="V555" s="107" t="str">
        <f t="shared" si="1"/>
        <v> </v>
      </c>
      <c r="W555" s="107"/>
      <c r="X555" s="23"/>
      <c r="Y555" s="23"/>
      <c r="Z555" s="23"/>
    </row>
    <row r="556">
      <c r="A556" s="107"/>
      <c r="B556" s="103" t="str">
        <f>IFERROR( VLOOKUP($A556,'INVOICE DETAILS.'!$F$3:$G$1994,2,0)," ")</f>
        <v> </v>
      </c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8"/>
      <c r="O556" s="109"/>
      <c r="P556" s="109"/>
      <c r="Q556" s="107"/>
      <c r="R556" s="107"/>
      <c r="S556" s="107"/>
      <c r="T556" s="107"/>
      <c r="U556" s="107"/>
      <c r="V556" s="107" t="str">
        <f t="shared" si="1"/>
        <v> </v>
      </c>
      <c r="W556" s="107"/>
      <c r="X556" s="23"/>
      <c r="Y556" s="23"/>
      <c r="Z556" s="23"/>
    </row>
    <row r="557">
      <c r="A557" s="107"/>
      <c r="B557" s="103" t="str">
        <f>IFERROR( VLOOKUP($A557,'INVOICE DETAILS.'!$F$3:$G$1994,2,0)," ")</f>
        <v> </v>
      </c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8"/>
      <c r="O557" s="109"/>
      <c r="P557" s="109"/>
      <c r="Q557" s="107"/>
      <c r="R557" s="107"/>
      <c r="S557" s="107"/>
      <c r="T557" s="107"/>
      <c r="U557" s="107"/>
      <c r="V557" s="107" t="str">
        <f t="shared" si="1"/>
        <v> </v>
      </c>
      <c r="W557" s="107"/>
      <c r="X557" s="23"/>
      <c r="Y557" s="23"/>
      <c r="Z557" s="23"/>
    </row>
    <row r="558">
      <c r="A558" s="107"/>
      <c r="B558" s="103" t="str">
        <f>IFERROR( VLOOKUP($A558,'INVOICE DETAILS.'!$F$3:$G$1994,2,0)," ")</f>
        <v> </v>
      </c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8"/>
      <c r="O558" s="109"/>
      <c r="P558" s="109"/>
      <c r="Q558" s="107"/>
      <c r="R558" s="107"/>
      <c r="S558" s="107"/>
      <c r="T558" s="107"/>
      <c r="U558" s="107"/>
      <c r="V558" s="107" t="str">
        <f t="shared" si="1"/>
        <v> </v>
      </c>
      <c r="W558" s="107"/>
      <c r="X558" s="23"/>
      <c r="Y558" s="23"/>
      <c r="Z558" s="23"/>
    </row>
    <row r="559">
      <c r="A559" s="107"/>
      <c r="B559" s="103" t="str">
        <f>IFERROR( VLOOKUP($A559,'INVOICE DETAILS.'!$F$3:$G$1994,2,0)," ")</f>
        <v> </v>
      </c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8"/>
      <c r="O559" s="109"/>
      <c r="P559" s="109"/>
      <c r="Q559" s="107"/>
      <c r="R559" s="107"/>
      <c r="S559" s="107"/>
      <c r="T559" s="107"/>
      <c r="U559" s="107"/>
      <c r="V559" s="107" t="str">
        <f t="shared" si="1"/>
        <v> </v>
      </c>
      <c r="W559" s="107"/>
      <c r="X559" s="23"/>
      <c r="Y559" s="23"/>
      <c r="Z559" s="23"/>
    </row>
    <row r="560">
      <c r="A560" s="107"/>
      <c r="B560" s="103" t="str">
        <f>IFERROR( VLOOKUP($A560,'INVOICE DETAILS.'!$F$3:$G$1994,2,0)," ")</f>
        <v> </v>
      </c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8"/>
      <c r="O560" s="109"/>
      <c r="P560" s="109"/>
      <c r="Q560" s="107"/>
      <c r="R560" s="107"/>
      <c r="S560" s="107"/>
      <c r="T560" s="107"/>
      <c r="U560" s="107"/>
      <c r="V560" s="107" t="str">
        <f t="shared" si="1"/>
        <v> </v>
      </c>
      <c r="W560" s="107"/>
      <c r="X560" s="23"/>
      <c r="Y560" s="23"/>
      <c r="Z560" s="23"/>
    </row>
    <row r="561">
      <c r="A561" s="107"/>
      <c r="B561" s="103" t="str">
        <f>IFERROR( VLOOKUP($A561,'INVOICE DETAILS.'!$F$3:$G$1994,2,0)," ")</f>
        <v> </v>
      </c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8"/>
      <c r="O561" s="109"/>
      <c r="P561" s="109"/>
      <c r="Q561" s="107"/>
      <c r="R561" s="107"/>
      <c r="S561" s="107"/>
      <c r="T561" s="107"/>
      <c r="U561" s="107"/>
      <c r="V561" s="107" t="str">
        <f t="shared" si="1"/>
        <v> </v>
      </c>
      <c r="W561" s="107"/>
      <c r="X561" s="23"/>
      <c r="Y561" s="23"/>
      <c r="Z561" s="23"/>
    </row>
    <row r="562">
      <c r="A562" s="107"/>
      <c r="B562" s="103" t="str">
        <f>IFERROR( VLOOKUP($A562,'INVOICE DETAILS.'!$F$3:$G$1994,2,0)," ")</f>
        <v> </v>
      </c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8"/>
      <c r="O562" s="109"/>
      <c r="P562" s="109"/>
      <c r="Q562" s="107"/>
      <c r="R562" s="107"/>
      <c r="S562" s="107"/>
      <c r="T562" s="107"/>
      <c r="U562" s="107"/>
      <c r="V562" s="107" t="str">
        <f t="shared" si="1"/>
        <v> </v>
      </c>
      <c r="W562" s="107"/>
      <c r="X562" s="23"/>
      <c r="Y562" s="23"/>
      <c r="Z562" s="23"/>
    </row>
    <row r="563">
      <c r="A563" s="107"/>
      <c r="B563" s="103" t="str">
        <f>IFERROR( VLOOKUP($A563,'INVOICE DETAILS.'!$F$3:$G$1994,2,0)," ")</f>
        <v> </v>
      </c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8"/>
      <c r="O563" s="109"/>
      <c r="P563" s="109"/>
      <c r="Q563" s="107"/>
      <c r="R563" s="107"/>
      <c r="S563" s="107"/>
      <c r="T563" s="107"/>
      <c r="U563" s="107"/>
      <c r="V563" s="107" t="str">
        <f t="shared" si="1"/>
        <v> </v>
      </c>
      <c r="W563" s="107"/>
      <c r="X563" s="23"/>
      <c r="Y563" s="23"/>
      <c r="Z563" s="23"/>
    </row>
    <row r="564">
      <c r="A564" s="107"/>
      <c r="B564" s="103" t="str">
        <f>IFERROR( VLOOKUP($A564,'INVOICE DETAILS.'!$F$3:$G$1994,2,0)," ")</f>
        <v> </v>
      </c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8"/>
      <c r="O564" s="109"/>
      <c r="P564" s="109"/>
      <c r="Q564" s="107"/>
      <c r="R564" s="107"/>
      <c r="S564" s="107"/>
      <c r="T564" s="107"/>
      <c r="U564" s="107"/>
      <c r="V564" s="107" t="str">
        <f t="shared" si="1"/>
        <v> </v>
      </c>
      <c r="W564" s="107"/>
      <c r="X564" s="23"/>
      <c r="Y564" s="23"/>
      <c r="Z564" s="23"/>
    </row>
    <row r="565">
      <c r="A565" s="107"/>
      <c r="B565" s="103" t="str">
        <f>IFERROR( VLOOKUP($A565,'INVOICE DETAILS.'!$F$3:$G$1994,2,0)," ")</f>
        <v> </v>
      </c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8"/>
      <c r="O565" s="109"/>
      <c r="P565" s="109"/>
      <c r="Q565" s="107"/>
      <c r="R565" s="107"/>
      <c r="S565" s="107"/>
      <c r="T565" s="107"/>
      <c r="U565" s="107"/>
      <c r="V565" s="107" t="str">
        <f t="shared" si="1"/>
        <v> </v>
      </c>
      <c r="W565" s="107"/>
      <c r="X565" s="23"/>
      <c r="Y565" s="23"/>
      <c r="Z565" s="23"/>
    </row>
    <row r="566">
      <c r="A566" s="107"/>
      <c r="B566" s="103" t="str">
        <f>IFERROR( VLOOKUP($A566,'INVOICE DETAILS.'!$F$3:$G$1994,2,0)," ")</f>
        <v> </v>
      </c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8"/>
      <c r="O566" s="109"/>
      <c r="P566" s="109"/>
      <c r="Q566" s="107"/>
      <c r="R566" s="107"/>
      <c r="S566" s="107"/>
      <c r="T566" s="107"/>
      <c r="U566" s="107"/>
      <c r="V566" s="107" t="str">
        <f t="shared" si="1"/>
        <v> </v>
      </c>
      <c r="W566" s="107"/>
      <c r="X566" s="23"/>
      <c r="Y566" s="23"/>
      <c r="Z566" s="23"/>
    </row>
    <row r="567">
      <c r="A567" s="107"/>
      <c r="B567" s="103" t="str">
        <f>IFERROR( VLOOKUP($A567,'INVOICE DETAILS.'!$F$3:$G$1994,2,0)," ")</f>
        <v> </v>
      </c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8"/>
      <c r="O567" s="109"/>
      <c r="P567" s="109"/>
      <c r="Q567" s="107"/>
      <c r="R567" s="107"/>
      <c r="S567" s="107"/>
      <c r="T567" s="107"/>
      <c r="U567" s="107"/>
      <c r="V567" s="107" t="str">
        <f t="shared" si="1"/>
        <v> </v>
      </c>
      <c r="W567" s="107"/>
      <c r="X567" s="23"/>
      <c r="Y567" s="23"/>
      <c r="Z567" s="23"/>
    </row>
    <row r="568">
      <c r="A568" s="107"/>
      <c r="B568" s="103" t="str">
        <f>IFERROR( VLOOKUP($A568,'INVOICE DETAILS.'!$F$3:$G$1994,2,0)," ")</f>
        <v> </v>
      </c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8"/>
      <c r="O568" s="109"/>
      <c r="P568" s="109"/>
      <c r="Q568" s="107"/>
      <c r="R568" s="107"/>
      <c r="S568" s="107"/>
      <c r="T568" s="107"/>
      <c r="U568" s="107"/>
      <c r="V568" s="107" t="str">
        <f t="shared" si="1"/>
        <v> </v>
      </c>
      <c r="W568" s="107"/>
      <c r="X568" s="23"/>
      <c r="Y568" s="23"/>
      <c r="Z568" s="23"/>
    </row>
    <row r="569">
      <c r="A569" s="107"/>
      <c r="B569" s="103" t="str">
        <f>IFERROR( VLOOKUP($A569,'INVOICE DETAILS.'!$F$3:$G$1994,2,0)," ")</f>
        <v> </v>
      </c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8"/>
      <c r="O569" s="109"/>
      <c r="P569" s="109"/>
      <c r="Q569" s="107"/>
      <c r="R569" s="107"/>
      <c r="S569" s="107"/>
      <c r="T569" s="107"/>
      <c r="U569" s="107"/>
      <c r="V569" s="107" t="str">
        <f t="shared" si="1"/>
        <v> </v>
      </c>
      <c r="W569" s="107"/>
      <c r="X569" s="23"/>
      <c r="Y569" s="23"/>
      <c r="Z569" s="23"/>
    </row>
    <row r="570">
      <c r="A570" s="107"/>
      <c r="B570" s="103" t="str">
        <f>IFERROR( VLOOKUP($A570,'INVOICE DETAILS.'!$F$3:$G$1994,2,0)," ")</f>
        <v> </v>
      </c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8"/>
      <c r="O570" s="109"/>
      <c r="P570" s="109"/>
      <c r="Q570" s="107"/>
      <c r="R570" s="107"/>
      <c r="S570" s="107"/>
      <c r="T570" s="107"/>
      <c r="U570" s="107"/>
      <c r="V570" s="107" t="str">
        <f t="shared" si="1"/>
        <v> </v>
      </c>
      <c r="W570" s="107"/>
      <c r="X570" s="23"/>
      <c r="Y570" s="23"/>
      <c r="Z570" s="23"/>
    </row>
    <row r="571">
      <c r="A571" s="107"/>
      <c r="B571" s="103" t="str">
        <f>IFERROR( VLOOKUP($A571,'INVOICE DETAILS.'!$F$3:$G$1994,2,0)," ")</f>
        <v> </v>
      </c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8"/>
      <c r="O571" s="109"/>
      <c r="P571" s="109"/>
      <c r="Q571" s="107"/>
      <c r="R571" s="107"/>
      <c r="S571" s="107"/>
      <c r="T571" s="107"/>
      <c r="U571" s="107"/>
      <c r="V571" s="107" t="str">
        <f t="shared" si="1"/>
        <v> </v>
      </c>
      <c r="W571" s="107"/>
      <c r="X571" s="23"/>
      <c r="Y571" s="23"/>
      <c r="Z571" s="23"/>
    </row>
    <row r="572">
      <c r="A572" s="107"/>
      <c r="B572" s="103" t="str">
        <f>IFERROR( VLOOKUP($A572,'INVOICE DETAILS.'!$F$3:$G$1994,2,0)," ")</f>
        <v> </v>
      </c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8"/>
      <c r="O572" s="109"/>
      <c r="P572" s="109"/>
      <c r="Q572" s="107"/>
      <c r="R572" s="107"/>
      <c r="S572" s="107"/>
      <c r="T572" s="107"/>
      <c r="U572" s="107"/>
      <c r="V572" s="107" t="str">
        <f t="shared" si="1"/>
        <v> </v>
      </c>
      <c r="W572" s="107"/>
      <c r="X572" s="23"/>
      <c r="Y572" s="23"/>
      <c r="Z572" s="23"/>
    </row>
    <row r="573">
      <c r="A573" s="107"/>
      <c r="B573" s="103" t="str">
        <f>IFERROR( VLOOKUP($A573,'INVOICE DETAILS.'!$F$3:$G$1994,2,0)," ")</f>
        <v> </v>
      </c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8"/>
      <c r="O573" s="109"/>
      <c r="P573" s="109"/>
      <c r="Q573" s="107"/>
      <c r="R573" s="107"/>
      <c r="S573" s="107"/>
      <c r="T573" s="107"/>
      <c r="U573" s="107"/>
      <c r="V573" s="107" t="str">
        <f t="shared" si="1"/>
        <v> </v>
      </c>
      <c r="W573" s="107"/>
      <c r="X573" s="23"/>
      <c r="Y573" s="23"/>
      <c r="Z573" s="23"/>
    </row>
    <row r="574">
      <c r="A574" s="107"/>
      <c r="B574" s="103" t="str">
        <f>IFERROR( VLOOKUP($A574,'INVOICE DETAILS.'!$F$3:$G$1994,2,0)," ")</f>
        <v> </v>
      </c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8"/>
      <c r="O574" s="109"/>
      <c r="P574" s="109"/>
      <c r="Q574" s="107"/>
      <c r="R574" s="107"/>
      <c r="S574" s="107"/>
      <c r="T574" s="107"/>
      <c r="U574" s="107"/>
      <c r="V574" s="107" t="str">
        <f t="shared" si="1"/>
        <v> </v>
      </c>
      <c r="W574" s="107"/>
      <c r="X574" s="23"/>
      <c r="Y574" s="23"/>
      <c r="Z574" s="23"/>
    </row>
    <row r="575">
      <c r="A575" s="107"/>
      <c r="B575" s="103" t="str">
        <f>IFERROR( VLOOKUP($A575,'INVOICE DETAILS.'!$F$3:$G$1994,2,0)," ")</f>
        <v> </v>
      </c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8"/>
      <c r="O575" s="109"/>
      <c r="P575" s="109"/>
      <c r="Q575" s="107"/>
      <c r="R575" s="107"/>
      <c r="S575" s="107"/>
      <c r="T575" s="107"/>
      <c r="U575" s="107"/>
      <c r="V575" s="107" t="str">
        <f t="shared" si="1"/>
        <v> </v>
      </c>
      <c r="W575" s="107"/>
      <c r="X575" s="23"/>
      <c r="Y575" s="23"/>
      <c r="Z575" s="23"/>
    </row>
    <row r="576">
      <c r="A576" s="107"/>
      <c r="B576" s="103" t="str">
        <f>IFERROR( VLOOKUP($A576,'INVOICE DETAILS.'!$F$3:$G$1994,2,0)," ")</f>
        <v> </v>
      </c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8"/>
      <c r="O576" s="109"/>
      <c r="P576" s="109"/>
      <c r="Q576" s="107"/>
      <c r="R576" s="107"/>
      <c r="S576" s="107"/>
      <c r="T576" s="107"/>
      <c r="U576" s="107"/>
      <c r="V576" s="107" t="str">
        <f t="shared" si="1"/>
        <v> </v>
      </c>
      <c r="W576" s="107"/>
      <c r="X576" s="23"/>
      <c r="Y576" s="23"/>
      <c r="Z576" s="23"/>
    </row>
    <row r="577">
      <c r="A577" s="107"/>
      <c r="B577" s="103" t="str">
        <f>IFERROR( VLOOKUP($A577,'INVOICE DETAILS.'!$F$3:$G$1994,2,0)," ")</f>
        <v> </v>
      </c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8"/>
      <c r="O577" s="109"/>
      <c r="P577" s="109"/>
      <c r="Q577" s="107"/>
      <c r="R577" s="107"/>
      <c r="S577" s="107"/>
      <c r="T577" s="107"/>
      <c r="U577" s="107"/>
      <c r="V577" s="107" t="str">
        <f t="shared" si="1"/>
        <v> </v>
      </c>
      <c r="W577" s="107"/>
      <c r="X577" s="23"/>
      <c r="Y577" s="23"/>
      <c r="Z577" s="23"/>
    </row>
    <row r="578">
      <c r="A578" s="107"/>
      <c r="B578" s="103" t="str">
        <f>IFERROR( VLOOKUP($A578,'INVOICE DETAILS.'!$F$3:$G$1994,2,0)," ")</f>
        <v> </v>
      </c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8"/>
      <c r="O578" s="109"/>
      <c r="P578" s="109"/>
      <c r="Q578" s="107"/>
      <c r="R578" s="107"/>
      <c r="S578" s="107"/>
      <c r="T578" s="107"/>
      <c r="U578" s="107"/>
      <c r="V578" s="107" t="str">
        <f t="shared" si="1"/>
        <v> </v>
      </c>
      <c r="W578" s="107"/>
      <c r="X578" s="23"/>
      <c r="Y578" s="23"/>
      <c r="Z578" s="23"/>
    </row>
    <row r="579">
      <c r="A579" s="107"/>
      <c r="B579" s="103" t="str">
        <f>IFERROR( VLOOKUP($A579,'INVOICE DETAILS.'!$F$3:$G$1994,2,0)," ")</f>
        <v> </v>
      </c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8"/>
      <c r="O579" s="109"/>
      <c r="P579" s="109"/>
      <c r="Q579" s="107"/>
      <c r="R579" s="107"/>
      <c r="S579" s="107"/>
      <c r="T579" s="107"/>
      <c r="U579" s="107"/>
      <c r="V579" s="107" t="str">
        <f t="shared" si="1"/>
        <v> </v>
      </c>
      <c r="W579" s="107"/>
      <c r="X579" s="23"/>
      <c r="Y579" s="23"/>
      <c r="Z579" s="23"/>
    </row>
    <row r="580">
      <c r="A580" s="107"/>
      <c r="B580" s="103" t="str">
        <f>IFERROR( VLOOKUP($A580,'INVOICE DETAILS.'!$F$3:$G$1994,2,0)," ")</f>
        <v> </v>
      </c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8"/>
      <c r="O580" s="109"/>
      <c r="P580" s="109"/>
      <c r="Q580" s="107"/>
      <c r="R580" s="107"/>
      <c r="S580" s="107"/>
      <c r="T580" s="107"/>
      <c r="U580" s="107"/>
      <c r="V580" s="107" t="str">
        <f t="shared" si="1"/>
        <v> </v>
      </c>
      <c r="W580" s="107"/>
      <c r="X580" s="23"/>
      <c r="Y580" s="23"/>
      <c r="Z580" s="23"/>
    </row>
    <row r="581">
      <c r="A581" s="107"/>
      <c r="B581" s="103" t="str">
        <f>IFERROR( VLOOKUP($A581,'INVOICE DETAILS.'!$F$3:$G$1994,2,0)," ")</f>
        <v> </v>
      </c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8"/>
      <c r="O581" s="109"/>
      <c r="P581" s="109"/>
      <c r="Q581" s="107"/>
      <c r="R581" s="107"/>
      <c r="S581" s="107"/>
      <c r="T581" s="107"/>
      <c r="U581" s="107"/>
      <c r="V581" s="107" t="str">
        <f t="shared" si="1"/>
        <v> </v>
      </c>
      <c r="W581" s="107"/>
      <c r="X581" s="23"/>
      <c r="Y581" s="23"/>
      <c r="Z581" s="23"/>
    </row>
    <row r="582">
      <c r="A582" s="107"/>
      <c r="B582" s="103" t="str">
        <f>IFERROR( VLOOKUP($A582,'INVOICE DETAILS.'!$F$3:$G$1994,2,0)," ")</f>
        <v> </v>
      </c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8"/>
      <c r="O582" s="109"/>
      <c r="P582" s="109"/>
      <c r="Q582" s="107"/>
      <c r="R582" s="107"/>
      <c r="S582" s="107"/>
      <c r="T582" s="107"/>
      <c r="U582" s="107"/>
      <c r="V582" s="107" t="str">
        <f t="shared" si="1"/>
        <v> </v>
      </c>
      <c r="W582" s="107"/>
      <c r="X582" s="23"/>
      <c r="Y582" s="23"/>
      <c r="Z582" s="23"/>
    </row>
    <row r="583">
      <c r="A583" s="107"/>
      <c r="B583" s="103" t="str">
        <f>IFERROR( VLOOKUP($A583,'INVOICE DETAILS.'!$F$3:$G$1994,2,0)," ")</f>
        <v> </v>
      </c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8"/>
      <c r="O583" s="109"/>
      <c r="P583" s="109"/>
      <c r="Q583" s="107"/>
      <c r="R583" s="107"/>
      <c r="S583" s="107"/>
      <c r="T583" s="107"/>
      <c r="U583" s="107"/>
      <c r="V583" s="107" t="str">
        <f t="shared" si="1"/>
        <v> </v>
      </c>
      <c r="W583" s="107"/>
      <c r="X583" s="23"/>
      <c r="Y583" s="23"/>
      <c r="Z583" s="23"/>
    </row>
    <row r="584">
      <c r="A584" s="107"/>
      <c r="B584" s="103" t="str">
        <f>IFERROR( VLOOKUP($A584,'INVOICE DETAILS.'!$F$3:$G$1994,2,0)," ")</f>
        <v> </v>
      </c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8"/>
      <c r="O584" s="109"/>
      <c r="P584" s="109"/>
      <c r="Q584" s="107"/>
      <c r="R584" s="107"/>
      <c r="S584" s="107"/>
      <c r="T584" s="107"/>
      <c r="U584" s="107"/>
      <c r="V584" s="107" t="str">
        <f t="shared" si="1"/>
        <v> </v>
      </c>
      <c r="W584" s="107"/>
      <c r="X584" s="23"/>
      <c r="Y584" s="23"/>
      <c r="Z584" s="23"/>
    </row>
    <row r="585">
      <c r="A585" s="107"/>
      <c r="B585" s="103" t="str">
        <f>IFERROR( VLOOKUP($A585,'INVOICE DETAILS.'!$F$3:$G$1994,2,0)," ")</f>
        <v> </v>
      </c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8"/>
      <c r="O585" s="109"/>
      <c r="P585" s="109"/>
      <c r="Q585" s="107"/>
      <c r="R585" s="107"/>
      <c r="S585" s="107"/>
      <c r="T585" s="107"/>
      <c r="U585" s="107"/>
      <c r="V585" s="107" t="str">
        <f t="shared" si="1"/>
        <v> </v>
      </c>
      <c r="W585" s="107"/>
      <c r="X585" s="23"/>
      <c r="Y585" s="23"/>
      <c r="Z585" s="23"/>
    </row>
    <row r="586">
      <c r="A586" s="107"/>
      <c r="B586" s="103" t="str">
        <f>IFERROR( VLOOKUP($A586,'INVOICE DETAILS.'!$F$3:$G$1994,2,0)," ")</f>
        <v> </v>
      </c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8"/>
      <c r="O586" s="109"/>
      <c r="P586" s="109"/>
      <c r="Q586" s="107"/>
      <c r="R586" s="107"/>
      <c r="S586" s="107"/>
      <c r="T586" s="107"/>
      <c r="U586" s="107"/>
      <c r="V586" s="107" t="str">
        <f t="shared" si="1"/>
        <v> </v>
      </c>
      <c r="W586" s="107"/>
      <c r="X586" s="23"/>
      <c r="Y586" s="23"/>
      <c r="Z586" s="23"/>
    </row>
    <row r="587">
      <c r="A587" s="107"/>
      <c r="B587" s="103" t="str">
        <f>IFERROR( VLOOKUP($A587,'INVOICE DETAILS.'!$F$3:$G$1994,2,0)," ")</f>
        <v> </v>
      </c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8"/>
      <c r="O587" s="109"/>
      <c r="P587" s="109"/>
      <c r="Q587" s="107"/>
      <c r="R587" s="107"/>
      <c r="S587" s="107"/>
      <c r="T587" s="107"/>
      <c r="U587" s="107"/>
      <c r="V587" s="107" t="str">
        <f t="shared" si="1"/>
        <v> </v>
      </c>
      <c r="W587" s="107"/>
      <c r="X587" s="23"/>
      <c r="Y587" s="23"/>
      <c r="Z587" s="23"/>
    </row>
    <row r="588">
      <c r="A588" s="107"/>
      <c r="B588" s="103" t="str">
        <f>IFERROR( VLOOKUP($A588,'INVOICE DETAILS.'!$F$3:$G$1994,2,0)," ")</f>
        <v> </v>
      </c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8"/>
      <c r="O588" s="109"/>
      <c r="P588" s="109"/>
      <c r="Q588" s="107"/>
      <c r="R588" s="107"/>
      <c r="S588" s="107"/>
      <c r="T588" s="107"/>
      <c r="U588" s="107"/>
      <c r="V588" s="107" t="str">
        <f t="shared" si="1"/>
        <v> </v>
      </c>
      <c r="W588" s="107"/>
      <c r="X588" s="23"/>
      <c r="Y588" s="23"/>
      <c r="Z588" s="23"/>
    </row>
    <row r="589">
      <c r="A589" s="107"/>
      <c r="B589" s="103" t="str">
        <f>IFERROR( VLOOKUP($A589,'INVOICE DETAILS.'!$F$3:$G$1994,2,0)," ")</f>
        <v> </v>
      </c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8"/>
      <c r="O589" s="109"/>
      <c r="P589" s="109"/>
      <c r="Q589" s="107"/>
      <c r="R589" s="107"/>
      <c r="S589" s="107"/>
      <c r="T589" s="107"/>
      <c r="U589" s="107"/>
      <c r="V589" s="107" t="str">
        <f t="shared" si="1"/>
        <v> </v>
      </c>
      <c r="W589" s="107"/>
      <c r="X589" s="23"/>
      <c r="Y589" s="23"/>
      <c r="Z589" s="23"/>
    </row>
    <row r="590">
      <c r="A590" s="107"/>
      <c r="B590" s="103" t="str">
        <f>IFERROR( VLOOKUP($A590,'INVOICE DETAILS.'!$F$3:$G$1994,2,0)," ")</f>
        <v> </v>
      </c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8"/>
      <c r="O590" s="109"/>
      <c r="P590" s="109"/>
      <c r="Q590" s="107"/>
      <c r="R590" s="107"/>
      <c r="S590" s="107"/>
      <c r="T590" s="107"/>
      <c r="U590" s="107"/>
      <c r="V590" s="107" t="str">
        <f t="shared" si="1"/>
        <v> </v>
      </c>
      <c r="W590" s="107"/>
      <c r="X590" s="23"/>
      <c r="Y590" s="23"/>
      <c r="Z590" s="23"/>
    </row>
    <row r="591">
      <c r="A591" s="107"/>
      <c r="B591" s="103" t="str">
        <f>IFERROR( VLOOKUP($A591,'INVOICE DETAILS.'!$F$3:$G$1994,2,0)," ")</f>
        <v> </v>
      </c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8"/>
      <c r="O591" s="109"/>
      <c r="P591" s="109"/>
      <c r="Q591" s="107"/>
      <c r="R591" s="107"/>
      <c r="S591" s="107"/>
      <c r="T591" s="107"/>
      <c r="U591" s="107"/>
      <c r="V591" s="107" t="str">
        <f t="shared" si="1"/>
        <v> </v>
      </c>
      <c r="W591" s="107"/>
      <c r="X591" s="23"/>
      <c r="Y591" s="23"/>
      <c r="Z591" s="23"/>
    </row>
    <row r="592">
      <c r="A592" s="107"/>
      <c r="B592" s="103" t="str">
        <f>IFERROR( VLOOKUP($A592,'INVOICE DETAILS.'!$F$3:$G$1994,2,0)," ")</f>
        <v> </v>
      </c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8"/>
      <c r="O592" s="109"/>
      <c r="P592" s="109"/>
      <c r="Q592" s="107"/>
      <c r="R592" s="107"/>
      <c r="S592" s="107"/>
      <c r="T592" s="107"/>
      <c r="U592" s="107"/>
      <c r="V592" s="107" t="str">
        <f t="shared" si="1"/>
        <v> </v>
      </c>
      <c r="W592" s="107"/>
      <c r="X592" s="23"/>
      <c r="Y592" s="23"/>
      <c r="Z592" s="23"/>
    </row>
    <row r="593">
      <c r="A593" s="107"/>
      <c r="B593" s="103" t="str">
        <f>IFERROR( VLOOKUP($A593,'INVOICE DETAILS.'!$F$3:$G$1994,2,0)," ")</f>
        <v> </v>
      </c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8"/>
      <c r="O593" s="109"/>
      <c r="P593" s="109"/>
      <c r="Q593" s="107"/>
      <c r="R593" s="107"/>
      <c r="S593" s="107"/>
      <c r="T593" s="107"/>
      <c r="U593" s="107"/>
      <c r="V593" s="107" t="str">
        <f t="shared" si="1"/>
        <v> </v>
      </c>
      <c r="W593" s="107"/>
      <c r="X593" s="23"/>
      <c r="Y593" s="23"/>
      <c r="Z593" s="23"/>
    </row>
    <row r="594">
      <c r="A594" s="107"/>
      <c r="B594" s="103" t="str">
        <f>IFERROR( VLOOKUP($A594,'INVOICE DETAILS.'!$F$3:$G$1994,2,0)," ")</f>
        <v> </v>
      </c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8"/>
      <c r="O594" s="109"/>
      <c r="P594" s="109"/>
      <c r="Q594" s="107"/>
      <c r="R594" s="107"/>
      <c r="S594" s="107"/>
      <c r="T594" s="107"/>
      <c r="U594" s="107"/>
      <c r="V594" s="107" t="str">
        <f t="shared" si="1"/>
        <v> </v>
      </c>
      <c r="W594" s="107"/>
      <c r="X594" s="23"/>
      <c r="Y594" s="23"/>
      <c r="Z594" s="23"/>
    </row>
    <row r="595">
      <c r="A595" s="107"/>
      <c r="B595" s="103" t="str">
        <f>IFERROR( VLOOKUP($A595,'INVOICE DETAILS.'!$F$3:$G$1994,2,0)," ")</f>
        <v> </v>
      </c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8"/>
      <c r="O595" s="109"/>
      <c r="P595" s="109"/>
      <c r="Q595" s="107"/>
      <c r="R595" s="107"/>
      <c r="S595" s="107"/>
      <c r="T595" s="107"/>
      <c r="U595" s="107"/>
      <c r="V595" s="107" t="str">
        <f t="shared" si="1"/>
        <v> </v>
      </c>
      <c r="W595" s="107"/>
      <c r="X595" s="23"/>
      <c r="Y595" s="23"/>
      <c r="Z595" s="23"/>
    </row>
    <row r="596">
      <c r="A596" s="107"/>
      <c r="B596" s="103" t="str">
        <f>IFERROR( VLOOKUP($A596,'INVOICE DETAILS.'!$F$3:$G$1994,2,0)," ")</f>
        <v> </v>
      </c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8"/>
      <c r="O596" s="109"/>
      <c r="P596" s="109"/>
      <c r="Q596" s="107"/>
      <c r="R596" s="107"/>
      <c r="S596" s="107"/>
      <c r="T596" s="107"/>
      <c r="U596" s="107"/>
      <c r="V596" s="107" t="str">
        <f t="shared" si="1"/>
        <v> </v>
      </c>
      <c r="W596" s="107"/>
      <c r="X596" s="23"/>
      <c r="Y596" s="23"/>
      <c r="Z596" s="23"/>
    </row>
    <row r="597">
      <c r="A597" s="107"/>
      <c r="B597" s="103" t="str">
        <f>IFERROR( VLOOKUP($A597,'INVOICE DETAILS.'!$F$3:$G$1994,2,0)," ")</f>
        <v> </v>
      </c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8"/>
      <c r="O597" s="109"/>
      <c r="P597" s="109"/>
      <c r="Q597" s="107"/>
      <c r="R597" s="107"/>
      <c r="S597" s="107"/>
      <c r="T597" s="107"/>
      <c r="U597" s="107"/>
      <c r="V597" s="107" t="str">
        <f t="shared" si="1"/>
        <v> </v>
      </c>
      <c r="W597" s="107"/>
      <c r="X597" s="23"/>
      <c r="Y597" s="23"/>
      <c r="Z597" s="23"/>
    </row>
    <row r="598">
      <c r="A598" s="107"/>
      <c r="B598" s="103" t="str">
        <f>IFERROR( VLOOKUP($A598,'INVOICE DETAILS.'!$F$3:$G$1994,2,0)," ")</f>
        <v> </v>
      </c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8"/>
      <c r="O598" s="109"/>
      <c r="P598" s="109"/>
      <c r="Q598" s="107"/>
      <c r="R598" s="107"/>
      <c r="S598" s="107"/>
      <c r="T598" s="107"/>
      <c r="U598" s="107"/>
      <c r="V598" s="107" t="str">
        <f t="shared" si="1"/>
        <v> </v>
      </c>
      <c r="W598" s="107"/>
      <c r="X598" s="23"/>
      <c r="Y598" s="23"/>
      <c r="Z598" s="23"/>
    </row>
    <row r="599">
      <c r="A599" s="107"/>
      <c r="B599" s="103" t="str">
        <f>IFERROR( VLOOKUP($A599,'INVOICE DETAILS.'!$F$3:$G$1994,2,0)," ")</f>
        <v> </v>
      </c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8"/>
      <c r="O599" s="109"/>
      <c r="P599" s="109"/>
      <c r="Q599" s="107"/>
      <c r="R599" s="107"/>
      <c r="S599" s="107"/>
      <c r="T599" s="107"/>
      <c r="U599" s="107"/>
      <c r="V599" s="107" t="str">
        <f t="shared" si="1"/>
        <v> </v>
      </c>
      <c r="W599" s="107"/>
      <c r="X599" s="23"/>
      <c r="Y599" s="23"/>
      <c r="Z599" s="23"/>
    </row>
    <row r="600">
      <c r="A600" s="107"/>
      <c r="B600" s="103" t="str">
        <f>IFERROR( VLOOKUP($A600,'INVOICE DETAILS.'!$F$3:$G$1994,2,0)," ")</f>
        <v> </v>
      </c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8"/>
      <c r="O600" s="109"/>
      <c r="P600" s="109"/>
      <c r="Q600" s="107"/>
      <c r="R600" s="107"/>
      <c r="S600" s="107"/>
      <c r="T600" s="107"/>
      <c r="U600" s="107"/>
      <c r="V600" s="107" t="str">
        <f t="shared" si="1"/>
        <v> </v>
      </c>
      <c r="W600" s="107"/>
      <c r="X600" s="23"/>
      <c r="Y600" s="23"/>
      <c r="Z600" s="23"/>
    </row>
    <row r="601">
      <c r="A601" s="107"/>
      <c r="B601" s="103" t="str">
        <f>IFERROR( VLOOKUP($A601,'INVOICE DETAILS.'!$F$3:$G$1994,2,0)," ")</f>
        <v> </v>
      </c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8"/>
      <c r="O601" s="109"/>
      <c r="P601" s="109"/>
      <c r="Q601" s="107"/>
      <c r="R601" s="107"/>
      <c r="S601" s="107"/>
      <c r="T601" s="107"/>
      <c r="U601" s="107"/>
      <c r="V601" s="107" t="str">
        <f t="shared" si="1"/>
        <v> </v>
      </c>
      <c r="W601" s="107"/>
      <c r="X601" s="23"/>
      <c r="Y601" s="23"/>
      <c r="Z601" s="23"/>
    </row>
    <row r="602">
      <c r="A602" s="107"/>
      <c r="B602" s="103" t="str">
        <f>IFERROR( VLOOKUP($A602,'INVOICE DETAILS.'!$F$3:$G$1994,2,0)," ")</f>
        <v> </v>
      </c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8"/>
      <c r="O602" s="109"/>
      <c r="P602" s="109"/>
      <c r="Q602" s="107"/>
      <c r="R602" s="107"/>
      <c r="S602" s="107"/>
      <c r="T602" s="107"/>
      <c r="U602" s="107"/>
      <c r="V602" s="107" t="str">
        <f t="shared" si="1"/>
        <v> </v>
      </c>
      <c r="W602" s="107"/>
      <c r="X602" s="23"/>
      <c r="Y602" s="23"/>
      <c r="Z602" s="23"/>
    </row>
    <row r="603">
      <c r="A603" s="107"/>
      <c r="B603" s="103" t="str">
        <f>IFERROR( VLOOKUP($A603,'INVOICE DETAILS.'!$F$3:$G$1994,2,0)," ")</f>
        <v> </v>
      </c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8"/>
      <c r="O603" s="109"/>
      <c r="P603" s="109"/>
      <c r="Q603" s="107"/>
      <c r="R603" s="107"/>
      <c r="S603" s="107"/>
      <c r="T603" s="107"/>
      <c r="U603" s="107"/>
      <c r="V603" s="107" t="str">
        <f t="shared" si="1"/>
        <v> </v>
      </c>
      <c r="W603" s="107"/>
      <c r="X603" s="23"/>
      <c r="Y603" s="23"/>
      <c r="Z603" s="23"/>
    </row>
    <row r="604">
      <c r="A604" s="107"/>
      <c r="B604" s="103" t="str">
        <f>IFERROR( VLOOKUP($A604,'INVOICE DETAILS.'!$F$3:$G$1994,2,0)," ")</f>
        <v> </v>
      </c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8"/>
      <c r="O604" s="109"/>
      <c r="P604" s="109"/>
      <c r="Q604" s="107"/>
      <c r="R604" s="107"/>
      <c r="S604" s="107"/>
      <c r="T604" s="107"/>
      <c r="U604" s="107"/>
      <c r="V604" s="107" t="str">
        <f t="shared" si="1"/>
        <v> </v>
      </c>
      <c r="W604" s="107"/>
      <c r="X604" s="23"/>
      <c r="Y604" s="23"/>
      <c r="Z604" s="23"/>
    </row>
    <row r="605">
      <c r="A605" s="107"/>
      <c r="B605" s="103" t="str">
        <f>IFERROR( VLOOKUP($A605,'INVOICE DETAILS.'!$F$3:$G$1994,2,0)," ")</f>
        <v> </v>
      </c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8"/>
      <c r="O605" s="109"/>
      <c r="P605" s="109"/>
      <c r="Q605" s="107"/>
      <c r="R605" s="107"/>
      <c r="S605" s="107"/>
      <c r="T605" s="107"/>
      <c r="U605" s="107"/>
      <c r="V605" s="107" t="str">
        <f t="shared" si="1"/>
        <v> </v>
      </c>
      <c r="W605" s="107"/>
      <c r="X605" s="23"/>
      <c r="Y605" s="23"/>
      <c r="Z605" s="23"/>
    </row>
    <row r="606">
      <c r="A606" s="107"/>
      <c r="B606" s="103" t="str">
        <f>IFERROR( VLOOKUP($A606,'INVOICE DETAILS.'!$F$3:$G$1994,2,0)," ")</f>
        <v> </v>
      </c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8"/>
      <c r="O606" s="109"/>
      <c r="P606" s="109"/>
      <c r="Q606" s="107"/>
      <c r="R606" s="107"/>
      <c r="S606" s="107"/>
      <c r="T606" s="107"/>
      <c r="U606" s="107"/>
      <c r="V606" s="107" t="str">
        <f t="shared" si="1"/>
        <v> </v>
      </c>
      <c r="W606" s="107"/>
      <c r="X606" s="23"/>
      <c r="Y606" s="23"/>
      <c r="Z606" s="23"/>
    </row>
    <row r="607">
      <c r="A607" s="107"/>
      <c r="B607" s="103" t="str">
        <f>IFERROR( VLOOKUP($A607,'INVOICE DETAILS.'!$F$3:$G$1994,2,0)," ")</f>
        <v> </v>
      </c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8"/>
      <c r="O607" s="109"/>
      <c r="P607" s="109"/>
      <c r="Q607" s="107"/>
      <c r="R607" s="107"/>
      <c r="S607" s="107"/>
      <c r="T607" s="107"/>
      <c r="U607" s="107"/>
      <c r="V607" s="107" t="str">
        <f t="shared" si="1"/>
        <v> </v>
      </c>
      <c r="W607" s="107"/>
      <c r="X607" s="23"/>
      <c r="Y607" s="23"/>
      <c r="Z607" s="23"/>
    </row>
    <row r="608">
      <c r="A608" s="107"/>
      <c r="B608" s="103" t="str">
        <f>IFERROR( VLOOKUP($A608,'INVOICE DETAILS.'!$F$3:$G$1994,2,0)," ")</f>
        <v> </v>
      </c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8"/>
      <c r="O608" s="109"/>
      <c r="P608" s="109"/>
      <c r="Q608" s="107"/>
      <c r="R608" s="107"/>
      <c r="S608" s="107"/>
      <c r="T608" s="107"/>
      <c r="U608" s="107"/>
      <c r="V608" s="107" t="str">
        <f t="shared" si="1"/>
        <v> </v>
      </c>
      <c r="W608" s="107"/>
      <c r="X608" s="23"/>
      <c r="Y608" s="23"/>
      <c r="Z608" s="23"/>
    </row>
    <row r="609">
      <c r="A609" s="107"/>
      <c r="B609" s="103" t="str">
        <f>IFERROR( VLOOKUP($A609,'INVOICE DETAILS.'!$F$3:$G$1994,2,0)," ")</f>
        <v> </v>
      </c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8"/>
      <c r="O609" s="109"/>
      <c r="P609" s="109"/>
      <c r="Q609" s="107"/>
      <c r="R609" s="107"/>
      <c r="S609" s="107"/>
      <c r="T609" s="107"/>
      <c r="U609" s="107"/>
      <c r="V609" s="107" t="str">
        <f t="shared" si="1"/>
        <v> </v>
      </c>
      <c r="W609" s="107"/>
      <c r="X609" s="23"/>
      <c r="Y609" s="23"/>
      <c r="Z609" s="23"/>
    </row>
    <row r="610">
      <c r="A610" s="107"/>
      <c r="B610" s="103" t="str">
        <f>IFERROR( VLOOKUP($A610,'INVOICE DETAILS.'!$F$3:$G$1994,2,0)," ")</f>
        <v> </v>
      </c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8"/>
      <c r="O610" s="109"/>
      <c r="P610" s="109"/>
      <c r="Q610" s="107"/>
      <c r="R610" s="107"/>
      <c r="S610" s="107"/>
      <c r="T610" s="107"/>
      <c r="U610" s="107"/>
      <c r="V610" s="107" t="str">
        <f t="shared" si="1"/>
        <v> </v>
      </c>
      <c r="W610" s="107"/>
      <c r="X610" s="23"/>
      <c r="Y610" s="23"/>
      <c r="Z610" s="23"/>
    </row>
    <row r="611">
      <c r="A611" s="107"/>
      <c r="B611" s="103" t="str">
        <f>IFERROR( VLOOKUP($A611,'INVOICE DETAILS.'!$F$3:$G$1994,2,0)," ")</f>
        <v> </v>
      </c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8"/>
      <c r="O611" s="109"/>
      <c r="P611" s="109"/>
      <c r="Q611" s="107"/>
      <c r="R611" s="107"/>
      <c r="S611" s="107"/>
      <c r="T611" s="107"/>
      <c r="U611" s="107"/>
      <c r="V611" s="107" t="str">
        <f t="shared" si="1"/>
        <v> </v>
      </c>
      <c r="W611" s="107"/>
      <c r="X611" s="23"/>
      <c r="Y611" s="23"/>
      <c r="Z611" s="23"/>
    </row>
    <row r="612">
      <c r="A612" s="107"/>
      <c r="B612" s="103" t="str">
        <f>IFERROR( VLOOKUP($A612,'INVOICE DETAILS.'!$F$3:$G$1994,2,0)," ")</f>
        <v> </v>
      </c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8"/>
      <c r="O612" s="109"/>
      <c r="P612" s="109"/>
      <c r="Q612" s="107"/>
      <c r="R612" s="107"/>
      <c r="S612" s="107"/>
      <c r="T612" s="107"/>
      <c r="U612" s="107"/>
      <c r="V612" s="107" t="str">
        <f t="shared" si="1"/>
        <v> </v>
      </c>
      <c r="W612" s="107"/>
      <c r="X612" s="23"/>
      <c r="Y612" s="23"/>
      <c r="Z612" s="23"/>
    </row>
    <row r="613">
      <c r="A613" s="107"/>
      <c r="B613" s="103" t="str">
        <f>IFERROR( VLOOKUP($A613,'INVOICE DETAILS.'!$F$3:$G$1994,2,0)," ")</f>
        <v> </v>
      </c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8"/>
      <c r="O613" s="109"/>
      <c r="P613" s="109"/>
      <c r="Q613" s="107"/>
      <c r="R613" s="107"/>
      <c r="S613" s="107"/>
      <c r="T613" s="107"/>
      <c r="U613" s="107"/>
      <c r="V613" s="107" t="str">
        <f t="shared" si="1"/>
        <v> </v>
      </c>
      <c r="W613" s="107"/>
      <c r="X613" s="23"/>
      <c r="Y613" s="23"/>
      <c r="Z613" s="23"/>
    </row>
    <row r="614">
      <c r="A614" s="107"/>
      <c r="B614" s="103" t="str">
        <f>IFERROR( VLOOKUP($A614,'INVOICE DETAILS.'!$F$3:$G$1994,2,0)," ")</f>
        <v> </v>
      </c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8"/>
      <c r="O614" s="109"/>
      <c r="P614" s="109"/>
      <c r="Q614" s="107"/>
      <c r="R614" s="107"/>
      <c r="S614" s="107"/>
      <c r="T614" s="107"/>
      <c r="U614" s="107"/>
      <c r="V614" s="107" t="str">
        <f t="shared" si="1"/>
        <v> </v>
      </c>
      <c r="W614" s="107"/>
      <c r="X614" s="23"/>
      <c r="Y614" s="23"/>
      <c r="Z614" s="23"/>
    </row>
    <row r="615">
      <c r="A615" s="107"/>
      <c r="B615" s="103" t="str">
        <f>IFERROR( VLOOKUP($A615,'INVOICE DETAILS.'!$F$3:$G$1994,2,0)," ")</f>
        <v> </v>
      </c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8"/>
      <c r="O615" s="109"/>
      <c r="P615" s="109"/>
      <c r="Q615" s="107"/>
      <c r="R615" s="107"/>
      <c r="S615" s="107"/>
      <c r="T615" s="107"/>
      <c r="U615" s="107"/>
      <c r="V615" s="107" t="str">
        <f t="shared" si="1"/>
        <v> </v>
      </c>
      <c r="W615" s="107"/>
      <c r="X615" s="23"/>
      <c r="Y615" s="23"/>
      <c r="Z615" s="23"/>
    </row>
    <row r="616">
      <c r="A616" s="107"/>
      <c r="B616" s="103" t="str">
        <f>IFERROR( VLOOKUP($A616,'INVOICE DETAILS.'!$F$3:$G$1994,2,0)," ")</f>
        <v> </v>
      </c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8"/>
      <c r="O616" s="109"/>
      <c r="P616" s="109"/>
      <c r="Q616" s="107"/>
      <c r="R616" s="107"/>
      <c r="S616" s="107"/>
      <c r="T616" s="107"/>
      <c r="U616" s="107"/>
      <c r="V616" s="107" t="str">
        <f t="shared" si="1"/>
        <v> </v>
      </c>
      <c r="W616" s="107"/>
      <c r="X616" s="23"/>
      <c r="Y616" s="23"/>
      <c r="Z616" s="23"/>
    </row>
    <row r="617">
      <c r="A617" s="107"/>
      <c r="B617" s="103" t="str">
        <f>IFERROR( VLOOKUP($A617,'INVOICE DETAILS.'!$F$3:$G$1994,2,0)," ")</f>
        <v> </v>
      </c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8"/>
      <c r="O617" s="109"/>
      <c r="P617" s="109"/>
      <c r="Q617" s="107"/>
      <c r="R617" s="107"/>
      <c r="S617" s="107"/>
      <c r="T617" s="107"/>
      <c r="U617" s="107"/>
      <c r="V617" s="107" t="str">
        <f t="shared" si="1"/>
        <v> </v>
      </c>
      <c r="W617" s="107"/>
      <c r="X617" s="23"/>
      <c r="Y617" s="23"/>
      <c r="Z617" s="23"/>
    </row>
    <row r="618">
      <c r="A618" s="107"/>
      <c r="B618" s="103" t="str">
        <f>IFERROR( VLOOKUP($A618,'INVOICE DETAILS.'!$F$3:$G$1994,2,0)," ")</f>
        <v> </v>
      </c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8"/>
      <c r="O618" s="109"/>
      <c r="P618" s="109"/>
      <c r="Q618" s="107"/>
      <c r="R618" s="107"/>
      <c r="S618" s="107"/>
      <c r="T618" s="107"/>
      <c r="U618" s="107"/>
      <c r="V618" s="107" t="str">
        <f t="shared" si="1"/>
        <v> </v>
      </c>
      <c r="W618" s="107"/>
      <c r="X618" s="23"/>
      <c r="Y618" s="23"/>
      <c r="Z618" s="23"/>
    </row>
    <row r="619">
      <c r="A619" s="107"/>
      <c r="B619" s="103" t="str">
        <f>IFERROR( VLOOKUP($A619,'INVOICE DETAILS.'!$F$3:$G$1994,2,0)," ")</f>
        <v> </v>
      </c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8"/>
      <c r="O619" s="109"/>
      <c r="P619" s="109"/>
      <c r="Q619" s="107"/>
      <c r="R619" s="107"/>
      <c r="S619" s="107"/>
      <c r="T619" s="107"/>
      <c r="U619" s="107"/>
      <c r="V619" s="107" t="str">
        <f t="shared" si="1"/>
        <v> </v>
      </c>
      <c r="W619" s="107"/>
      <c r="X619" s="23"/>
      <c r="Y619" s="23"/>
      <c r="Z619" s="23"/>
    </row>
    <row r="620">
      <c r="A620" s="107"/>
      <c r="B620" s="103" t="str">
        <f>IFERROR( VLOOKUP($A620,'INVOICE DETAILS.'!$F$3:$G$1994,2,0)," ")</f>
        <v> </v>
      </c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8"/>
      <c r="O620" s="109"/>
      <c r="P620" s="109"/>
      <c r="Q620" s="107"/>
      <c r="R620" s="107"/>
      <c r="S620" s="107"/>
      <c r="T620" s="107"/>
      <c r="U620" s="107"/>
      <c r="V620" s="107" t="str">
        <f t="shared" si="1"/>
        <v> </v>
      </c>
      <c r="W620" s="107"/>
      <c r="X620" s="23"/>
      <c r="Y620" s="23"/>
      <c r="Z620" s="23"/>
    </row>
    <row r="621">
      <c r="A621" s="107"/>
      <c r="B621" s="103" t="str">
        <f>IFERROR( VLOOKUP($A621,'INVOICE DETAILS.'!$F$3:$G$1994,2,0)," ")</f>
        <v> </v>
      </c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8"/>
      <c r="O621" s="109"/>
      <c r="P621" s="109"/>
      <c r="Q621" s="107"/>
      <c r="R621" s="107"/>
      <c r="S621" s="107"/>
      <c r="T621" s="107"/>
      <c r="U621" s="107"/>
      <c r="V621" s="107" t="str">
        <f t="shared" si="1"/>
        <v> </v>
      </c>
      <c r="W621" s="107"/>
      <c r="X621" s="23"/>
      <c r="Y621" s="23"/>
      <c r="Z621" s="23"/>
    </row>
    <row r="622">
      <c r="A622" s="107"/>
      <c r="B622" s="103" t="str">
        <f>IFERROR( VLOOKUP($A622,'INVOICE DETAILS.'!$F$3:$G$1994,2,0)," ")</f>
        <v> </v>
      </c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8"/>
      <c r="O622" s="109"/>
      <c r="P622" s="109"/>
      <c r="Q622" s="107"/>
      <c r="R622" s="107"/>
      <c r="S622" s="107"/>
      <c r="T622" s="107"/>
      <c r="U622" s="107"/>
      <c r="V622" s="107" t="str">
        <f t="shared" si="1"/>
        <v> </v>
      </c>
      <c r="W622" s="107"/>
      <c r="X622" s="23"/>
      <c r="Y622" s="23"/>
      <c r="Z622" s="23"/>
    </row>
    <row r="623">
      <c r="A623" s="107"/>
      <c r="B623" s="103" t="str">
        <f>IFERROR( VLOOKUP($A623,'INVOICE DETAILS.'!$F$3:$G$1994,2,0)," ")</f>
        <v> </v>
      </c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8"/>
      <c r="O623" s="109"/>
      <c r="P623" s="109"/>
      <c r="Q623" s="107"/>
      <c r="R623" s="107"/>
      <c r="S623" s="107"/>
      <c r="T623" s="107"/>
      <c r="U623" s="107"/>
      <c r="V623" s="107" t="str">
        <f t="shared" si="1"/>
        <v> </v>
      </c>
      <c r="W623" s="107"/>
      <c r="X623" s="23"/>
      <c r="Y623" s="23"/>
      <c r="Z623" s="23"/>
    </row>
    <row r="624">
      <c r="A624" s="107"/>
      <c r="B624" s="103" t="str">
        <f>IFERROR( VLOOKUP($A624,'INVOICE DETAILS.'!$F$3:$G$1994,2,0)," ")</f>
        <v> </v>
      </c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8"/>
      <c r="O624" s="109"/>
      <c r="P624" s="109"/>
      <c r="Q624" s="107"/>
      <c r="R624" s="107"/>
      <c r="S624" s="107"/>
      <c r="T624" s="107"/>
      <c r="U624" s="107"/>
      <c r="V624" s="107" t="str">
        <f t="shared" si="1"/>
        <v> </v>
      </c>
      <c r="W624" s="107"/>
      <c r="X624" s="23"/>
      <c r="Y624" s="23"/>
      <c r="Z624" s="23"/>
    </row>
    <row r="625">
      <c r="A625" s="107"/>
      <c r="B625" s="103" t="str">
        <f>IFERROR( VLOOKUP($A625,'INVOICE DETAILS.'!$F$3:$G$1994,2,0)," ")</f>
        <v> </v>
      </c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8"/>
      <c r="O625" s="109"/>
      <c r="P625" s="109"/>
      <c r="Q625" s="107"/>
      <c r="R625" s="107"/>
      <c r="S625" s="107"/>
      <c r="T625" s="107"/>
      <c r="U625" s="107"/>
      <c r="V625" s="107" t="str">
        <f t="shared" si="1"/>
        <v> </v>
      </c>
      <c r="W625" s="107"/>
      <c r="X625" s="23"/>
      <c r="Y625" s="23"/>
      <c r="Z625" s="23"/>
    </row>
    <row r="626">
      <c r="A626" s="107"/>
      <c r="B626" s="103" t="str">
        <f>IFERROR( VLOOKUP($A626,'INVOICE DETAILS.'!$F$3:$G$1994,2,0)," ")</f>
        <v> </v>
      </c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8"/>
      <c r="O626" s="109"/>
      <c r="P626" s="109"/>
      <c r="Q626" s="107"/>
      <c r="R626" s="107"/>
      <c r="S626" s="107"/>
      <c r="T626" s="107"/>
      <c r="U626" s="107"/>
      <c r="V626" s="107" t="str">
        <f t="shared" si="1"/>
        <v> </v>
      </c>
      <c r="W626" s="107"/>
      <c r="X626" s="23"/>
      <c r="Y626" s="23"/>
      <c r="Z626" s="23"/>
    </row>
    <row r="627">
      <c r="A627" s="107"/>
      <c r="B627" s="103" t="str">
        <f>IFERROR( VLOOKUP($A627,'INVOICE DETAILS.'!$F$3:$G$1994,2,0)," ")</f>
        <v> </v>
      </c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8"/>
      <c r="O627" s="109"/>
      <c r="P627" s="109"/>
      <c r="Q627" s="107"/>
      <c r="R627" s="107"/>
      <c r="S627" s="107"/>
      <c r="T627" s="107"/>
      <c r="U627" s="107"/>
      <c r="V627" s="107" t="str">
        <f t="shared" si="1"/>
        <v> </v>
      </c>
      <c r="W627" s="107"/>
      <c r="X627" s="23"/>
      <c r="Y627" s="23"/>
      <c r="Z627" s="23"/>
    </row>
    <row r="628">
      <c r="A628" s="107"/>
      <c r="B628" s="103" t="str">
        <f>IFERROR( VLOOKUP($A628,'INVOICE DETAILS.'!$F$3:$G$1994,2,0)," ")</f>
        <v> </v>
      </c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8"/>
      <c r="O628" s="109"/>
      <c r="P628" s="109"/>
      <c r="Q628" s="107"/>
      <c r="R628" s="107"/>
      <c r="S628" s="107"/>
      <c r="T628" s="107"/>
      <c r="U628" s="107"/>
      <c r="V628" s="107" t="str">
        <f t="shared" si="1"/>
        <v> </v>
      </c>
      <c r="W628" s="107"/>
      <c r="X628" s="23"/>
      <c r="Y628" s="23"/>
      <c r="Z628" s="23"/>
    </row>
    <row r="629">
      <c r="A629" s="107"/>
      <c r="B629" s="103" t="str">
        <f>IFERROR( VLOOKUP($A629,'INVOICE DETAILS.'!$F$3:$G$1994,2,0)," ")</f>
        <v> </v>
      </c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8"/>
      <c r="O629" s="109"/>
      <c r="P629" s="109"/>
      <c r="Q629" s="107"/>
      <c r="R629" s="107"/>
      <c r="S629" s="107"/>
      <c r="T629" s="107"/>
      <c r="U629" s="107"/>
      <c r="V629" s="107" t="str">
        <f t="shared" si="1"/>
        <v> </v>
      </c>
      <c r="W629" s="107"/>
      <c r="X629" s="23"/>
      <c r="Y629" s="23"/>
      <c r="Z629" s="23"/>
    </row>
    <row r="630">
      <c r="A630" s="107"/>
      <c r="B630" s="103" t="str">
        <f>IFERROR( VLOOKUP($A630,'INVOICE DETAILS.'!$F$3:$G$1994,2,0)," ")</f>
        <v> </v>
      </c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8"/>
      <c r="O630" s="109"/>
      <c r="P630" s="109"/>
      <c r="Q630" s="107"/>
      <c r="R630" s="107"/>
      <c r="S630" s="107"/>
      <c r="T630" s="107"/>
      <c r="U630" s="107"/>
      <c r="V630" s="107" t="str">
        <f t="shared" si="1"/>
        <v> </v>
      </c>
      <c r="W630" s="107"/>
      <c r="X630" s="23"/>
      <c r="Y630" s="23"/>
      <c r="Z630" s="23"/>
    </row>
    <row r="631">
      <c r="A631" s="107"/>
      <c r="B631" s="103" t="str">
        <f>IFERROR( VLOOKUP($A631,'INVOICE DETAILS.'!$F$3:$G$1994,2,0)," ")</f>
        <v> </v>
      </c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8"/>
      <c r="O631" s="109"/>
      <c r="P631" s="109"/>
      <c r="Q631" s="107"/>
      <c r="R631" s="107"/>
      <c r="S631" s="107"/>
      <c r="T631" s="107"/>
      <c r="U631" s="107"/>
      <c r="V631" s="107" t="str">
        <f t="shared" si="1"/>
        <v> </v>
      </c>
      <c r="W631" s="107"/>
      <c r="X631" s="23"/>
      <c r="Y631" s="23"/>
      <c r="Z631" s="23"/>
    </row>
    <row r="632">
      <c r="A632" s="107"/>
      <c r="B632" s="103" t="str">
        <f>IFERROR( VLOOKUP($A632,'INVOICE DETAILS.'!$F$3:$G$1994,2,0)," ")</f>
        <v> </v>
      </c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8"/>
      <c r="O632" s="109"/>
      <c r="P632" s="109"/>
      <c r="Q632" s="107"/>
      <c r="R632" s="107"/>
      <c r="S632" s="107"/>
      <c r="T632" s="107"/>
      <c r="U632" s="107"/>
      <c r="V632" s="107" t="str">
        <f t="shared" si="1"/>
        <v> </v>
      </c>
      <c r="W632" s="107"/>
      <c r="X632" s="23"/>
      <c r="Y632" s="23"/>
      <c r="Z632" s="23"/>
    </row>
    <row r="633">
      <c r="A633" s="107"/>
      <c r="B633" s="103" t="str">
        <f>IFERROR( VLOOKUP($A633,'INVOICE DETAILS.'!$F$3:$G$1994,2,0)," ")</f>
        <v> </v>
      </c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8"/>
      <c r="O633" s="109"/>
      <c r="P633" s="109"/>
      <c r="Q633" s="107"/>
      <c r="R633" s="107"/>
      <c r="S633" s="107"/>
      <c r="T633" s="107"/>
      <c r="U633" s="107"/>
      <c r="V633" s="107" t="str">
        <f t="shared" si="1"/>
        <v> </v>
      </c>
      <c r="W633" s="107"/>
      <c r="X633" s="23"/>
      <c r="Y633" s="23"/>
      <c r="Z633" s="23"/>
    </row>
    <row r="634">
      <c r="A634" s="107"/>
      <c r="B634" s="103" t="str">
        <f>IFERROR( VLOOKUP($A634,'INVOICE DETAILS.'!$F$3:$G$1994,2,0)," ")</f>
        <v> </v>
      </c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8"/>
      <c r="O634" s="109"/>
      <c r="P634" s="109"/>
      <c r="Q634" s="107"/>
      <c r="R634" s="107"/>
      <c r="S634" s="107"/>
      <c r="T634" s="107"/>
      <c r="U634" s="107"/>
      <c r="V634" s="107" t="str">
        <f t="shared" si="1"/>
        <v> </v>
      </c>
      <c r="W634" s="107"/>
      <c r="X634" s="23"/>
      <c r="Y634" s="23"/>
      <c r="Z634" s="23"/>
    </row>
    <row r="635">
      <c r="A635" s="107"/>
      <c r="B635" s="103" t="str">
        <f>IFERROR( VLOOKUP($A635,'INVOICE DETAILS.'!$F$3:$G$1994,2,0)," ")</f>
        <v> </v>
      </c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8"/>
      <c r="O635" s="109"/>
      <c r="P635" s="109"/>
      <c r="Q635" s="107"/>
      <c r="R635" s="107"/>
      <c r="S635" s="107"/>
      <c r="T635" s="107"/>
      <c r="U635" s="107"/>
      <c r="V635" s="107" t="str">
        <f t="shared" si="1"/>
        <v> </v>
      </c>
      <c r="W635" s="107"/>
      <c r="X635" s="23"/>
      <c r="Y635" s="23"/>
      <c r="Z635" s="23"/>
    </row>
    <row r="636">
      <c r="A636" s="107"/>
      <c r="B636" s="103" t="str">
        <f>IFERROR( VLOOKUP($A636,'INVOICE DETAILS.'!$F$3:$G$1994,2,0)," ")</f>
        <v> </v>
      </c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8"/>
      <c r="O636" s="109"/>
      <c r="P636" s="109"/>
      <c r="Q636" s="107"/>
      <c r="R636" s="107"/>
      <c r="S636" s="107"/>
      <c r="T636" s="107"/>
      <c r="U636" s="107"/>
      <c r="V636" s="107" t="str">
        <f t="shared" si="1"/>
        <v> </v>
      </c>
      <c r="W636" s="107"/>
      <c r="X636" s="23"/>
      <c r="Y636" s="23"/>
      <c r="Z636" s="23"/>
    </row>
    <row r="637">
      <c r="A637" s="107"/>
      <c r="B637" s="103" t="str">
        <f>IFERROR( VLOOKUP($A637,'INVOICE DETAILS.'!$F$3:$G$1994,2,0)," ")</f>
        <v> </v>
      </c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8"/>
      <c r="O637" s="109"/>
      <c r="P637" s="109"/>
      <c r="Q637" s="107"/>
      <c r="R637" s="107"/>
      <c r="S637" s="107"/>
      <c r="T637" s="107"/>
      <c r="U637" s="107"/>
      <c r="V637" s="107" t="str">
        <f t="shared" si="1"/>
        <v> </v>
      </c>
      <c r="W637" s="107"/>
      <c r="X637" s="23"/>
      <c r="Y637" s="23"/>
      <c r="Z637" s="23"/>
    </row>
    <row r="638">
      <c r="A638" s="107"/>
      <c r="B638" s="103" t="str">
        <f>IFERROR( VLOOKUP($A638,'INVOICE DETAILS.'!$F$3:$G$1994,2,0)," ")</f>
        <v> </v>
      </c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8"/>
      <c r="O638" s="109"/>
      <c r="P638" s="109"/>
      <c r="Q638" s="107"/>
      <c r="R638" s="107"/>
      <c r="S638" s="107"/>
      <c r="T638" s="107"/>
      <c r="U638" s="107"/>
      <c r="V638" s="107" t="str">
        <f t="shared" si="1"/>
        <v> </v>
      </c>
      <c r="W638" s="107"/>
      <c r="X638" s="23"/>
      <c r="Y638" s="23"/>
      <c r="Z638" s="23"/>
    </row>
    <row r="639">
      <c r="A639" s="107"/>
      <c r="B639" s="103" t="str">
        <f>IFERROR( VLOOKUP($A639,'INVOICE DETAILS.'!$F$3:$G$1994,2,0)," ")</f>
        <v> </v>
      </c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8"/>
      <c r="O639" s="109"/>
      <c r="P639" s="109"/>
      <c r="Q639" s="107"/>
      <c r="R639" s="107"/>
      <c r="S639" s="107"/>
      <c r="T639" s="107"/>
      <c r="U639" s="107"/>
      <c r="V639" s="107" t="str">
        <f t="shared" si="1"/>
        <v> </v>
      </c>
      <c r="W639" s="107"/>
      <c r="X639" s="23"/>
      <c r="Y639" s="23"/>
      <c r="Z639" s="23"/>
    </row>
    <row r="640">
      <c r="A640" s="107"/>
      <c r="B640" s="103" t="str">
        <f>IFERROR( VLOOKUP($A640,'INVOICE DETAILS.'!$F$3:$G$1994,2,0)," ")</f>
        <v> </v>
      </c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8"/>
      <c r="O640" s="109"/>
      <c r="P640" s="109"/>
      <c r="Q640" s="107"/>
      <c r="R640" s="107"/>
      <c r="S640" s="107"/>
      <c r="T640" s="107"/>
      <c r="U640" s="107"/>
      <c r="V640" s="107" t="str">
        <f t="shared" si="1"/>
        <v> </v>
      </c>
      <c r="W640" s="107"/>
      <c r="X640" s="23"/>
      <c r="Y640" s="23"/>
      <c r="Z640" s="23"/>
    </row>
    <row r="641">
      <c r="A641" s="107"/>
      <c r="B641" s="103" t="str">
        <f>IFERROR( VLOOKUP($A641,'INVOICE DETAILS.'!$F$3:$G$1994,2,0)," ")</f>
        <v> </v>
      </c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8"/>
      <c r="O641" s="109"/>
      <c r="P641" s="109"/>
      <c r="Q641" s="107"/>
      <c r="R641" s="107"/>
      <c r="S641" s="107"/>
      <c r="T641" s="107"/>
      <c r="U641" s="107"/>
      <c r="V641" s="107" t="str">
        <f t="shared" si="1"/>
        <v> </v>
      </c>
      <c r="W641" s="107"/>
      <c r="X641" s="23"/>
      <c r="Y641" s="23"/>
      <c r="Z641" s="23"/>
    </row>
    <row r="642">
      <c r="A642" s="107"/>
      <c r="B642" s="103" t="str">
        <f>IFERROR( VLOOKUP($A642,'INVOICE DETAILS.'!$F$3:$G$1994,2,0)," ")</f>
        <v> </v>
      </c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8"/>
      <c r="O642" s="109"/>
      <c r="P642" s="109"/>
      <c r="Q642" s="107"/>
      <c r="R642" s="107"/>
      <c r="S642" s="107"/>
      <c r="T642" s="107"/>
      <c r="U642" s="107"/>
      <c r="V642" s="107" t="str">
        <f t="shared" si="1"/>
        <v> </v>
      </c>
      <c r="W642" s="107"/>
      <c r="X642" s="23"/>
      <c r="Y642" s="23"/>
      <c r="Z642" s="23"/>
    </row>
    <row r="643">
      <c r="A643" s="107"/>
      <c r="B643" s="103" t="str">
        <f>IFERROR( VLOOKUP($A643,'INVOICE DETAILS.'!$F$3:$G$1994,2,0)," ")</f>
        <v> </v>
      </c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8"/>
      <c r="O643" s="109"/>
      <c r="P643" s="109"/>
      <c r="Q643" s="107"/>
      <c r="R643" s="107"/>
      <c r="S643" s="107"/>
      <c r="T643" s="107"/>
      <c r="U643" s="107"/>
      <c r="V643" s="107" t="str">
        <f t="shared" si="1"/>
        <v> </v>
      </c>
      <c r="W643" s="107"/>
      <c r="X643" s="23"/>
      <c r="Y643" s="23"/>
      <c r="Z643" s="23"/>
    </row>
    <row r="644">
      <c r="A644" s="107"/>
      <c r="B644" s="103" t="str">
        <f>IFERROR( VLOOKUP($A644,'INVOICE DETAILS.'!$F$3:$G$1994,2,0)," ")</f>
        <v> </v>
      </c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8"/>
      <c r="O644" s="109"/>
      <c r="P644" s="109"/>
      <c r="Q644" s="107"/>
      <c r="R644" s="107"/>
      <c r="S644" s="107"/>
      <c r="T644" s="107"/>
      <c r="U644" s="107"/>
      <c r="V644" s="107" t="str">
        <f t="shared" si="1"/>
        <v> </v>
      </c>
      <c r="W644" s="107"/>
      <c r="X644" s="23"/>
      <c r="Y644" s="23"/>
      <c r="Z644" s="23"/>
    </row>
    <row r="645">
      <c r="A645" s="107"/>
      <c r="B645" s="103" t="str">
        <f>IFERROR( VLOOKUP($A645,'INVOICE DETAILS.'!$F$3:$G$1994,2,0)," ")</f>
        <v> </v>
      </c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8"/>
      <c r="O645" s="109"/>
      <c r="P645" s="109"/>
      <c r="Q645" s="107"/>
      <c r="R645" s="107"/>
      <c r="S645" s="107"/>
      <c r="T645" s="107"/>
      <c r="U645" s="107"/>
      <c r="V645" s="107" t="str">
        <f t="shared" si="1"/>
        <v> </v>
      </c>
      <c r="W645" s="107"/>
      <c r="X645" s="23"/>
      <c r="Y645" s="23"/>
      <c r="Z645" s="23"/>
    </row>
    <row r="646">
      <c r="A646" s="107"/>
      <c r="B646" s="103" t="str">
        <f>IFERROR( VLOOKUP($A646,'INVOICE DETAILS.'!$F$3:$G$1994,2,0)," ")</f>
        <v> </v>
      </c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8"/>
      <c r="O646" s="109"/>
      <c r="P646" s="109"/>
      <c r="Q646" s="107"/>
      <c r="R646" s="107"/>
      <c r="S646" s="107"/>
      <c r="T646" s="107"/>
      <c r="U646" s="107"/>
      <c r="V646" s="107" t="str">
        <f t="shared" si="1"/>
        <v> </v>
      </c>
      <c r="W646" s="107"/>
      <c r="X646" s="23"/>
      <c r="Y646" s="23"/>
      <c r="Z646" s="23"/>
    </row>
    <row r="647">
      <c r="A647" s="107"/>
      <c r="B647" s="103" t="str">
        <f>IFERROR( VLOOKUP($A647,'INVOICE DETAILS.'!$F$3:$G$1994,2,0)," ")</f>
        <v> </v>
      </c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8"/>
      <c r="O647" s="109"/>
      <c r="P647" s="109"/>
      <c r="Q647" s="107"/>
      <c r="R647" s="107"/>
      <c r="S647" s="107"/>
      <c r="T647" s="107"/>
      <c r="U647" s="107"/>
      <c r="V647" s="107" t="str">
        <f t="shared" si="1"/>
        <v> </v>
      </c>
      <c r="W647" s="107"/>
      <c r="X647" s="23"/>
      <c r="Y647" s="23"/>
      <c r="Z647" s="23"/>
    </row>
    <row r="648">
      <c r="A648" s="107"/>
      <c r="B648" s="103" t="str">
        <f>IFERROR( VLOOKUP($A648,'INVOICE DETAILS.'!$F$3:$G$1994,2,0)," ")</f>
        <v> </v>
      </c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8"/>
      <c r="O648" s="109"/>
      <c r="P648" s="109"/>
      <c r="Q648" s="107"/>
      <c r="R648" s="107"/>
      <c r="S648" s="107"/>
      <c r="T648" s="107"/>
      <c r="U648" s="107"/>
      <c r="V648" s="107" t="str">
        <f t="shared" si="1"/>
        <v> </v>
      </c>
      <c r="W648" s="107"/>
      <c r="X648" s="23"/>
      <c r="Y648" s="23"/>
      <c r="Z648" s="23"/>
    </row>
    <row r="649">
      <c r="A649" s="107"/>
      <c r="B649" s="103" t="str">
        <f>IFERROR( VLOOKUP($A649,'INVOICE DETAILS.'!$F$3:$G$1994,2,0)," ")</f>
        <v> </v>
      </c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8"/>
      <c r="O649" s="109"/>
      <c r="P649" s="109"/>
      <c r="Q649" s="107"/>
      <c r="R649" s="107"/>
      <c r="S649" s="107"/>
      <c r="T649" s="107"/>
      <c r="U649" s="107"/>
      <c r="V649" s="107" t="str">
        <f t="shared" si="1"/>
        <v> </v>
      </c>
      <c r="W649" s="107"/>
      <c r="X649" s="23"/>
      <c r="Y649" s="23"/>
      <c r="Z649" s="23"/>
    </row>
    <row r="650">
      <c r="A650" s="107"/>
      <c r="B650" s="103" t="str">
        <f>IFERROR( VLOOKUP($A650,'INVOICE DETAILS.'!$F$3:$G$1994,2,0)," ")</f>
        <v> </v>
      </c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8"/>
      <c r="O650" s="109"/>
      <c r="P650" s="109"/>
      <c r="Q650" s="107"/>
      <c r="R650" s="107"/>
      <c r="S650" s="107"/>
      <c r="T650" s="107"/>
      <c r="U650" s="107"/>
      <c r="V650" s="107" t="str">
        <f t="shared" si="1"/>
        <v> </v>
      </c>
      <c r="W650" s="107"/>
      <c r="X650" s="23"/>
      <c r="Y650" s="23"/>
      <c r="Z650" s="23"/>
    </row>
    <row r="651">
      <c r="A651" s="107"/>
      <c r="B651" s="103" t="str">
        <f>IFERROR( VLOOKUP($A651,'INVOICE DETAILS.'!$F$3:$G$1994,2,0)," ")</f>
        <v> </v>
      </c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8"/>
      <c r="O651" s="109"/>
      <c r="P651" s="109"/>
      <c r="Q651" s="107"/>
      <c r="R651" s="107"/>
      <c r="S651" s="107"/>
      <c r="T651" s="107"/>
      <c r="U651" s="107"/>
      <c r="V651" s="107" t="str">
        <f t="shared" si="1"/>
        <v> </v>
      </c>
      <c r="W651" s="107"/>
      <c r="X651" s="23"/>
      <c r="Y651" s="23"/>
      <c r="Z651" s="23"/>
    </row>
    <row r="652">
      <c r="A652" s="107"/>
      <c r="B652" s="103" t="str">
        <f>IFERROR( VLOOKUP($A652,'INVOICE DETAILS.'!$F$3:$G$1994,2,0)," ")</f>
        <v> </v>
      </c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8"/>
      <c r="O652" s="109"/>
      <c r="P652" s="109"/>
      <c r="Q652" s="107"/>
      <c r="R652" s="107"/>
      <c r="S652" s="107"/>
      <c r="T652" s="107"/>
      <c r="U652" s="107"/>
      <c r="V652" s="107" t="str">
        <f t="shared" si="1"/>
        <v> </v>
      </c>
      <c r="W652" s="107"/>
      <c r="X652" s="23"/>
      <c r="Y652" s="23"/>
      <c r="Z652" s="23"/>
    </row>
    <row r="653">
      <c r="A653" s="107"/>
      <c r="B653" s="103" t="str">
        <f>IFERROR( VLOOKUP($A653,'INVOICE DETAILS.'!$F$3:$G$1994,2,0)," ")</f>
        <v> </v>
      </c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8"/>
      <c r="O653" s="109"/>
      <c r="P653" s="109"/>
      <c r="Q653" s="107"/>
      <c r="R653" s="107"/>
      <c r="S653" s="107"/>
      <c r="T653" s="107"/>
      <c r="U653" s="107"/>
      <c r="V653" s="107" t="str">
        <f t="shared" si="1"/>
        <v> </v>
      </c>
      <c r="W653" s="107"/>
      <c r="X653" s="23"/>
      <c r="Y653" s="23"/>
      <c r="Z653" s="23"/>
    </row>
    <row r="654">
      <c r="A654" s="107"/>
      <c r="B654" s="103" t="str">
        <f>IFERROR( VLOOKUP($A654,'INVOICE DETAILS.'!$F$3:$G$1994,2,0)," ")</f>
        <v> </v>
      </c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8"/>
      <c r="O654" s="109"/>
      <c r="P654" s="109"/>
      <c r="Q654" s="107"/>
      <c r="R654" s="107"/>
      <c r="S654" s="107"/>
      <c r="T654" s="107"/>
      <c r="U654" s="107"/>
      <c r="V654" s="107" t="str">
        <f t="shared" si="1"/>
        <v> </v>
      </c>
      <c r="W654" s="107"/>
      <c r="X654" s="23"/>
      <c r="Y654" s="23"/>
      <c r="Z654" s="23"/>
    </row>
    <row r="655">
      <c r="A655" s="107"/>
      <c r="B655" s="103" t="str">
        <f>IFERROR( VLOOKUP($A655,'INVOICE DETAILS.'!$F$3:$G$1994,2,0)," ")</f>
        <v> </v>
      </c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8"/>
      <c r="O655" s="109"/>
      <c r="P655" s="109"/>
      <c r="Q655" s="107"/>
      <c r="R655" s="107"/>
      <c r="S655" s="107"/>
      <c r="T655" s="107"/>
      <c r="U655" s="107"/>
      <c r="V655" s="107" t="str">
        <f t="shared" si="1"/>
        <v> </v>
      </c>
      <c r="W655" s="107"/>
      <c r="X655" s="23"/>
      <c r="Y655" s="23"/>
      <c r="Z655" s="23"/>
    </row>
    <row r="656">
      <c r="A656" s="107"/>
      <c r="B656" s="103" t="str">
        <f>IFERROR( VLOOKUP($A656,'INVOICE DETAILS.'!$F$3:$G$1994,2,0)," ")</f>
        <v> </v>
      </c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8"/>
      <c r="O656" s="109"/>
      <c r="P656" s="109"/>
      <c r="Q656" s="107"/>
      <c r="R656" s="107"/>
      <c r="S656" s="107"/>
      <c r="T656" s="107"/>
      <c r="U656" s="107"/>
      <c r="V656" s="107" t="str">
        <f t="shared" si="1"/>
        <v> </v>
      </c>
      <c r="W656" s="107"/>
      <c r="X656" s="23"/>
      <c r="Y656" s="23"/>
      <c r="Z656" s="23"/>
    </row>
    <row r="657">
      <c r="A657" s="107"/>
      <c r="B657" s="103" t="str">
        <f>IFERROR( VLOOKUP($A657,'INVOICE DETAILS.'!$F$3:$G$1994,2,0)," ")</f>
        <v> </v>
      </c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8"/>
      <c r="O657" s="109"/>
      <c r="P657" s="109"/>
      <c r="Q657" s="107"/>
      <c r="R657" s="107"/>
      <c r="S657" s="107"/>
      <c r="T657" s="107"/>
      <c r="U657" s="107"/>
      <c r="V657" s="107" t="str">
        <f t="shared" si="1"/>
        <v> </v>
      </c>
      <c r="W657" s="107"/>
      <c r="X657" s="23"/>
      <c r="Y657" s="23"/>
      <c r="Z657" s="23"/>
    </row>
    <row r="658">
      <c r="A658" s="107"/>
      <c r="B658" s="103" t="str">
        <f>IFERROR( VLOOKUP($A658,'INVOICE DETAILS.'!$F$3:$G$1994,2,0)," ")</f>
        <v> </v>
      </c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8"/>
      <c r="O658" s="109"/>
      <c r="P658" s="109"/>
      <c r="Q658" s="107"/>
      <c r="R658" s="107"/>
      <c r="S658" s="107"/>
      <c r="T658" s="107"/>
      <c r="U658" s="107"/>
      <c r="V658" s="107" t="str">
        <f t="shared" si="1"/>
        <v> </v>
      </c>
      <c r="W658" s="107"/>
      <c r="X658" s="23"/>
      <c r="Y658" s="23"/>
      <c r="Z658" s="23"/>
    </row>
    <row r="659">
      <c r="A659" s="107"/>
      <c r="B659" s="103" t="str">
        <f>IFERROR( VLOOKUP($A659,'INVOICE DETAILS.'!$F$3:$G$1994,2,0)," ")</f>
        <v> </v>
      </c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8"/>
      <c r="O659" s="109"/>
      <c r="P659" s="109"/>
      <c r="Q659" s="107"/>
      <c r="R659" s="107"/>
      <c r="S659" s="107"/>
      <c r="T659" s="107"/>
      <c r="U659" s="107"/>
      <c r="V659" s="107" t="str">
        <f t="shared" si="1"/>
        <v> </v>
      </c>
      <c r="W659" s="107"/>
      <c r="X659" s="23"/>
      <c r="Y659" s="23"/>
      <c r="Z659" s="23"/>
    </row>
    <row r="660">
      <c r="A660" s="107"/>
      <c r="B660" s="103" t="str">
        <f>IFERROR( VLOOKUP($A660,'INVOICE DETAILS.'!$F$3:$G$1994,2,0)," ")</f>
        <v> </v>
      </c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8"/>
      <c r="O660" s="109"/>
      <c r="P660" s="109"/>
      <c r="Q660" s="107"/>
      <c r="R660" s="107"/>
      <c r="S660" s="107"/>
      <c r="T660" s="107"/>
      <c r="U660" s="107"/>
      <c r="V660" s="107" t="str">
        <f t="shared" si="1"/>
        <v> </v>
      </c>
      <c r="W660" s="107"/>
      <c r="X660" s="23"/>
      <c r="Y660" s="23"/>
      <c r="Z660" s="23"/>
    </row>
    <row r="661">
      <c r="A661" s="107"/>
      <c r="B661" s="103" t="str">
        <f>IFERROR( VLOOKUP($A661,'INVOICE DETAILS.'!$F$3:$G$1994,2,0)," ")</f>
        <v> </v>
      </c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8"/>
      <c r="O661" s="109"/>
      <c r="P661" s="109"/>
      <c r="Q661" s="107"/>
      <c r="R661" s="107"/>
      <c r="S661" s="107"/>
      <c r="T661" s="107"/>
      <c r="U661" s="107"/>
      <c r="V661" s="107" t="str">
        <f t="shared" si="1"/>
        <v> </v>
      </c>
      <c r="W661" s="107"/>
      <c r="X661" s="23"/>
      <c r="Y661" s="23"/>
      <c r="Z661" s="23"/>
    </row>
    <row r="662">
      <c r="A662" s="107"/>
      <c r="B662" s="103" t="str">
        <f>IFERROR( VLOOKUP($A662,'INVOICE DETAILS.'!$F$3:$G$1994,2,0)," ")</f>
        <v> </v>
      </c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8"/>
      <c r="O662" s="109"/>
      <c r="P662" s="109"/>
      <c r="Q662" s="107"/>
      <c r="R662" s="107"/>
      <c r="S662" s="107"/>
      <c r="T662" s="107"/>
      <c r="U662" s="107"/>
      <c r="V662" s="107" t="str">
        <f t="shared" si="1"/>
        <v> </v>
      </c>
      <c r="W662" s="107"/>
      <c r="X662" s="23"/>
      <c r="Y662" s="23"/>
      <c r="Z662" s="23"/>
    </row>
    <row r="663">
      <c r="A663" s="107"/>
      <c r="B663" s="103" t="str">
        <f>IFERROR( VLOOKUP($A663,'INVOICE DETAILS.'!$F$3:$G$1994,2,0)," ")</f>
        <v> </v>
      </c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8"/>
      <c r="O663" s="109"/>
      <c r="P663" s="109"/>
      <c r="Q663" s="107"/>
      <c r="R663" s="107"/>
      <c r="S663" s="107"/>
      <c r="T663" s="107"/>
      <c r="U663" s="107"/>
      <c r="V663" s="107" t="str">
        <f t="shared" si="1"/>
        <v> </v>
      </c>
      <c r="W663" s="107"/>
      <c r="X663" s="23"/>
      <c r="Y663" s="23"/>
      <c r="Z663" s="23"/>
    </row>
    <row r="664">
      <c r="A664" s="107"/>
      <c r="B664" s="103" t="str">
        <f>IFERROR( VLOOKUP($A664,'INVOICE DETAILS.'!$F$3:$G$1994,2,0)," ")</f>
        <v> </v>
      </c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8"/>
      <c r="O664" s="109"/>
      <c r="P664" s="109"/>
      <c r="Q664" s="107"/>
      <c r="R664" s="107"/>
      <c r="S664" s="107"/>
      <c r="T664" s="107"/>
      <c r="U664" s="107"/>
      <c r="V664" s="107" t="str">
        <f t="shared" si="1"/>
        <v> </v>
      </c>
      <c r="W664" s="107"/>
      <c r="X664" s="23"/>
      <c r="Y664" s="23"/>
      <c r="Z664" s="23"/>
    </row>
    <row r="665">
      <c r="A665" s="107"/>
      <c r="B665" s="103" t="str">
        <f>IFERROR( VLOOKUP($A665,'INVOICE DETAILS.'!$F$3:$G$1994,2,0)," ")</f>
        <v> </v>
      </c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8"/>
      <c r="O665" s="109"/>
      <c r="P665" s="109"/>
      <c r="Q665" s="107"/>
      <c r="R665" s="107"/>
      <c r="S665" s="107"/>
      <c r="T665" s="107"/>
      <c r="U665" s="107"/>
      <c r="V665" s="107" t="str">
        <f t="shared" si="1"/>
        <v> </v>
      </c>
      <c r="W665" s="107"/>
      <c r="X665" s="23"/>
      <c r="Y665" s="23"/>
      <c r="Z665" s="23"/>
    </row>
    <row r="666">
      <c r="A666" s="107"/>
      <c r="B666" s="103" t="str">
        <f>IFERROR( VLOOKUP($A666,'INVOICE DETAILS.'!$F$3:$G$1994,2,0)," ")</f>
        <v> </v>
      </c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8"/>
      <c r="O666" s="109"/>
      <c r="P666" s="109"/>
      <c r="Q666" s="107"/>
      <c r="R666" s="107"/>
      <c r="S666" s="107"/>
      <c r="T666" s="107"/>
      <c r="U666" s="107"/>
      <c r="V666" s="107" t="str">
        <f t="shared" si="1"/>
        <v> </v>
      </c>
      <c r="W666" s="107"/>
      <c r="X666" s="23"/>
      <c r="Y666" s="23"/>
      <c r="Z666" s="23"/>
    </row>
    <row r="667">
      <c r="A667" s="107"/>
      <c r="B667" s="103" t="str">
        <f>IFERROR( VLOOKUP($A667,'INVOICE DETAILS.'!$F$3:$G$1994,2,0)," ")</f>
        <v> </v>
      </c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8"/>
      <c r="O667" s="109"/>
      <c r="P667" s="109"/>
      <c r="Q667" s="107"/>
      <c r="R667" s="107"/>
      <c r="S667" s="107"/>
      <c r="T667" s="107"/>
      <c r="U667" s="107"/>
      <c r="V667" s="107" t="str">
        <f t="shared" si="1"/>
        <v> </v>
      </c>
      <c r="W667" s="107"/>
      <c r="X667" s="23"/>
      <c r="Y667" s="23"/>
      <c r="Z667" s="23"/>
    </row>
    <row r="668">
      <c r="A668" s="107"/>
      <c r="B668" s="103" t="str">
        <f>IFERROR( VLOOKUP($A668,'INVOICE DETAILS.'!$F$3:$G$1994,2,0)," ")</f>
        <v> </v>
      </c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8"/>
      <c r="O668" s="109"/>
      <c r="P668" s="109"/>
      <c r="Q668" s="107"/>
      <c r="R668" s="107"/>
      <c r="S668" s="107"/>
      <c r="T668" s="107"/>
      <c r="U668" s="107"/>
      <c r="V668" s="107" t="str">
        <f t="shared" si="1"/>
        <v> </v>
      </c>
      <c r="W668" s="107"/>
      <c r="X668" s="23"/>
      <c r="Y668" s="23"/>
      <c r="Z668" s="23"/>
    </row>
    <row r="669">
      <c r="A669" s="107"/>
      <c r="B669" s="103" t="str">
        <f>IFERROR( VLOOKUP($A669,'INVOICE DETAILS.'!$F$3:$G$1994,2,0)," ")</f>
        <v> </v>
      </c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8"/>
      <c r="O669" s="109"/>
      <c r="P669" s="109"/>
      <c r="Q669" s="107"/>
      <c r="R669" s="107"/>
      <c r="S669" s="107"/>
      <c r="T669" s="107"/>
      <c r="U669" s="107"/>
      <c r="V669" s="107" t="str">
        <f t="shared" si="1"/>
        <v> </v>
      </c>
      <c r="W669" s="107"/>
      <c r="X669" s="23"/>
      <c r="Y669" s="23"/>
      <c r="Z669" s="23"/>
    </row>
    <row r="670">
      <c r="A670" s="107"/>
      <c r="B670" s="103" t="str">
        <f>IFERROR( VLOOKUP($A670,'INVOICE DETAILS.'!$F$3:$G$1994,2,0)," ")</f>
        <v> </v>
      </c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8"/>
      <c r="O670" s="109"/>
      <c r="P670" s="109"/>
      <c r="Q670" s="107"/>
      <c r="R670" s="107"/>
      <c r="S670" s="107"/>
      <c r="T670" s="107"/>
      <c r="U670" s="107"/>
      <c r="V670" s="107" t="str">
        <f t="shared" si="1"/>
        <v> </v>
      </c>
      <c r="W670" s="107"/>
      <c r="X670" s="23"/>
      <c r="Y670" s="23"/>
      <c r="Z670" s="23"/>
    </row>
    <row r="671">
      <c r="A671" s="107"/>
      <c r="B671" s="103" t="str">
        <f>IFERROR( VLOOKUP($A671,'INVOICE DETAILS.'!$F$3:$G$1994,2,0)," ")</f>
        <v> </v>
      </c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8"/>
      <c r="O671" s="109"/>
      <c r="P671" s="109"/>
      <c r="Q671" s="107"/>
      <c r="R671" s="107"/>
      <c r="S671" s="107"/>
      <c r="T671" s="107"/>
      <c r="U671" s="107"/>
      <c r="V671" s="107" t="str">
        <f t="shared" si="1"/>
        <v> </v>
      </c>
      <c r="W671" s="107"/>
      <c r="X671" s="23"/>
      <c r="Y671" s="23"/>
      <c r="Z671" s="23"/>
    </row>
    <row r="672">
      <c r="A672" s="107"/>
      <c r="B672" s="103" t="str">
        <f>IFERROR( VLOOKUP($A672,'INVOICE DETAILS.'!$F$3:$G$1994,2,0)," ")</f>
        <v> </v>
      </c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8"/>
      <c r="O672" s="109"/>
      <c r="P672" s="109"/>
      <c r="Q672" s="107"/>
      <c r="R672" s="107"/>
      <c r="S672" s="107"/>
      <c r="T672" s="107"/>
      <c r="U672" s="107"/>
      <c r="V672" s="107" t="str">
        <f t="shared" si="1"/>
        <v> </v>
      </c>
      <c r="W672" s="107"/>
      <c r="X672" s="23"/>
      <c r="Y672" s="23"/>
      <c r="Z672" s="23"/>
    </row>
    <row r="673">
      <c r="A673" s="107"/>
      <c r="B673" s="103" t="str">
        <f>IFERROR( VLOOKUP($A673,'INVOICE DETAILS.'!$F$3:$G$1994,2,0)," ")</f>
        <v> </v>
      </c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8"/>
      <c r="O673" s="109"/>
      <c r="P673" s="109"/>
      <c r="Q673" s="107"/>
      <c r="R673" s="107"/>
      <c r="S673" s="107"/>
      <c r="T673" s="107"/>
      <c r="U673" s="107"/>
      <c r="V673" s="107" t="str">
        <f t="shared" si="1"/>
        <v> </v>
      </c>
      <c r="W673" s="107"/>
      <c r="X673" s="23"/>
      <c r="Y673" s="23"/>
      <c r="Z673" s="23"/>
    </row>
    <row r="674">
      <c r="A674" s="107"/>
      <c r="B674" s="103" t="str">
        <f>IFERROR( VLOOKUP($A674,'INVOICE DETAILS.'!$F$3:$G$1994,2,0)," ")</f>
        <v> </v>
      </c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8"/>
      <c r="O674" s="109"/>
      <c r="P674" s="109"/>
      <c r="Q674" s="107"/>
      <c r="R674" s="107"/>
      <c r="S674" s="107"/>
      <c r="T674" s="107"/>
      <c r="U674" s="107"/>
      <c r="V674" s="107" t="str">
        <f t="shared" si="1"/>
        <v> </v>
      </c>
      <c r="W674" s="107"/>
      <c r="X674" s="23"/>
      <c r="Y674" s="23"/>
      <c r="Z674" s="23"/>
    </row>
    <row r="675">
      <c r="A675" s="107"/>
      <c r="B675" s="103" t="str">
        <f>IFERROR( VLOOKUP($A675,'INVOICE DETAILS.'!$F$3:$G$1994,2,0)," ")</f>
        <v> </v>
      </c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8"/>
      <c r="O675" s="109"/>
      <c r="P675" s="109"/>
      <c r="Q675" s="107"/>
      <c r="R675" s="107"/>
      <c r="S675" s="107"/>
      <c r="T675" s="107"/>
      <c r="U675" s="107"/>
      <c r="V675" s="107" t="str">
        <f t="shared" si="1"/>
        <v> </v>
      </c>
      <c r="W675" s="107"/>
      <c r="X675" s="23"/>
      <c r="Y675" s="23"/>
      <c r="Z675" s="23"/>
    </row>
    <row r="676">
      <c r="A676" s="107"/>
      <c r="B676" s="103" t="str">
        <f>IFERROR( VLOOKUP($A676,'INVOICE DETAILS.'!$F$3:$G$1994,2,0)," ")</f>
        <v> </v>
      </c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8"/>
      <c r="O676" s="109"/>
      <c r="P676" s="109"/>
      <c r="Q676" s="107"/>
      <c r="R676" s="107"/>
      <c r="S676" s="107"/>
      <c r="T676" s="107"/>
      <c r="U676" s="107"/>
      <c r="V676" s="107" t="str">
        <f t="shared" si="1"/>
        <v> </v>
      </c>
      <c r="W676" s="107"/>
      <c r="X676" s="23"/>
      <c r="Y676" s="23"/>
      <c r="Z676" s="23"/>
    </row>
    <row r="677">
      <c r="A677" s="107"/>
      <c r="B677" s="103" t="str">
        <f>IFERROR( VLOOKUP($A677,'INVOICE DETAILS.'!$F$3:$G$1994,2,0)," ")</f>
        <v> </v>
      </c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8"/>
      <c r="O677" s="109"/>
      <c r="P677" s="109"/>
      <c r="Q677" s="107"/>
      <c r="R677" s="107"/>
      <c r="S677" s="107"/>
      <c r="T677" s="107"/>
      <c r="U677" s="107"/>
      <c r="V677" s="107" t="str">
        <f t="shared" si="1"/>
        <v> </v>
      </c>
      <c r="W677" s="107"/>
      <c r="X677" s="23"/>
      <c r="Y677" s="23"/>
      <c r="Z677" s="23"/>
    </row>
    <row r="678">
      <c r="A678" s="107"/>
      <c r="B678" s="103" t="str">
        <f>IFERROR( VLOOKUP($A678,'INVOICE DETAILS.'!$F$3:$G$1994,2,0)," ")</f>
        <v> </v>
      </c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8"/>
      <c r="O678" s="109"/>
      <c r="P678" s="109"/>
      <c r="Q678" s="107"/>
      <c r="R678" s="107"/>
      <c r="S678" s="107"/>
      <c r="T678" s="107"/>
      <c r="U678" s="107"/>
      <c r="V678" s="107" t="str">
        <f t="shared" si="1"/>
        <v> </v>
      </c>
      <c r="W678" s="107"/>
      <c r="X678" s="23"/>
      <c r="Y678" s="23"/>
      <c r="Z678" s="23"/>
    </row>
    <row r="679">
      <c r="A679" s="107"/>
      <c r="B679" s="103" t="str">
        <f>IFERROR( VLOOKUP($A679,'INVOICE DETAILS.'!$F$3:$G$1994,2,0)," ")</f>
        <v> </v>
      </c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8"/>
      <c r="O679" s="109"/>
      <c r="P679" s="109"/>
      <c r="Q679" s="107"/>
      <c r="R679" s="107"/>
      <c r="S679" s="107"/>
      <c r="T679" s="107"/>
      <c r="U679" s="107"/>
      <c r="V679" s="107" t="str">
        <f t="shared" si="1"/>
        <v> </v>
      </c>
      <c r="W679" s="107"/>
      <c r="X679" s="23"/>
      <c r="Y679" s="23"/>
      <c r="Z679" s="23"/>
    </row>
    <row r="680">
      <c r="A680" s="107"/>
      <c r="B680" s="103" t="str">
        <f>IFERROR( VLOOKUP($A680,'INVOICE DETAILS.'!$F$3:$G$1994,2,0)," ")</f>
        <v> </v>
      </c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8"/>
      <c r="O680" s="109"/>
      <c r="P680" s="109"/>
      <c r="Q680" s="107"/>
      <c r="R680" s="107"/>
      <c r="S680" s="107"/>
      <c r="T680" s="107"/>
      <c r="U680" s="107"/>
      <c r="V680" s="107" t="str">
        <f t="shared" si="1"/>
        <v> </v>
      </c>
      <c r="W680" s="107"/>
      <c r="X680" s="23"/>
      <c r="Y680" s="23"/>
      <c r="Z680" s="23"/>
    </row>
    <row r="681">
      <c r="A681" s="107"/>
      <c r="B681" s="103" t="str">
        <f>IFERROR( VLOOKUP($A681,'INVOICE DETAILS.'!$F$3:$G$1994,2,0)," ")</f>
        <v> </v>
      </c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8"/>
      <c r="O681" s="109"/>
      <c r="P681" s="109"/>
      <c r="Q681" s="107"/>
      <c r="R681" s="107"/>
      <c r="S681" s="107"/>
      <c r="T681" s="107"/>
      <c r="U681" s="107"/>
      <c r="V681" s="107" t="str">
        <f t="shared" si="1"/>
        <v> </v>
      </c>
      <c r="W681" s="107"/>
      <c r="X681" s="23"/>
      <c r="Y681" s="23"/>
      <c r="Z681" s="23"/>
    </row>
    <row r="682">
      <c r="A682" s="107"/>
      <c r="B682" s="103" t="str">
        <f>IFERROR( VLOOKUP($A682,'INVOICE DETAILS.'!$F$3:$G$1994,2,0)," ")</f>
        <v> </v>
      </c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8"/>
      <c r="O682" s="109"/>
      <c r="P682" s="109"/>
      <c r="Q682" s="107"/>
      <c r="R682" s="107"/>
      <c r="S682" s="107"/>
      <c r="T682" s="107"/>
      <c r="U682" s="107"/>
      <c r="V682" s="107" t="str">
        <f t="shared" si="1"/>
        <v> </v>
      </c>
      <c r="W682" s="107"/>
      <c r="X682" s="23"/>
      <c r="Y682" s="23"/>
      <c r="Z682" s="23"/>
    </row>
    <row r="683">
      <c r="A683" s="107"/>
      <c r="B683" s="103" t="str">
        <f>IFERROR( VLOOKUP($A683,'INVOICE DETAILS.'!$F$3:$G$1994,2,0)," ")</f>
        <v> </v>
      </c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8"/>
      <c r="O683" s="109"/>
      <c r="P683" s="109"/>
      <c r="Q683" s="107"/>
      <c r="R683" s="107"/>
      <c r="S683" s="107"/>
      <c r="T683" s="107"/>
      <c r="U683" s="107"/>
      <c r="V683" s="107" t="str">
        <f t="shared" si="1"/>
        <v> </v>
      </c>
      <c r="W683" s="107"/>
      <c r="X683" s="23"/>
      <c r="Y683" s="23"/>
      <c r="Z683" s="23"/>
    </row>
    <row r="684">
      <c r="A684" s="107"/>
      <c r="B684" s="103" t="str">
        <f>IFERROR( VLOOKUP($A684,'INVOICE DETAILS.'!$F$3:$G$1994,2,0)," ")</f>
        <v> </v>
      </c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8"/>
      <c r="O684" s="109"/>
      <c r="P684" s="109"/>
      <c r="Q684" s="107"/>
      <c r="R684" s="107"/>
      <c r="S684" s="107"/>
      <c r="T684" s="107"/>
      <c r="U684" s="107"/>
      <c r="V684" s="107" t="str">
        <f t="shared" si="1"/>
        <v> </v>
      </c>
      <c r="W684" s="107"/>
      <c r="X684" s="23"/>
      <c r="Y684" s="23"/>
      <c r="Z684" s="23"/>
    </row>
    <row r="685">
      <c r="A685" s="107"/>
      <c r="B685" s="103" t="str">
        <f>IFERROR( VLOOKUP($A685,'INVOICE DETAILS.'!$F$3:$G$1994,2,0)," ")</f>
        <v> </v>
      </c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8"/>
      <c r="O685" s="109"/>
      <c r="P685" s="109"/>
      <c r="Q685" s="107"/>
      <c r="R685" s="107"/>
      <c r="S685" s="107"/>
      <c r="T685" s="107"/>
      <c r="U685" s="107"/>
      <c r="V685" s="107" t="str">
        <f t="shared" si="1"/>
        <v> </v>
      </c>
      <c r="W685" s="107"/>
      <c r="X685" s="23"/>
      <c r="Y685" s="23"/>
      <c r="Z685" s="23"/>
    </row>
    <row r="686">
      <c r="A686" s="107"/>
      <c r="B686" s="103" t="str">
        <f>IFERROR( VLOOKUP($A686,'INVOICE DETAILS.'!$F$3:$G$1994,2,0)," ")</f>
        <v> </v>
      </c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8"/>
      <c r="O686" s="109"/>
      <c r="P686" s="109"/>
      <c r="Q686" s="107"/>
      <c r="R686" s="107"/>
      <c r="S686" s="107"/>
      <c r="T686" s="107"/>
      <c r="U686" s="107"/>
      <c r="V686" s="107" t="str">
        <f t="shared" si="1"/>
        <v> </v>
      </c>
      <c r="W686" s="107"/>
      <c r="X686" s="23"/>
      <c r="Y686" s="23"/>
      <c r="Z686" s="23"/>
    </row>
    <row r="687">
      <c r="A687" s="107"/>
      <c r="B687" s="103" t="str">
        <f>IFERROR( VLOOKUP($A687,'INVOICE DETAILS.'!$F$3:$G$1994,2,0)," ")</f>
        <v> </v>
      </c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8"/>
      <c r="O687" s="109"/>
      <c r="P687" s="109"/>
      <c r="Q687" s="107"/>
      <c r="R687" s="107"/>
      <c r="S687" s="107"/>
      <c r="T687" s="107"/>
      <c r="U687" s="107"/>
      <c r="V687" s="107" t="str">
        <f t="shared" si="1"/>
        <v> </v>
      </c>
      <c r="W687" s="107"/>
      <c r="X687" s="23"/>
      <c r="Y687" s="23"/>
      <c r="Z687" s="23"/>
    </row>
    <row r="688">
      <c r="A688" s="107"/>
      <c r="B688" s="103" t="str">
        <f>IFERROR( VLOOKUP($A688,'INVOICE DETAILS.'!$F$3:$G$1994,2,0)," ")</f>
        <v> </v>
      </c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8"/>
      <c r="O688" s="109"/>
      <c r="P688" s="109"/>
      <c r="Q688" s="107"/>
      <c r="R688" s="107"/>
      <c r="S688" s="107"/>
      <c r="T688" s="107"/>
      <c r="U688" s="107"/>
      <c r="V688" s="107" t="str">
        <f t="shared" si="1"/>
        <v> </v>
      </c>
      <c r="W688" s="107"/>
      <c r="X688" s="23"/>
      <c r="Y688" s="23"/>
      <c r="Z688" s="23"/>
    </row>
    <row r="689">
      <c r="A689" s="107"/>
      <c r="B689" s="103" t="str">
        <f>IFERROR( VLOOKUP($A689,'INVOICE DETAILS.'!$F$3:$G$1994,2,0)," ")</f>
        <v> </v>
      </c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8"/>
      <c r="O689" s="109"/>
      <c r="P689" s="109"/>
      <c r="Q689" s="107"/>
      <c r="R689" s="107"/>
      <c r="S689" s="107"/>
      <c r="T689" s="107"/>
      <c r="U689" s="107"/>
      <c r="V689" s="107" t="str">
        <f t="shared" si="1"/>
        <v> </v>
      </c>
      <c r="W689" s="107"/>
      <c r="X689" s="23"/>
      <c r="Y689" s="23"/>
      <c r="Z689" s="23"/>
    </row>
    <row r="690">
      <c r="A690" s="107"/>
      <c r="B690" s="103" t="str">
        <f>IFERROR( VLOOKUP($A690,'INVOICE DETAILS.'!$F$3:$G$1994,2,0)," ")</f>
        <v> </v>
      </c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8"/>
      <c r="O690" s="109"/>
      <c r="P690" s="109"/>
      <c r="Q690" s="107"/>
      <c r="R690" s="107"/>
      <c r="S690" s="107"/>
      <c r="T690" s="107"/>
      <c r="U690" s="107"/>
      <c r="V690" s="107" t="str">
        <f t="shared" si="1"/>
        <v> </v>
      </c>
      <c r="W690" s="107"/>
      <c r="X690" s="23"/>
      <c r="Y690" s="23"/>
      <c r="Z690" s="23"/>
    </row>
    <row r="691">
      <c r="A691" s="107"/>
      <c r="B691" s="103" t="str">
        <f>IFERROR( VLOOKUP($A691,'INVOICE DETAILS.'!$F$3:$G$1994,2,0)," ")</f>
        <v> </v>
      </c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8"/>
      <c r="O691" s="109"/>
      <c r="P691" s="109"/>
      <c r="Q691" s="107"/>
      <c r="R691" s="107"/>
      <c r="S691" s="107"/>
      <c r="T691" s="107"/>
      <c r="U691" s="107"/>
      <c r="V691" s="107" t="str">
        <f t="shared" si="1"/>
        <v> </v>
      </c>
      <c r="W691" s="107"/>
      <c r="X691" s="23"/>
      <c r="Y691" s="23"/>
      <c r="Z691" s="23"/>
    </row>
    <row r="692">
      <c r="A692" s="107"/>
      <c r="B692" s="103" t="str">
        <f>IFERROR( VLOOKUP($A692,'INVOICE DETAILS.'!$F$3:$G$1994,2,0)," ")</f>
        <v> </v>
      </c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8"/>
      <c r="O692" s="109"/>
      <c r="P692" s="109"/>
      <c r="Q692" s="107"/>
      <c r="R692" s="107"/>
      <c r="S692" s="107"/>
      <c r="T692" s="107"/>
      <c r="U692" s="107"/>
      <c r="V692" s="107" t="str">
        <f t="shared" si="1"/>
        <v> </v>
      </c>
      <c r="W692" s="107"/>
      <c r="X692" s="23"/>
      <c r="Y692" s="23"/>
      <c r="Z692" s="23"/>
    </row>
    <row r="693">
      <c r="A693" s="107"/>
      <c r="B693" s="103" t="str">
        <f>IFERROR( VLOOKUP($A693,'INVOICE DETAILS.'!$F$3:$G$1994,2,0)," ")</f>
        <v> </v>
      </c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8"/>
      <c r="O693" s="109"/>
      <c r="P693" s="109"/>
      <c r="Q693" s="107"/>
      <c r="R693" s="107"/>
      <c r="S693" s="107"/>
      <c r="T693" s="107"/>
      <c r="U693" s="107"/>
      <c r="V693" s="107" t="str">
        <f t="shared" si="1"/>
        <v> </v>
      </c>
      <c r="W693" s="107"/>
      <c r="X693" s="23"/>
      <c r="Y693" s="23"/>
      <c r="Z693" s="23"/>
    </row>
    <row r="694">
      <c r="A694" s="107"/>
      <c r="B694" s="103" t="str">
        <f>IFERROR( VLOOKUP($A694,'INVOICE DETAILS.'!$F$3:$G$1994,2,0)," ")</f>
        <v> </v>
      </c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8"/>
      <c r="O694" s="109"/>
      <c r="P694" s="109"/>
      <c r="Q694" s="107"/>
      <c r="R694" s="107"/>
      <c r="S694" s="107"/>
      <c r="T694" s="107"/>
      <c r="U694" s="107"/>
      <c r="V694" s="107" t="str">
        <f t="shared" si="1"/>
        <v> </v>
      </c>
      <c r="W694" s="107"/>
      <c r="X694" s="23"/>
      <c r="Y694" s="23"/>
      <c r="Z694" s="23"/>
    </row>
    <row r="695">
      <c r="A695" s="107"/>
      <c r="B695" s="103" t="str">
        <f>IFERROR( VLOOKUP($A695,'INVOICE DETAILS.'!$F$3:$G$1994,2,0)," ")</f>
        <v> </v>
      </c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8"/>
      <c r="O695" s="109"/>
      <c r="P695" s="109"/>
      <c r="Q695" s="107"/>
      <c r="R695" s="107"/>
      <c r="S695" s="107"/>
      <c r="T695" s="107"/>
      <c r="U695" s="107"/>
      <c r="V695" s="107" t="str">
        <f t="shared" si="1"/>
        <v> </v>
      </c>
      <c r="W695" s="107"/>
      <c r="X695" s="23"/>
      <c r="Y695" s="23"/>
      <c r="Z695" s="23"/>
    </row>
    <row r="696">
      <c r="A696" s="107"/>
      <c r="B696" s="103" t="str">
        <f>IFERROR( VLOOKUP($A696,'INVOICE DETAILS.'!$F$3:$G$1994,2,0)," ")</f>
        <v> </v>
      </c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8"/>
      <c r="O696" s="109"/>
      <c r="P696" s="109"/>
      <c r="Q696" s="107"/>
      <c r="R696" s="107"/>
      <c r="S696" s="107"/>
      <c r="T696" s="107"/>
      <c r="U696" s="107"/>
      <c r="V696" s="107" t="str">
        <f t="shared" si="1"/>
        <v> </v>
      </c>
      <c r="W696" s="107"/>
      <c r="X696" s="23"/>
      <c r="Y696" s="23"/>
      <c r="Z696" s="23"/>
    </row>
    <row r="697">
      <c r="A697" s="107"/>
      <c r="B697" s="103" t="str">
        <f>IFERROR( VLOOKUP($A697,'INVOICE DETAILS.'!$F$3:$G$1994,2,0)," ")</f>
        <v> </v>
      </c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8"/>
      <c r="O697" s="109"/>
      <c r="P697" s="109"/>
      <c r="Q697" s="107"/>
      <c r="R697" s="107"/>
      <c r="S697" s="107"/>
      <c r="T697" s="107"/>
      <c r="U697" s="107"/>
      <c r="V697" s="107" t="str">
        <f t="shared" si="1"/>
        <v> </v>
      </c>
      <c r="W697" s="107"/>
      <c r="X697" s="23"/>
      <c r="Y697" s="23"/>
      <c r="Z697" s="23"/>
    </row>
    <row r="698">
      <c r="A698" s="107"/>
      <c r="B698" s="103" t="str">
        <f>IFERROR( VLOOKUP($A698,'INVOICE DETAILS.'!$F$3:$G$1994,2,0)," ")</f>
        <v> </v>
      </c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8"/>
      <c r="O698" s="109"/>
      <c r="P698" s="109"/>
      <c r="Q698" s="107"/>
      <c r="R698" s="107"/>
      <c r="S698" s="107"/>
      <c r="T698" s="107"/>
      <c r="U698" s="107"/>
      <c r="V698" s="107" t="str">
        <f t="shared" si="1"/>
        <v> </v>
      </c>
      <c r="W698" s="107"/>
      <c r="X698" s="23"/>
      <c r="Y698" s="23"/>
      <c r="Z698" s="23"/>
    </row>
    <row r="699">
      <c r="A699" s="107"/>
      <c r="B699" s="103" t="str">
        <f>IFERROR( VLOOKUP($A699,'INVOICE DETAILS.'!$F$3:$G$1994,2,0)," ")</f>
        <v> </v>
      </c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8"/>
      <c r="O699" s="109"/>
      <c r="P699" s="109"/>
      <c r="Q699" s="107"/>
      <c r="R699" s="107"/>
      <c r="S699" s="107"/>
      <c r="T699" s="107"/>
      <c r="U699" s="107"/>
      <c r="V699" s="107" t="str">
        <f t="shared" si="1"/>
        <v> </v>
      </c>
      <c r="W699" s="107"/>
      <c r="X699" s="23"/>
      <c r="Y699" s="23"/>
      <c r="Z699" s="23"/>
    </row>
    <row r="700">
      <c r="A700" s="107"/>
      <c r="B700" s="103" t="str">
        <f>IFERROR( VLOOKUP($A700,'INVOICE DETAILS.'!$F$3:$G$1994,2,0)," ")</f>
        <v> </v>
      </c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8"/>
      <c r="O700" s="109"/>
      <c r="P700" s="109"/>
      <c r="Q700" s="107"/>
      <c r="R700" s="107"/>
      <c r="S700" s="107"/>
      <c r="T700" s="107"/>
      <c r="U700" s="107"/>
      <c r="V700" s="107" t="str">
        <f t="shared" si="1"/>
        <v> </v>
      </c>
      <c r="W700" s="107"/>
      <c r="X700" s="23"/>
      <c r="Y700" s="23"/>
      <c r="Z700" s="23"/>
    </row>
    <row r="701">
      <c r="A701" s="107"/>
      <c r="B701" s="103" t="str">
        <f>IFERROR( VLOOKUP($A701,'INVOICE DETAILS.'!$F$3:$G$1994,2,0)," ")</f>
        <v> </v>
      </c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8"/>
      <c r="O701" s="109"/>
      <c r="P701" s="109"/>
      <c r="Q701" s="107"/>
      <c r="R701" s="107"/>
      <c r="S701" s="107"/>
      <c r="T701" s="107"/>
      <c r="U701" s="107"/>
      <c r="V701" s="107" t="str">
        <f t="shared" si="1"/>
        <v> </v>
      </c>
      <c r="W701" s="107"/>
      <c r="X701" s="23"/>
      <c r="Y701" s="23"/>
      <c r="Z701" s="23"/>
    </row>
    <row r="702">
      <c r="A702" s="107"/>
      <c r="B702" s="103" t="str">
        <f>IFERROR( VLOOKUP($A702,'INVOICE DETAILS.'!$F$3:$G$1994,2,0)," ")</f>
        <v> </v>
      </c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8"/>
      <c r="O702" s="109"/>
      <c r="P702" s="109"/>
      <c r="Q702" s="107"/>
      <c r="R702" s="107"/>
      <c r="S702" s="107"/>
      <c r="T702" s="107"/>
      <c r="U702" s="107"/>
      <c r="V702" s="107" t="str">
        <f t="shared" si="1"/>
        <v> </v>
      </c>
      <c r="W702" s="107"/>
      <c r="X702" s="23"/>
      <c r="Y702" s="23"/>
      <c r="Z702" s="23"/>
    </row>
    <row r="703">
      <c r="A703" s="107"/>
      <c r="B703" s="103" t="str">
        <f>IFERROR( VLOOKUP($A703,'INVOICE DETAILS.'!$F$3:$G$1994,2,0)," ")</f>
        <v> </v>
      </c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8"/>
      <c r="O703" s="109"/>
      <c r="P703" s="109"/>
      <c r="Q703" s="107"/>
      <c r="R703" s="107"/>
      <c r="S703" s="107"/>
      <c r="T703" s="107"/>
      <c r="U703" s="107"/>
      <c r="V703" s="107" t="str">
        <f t="shared" si="1"/>
        <v> </v>
      </c>
      <c r="W703" s="107"/>
      <c r="X703" s="23"/>
      <c r="Y703" s="23"/>
      <c r="Z703" s="23"/>
    </row>
    <row r="704">
      <c r="A704" s="107"/>
      <c r="B704" s="103" t="str">
        <f>IFERROR( VLOOKUP($A704,'INVOICE DETAILS.'!$F$3:$G$1994,2,0)," ")</f>
        <v> </v>
      </c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8"/>
      <c r="O704" s="109"/>
      <c r="P704" s="109"/>
      <c r="Q704" s="107"/>
      <c r="R704" s="107"/>
      <c r="S704" s="107"/>
      <c r="T704" s="107"/>
      <c r="U704" s="107"/>
      <c r="V704" s="107" t="str">
        <f t="shared" si="1"/>
        <v> </v>
      </c>
      <c r="W704" s="107"/>
      <c r="X704" s="23"/>
      <c r="Y704" s="23"/>
      <c r="Z704" s="23"/>
    </row>
    <row r="705">
      <c r="A705" s="107"/>
      <c r="B705" s="103" t="str">
        <f>IFERROR( VLOOKUP($A705,'INVOICE DETAILS.'!$F$3:$G$1994,2,0)," ")</f>
        <v> </v>
      </c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8"/>
      <c r="O705" s="109"/>
      <c r="P705" s="109"/>
      <c r="Q705" s="107"/>
      <c r="R705" s="107"/>
      <c r="S705" s="107"/>
      <c r="T705" s="107"/>
      <c r="U705" s="107"/>
      <c r="V705" s="107" t="str">
        <f t="shared" si="1"/>
        <v> </v>
      </c>
      <c r="W705" s="107"/>
      <c r="X705" s="23"/>
      <c r="Y705" s="23"/>
      <c r="Z705" s="23"/>
    </row>
    <row r="706">
      <c r="A706" s="107"/>
      <c r="B706" s="103" t="str">
        <f>IFERROR( VLOOKUP($A706,'INVOICE DETAILS.'!$F$3:$G$1994,2,0)," ")</f>
        <v> </v>
      </c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8"/>
      <c r="O706" s="109"/>
      <c r="P706" s="109"/>
      <c r="Q706" s="107"/>
      <c r="R706" s="107"/>
      <c r="S706" s="107"/>
      <c r="T706" s="107"/>
      <c r="U706" s="107"/>
      <c r="V706" s="107" t="str">
        <f t="shared" si="1"/>
        <v> </v>
      </c>
      <c r="W706" s="107"/>
      <c r="X706" s="23"/>
      <c r="Y706" s="23"/>
      <c r="Z706" s="23"/>
    </row>
    <row r="707">
      <c r="A707" s="107"/>
      <c r="B707" s="103" t="str">
        <f>IFERROR( VLOOKUP($A707,'INVOICE DETAILS.'!$F$3:$G$1994,2,0)," ")</f>
        <v> </v>
      </c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8"/>
      <c r="O707" s="109"/>
      <c r="P707" s="109"/>
      <c r="Q707" s="107"/>
      <c r="R707" s="107"/>
      <c r="S707" s="107"/>
      <c r="T707" s="107"/>
      <c r="U707" s="107"/>
      <c r="V707" s="107" t="str">
        <f t="shared" si="1"/>
        <v> </v>
      </c>
      <c r="W707" s="107"/>
      <c r="X707" s="23"/>
      <c r="Y707" s="23"/>
      <c r="Z707" s="23"/>
    </row>
    <row r="708">
      <c r="A708" s="107"/>
      <c r="B708" s="103" t="str">
        <f>IFERROR( VLOOKUP($A708,'INVOICE DETAILS.'!$F$3:$G$1994,2,0)," ")</f>
        <v> </v>
      </c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8"/>
      <c r="O708" s="109"/>
      <c r="P708" s="109"/>
      <c r="Q708" s="107"/>
      <c r="R708" s="107"/>
      <c r="S708" s="107"/>
      <c r="T708" s="107"/>
      <c r="U708" s="107"/>
      <c r="V708" s="107" t="str">
        <f t="shared" si="1"/>
        <v> </v>
      </c>
      <c r="W708" s="107"/>
      <c r="X708" s="23"/>
      <c r="Y708" s="23"/>
      <c r="Z708" s="23"/>
    </row>
    <row r="709">
      <c r="A709" s="107"/>
      <c r="B709" s="103" t="str">
        <f>IFERROR( VLOOKUP($A709,'INVOICE DETAILS.'!$F$3:$G$1994,2,0)," ")</f>
        <v> </v>
      </c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8"/>
      <c r="O709" s="109"/>
      <c r="P709" s="109"/>
      <c r="Q709" s="107"/>
      <c r="R709" s="107"/>
      <c r="S709" s="107"/>
      <c r="T709" s="107"/>
      <c r="U709" s="107"/>
      <c r="V709" s="107" t="str">
        <f t="shared" si="1"/>
        <v> </v>
      </c>
      <c r="W709" s="107"/>
      <c r="X709" s="23"/>
      <c r="Y709" s="23"/>
      <c r="Z709" s="23"/>
    </row>
    <row r="710">
      <c r="A710" s="107"/>
      <c r="B710" s="103" t="str">
        <f>IFERROR( VLOOKUP($A710,'INVOICE DETAILS.'!$F$3:$G$1994,2,0)," ")</f>
        <v> </v>
      </c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8"/>
      <c r="O710" s="109"/>
      <c r="P710" s="109"/>
      <c r="Q710" s="107"/>
      <c r="R710" s="107"/>
      <c r="S710" s="107"/>
      <c r="T710" s="107"/>
      <c r="U710" s="107"/>
      <c r="V710" s="107" t="str">
        <f t="shared" si="1"/>
        <v> </v>
      </c>
      <c r="W710" s="107"/>
      <c r="X710" s="23"/>
      <c r="Y710" s="23"/>
      <c r="Z710" s="23"/>
    </row>
    <row r="711">
      <c r="A711" s="107"/>
      <c r="B711" s="103" t="str">
        <f>IFERROR( VLOOKUP($A711,'INVOICE DETAILS.'!$F$3:$G$1994,2,0)," ")</f>
        <v> </v>
      </c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8"/>
      <c r="O711" s="109"/>
      <c r="P711" s="109"/>
      <c r="Q711" s="107"/>
      <c r="R711" s="107"/>
      <c r="S711" s="107"/>
      <c r="T711" s="107"/>
      <c r="U711" s="107"/>
      <c r="V711" s="107" t="str">
        <f t="shared" si="1"/>
        <v> </v>
      </c>
      <c r="W711" s="107"/>
      <c r="X711" s="23"/>
      <c r="Y711" s="23"/>
      <c r="Z711" s="23"/>
    </row>
    <row r="712">
      <c r="A712" s="107"/>
      <c r="B712" s="103" t="str">
        <f>IFERROR( VLOOKUP($A712,'INVOICE DETAILS.'!$F$3:$G$1994,2,0)," ")</f>
        <v> </v>
      </c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8"/>
      <c r="O712" s="109"/>
      <c r="P712" s="109"/>
      <c r="Q712" s="107"/>
      <c r="R712" s="107"/>
      <c r="S712" s="107"/>
      <c r="T712" s="107"/>
      <c r="U712" s="107"/>
      <c r="V712" s="107" t="str">
        <f t="shared" si="1"/>
        <v> </v>
      </c>
      <c r="W712" s="107"/>
      <c r="X712" s="23"/>
      <c r="Y712" s="23"/>
      <c r="Z712" s="23"/>
    </row>
    <row r="713">
      <c r="A713" s="107"/>
      <c r="B713" s="103" t="str">
        <f>IFERROR( VLOOKUP($A713,'INVOICE DETAILS.'!$F$3:$G$1994,2,0)," ")</f>
        <v> </v>
      </c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8"/>
      <c r="O713" s="109"/>
      <c r="P713" s="109"/>
      <c r="Q713" s="107"/>
      <c r="R713" s="107"/>
      <c r="S713" s="107"/>
      <c r="T713" s="107"/>
      <c r="U713" s="107"/>
      <c r="V713" s="107" t="str">
        <f t="shared" si="1"/>
        <v> </v>
      </c>
      <c r="W713" s="107"/>
      <c r="X713" s="23"/>
      <c r="Y713" s="23"/>
      <c r="Z713" s="23"/>
    </row>
    <row r="714">
      <c r="A714" s="107"/>
      <c r="B714" s="103" t="str">
        <f>IFERROR( VLOOKUP($A714,'INVOICE DETAILS.'!$F$3:$G$1994,2,0)," ")</f>
        <v> </v>
      </c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8"/>
      <c r="O714" s="109"/>
      <c r="P714" s="109"/>
      <c r="Q714" s="107"/>
      <c r="R714" s="107"/>
      <c r="S714" s="107"/>
      <c r="T714" s="107"/>
      <c r="U714" s="107"/>
      <c r="V714" s="107" t="str">
        <f t="shared" si="1"/>
        <v> </v>
      </c>
      <c r="W714" s="107"/>
      <c r="X714" s="23"/>
      <c r="Y714" s="23"/>
      <c r="Z714" s="23"/>
    </row>
    <row r="715">
      <c r="A715" s="107"/>
      <c r="B715" s="103" t="str">
        <f>IFERROR( VLOOKUP($A715,'INVOICE DETAILS.'!$F$3:$G$1994,2,0)," ")</f>
        <v> </v>
      </c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8"/>
      <c r="O715" s="109"/>
      <c r="P715" s="109"/>
      <c r="Q715" s="107"/>
      <c r="R715" s="107"/>
      <c r="S715" s="107"/>
      <c r="T715" s="107"/>
      <c r="U715" s="107"/>
      <c r="V715" s="107" t="str">
        <f t="shared" si="1"/>
        <v> </v>
      </c>
      <c r="W715" s="107"/>
      <c r="X715" s="23"/>
      <c r="Y715" s="23"/>
      <c r="Z715" s="23"/>
    </row>
    <row r="716">
      <c r="A716" s="107"/>
      <c r="B716" s="103" t="str">
        <f>IFERROR( VLOOKUP($A716,'INVOICE DETAILS.'!$F$3:$G$1994,2,0)," ")</f>
        <v> </v>
      </c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8"/>
      <c r="O716" s="109"/>
      <c r="P716" s="109"/>
      <c r="Q716" s="107"/>
      <c r="R716" s="107"/>
      <c r="S716" s="107"/>
      <c r="T716" s="107"/>
      <c r="U716" s="107"/>
      <c r="V716" s="107" t="str">
        <f t="shared" si="1"/>
        <v> </v>
      </c>
      <c r="W716" s="107"/>
      <c r="X716" s="23"/>
      <c r="Y716" s="23"/>
      <c r="Z716" s="23"/>
    </row>
    <row r="717">
      <c r="A717" s="107"/>
      <c r="B717" s="103" t="str">
        <f>IFERROR( VLOOKUP($A717,'INVOICE DETAILS.'!$F$3:$G$1994,2,0)," ")</f>
        <v> </v>
      </c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8"/>
      <c r="O717" s="109"/>
      <c r="P717" s="109"/>
      <c r="Q717" s="107"/>
      <c r="R717" s="107"/>
      <c r="S717" s="107"/>
      <c r="T717" s="107"/>
      <c r="U717" s="107"/>
      <c r="V717" s="107" t="str">
        <f t="shared" si="1"/>
        <v> </v>
      </c>
      <c r="W717" s="107"/>
      <c r="X717" s="23"/>
      <c r="Y717" s="23"/>
      <c r="Z717" s="23"/>
    </row>
    <row r="718">
      <c r="A718" s="107"/>
      <c r="B718" s="103" t="str">
        <f>IFERROR( VLOOKUP($A718,'INVOICE DETAILS.'!$F$3:$G$1994,2,0)," ")</f>
        <v> </v>
      </c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8"/>
      <c r="O718" s="109"/>
      <c r="P718" s="109"/>
      <c r="Q718" s="107"/>
      <c r="R718" s="107"/>
      <c r="S718" s="107"/>
      <c r="T718" s="107"/>
      <c r="U718" s="107"/>
      <c r="V718" s="107" t="str">
        <f t="shared" si="1"/>
        <v> </v>
      </c>
      <c r="W718" s="107"/>
      <c r="X718" s="23"/>
      <c r="Y718" s="23"/>
      <c r="Z718" s="23"/>
    </row>
    <row r="719">
      <c r="A719" s="107"/>
      <c r="B719" s="103" t="str">
        <f>IFERROR( VLOOKUP($A719,'INVOICE DETAILS.'!$F$3:$G$1994,2,0)," ")</f>
        <v> </v>
      </c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8"/>
      <c r="O719" s="109"/>
      <c r="P719" s="109"/>
      <c r="Q719" s="107"/>
      <c r="R719" s="107"/>
      <c r="S719" s="107"/>
      <c r="T719" s="107"/>
      <c r="U719" s="107"/>
      <c r="V719" s="107" t="str">
        <f t="shared" si="1"/>
        <v> </v>
      </c>
      <c r="W719" s="107"/>
      <c r="X719" s="23"/>
      <c r="Y719" s="23"/>
      <c r="Z719" s="23"/>
    </row>
    <row r="720">
      <c r="A720" s="107"/>
      <c r="B720" s="103" t="str">
        <f>IFERROR( VLOOKUP($A720,'INVOICE DETAILS.'!$F$3:$G$1994,2,0)," ")</f>
        <v> </v>
      </c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8"/>
      <c r="O720" s="109"/>
      <c r="P720" s="109"/>
      <c r="Q720" s="107"/>
      <c r="R720" s="107"/>
      <c r="S720" s="107"/>
      <c r="T720" s="107"/>
      <c r="U720" s="107"/>
      <c r="V720" s="107" t="str">
        <f t="shared" si="1"/>
        <v> </v>
      </c>
      <c r="W720" s="107"/>
      <c r="X720" s="23"/>
      <c r="Y720" s="23"/>
      <c r="Z720" s="23"/>
    </row>
    <row r="721">
      <c r="A721" s="107"/>
      <c r="B721" s="103" t="str">
        <f>IFERROR( VLOOKUP($A721,'INVOICE DETAILS.'!$F$3:$G$1994,2,0)," ")</f>
        <v> </v>
      </c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8"/>
      <c r="O721" s="109"/>
      <c r="P721" s="109"/>
      <c r="Q721" s="107"/>
      <c r="R721" s="107"/>
      <c r="S721" s="107"/>
      <c r="T721" s="107"/>
      <c r="U721" s="107"/>
      <c r="V721" s="107" t="str">
        <f t="shared" si="1"/>
        <v> </v>
      </c>
      <c r="W721" s="107"/>
      <c r="X721" s="23"/>
      <c r="Y721" s="23"/>
      <c r="Z721" s="23"/>
    </row>
    <row r="722">
      <c r="A722" s="107"/>
      <c r="B722" s="103" t="str">
        <f>IFERROR( VLOOKUP($A722,'INVOICE DETAILS.'!$F$3:$G$1994,2,0)," ")</f>
        <v> </v>
      </c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8"/>
      <c r="O722" s="109"/>
      <c r="P722" s="109"/>
      <c r="Q722" s="107"/>
      <c r="R722" s="107"/>
      <c r="S722" s="107"/>
      <c r="T722" s="107"/>
      <c r="U722" s="107"/>
      <c r="V722" s="107" t="str">
        <f t="shared" si="1"/>
        <v> </v>
      </c>
      <c r="W722" s="107"/>
      <c r="X722" s="23"/>
      <c r="Y722" s="23"/>
      <c r="Z722" s="23"/>
    </row>
    <row r="723">
      <c r="A723" s="107"/>
      <c r="B723" s="103" t="str">
        <f>IFERROR( VLOOKUP($A723,'INVOICE DETAILS.'!$F$3:$G$1994,2,0)," ")</f>
        <v> </v>
      </c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8"/>
      <c r="O723" s="109"/>
      <c r="P723" s="109"/>
      <c r="Q723" s="107"/>
      <c r="R723" s="107"/>
      <c r="S723" s="107"/>
      <c r="T723" s="107"/>
      <c r="U723" s="107"/>
      <c r="V723" s="107" t="str">
        <f t="shared" si="1"/>
        <v> </v>
      </c>
      <c r="W723" s="107"/>
      <c r="X723" s="23"/>
      <c r="Y723" s="23"/>
      <c r="Z723" s="23"/>
    </row>
    <row r="724">
      <c r="A724" s="107"/>
      <c r="B724" s="103" t="str">
        <f>IFERROR( VLOOKUP($A724,'INVOICE DETAILS.'!$F$3:$G$1994,2,0)," ")</f>
        <v> </v>
      </c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8"/>
      <c r="O724" s="109"/>
      <c r="P724" s="109"/>
      <c r="Q724" s="107"/>
      <c r="R724" s="107"/>
      <c r="S724" s="107"/>
      <c r="T724" s="107"/>
      <c r="U724" s="107"/>
      <c r="V724" s="107" t="str">
        <f t="shared" si="1"/>
        <v> </v>
      </c>
      <c r="W724" s="107"/>
      <c r="X724" s="23"/>
      <c r="Y724" s="23"/>
      <c r="Z724" s="23"/>
    </row>
    <row r="725">
      <c r="A725" s="107"/>
      <c r="B725" s="103" t="str">
        <f>IFERROR( VLOOKUP($A725,'INVOICE DETAILS.'!$F$3:$G$1994,2,0)," ")</f>
        <v> </v>
      </c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8"/>
      <c r="O725" s="109"/>
      <c r="P725" s="109"/>
      <c r="Q725" s="107"/>
      <c r="R725" s="107"/>
      <c r="S725" s="107"/>
      <c r="T725" s="107"/>
      <c r="U725" s="107"/>
      <c r="V725" s="107" t="str">
        <f t="shared" si="1"/>
        <v> </v>
      </c>
      <c r="W725" s="107"/>
      <c r="X725" s="23"/>
      <c r="Y725" s="23"/>
      <c r="Z725" s="23"/>
    </row>
    <row r="726">
      <c r="A726" s="107"/>
      <c r="B726" s="103" t="str">
        <f>IFERROR( VLOOKUP($A726,'INVOICE DETAILS.'!$F$3:$G$1994,2,0)," ")</f>
        <v> </v>
      </c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8"/>
      <c r="O726" s="109"/>
      <c r="P726" s="109"/>
      <c r="Q726" s="107"/>
      <c r="R726" s="107"/>
      <c r="S726" s="107"/>
      <c r="T726" s="107"/>
      <c r="U726" s="107"/>
      <c r="V726" s="107" t="str">
        <f t="shared" si="1"/>
        <v> </v>
      </c>
      <c r="W726" s="107"/>
      <c r="X726" s="23"/>
      <c r="Y726" s="23"/>
      <c r="Z726" s="23"/>
    </row>
    <row r="727">
      <c r="A727" s="107"/>
      <c r="B727" s="103" t="str">
        <f>IFERROR( VLOOKUP($A727,'INVOICE DETAILS.'!$F$3:$G$1994,2,0)," ")</f>
        <v> </v>
      </c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8"/>
      <c r="O727" s="109"/>
      <c r="P727" s="109"/>
      <c r="Q727" s="107"/>
      <c r="R727" s="107"/>
      <c r="S727" s="107"/>
      <c r="T727" s="107"/>
      <c r="U727" s="107"/>
      <c r="V727" s="107" t="str">
        <f t="shared" si="1"/>
        <v> </v>
      </c>
      <c r="W727" s="107"/>
      <c r="X727" s="23"/>
      <c r="Y727" s="23"/>
      <c r="Z727" s="23"/>
    </row>
    <row r="728">
      <c r="A728" s="107"/>
      <c r="B728" s="103" t="str">
        <f>IFERROR( VLOOKUP($A728,'INVOICE DETAILS.'!$F$3:$G$1994,2,0)," ")</f>
        <v> </v>
      </c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8"/>
      <c r="O728" s="109"/>
      <c r="P728" s="109"/>
      <c r="Q728" s="107"/>
      <c r="R728" s="107"/>
      <c r="S728" s="107"/>
      <c r="T728" s="107"/>
      <c r="U728" s="107"/>
      <c r="V728" s="107" t="str">
        <f t="shared" si="1"/>
        <v> </v>
      </c>
      <c r="W728" s="107"/>
      <c r="X728" s="23"/>
      <c r="Y728" s="23"/>
      <c r="Z728" s="23"/>
    </row>
    <row r="729">
      <c r="A729" s="107"/>
      <c r="B729" s="103" t="str">
        <f>IFERROR( VLOOKUP($A729,'INVOICE DETAILS.'!$F$3:$G$1994,2,0)," ")</f>
        <v> </v>
      </c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8"/>
      <c r="O729" s="109"/>
      <c r="P729" s="109"/>
      <c r="Q729" s="107"/>
      <c r="R729" s="107"/>
      <c r="S729" s="107"/>
      <c r="T729" s="107"/>
      <c r="U729" s="107"/>
      <c r="V729" s="107" t="str">
        <f t="shared" si="1"/>
        <v> </v>
      </c>
      <c r="W729" s="107"/>
      <c r="X729" s="23"/>
      <c r="Y729" s="23"/>
      <c r="Z729" s="23"/>
    </row>
    <row r="730">
      <c r="A730" s="107"/>
      <c r="B730" s="103" t="str">
        <f>IFERROR( VLOOKUP($A730,'INVOICE DETAILS.'!$F$3:$G$1994,2,0)," ")</f>
        <v> </v>
      </c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8"/>
      <c r="O730" s="109"/>
      <c r="P730" s="109"/>
      <c r="Q730" s="107"/>
      <c r="R730" s="107"/>
      <c r="S730" s="107"/>
      <c r="T730" s="107"/>
      <c r="U730" s="107"/>
      <c r="V730" s="107" t="str">
        <f t="shared" si="1"/>
        <v> </v>
      </c>
      <c r="W730" s="107"/>
      <c r="X730" s="23"/>
      <c r="Y730" s="23"/>
      <c r="Z730" s="23"/>
    </row>
    <row r="731">
      <c r="A731" s="107"/>
      <c r="B731" s="103" t="str">
        <f>IFERROR( VLOOKUP($A731,'INVOICE DETAILS.'!$F$3:$G$1994,2,0)," ")</f>
        <v> </v>
      </c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8"/>
      <c r="O731" s="109"/>
      <c r="P731" s="109"/>
      <c r="Q731" s="107"/>
      <c r="R731" s="107"/>
      <c r="S731" s="107"/>
      <c r="T731" s="107"/>
      <c r="U731" s="107"/>
      <c r="V731" s="107" t="str">
        <f t="shared" si="1"/>
        <v> </v>
      </c>
      <c r="W731" s="107"/>
      <c r="X731" s="23"/>
      <c r="Y731" s="23"/>
      <c r="Z731" s="23"/>
    </row>
    <row r="732">
      <c r="A732" s="107"/>
      <c r="B732" s="103" t="str">
        <f>IFERROR( VLOOKUP($A732,'INVOICE DETAILS.'!$F$3:$G$1994,2,0)," ")</f>
        <v> </v>
      </c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8"/>
      <c r="O732" s="109"/>
      <c r="P732" s="109"/>
      <c r="Q732" s="107"/>
      <c r="R732" s="107"/>
      <c r="S732" s="107"/>
      <c r="T732" s="107"/>
      <c r="U732" s="107"/>
      <c r="V732" s="107" t="str">
        <f t="shared" si="1"/>
        <v> </v>
      </c>
      <c r="W732" s="107"/>
      <c r="X732" s="23"/>
      <c r="Y732" s="23"/>
      <c r="Z732" s="23"/>
    </row>
    <row r="733">
      <c r="A733" s="107"/>
      <c r="B733" s="103" t="str">
        <f>IFERROR( VLOOKUP($A733,'INVOICE DETAILS.'!$F$3:$G$1994,2,0)," ")</f>
        <v> </v>
      </c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8"/>
      <c r="O733" s="109"/>
      <c r="P733" s="109"/>
      <c r="Q733" s="107"/>
      <c r="R733" s="107"/>
      <c r="S733" s="107"/>
      <c r="T733" s="107"/>
      <c r="U733" s="107"/>
      <c r="V733" s="107" t="str">
        <f t="shared" si="1"/>
        <v> </v>
      </c>
      <c r="W733" s="107"/>
      <c r="X733" s="23"/>
      <c r="Y733" s="23"/>
      <c r="Z733" s="23"/>
    </row>
    <row r="734">
      <c r="A734" s="107"/>
      <c r="B734" s="103" t="str">
        <f>IFERROR( VLOOKUP($A734,'INVOICE DETAILS.'!$F$3:$G$1994,2,0)," ")</f>
        <v> </v>
      </c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8"/>
      <c r="O734" s="109"/>
      <c r="P734" s="109"/>
      <c r="Q734" s="107"/>
      <c r="R734" s="107"/>
      <c r="S734" s="107"/>
      <c r="T734" s="107"/>
      <c r="U734" s="107"/>
      <c r="V734" s="107" t="str">
        <f t="shared" si="1"/>
        <v> </v>
      </c>
      <c r="W734" s="107"/>
      <c r="X734" s="23"/>
      <c r="Y734" s="23"/>
      <c r="Z734" s="23"/>
    </row>
    <row r="735">
      <c r="A735" s="107"/>
      <c r="B735" s="103" t="str">
        <f>IFERROR( VLOOKUP($A735,'INVOICE DETAILS.'!$F$3:$G$1994,2,0)," ")</f>
        <v> </v>
      </c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8"/>
      <c r="O735" s="109"/>
      <c r="P735" s="109"/>
      <c r="Q735" s="107"/>
      <c r="R735" s="107"/>
      <c r="S735" s="107"/>
      <c r="T735" s="107"/>
      <c r="U735" s="107"/>
      <c r="V735" s="107" t="str">
        <f t="shared" si="1"/>
        <v> </v>
      </c>
      <c r="W735" s="107"/>
      <c r="X735" s="23"/>
      <c r="Y735" s="23"/>
      <c r="Z735" s="23"/>
    </row>
    <row r="736">
      <c r="A736" s="107"/>
      <c r="B736" s="103" t="str">
        <f>IFERROR( VLOOKUP($A736,'INVOICE DETAILS.'!$F$3:$G$1994,2,0)," ")</f>
        <v> </v>
      </c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8"/>
      <c r="O736" s="109"/>
      <c r="P736" s="109"/>
      <c r="Q736" s="107"/>
      <c r="R736" s="107"/>
      <c r="S736" s="107"/>
      <c r="T736" s="107"/>
      <c r="U736" s="107"/>
      <c r="V736" s="107" t="str">
        <f t="shared" si="1"/>
        <v> </v>
      </c>
      <c r="W736" s="107"/>
      <c r="X736" s="23"/>
      <c r="Y736" s="23"/>
      <c r="Z736" s="23"/>
    </row>
    <row r="737">
      <c r="A737" s="107"/>
      <c r="B737" s="103" t="str">
        <f>IFERROR( VLOOKUP($A737,'INVOICE DETAILS.'!$F$3:$G$1994,2,0)," ")</f>
        <v> </v>
      </c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8"/>
      <c r="O737" s="109"/>
      <c r="P737" s="109"/>
      <c r="Q737" s="107"/>
      <c r="R737" s="107"/>
      <c r="S737" s="107"/>
      <c r="T737" s="107"/>
      <c r="U737" s="107"/>
      <c r="V737" s="107" t="str">
        <f t="shared" si="1"/>
        <v> </v>
      </c>
      <c r="W737" s="107"/>
      <c r="X737" s="23"/>
      <c r="Y737" s="23"/>
      <c r="Z737" s="23"/>
    </row>
    <row r="738">
      <c r="A738" s="107"/>
      <c r="B738" s="103" t="str">
        <f>IFERROR( VLOOKUP($A738,'INVOICE DETAILS.'!$F$3:$G$1994,2,0)," ")</f>
        <v> </v>
      </c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8"/>
      <c r="O738" s="109"/>
      <c r="P738" s="109"/>
      <c r="Q738" s="107"/>
      <c r="R738" s="107"/>
      <c r="S738" s="107"/>
      <c r="T738" s="107"/>
      <c r="U738" s="107"/>
      <c r="V738" s="107" t="str">
        <f t="shared" si="1"/>
        <v> </v>
      </c>
      <c r="W738" s="107"/>
      <c r="X738" s="23"/>
      <c r="Y738" s="23"/>
      <c r="Z738" s="23"/>
    </row>
    <row r="739">
      <c r="A739" s="107"/>
      <c r="B739" s="103" t="str">
        <f>IFERROR( VLOOKUP($A739,'INVOICE DETAILS.'!$F$3:$G$1994,2,0)," ")</f>
        <v> </v>
      </c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8"/>
      <c r="O739" s="109"/>
      <c r="P739" s="109"/>
      <c r="Q739" s="107"/>
      <c r="R739" s="107"/>
      <c r="S739" s="107"/>
      <c r="T739" s="107"/>
      <c r="U739" s="107"/>
      <c r="V739" s="107" t="str">
        <f t="shared" si="1"/>
        <v> </v>
      </c>
      <c r="W739" s="107"/>
      <c r="X739" s="23"/>
      <c r="Y739" s="23"/>
      <c r="Z739" s="23"/>
    </row>
    <row r="740">
      <c r="A740" s="107"/>
      <c r="B740" s="103" t="str">
        <f>IFERROR( VLOOKUP($A740,'INVOICE DETAILS.'!$F$3:$G$1994,2,0)," ")</f>
        <v> </v>
      </c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8"/>
      <c r="O740" s="109"/>
      <c r="P740" s="109"/>
      <c r="Q740" s="107"/>
      <c r="R740" s="107"/>
      <c r="S740" s="107"/>
      <c r="T740" s="107"/>
      <c r="U740" s="107"/>
      <c r="V740" s="107" t="str">
        <f t="shared" si="1"/>
        <v> </v>
      </c>
      <c r="W740" s="107"/>
      <c r="X740" s="23"/>
      <c r="Y740" s="23"/>
      <c r="Z740" s="23"/>
    </row>
    <row r="741">
      <c r="A741" s="107"/>
      <c r="B741" s="103" t="str">
        <f>IFERROR( VLOOKUP($A741,'INVOICE DETAILS.'!$F$3:$G$1994,2,0)," ")</f>
        <v> </v>
      </c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8"/>
      <c r="O741" s="109"/>
      <c r="P741" s="109"/>
      <c r="Q741" s="107"/>
      <c r="R741" s="107"/>
      <c r="S741" s="107"/>
      <c r="T741" s="107"/>
      <c r="U741" s="107"/>
      <c r="V741" s="107" t="str">
        <f t="shared" si="1"/>
        <v> </v>
      </c>
      <c r="W741" s="107"/>
      <c r="X741" s="23"/>
      <c r="Y741" s="23"/>
      <c r="Z741" s="23"/>
    </row>
    <row r="742">
      <c r="A742" s="107"/>
      <c r="B742" s="103" t="str">
        <f>IFERROR( VLOOKUP($A742,'INVOICE DETAILS.'!$F$3:$G$1994,2,0)," ")</f>
        <v> </v>
      </c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8"/>
      <c r="O742" s="109"/>
      <c r="P742" s="109"/>
      <c r="Q742" s="107"/>
      <c r="R742" s="107"/>
      <c r="S742" s="107"/>
      <c r="T742" s="107"/>
      <c r="U742" s="107"/>
      <c r="V742" s="107" t="str">
        <f t="shared" si="1"/>
        <v> </v>
      </c>
      <c r="W742" s="107"/>
      <c r="X742" s="23"/>
      <c r="Y742" s="23"/>
      <c r="Z742" s="23"/>
    </row>
    <row r="743">
      <c r="A743" s="107"/>
      <c r="B743" s="103" t="str">
        <f>IFERROR( VLOOKUP($A743,'INVOICE DETAILS.'!$F$3:$G$1994,2,0)," ")</f>
        <v> </v>
      </c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8"/>
      <c r="O743" s="109"/>
      <c r="P743" s="109"/>
      <c r="Q743" s="107"/>
      <c r="R743" s="107"/>
      <c r="S743" s="107"/>
      <c r="T743" s="107"/>
      <c r="U743" s="107"/>
      <c r="V743" s="107" t="str">
        <f t="shared" si="1"/>
        <v> </v>
      </c>
      <c r="W743" s="107"/>
      <c r="X743" s="23"/>
      <c r="Y743" s="23"/>
      <c r="Z743" s="23"/>
    </row>
    <row r="744">
      <c r="A744" s="107"/>
      <c r="B744" s="103" t="str">
        <f>IFERROR( VLOOKUP($A744,'INVOICE DETAILS.'!$F$3:$G$1994,2,0)," ")</f>
        <v> </v>
      </c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8"/>
      <c r="O744" s="109"/>
      <c r="P744" s="109"/>
      <c r="Q744" s="107"/>
      <c r="R744" s="107"/>
      <c r="S744" s="107"/>
      <c r="T744" s="107"/>
      <c r="U744" s="107"/>
      <c r="V744" s="107" t="str">
        <f t="shared" si="1"/>
        <v> </v>
      </c>
      <c r="W744" s="107"/>
      <c r="X744" s="23"/>
      <c r="Y744" s="23"/>
      <c r="Z744" s="23"/>
    </row>
    <row r="745">
      <c r="A745" s="107"/>
      <c r="B745" s="103" t="str">
        <f>IFERROR( VLOOKUP($A745,'INVOICE DETAILS.'!$F$3:$G$1994,2,0)," ")</f>
        <v> </v>
      </c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8"/>
      <c r="O745" s="109"/>
      <c r="P745" s="109"/>
      <c r="Q745" s="107"/>
      <c r="R745" s="107"/>
      <c r="S745" s="107"/>
      <c r="T745" s="107"/>
      <c r="U745" s="107"/>
      <c r="V745" s="107" t="str">
        <f t="shared" si="1"/>
        <v> </v>
      </c>
      <c r="W745" s="107"/>
      <c r="X745" s="23"/>
      <c r="Y745" s="23"/>
      <c r="Z745" s="23"/>
    </row>
    <row r="746">
      <c r="A746" s="107"/>
      <c r="B746" s="103" t="str">
        <f>IFERROR( VLOOKUP($A746,'INVOICE DETAILS.'!$F$3:$G$1994,2,0)," ")</f>
        <v> </v>
      </c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8"/>
      <c r="O746" s="109"/>
      <c r="P746" s="109"/>
      <c r="Q746" s="107"/>
      <c r="R746" s="107"/>
      <c r="S746" s="107"/>
      <c r="T746" s="107"/>
      <c r="U746" s="107"/>
      <c r="V746" s="107" t="str">
        <f t="shared" si="1"/>
        <v> </v>
      </c>
      <c r="W746" s="107"/>
      <c r="X746" s="23"/>
      <c r="Y746" s="23"/>
      <c r="Z746" s="23"/>
    </row>
    <row r="747">
      <c r="A747" s="107"/>
      <c r="B747" s="103" t="str">
        <f>IFERROR( VLOOKUP($A747,'INVOICE DETAILS.'!$F$3:$G$1994,2,0)," ")</f>
        <v> </v>
      </c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8"/>
      <c r="O747" s="109"/>
      <c r="P747" s="109"/>
      <c r="Q747" s="107"/>
      <c r="R747" s="107"/>
      <c r="S747" s="107"/>
      <c r="T747" s="107"/>
      <c r="U747" s="107"/>
      <c r="V747" s="107" t="str">
        <f t="shared" si="1"/>
        <v> </v>
      </c>
      <c r="W747" s="107"/>
      <c r="X747" s="23"/>
      <c r="Y747" s="23"/>
      <c r="Z747" s="23"/>
    </row>
    <row r="748">
      <c r="A748" s="107"/>
      <c r="B748" s="103" t="str">
        <f>IFERROR( VLOOKUP($A748,'INVOICE DETAILS.'!$F$3:$G$1994,2,0)," ")</f>
        <v> </v>
      </c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8"/>
      <c r="O748" s="109"/>
      <c r="P748" s="109"/>
      <c r="Q748" s="107"/>
      <c r="R748" s="107"/>
      <c r="S748" s="107"/>
      <c r="T748" s="107"/>
      <c r="U748" s="107"/>
      <c r="V748" s="107" t="str">
        <f t="shared" si="1"/>
        <v> </v>
      </c>
      <c r="W748" s="107"/>
      <c r="X748" s="23"/>
      <c r="Y748" s="23"/>
      <c r="Z748" s="23"/>
    </row>
    <row r="749">
      <c r="A749" s="107"/>
      <c r="B749" s="103" t="str">
        <f>IFERROR( VLOOKUP($A749,'INVOICE DETAILS.'!$F$3:$G$1994,2,0)," ")</f>
        <v> </v>
      </c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8"/>
      <c r="O749" s="109"/>
      <c r="P749" s="109"/>
      <c r="Q749" s="107"/>
      <c r="R749" s="107"/>
      <c r="S749" s="107"/>
      <c r="T749" s="107"/>
      <c r="U749" s="107"/>
      <c r="V749" s="107" t="str">
        <f t="shared" si="1"/>
        <v> </v>
      </c>
      <c r="W749" s="107"/>
      <c r="X749" s="23"/>
      <c r="Y749" s="23"/>
      <c r="Z749" s="23"/>
    </row>
    <row r="750">
      <c r="A750" s="107"/>
      <c r="B750" s="103" t="str">
        <f>IFERROR( VLOOKUP($A750,'INVOICE DETAILS.'!$F$3:$G$1994,2,0)," ")</f>
        <v> </v>
      </c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8"/>
      <c r="O750" s="109"/>
      <c r="P750" s="109"/>
      <c r="Q750" s="107"/>
      <c r="R750" s="107"/>
      <c r="S750" s="107"/>
      <c r="T750" s="107"/>
      <c r="U750" s="107"/>
      <c r="V750" s="107" t="str">
        <f t="shared" si="1"/>
        <v> </v>
      </c>
      <c r="W750" s="107"/>
      <c r="X750" s="23"/>
      <c r="Y750" s="23"/>
      <c r="Z750" s="23"/>
    </row>
    <row r="751">
      <c r="A751" s="107"/>
      <c r="B751" s="103" t="str">
        <f>IFERROR( VLOOKUP($A751,'INVOICE DETAILS.'!$F$3:$G$1994,2,0)," ")</f>
        <v> </v>
      </c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8"/>
      <c r="O751" s="109"/>
      <c r="P751" s="109"/>
      <c r="Q751" s="107"/>
      <c r="R751" s="107"/>
      <c r="S751" s="107"/>
      <c r="T751" s="107"/>
      <c r="U751" s="107"/>
      <c r="V751" s="107" t="str">
        <f t="shared" si="1"/>
        <v> </v>
      </c>
      <c r="W751" s="107"/>
      <c r="X751" s="23"/>
      <c r="Y751" s="23"/>
      <c r="Z751" s="23"/>
    </row>
    <row r="752">
      <c r="A752" s="107"/>
      <c r="B752" s="103" t="str">
        <f>IFERROR( VLOOKUP($A752,'INVOICE DETAILS.'!$F$3:$G$1994,2,0)," ")</f>
        <v> </v>
      </c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8"/>
      <c r="O752" s="109"/>
      <c r="P752" s="109"/>
      <c r="Q752" s="107"/>
      <c r="R752" s="107"/>
      <c r="S752" s="107"/>
      <c r="T752" s="107"/>
      <c r="U752" s="107"/>
      <c r="V752" s="107" t="str">
        <f t="shared" si="1"/>
        <v> </v>
      </c>
      <c r="W752" s="107"/>
      <c r="X752" s="23"/>
      <c r="Y752" s="23"/>
      <c r="Z752" s="23"/>
    </row>
    <row r="753">
      <c r="A753" s="107"/>
      <c r="B753" s="103" t="str">
        <f>IFERROR( VLOOKUP($A753,'INVOICE DETAILS.'!$F$3:$G$1994,2,0)," ")</f>
        <v> </v>
      </c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8"/>
      <c r="O753" s="109"/>
      <c r="P753" s="109"/>
      <c r="Q753" s="107"/>
      <c r="R753" s="107"/>
      <c r="S753" s="107"/>
      <c r="T753" s="107"/>
      <c r="U753" s="107"/>
      <c r="V753" s="107" t="str">
        <f t="shared" si="1"/>
        <v> </v>
      </c>
      <c r="W753" s="107"/>
      <c r="X753" s="23"/>
      <c r="Y753" s="23"/>
      <c r="Z753" s="23"/>
    </row>
    <row r="754">
      <c r="A754" s="107"/>
      <c r="B754" s="103" t="str">
        <f>IFERROR( VLOOKUP($A754,'INVOICE DETAILS.'!$F$3:$G$1994,2,0)," ")</f>
        <v> </v>
      </c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8"/>
      <c r="O754" s="109"/>
      <c r="P754" s="109"/>
      <c r="Q754" s="107"/>
      <c r="R754" s="107"/>
      <c r="S754" s="107"/>
      <c r="T754" s="107"/>
      <c r="U754" s="107"/>
      <c r="V754" s="107" t="str">
        <f t="shared" si="1"/>
        <v> </v>
      </c>
      <c r="W754" s="107"/>
      <c r="X754" s="23"/>
      <c r="Y754" s="23"/>
      <c r="Z754" s="23"/>
    </row>
    <row r="755">
      <c r="A755" s="107"/>
      <c r="B755" s="103" t="str">
        <f>IFERROR( VLOOKUP($A755,'INVOICE DETAILS.'!$F$3:$G$1994,2,0)," ")</f>
        <v> </v>
      </c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8"/>
      <c r="O755" s="109"/>
      <c r="P755" s="109"/>
      <c r="Q755" s="107"/>
      <c r="R755" s="107"/>
      <c r="S755" s="107"/>
      <c r="T755" s="107"/>
      <c r="U755" s="107"/>
      <c r="V755" s="107" t="str">
        <f t="shared" si="1"/>
        <v> </v>
      </c>
      <c r="W755" s="107"/>
      <c r="X755" s="23"/>
      <c r="Y755" s="23"/>
      <c r="Z755" s="23"/>
    </row>
    <row r="756">
      <c r="A756" s="107"/>
      <c r="B756" s="103" t="str">
        <f>IFERROR( VLOOKUP($A756,'INVOICE DETAILS.'!$F$3:$G$1994,2,0)," ")</f>
        <v> </v>
      </c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8"/>
      <c r="O756" s="109"/>
      <c r="P756" s="109"/>
      <c r="Q756" s="107"/>
      <c r="R756" s="107"/>
      <c r="S756" s="107"/>
      <c r="T756" s="107"/>
      <c r="U756" s="107"/>
      <c r="V756" s="107" t="str">
        <f t="shared" si="1"/>
        <v> </v>
      </c>
      <c r="W756" s="107"/>
      <c r="X756" s="23"/>
      <c r="Y756" s="23"/>
      <c r="Z756" s="23"/>
    </row>
    <row r="757">
      <c r="A757" s="107"/>
      <c r="B757" s="103" t="str">
        <f>IFERROR( VLOOKUP($A757,'INVOICE DETAILS.'!$F$3:$G$1994,2,0)," ")</f>
        <v> </v>
      </c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8"/>
      <c r="O757" s="109"/>
      <c r="P757" s="109"/>
      <c r="Q757" s="107"/>
      <c r="R757" s="107"/>
      <c r="S757" s="107"/>
      <c r="T757" s="107"/>
      <c r="U757" s="107"/>
      <c r="V757" s="107" t="str">
        <f t="shared" si="1"/>
        <v> </v>
      </c>
      <c r="W757" s="107"/>
      <c r="X757" s="23"/>
      <c r="Y757" s="23"/>
      <c r="Z757" s="23"/>
    </row>
    <row r="758">
      <c r="A758" s="107"/>
      <c r="B758" s="103" t="str">
        <f>IFERROR( VLOOKUP($A758,'INVOICE DETAILS.'!$F$3:$G$1994,2,0)," ")</f>
        <v> </v>
      </c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8"/>
      <c r="O758" s="109"/>
      <c r="P758" s="109"/>
      <c r="Q758" s="107"/>
      <c r="R758" s="107"/>
      <c r="S758" s="107"/>
      <c r="T758" s="107"/>
      <c r="U758" s="107"/>
      <c r="V758" s="107" t="str">
        <f t="shared" si="1"/>
        <v> </v>
      </c>
      <c r="W758" s="107"/>
      <c r="X758" s="23"/>
      <c r="Y758" s="23"/>
      <c r="Z758" s="23"/>
    </row>
    <row r="759">
      <c r="A759" s="107"/>
      <c r="B759" s="103" t="str">
        <f>IFERROR( VLOOKUP($A759,'INVOICE DETAILS.'!$F$3:$G$1994,2,0)," ")</f>
        <v> </v>
      </c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8"/>
      <c r="O759" s="109"/>
      <c r="P759" s="109"/>
      <c r="Q759" s="107"/>
      <c r="R759" s="107"/>
      <c r="S759" s="107"/>
      <c r="T759" s="107"/>
      <c r="U759" s="107"/>
      <c r="V759" s="107" t="str">
        <f t="shared" si="1"/>
        <v> </v>
      </c>
      <c r="W759" s="107"/>
      <c r="X759" s="23"/>
      <c r="Y759" s="23"/>
      <c r="Z759" s="23"/>
    </row>
    <row r="760">
      <c r="A760" s="107"/>
      <c r="B760" s="103" t="str">
        <f>IFERROR( VLOOKUP($A760,'INVOICE DETAILS.'!$F$3:$G$1994,2,0)," ")</f>
        <v> </v>
      </c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8"/>
      <c r="O760" s="109"/>
      <c r="P760" s="109"/>
      <c r="Q760" s="107"/>
      <c r="R760" s="107"/>
      <c r="S760" s="107"/>
      <c r="T760" s="107"/>
      <c r="U760" s="107"/>
      <c r="V760" s="107" t="str">
        <f t="shared" si="1"/>
        <v> </v>
      </c>
      <c r="W760" s="107"/>
      <c r="X760" s="23"/>
      <c r="Y760" s="23"/>
      <c r="Z760" s="23"/>
    </row>
    <row r="761">
      <c r="A761" s="107"/>
      <c r="B761" s="103" t="str">
        <f>IFERROR( VLOOKUP($A761,'INVOICE DETAILS.'!$F$3:$G$1994,2,0)," ")</f>
        <v> </v>
      </c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8"/>
      <c r="O761" s="109"/>
      <c r="P761" s="109"/>
      <c r="Q761" s="107"/>
      <c r="R761" s="107"/>
      <c r="S761" s="107"/>
      <c r="T761" s="107"/>
      <c r="U761" s="107"/>
      <c r="V761" s="107" t="str">
        <f t="shared" si="1"/>
        <v> </v>
      </c>
      <c r="W761" s="107"/>
      <c r="X761" s="23"/>
      <c r="Y761" s="23"/>
      <c r="Z761" s="23"/>
    </row>
    <row r="762">
      <c r="A762" s="107"/>
      <c r="B762" s="103" t="str">
        <f>IFERROR( VLOOKUP($A762,'INVOICE DETAILS.'!$F$3:$G$1994,2,0)," ")</f>
        <v> </v>
      </c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8"/>
      <c r="O762" s="109"/>
      <c r="P762" s="109"/>
      <c r="Q762" s="107"/>
      <c r="R762" s="107"/>
      <c r="S762" s="107"/>
      <c r="T762" s="107"/>
      <c r="U762" s="107"/>
      <c r="V762" s="107" t="str">
        <f t="shared" si="1"/>
        <v> </v>
      </c>
      <c r="W762" s="107"/>
      <c r="X762" s="23"/>
      <c r="Y762" s="23"/>
      <c r="Z762" s="23"/>
    </row>
    <row r="763">
      <c r="A763" s="107"/>
      <c r="B763" s="103" t="str">
        <f>IFERROR( VLOOKUP($A763,'INVOICE DETAILS.'!$F$3:$G$1994,2,0)," ")</f>
        <v> </v>
      </c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8"/>
      <c r="O763" s="109"/>
      <c r="P763" s="109"/>
      <c r="Q763" s="107"/>
      <c r="R763" s="107"/>
      <c r="S763" s="107"/>
      <c r="T763" s="107"/>
      <c r="U763" s="107"/>
      <c r="V763" s="107" t="str">
        <f t="shared" si="1"/>
        <v> </v>
      </c>
      <c r="W763" s="107"/>
      <c r="X763" s="23"/>
      <c r="Y763" s="23"/>
      <c r="Z763" s="23"/>
    </row>
    <row r="764">
      <c r="A764" s="107"/>
      <c r="B764" s="103" t="str">
        <f>IFERROR( VLOOKUP($A764,'INVOICE DETAILS.'!$F$3:$G$1994,2,0)," ")</f>
        <v> </v>
      </c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8"/>
      <c r="O764" s="109"/>
      <c r="P764" s="109"/>
      <c r="Q764" s="107"/>
      <c r="R764" s="107"/>
      <c r="S764" s="107"/>
      <c r="T764" s="107"/>
      <c r="U764" s="107"/>
      <c r="V764" s="107" t="str">
        <f t="shared" si="1"/>
        <v> </v>
      </c>
      <c r="W764" s="107"/>
      <c r="X764" s="23"/>
      <c r="Y764" s="23"/>
      <c r="Z764" s="23"/>
    </row>
    <row r="765">
      <c r="A765" s="107"/>
      <c r="B765" s="103" t="str">
        <f>IFERROR( VLOOKUP($A765,'INVOICE DETAILS.'!$F$3:$G$1994,2,0)," ")</f>
        <v> </v>
      </c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8"/>
      <c r="O765" s="109"/>
      <c r="P765" s="109"/>
      <c r="Q765" s="107"/>
      <c r="R765" s="107"/>
      <c r="S765" s="107"/>
      <c r="T765" s="107"/>
      <c r="U765" s="107"/>
      <c r="V765" s="107" t="str">
        <f t="shared" si="1"/>
        <v> </v>
      </c>
      <c r="W765" s="107"/>
      <c r="X765" s="23"/>
      <c r="Y765" s="23"/>
      <c r="Z765" s="23"/>
    </row>
    <row r="766">
      <c r="A766" s="107"/>
      <c r="B766" s="103" t="str">
        <f>IFERROR( VLOOKUP($A766,'INVOICE DETAILS.'!$F$3:$G$1994,2,0)," ")</f>
        <v> </v>
      </c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8"/>
      <c r="O766" s="109"/>
      <c r="P766" s="109"/>
      <c r="Q766" s="107"/>
      <c r="R766" s="107"/>
      <c r="S766" s="107"/>
      <c r="T766" s="107"/>
      <c r="U766" s="107"/>
      <c r="V766" s="107" t="str">
        <f t="shared" si="1"/>
        <v> </v>
      </c>
      <c r="W766" s="107"/>
      <c r="X766" s="23"/>
      <c r="Y766" s="23"/>
      <c r="Z766" s="23"/>
    </row>
    <row r="767">
      <c r="A767" s="107"/>
      <c r="B767" s="103" t="str">
        <f>IFERROR( VLOOKUP($A767,'INVOICE DETAILS.'!$F$3:$G$1994,2,0)," ")</f>
        <v> </v>
      </c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8"/>
      <c r="O767" s="109"/>
      <c r="P767" s="109"/>
      <c r="Q767" s="107"/>
      <c r="R767" s="107"/>
      <c r="S767" s="107"/>
      <c r="T767" s="107"/>
      <c r="U767" s="107"/>
      <c r="V767" s="107" t="str">
        <f t="shared" si="1"/>
        <v> </v>
      </c>
      <c r="W767" s="107"/>
      <c r="X767" s="23"/>
      <c r="Y767" s="23"/>
      <c r="Z767" s="23"/>
    </row>
    <row r="768">
      <c r="A768" s="107"/>
      <c r="B768" s="103" t="str">
        <f>IFERROR( VLOOKUP($A768,'INVOICE DETAILS.'!$F$3:$G$1994,2,0)," ")</f>
        <v> </v>
      </c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8"/>
      <c r="O768" s="109"/>
      <c r="P768" s="109"/>
      <c r="Q768" s="107"/>
      <c r="R768" s="107"/>
      <c r="S768" s="107"/>
      <c r="T768" s="107"/>
      <c r="U768" s="107"/>
      <c r="V768" s="107" t="str">
        <f t="shared" si="1"/>
        <v> </v>
      </c>
      <c r="W768" s="107"/>
      <c r="X768" s="23"/>
      <c r="Y768" s="23"/>
      <c r="Z768" s="23"/>
    </row>
    <row r="769">
      <c r="A769" s="107"/>
      <c r="B769" s="103" t="str">
        <f>IFERROR( VLOOKUP($A769,'INVOICE DETAILS.'!$F$3:$G$1994,2,0)," ")</f>
        <v> </v>
      </c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8"/>
      <c r="O769" s="109"/>
      <c r="P769" s="109"/>
      <c r="Q769" s="107"/>
      <c r="R769" s="107"/>
      <c r="S769" s="107"/>
      <c r="T769" s="107"/>
      <c r="U769" s="107"/>
      <c r="V769" s="107" t="str">
        <f t="shared" si="1"/>
        <v> </v>
      </c>
      <c r="W769" s="107"/>
      <c r="X769" s="23"/>
      <c r="Y769" s="23"/>
      <c r="Z769" s="23"/>
    </row>
    <row r="770">
      <c r="A770" s="107"/>
      <c r="B770" s="103" t="str">
        <f>IFERROR( VLOOKUP($A770,'INVOICE DETAILS.'!$F$3:$G$1994,2,0)," ")</f>
        <v> </v>
      </c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8"/>
      <c r="O770" s="109"/>
      <c r="P770" s="109"/>
      <c r="Q770" s="107"/>
      <c r="R770" s="107"/>
      <c r="S770" s="107"/>
      <c r="T770" s="107"/>
      <c r="U770" s="107"/>
      <c r="V770" s="107" t="str">
        <f t="shared" si="1"/>
        <v> </v>
      </c>
      <c r="W770" s="107"/>
      <c r="X770" s="23"/>
      <c r="Y770" s="23"/>
      <c r="Z770" s="23"/>
    </row>
    <row r="771">
      <c r="A771" s="107"/>
      <c r="B771" s="103" t="str">
        <f>IFERROR( VLOOKUP($A771,'INVOICE DETAILS.'!$F$3:$G$1994,2,0)," ")</f>
        <v> </v>
      </c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8"/>
      <c r="O771" s="109"/>
      <c r="P771" s="109"/>
      <c r="Q771" s="107"/>
      <c r="R771" s="107"/>
      <c r="S771" s="107"/>
      <c r="T771" s="107"/>
      <c r="U771" s="107"/>
      <c r="V771" s="107" t="str">
        <f t="shared" si="1"/>
        <v> </v>
      </c>
      <c r="W771" s="107"/>
      <c r="X771" s="23"/>
      <c r="Y771" s="23"/>
      <c r="Z771" s="23"/>
    </row>
    <row r="772">
      <c r="A772" s="107"/>
      <c r="B772" s="103" t="str">
        <f>IFERROR( VLOOKUP($A772,'INVOICE DETAILS.'!$F$3:$G$1994,2,0)," ")</f>
        <v> </v>
      </c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8"/>
      <c r="O772" s="109"/>
      <c r="P772" s="109"/>
      <c r="Q772" s="107"/>
      <c r="R772" s="107"/>
      <c r="S772" s="107"/>
      <c r="T772" s="107"/>
      <c r="U772" s="107"/>
      <c r="V772" s="107" t="str">
        <f t="shared" si="1"/>
        <v> </v>
      </c>
      <c r="W772" s="107"/>
      <c r="X772" s="23"/>
      <c r="Y772" s="23"/>
      <c r="Z772" s="23"/>
    </row>
    <row r="773">
      <c r="A773" s="107"/>
      <c r="B773" s="103" t="str">
        <f>IFERROR( VLOOKUP($A773,'INVOICE DETAILS.'!$F$3:$G$1994,2,0)," ")</f>
        <v> </v>
      </c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8"/>
      <c r="O773" s="109"/>
      <c r="P773" s="109"/>
      <c r="Q773" s="107"/>
      <c r="R773" s="107"/>
      <c r="S773" s="107"/>
      <c r="T773" s="107"/>
      <c r="U773" s="107"/>
      <c r="V773" s="107" t="str">
        <f t="shared" si="1"/>
        <v> </v>
      </c>
      <c r="W773" s="107"/>
      <c r="X773" s="23"/>
      <c r="Y773" s="23"/>
      <c r="Z773" s="23"/>
    </row>
    <row r="774">
      <c r="A774" s="107"/>
      <c r="B774" s="103" t="str">
        <f>IFERROR( VLOOKUP($A774,'INVOICE DETAILS.'!$F$3:$G$1994,2,0)," ")</f>
        <v> </v>
      </c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8"/>
      <c r="O774" s="109"/>
      <c r="P774" s="109"/>
      <c r="Q774" s="107"/>
      <c r="R774" s="107"/>
      <c r="S774" s="107"/>
      <c r="T774" s="107"/>
      <c r="U774" s="107"/>
      <c r="V774" s="107" t="str">
        <f t="shared" si="1"/>
        <v> </v>
      </c>
      <c r="W774" s="107"/>
      <c r="X774" s="23"/>
      <c r="Y774" s="23"/>
      <c r="Z774" s="23"/>
    </row>
    <row r="775">
      <c r="A775" s="107"/>
      <c r="B775" s="103" t="str">
        <f>IFERROR( VLOOKUP($A775,'INVOICE DETAILS.'!$F$3:$G$1994,2,0)," ")</f>
        <v> </v>
      </c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8"/>
      <c r="O775" s="109"/>
      <c r="P775" s="109"/>
      <c r="Q775" s="107"/>
      <c r="R775" s="107"/>
      <c r="S775" s="107"/>
      <c r="T775" s="107"/>
      <c r="U775" s="107"/>
      <c r="V775" s="107" t="str">
        <f t="shared" si="1"/>
        <v> </v>
      </c>
      <c r="W775" s="107"/>
      <c r="X775" s="23"/>
      <c r="Y775" s="23"/>
      <c r="Z775" s="23"/>
    </row>
    <row r="776">
      <c r="A776" s="107"/>
      <c r="B776" s="103" t="str">
        <f>IFERROR( VLOOKUP($A776,'INVOICE DETAILS.'!$F$3:$G$1994,2,0)," ")</f>
        <v> </v>
      </c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8"/>
      <c r="O776" s="109"/>
      <c r="P776" s="109"/>
      <c r="Q776" s="107"/>
      <c r="R776" s="107"/>
      <c r="S776" s="107"/>
      <c r="T776" s="107"/>
      <c r="U776" s="107"/>
      <c r="V776" s="107" t="str">
        <f t="shared" si="1"/>
        <v> </v>
      </c>
      <c r="W776" s="107"/>
      <c r="X776" s="23"/>
      <c r="Y776" s="23"/>
      <c r="Z776" s="23"/>
    </row>
    <row r="777">
      <c r="A777" s="107"/>
      <c r="B777" s="103" t="str">
        <f>IFERROR( VLOOKUP($A777,'INVOICE DETAILS.'!$F$3:$G$1994,2,0)," ")</f>
        <v> </v>
      </c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8"/>
      <c r="O777" s="109"/>
      <c r="P777" s="109"/>
      <c r="Q777" s="107"/>
      <c r="R777" s="107"/>
      <c r="S777" s="107"/>
      <c r="T777" s="107"/>
      <c r="U777" s="107"/>
      <c r="V777" s="107" t="str">
        <f t="shared" si="1"/>
        <v> </v>
      </c>
      <c r="W777" s="107"/>
      <c r="X777" s="23"/>
      <c r="Y777" s="23"/>
      <c r="Z777" s="23"/>
    </row>
    <row r="778">
      <c r="A778" s="107"/>
      <c r="B778" s="103" t="str">
        <f>IFERROR( VLOOKUP($A778,'INVOICE DETAILS.'!$F$3:$G$1994,2,0)," ")</f>
        <v> </v>
      </c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8"/>
      <c r="O778" s="109"/>
      <c r="P778" s="109"/>
      <c r="Q778" s="107"/>
      <c r="R778" s="107"/>
      <c r="S778" s="107"/>
      <c r="T778" s="107"/>
      <c r="U778" s="107"/>
      <c r="V778" s="107" t="str">
        <f t="shared" si="1"/>
        <v> </v>
      </c>
      <c r="W778" s="107"/>
      <c r="X778" s="23"/>
      <c r="Y778" s="23"/>
      <c r="Z778" s="23"/>
    </row>
    <row r="779">
      <c r="A779" s="107"/>
      <c r="B779" s="103" t="str">
        <f>IFERROR( VLOOKUP($A779,'INVOICE DETAILS.'!$F$3:$G$1994,2,0)," ")</f>
        <v> </v>
      </c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8"/>
      <c r="O779" s="109"/>
      <c r="P779" s="109"/>
      <c r="Q779" s="107"/>
      <c r="R779" s="107"/>
      <c r="S779" s="107"/>
      <c r="T779" s="107"/>
      <c r="U779" s="107"/>
      <c r="V779" s="107" t="str">
        <f t="shared" si="1"/>
        <v> </v>
      </c>
      <c r="W779" s="107"/>
      <c r="X779" s="23"/>
      <c r="Y779" s="23"/>
      <c r="Z779" s="23"/>
    </row>
    <row r="780">
      <c r="A780" s="107"/>
      <c r="B780" s="103" t="str">
        <f>IFERROR( VLOOKUP($A780,'INVOICE DETAILS.'!$F$3:$G$1994,2,0)," ")</f>
        <v> </v>
      </c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8"/>
      <c r="O780" s="109"/>
      <c r="P780" s="109"/>
      <c r="Q780" s="107"/>
      <c r="R780" s="107"/>
      <c r="S780" s="107"/>
      <c r="T780" s="107"/>
      <c r="U780" s="107"/>
      <c r="V780" s="107" t="str">
        <f t="shared" si="1"/>
        <v> </v>
      </c>
      <c r="W780" s="107"/>
      <c r="X780" s="23"/>
      <c r="Y780" s="23"/>
      <c r="Z780" s="23"/>
    </row>
    <row r="781">
      <c r="A781" s="107"/>
      <c r="B781" s="103" t="str">
        <f>IFERROR( VLOOKUP($A781,'INVOICE DETAILS.'!$F$3:$G$1994,2,0)," ")</f>
        <v> </v>
      </c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8"/>
      <c r="O781" s="109"/>
      <c r="P781" s="109"/>
      <c r="Q781" s="107"/>
      <c r="R781" s="107"/>
      <c r="S781" s="107"/>
      <c r="T781" s="107"/>
      <c r="U781" s="107"/>
      <c r="V781" s="107" t="str">
        <f t="shared" si="1"/>
        <v> </v>
      </c>
      <c r="W781" s="107"/>
      <c r="X781" s="23"/>
      <c r="Y781" s="23"/>
      <c r="Z781" s="23"/>
    </row>
    <row r="782">
      <c r="A782" s="107"/>
      <c r="B782" s="103" t="str">
        <f>IFERROR( VLOOKUP($A782,'INVOICE DETAILS.'!$F$3:$G$1994,2,0)," ")</f>
        <v> </v>
      </c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8"/>
      <c r="O782" s="109"/>
      <c r="P782" s="109"/>
      <c r="Q782" s="107"/>
      <c r="R782" s="107"/>
      <c r="S782" s="107"/>
      <c r="T782" s="107"/>
      <c r="U782" s="107"/>
      <c r="V782" s="107" t="str">
        <f t="shared" si="1"/>
        <v> </v>
      </c>
      <c r="W782" s="107"/>
      <c r="X782" s="23"/>
      <c r="Y782" s="23"/>
      <c r="Z782" s="23"/>
    </row>
    <row r="783">
      <c r="A783" s="107"/>
      <c r="B783" s="103" t="str">
        <f>IFERROR( VLOOKUP($A783,'INVOICE DETAILS.'!$F$3:$G$1994,2,0)," ")</f>
        <v> </v>
      </c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8"/>
      <c r="O783" s="109"/>
      <c r="P783" s="109"/>
      <c r="Q783" s="107"/>
      <c r="R783" s="107"/>
      <c r="S783" s="107"/>
      <c r="T783" s="107"/>
      <c r="U783" s="107"/>
      <c r="V783" s="107" t="str">
        <f t="shared" si="1"/>
        <v> </v>
      </c>
      <c r="W783" s="107"/>
      <c r="X783" s="23"/>
      <c r="Y783" s="23"/>
      <c r="Z783" s="23"/>
    </row>
    <row r="784">
      <c r="A784" s="107"/>
      <c r="B784" s="103" t="str">
        <f>IFERROR( VLOOKUP($A784,'INVOICE DETAILS.'!$F$3:$G$1994,2,0)," ")</f>
        <v> </v>
      </c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8"/>
      <c r="O784" s="109"/>
      <c r="P784" s="109"/>
      <c r="Q784" s="107"/>
      <c r="R784" s="107"/>
      <c r="S784" s="107"/>
      <c r="T784" s="107"/>
      <c r="U784" s="107"/>
      <c r="V784" s="107" t="str">
        <f t="shared" si="1"/>
        <v> </v>
      </c>
      <c r="W784" s="107"/>
      <c r="X784" s="23"/>
      <c r="Y784" s="23"/>
      <c r="Z784" s="23"/>
    </row>
    <row r="785">
      <c r="A785" s="107"/>
      <c r="B785" s="103" t="str">
        <f>IFERROR( VLOOKUP($A785,'INVOICE DETAILS.'!$F$3:$G$1994,2,0)," ")</f>
        <v> </v>
      </c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8"/>
      <c r="O785" s="109"/>
      <c r="P785" s="109"/>
      <c r="Q785" s="107"/>
      <c r="R785" s="107"/>
      <c r="S785" s="107"/>
      <c r="T785" s="107"/>
      <c r="U785" s="107"/>
      <c r="V785" s="107" t="str">
        <f t="shared" si="1"/>
        <v> </v>
      </c>
      <c r="W785" s="107"/>
      <c r="X785" s="23"/>
      <c r="Y785" s="23"/>
      <c r="Z785" s="23"/>
    </row>
    <row r="786">
      <c r="A786" s="107"/>
      <c r="B786" s="103" t="str">
        <f>IFERROR( VLOOKUP($A786,'INVOICE DETAILS.'!$F$3:$G$1994,2,0)," ")</f>
        <v> </v>
      </c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8"/>
      <c r="O786" s="109"/>
      <c r="P786" s="109"/>
      <c r="Q786" s="107"/>
      <c r="R786" s="107"/>
      <c r="S786" s="107"/>
      <c r="T786" s="107"/>
      <c r="U786" s="107"/>
      <c r="V786" s="107" t="str">
        <f t="shared" si="1"/>
        <v> </v>
      </c>
      <c r="W786" s="107"/>
      <c r="X786" s="23"/>
      <c r="Y786" s="23"/>
      <c r="Z786" s="23"/>
    </row>
    <row r="787">
      <c r="A787" s="107"/>
      <c r="B787" s="103" t="str">
        <f>IFERROR( VLOOKUP($A787,'INVOICE DETAILS.'!$F$3:$G$1994,2,0)," ")</f>
        <v> </v>
      </c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8"/>
      <c r="O787" s="109"/>
      <c r="P787" s="109"/>
      <c r="Q787" s="107"/>
      <c r="R787" s="107"/>
      <c r="S787" s="107"/>
      <c r="T787" s="107"/>
      <c r="U787" s="107"/>
      <c r="V787" s="107" t="str">
        <f t="shared" si="1"/>
        <v> </v>
      </c>
      <c r="W787" s="107"/>
      <c r="X787" s="23"/>
      <c r="Y787" s="23"/>
      <c r="Z787" s="23"/>
    </row>
    <row r="788">
      <c r="A788" s="107"/>
      <c r="B788" s="103" t="str">
        <f>IFERROR( VLOOKUP($A788,'INVOICE DETAILS.'!$F$3:$G$1994,2,0)," ")</f>
        <v> </v>
      </c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8"/>
      <c r="O788" s="109"/>
      <c r="P788" s="109"/>
      <c r="Q788" s="107"/>
      <c r="R788" s="107"/>
      <c r="S788" s="107"/>
      <c r="T788" s="107"/>
      <c r="U788" s="107"/>
      <c r="V788" s="107" t="str">
        <f t="shared" si="1"/>
        <v> </v>
      </c>
      <c r="W788" s="107"/>
      <c r="X788" s="23"/>
      <c r="Y788" s="23"/>
      <c r="Z788" s="23"/>
    </row>
    <row r="789">
      <c r="A789" s="107"/>
      <c r="B789" s="103" t="str">
        <f>IFERROR( VLOOKUP($A789,'INVOICE DETAILS.'!$F$3:$G$1994,2,0)," ")</f>
        <v> </v>
      </c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8"/>
      <c r="O789" s="109"/>
      <c r="P789" s="109"/>
      <c r="Q789" s="107"/>
      <c r="R789" s="107"/>
      <c r="S789" s="107"/>
      <c r="T789" s="107"/>
      <c r="U789" s="107"/>
      <c r="V789" s="107" t="str">
        <f t="shared" si="1"/>
        <v> </v>
      </c>
      <c r="W789" s="107"/>
      <c r="X789" s="23"/>
      <c r="Y789" s="23"/>
      <c r="Z789" s="23"/>
    </row>
    <row r="790">
      <c r="A790" s="107"/>
      <c r="B790" s="103" t="str">
        <f>IFERROR( VLOOKUP($A790,'INVOICE DETAILS.'!$F$3:$G$1994,2,0)," ")</f>
        <v> </v>
      </c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8"/>
      <c r="O790" s="109"/>
      <c r="P790" s="109"/>
      <c r="Q790" s="107"/>
      <c r="R790" s="107"/>
      <c r="S790" s="107"/>
      <c r="T790" s="107"/>
      <c r="U790" s="107"/>
      <c r="V790" s="107" t="str">
        <f t="shared" si="1"/>
        <v> </v>
      </c>
      <c r="W790" s="107"/>
      <c r="X790" s="23"/>
      <c r="Y790" s="23"/>
      <c r="Z790" s="23"/>
    </row>
    <row r="791">
      <c r="A791" s="107"/>
      <c r="B791" s="103" t="str">
        <f>IFERROR( VLOOKUP($A791,'INVOICE DETAILS.'!$F$3:$G$1994,2,0)," ")</f>
        <v> </v>
      </c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8"/>
      <c r="O791" s="109"/>
      <c r="P791" s="109"/>
      <c r="Q791" s="107"/>
      <c r="R791" s="107"/>
      <c r="S791" s="107"/>
      <c r="T791" s="107"/>
      <c r="U791" s="107"/>
      <c r="V791" s="107" t="str">
        <f t="shared" si="1"/>
        <v> </v>
      </c>
      <c r="W791" s="107"/>
      <c r="X791" s="23"/>
      <c r="Y791" s="23"/>
      <c r="Z791" s="23"/>
    </row>
    <row r="792">
      <c r="A792" s="107"/>
      <c r="B792" s="103" t="str">
        <f>IFERROR( VLOOKUP($A792,'INVOICE DETAILS.'!$F$3:$G$1994,2,0)," ")</f>
        <v> </v>
      </c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8"/>
      <c r="O792" s="109"/>
      <c r="P792" s="109"/>
      <c r="Q792" s="107"/>
      <c r="R792" s="107"/>
      <c r="S792" s="107"/>
      <c r="T792" s="107"/>
      <c r="U792" s="107"/>
      <c r="V792" s="107" t="str">
        <f t="shared" si="1"/>
        <v> </v>
      </c>
      <c r="W792" s="107"/>
      <c r="X792" s="23"/>
      <c r="Y792" s="23"/>
      <c r="Z792" s="23"/>
    </row>
    <row r="793">
      <c r="A793" s="107"/>
      <c r="B793" s="103" t="str">
        <f>IFERROR( VLOOKUP($A793,'INVOICE DETAILS.'!$F$3:$G$1994,2,0)," ")</f>
        <v> </v>
      </c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8"/>
      <c r="O793" s="109"/>
      <c r="P793" s="109"/>
      <c r="Q793" s="107"/>
      <c r="R793" s="107"/>
      <c r="S793" s="107"/>
      <c r="T793" s="107"/>
      <c r="U793" s="107"/>
      <c r="V793" s="107" t="str">
        <f t="shared" si="1"/>
        <v> </v>
      </c>
      <c r="W793" s="107"/>
      <c r="X793" s="23"/>
      <c r="Y793" s="23"/>
      <c r="Z793" s="23"/>
    </row>
    <row r="794">
      <c r="A794" s="107"/>
      <c r="B794" s="103" t="str">
        <f>IFERROR( VLOOKUP($A794,'INVOICE DETAILS.'!$F$3:$G$1994,2,0)," ")</f>
        <v> </v>
      </c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8"/>
      <c r="O794" s="109"/>
      <c r="P794" s="109"/>
      <c r="Q794" s="107"/>
      <c r="R794" s="107"/>
      <c r="S794" s="107"/>
      <c r="T794" s="107"/>
      <c r="U794" s="107"/>
      <c r="V794" s="107" t="str">
        <f t="shared" si="1"/>
        <v> </v>
      </c>
      <c r="W794" s="107"/>
      <c r="X794" s="23"/>
      <c r="Y794" s="23"/>
      <c r="Z794" s="23"/>
    </row>
    <row r="795">
      <c r="A795" s="107"/>
      <c r="B795" s="103" t="str">
        <f>IFERROR( VLOOKUP($A795,'INVOICE DETAILS.'!$F$3:$G$1994,2,0)," ")</f>
        <v> </v>
      </c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8"/>
      <c r="O795" s="109"/>
      <c r="P795" s="109"/>
      <c r="Q795" s="107"/>
      <c r="R795" s="107"/>
      <c r="S795" s="107"/>
      <c r="T795" s="107"/>
      <c r="U795" s="107"/>
      <c r="V795" s="107" t="str">
        <f t="shared" si="1"/>
        <v> </v>
      </c>
      <c r="W795" s="107"/>
      <c r="X795" s="23"/>
      <c r="Y795" s="23"/>
      <c r="Z795" s="23"/>
    </row>
    <row r="796">
      <c r="A796" s="107"/>
      <c r="B796" s="103" t="str">
        <f>IFERROR( VLOOKUP($A796,'INVOICE DETAILS.'!$F$3:$G$1994,2,0)," ")</f>
        <v> </v>
      </c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8"/>
      <c r="O796" s="109"/>
      <c r="P796" s="109"/>
      <c r="Q796" s="107"/>
      <c r="R796" s="107"/>
      <c r="S796" s="107"/>
      <c r="T796" s="107"/>
      <c r="U796" s="107"/>
      <c r="V796" s="107" t="str">
        <f t="shared" si="1"/>
        <v> </v>
      </c>
      <c r="W796" s="107"/>
      <c r="X796" s="23"/>
      <c r="Y796" s="23"/>
      <c r="Z796" s="23"/>
    </row>
    <row r="797">
      <c r="A797" s="107"/>
      <c r="B797" s="103" t="str">
        <f>IFERROR( VLOOKUP($A797,'INVOICE DETAILS.'!$F$3:$G$1994,2,0)," ")</f>
        <v> </v>
      </c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8"/>
      <c r="O797" s="109"/>
      <c r="P797" s="109"/>
      <c r="Q797" s="107"/>
      <c r="R797" s="107"/>
      <c r="S797" s="107"/>
      <c r="T797" s="107"/>
      <c r="U797" s="107"/>
      <c r="V797" s="107" t="str">
        <f t="shared" si="1"/>
        <v> </v>
      </c>
      <c r="W797" s="107"/>
      <c r="X797" s="23"/>
      <c r="Y797" s="23"/>
      <c r="Z797" s="23"/>
    </row>
    <row r="798">
      <c r="A798" s="107"/>
      <c r="B798" s="103" t="str">
        <f>IFERROR( VLOOKUP($A798,'INVOICE DETAILS.'!$F$3:$G$1994,2,0)," ")</f>
        <v> </v>
      </c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8"/>
      <c r="O798" s="109"/>
      <c r="P798" s="109"/>
      <c r="Q798" s="107"/>
      <c r="R798" s="107"/>
      <c r="S798" s="107"/>
      <c r="T798" s="107"/>
      <c r="U798" s="107"/>
      <c r="V798" s="107" t="str">
        <f t="shared" si="1"/>
        <v> </v>
      </c>
      <c r="W798" s="107"/>
      <c r="X798" s="23"/>
      <c r="Y798" s="23"/>
      <c r="Z798" s="23"/>
    </row>
    <row r="799">
      <c r="A799" s="107"/>
      <c r="B799" s="103" t="str">
        <f>IFERROR( VLOOKUP($A799,'INVOICE DETAILS.'!$F$3:$G$1994,2,0)," ")</f>
        <v> </v>
      </c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8"/>
      <c r="O799" s="109"/>
      <c r="P799" s="109"/>
      <c r="Q799" s="107"/>
      <c r="R799" s="107"/>
      <c r="S799" s="107"/>
      <c r="T799" s="107"/>
      <c r="U799" s="107"/>
      <c r="V799" s="107" t="str">
        <f t="shared" si="1"/>
        <v> </v>
      </c>
      <c r="W799" s="107"/>
      <c r="X799" s="23"/>
      <c r="Y799" s="23"/>
      <c r="Z799" s="23"/>
    </row>
    <row r="800">
      <c r="A800" s="107"/>
      <c r="B800" s="103" t="str">
        <f>IFERROR( VLOOKUP($A800,'INVOICE DETAILS.'!$F$3:$G$1994,2,0)," ")</f>
        <v> </v>
      </c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8"/>
      <c r="O800" s="109"/>
      <c r="P800" s="109"/>
      <c r="Q800" s="107"/>
      <c r="R800" s="107"/>
      <c r="S800" s="107"/>
      <c r="T800" s="107"/>
      <c r="U800" s="107"/>
      <c r="V800" s="107" t="str">
        <f t="shared" si="1"/>
        <v> </v>
      </c>
      <c r="W800" s="107"/>
      <c r="X800" s="23"/>
      <c r="Y800" s="23"/>
      <c r="Z800" s="23"/>
    </row>
    <row r="801">
      <c r="A801" s="107"/>
      <c r="B801" s="103" t="str">
        <f>IFERROR( VLOOKUP($A801,'INVOICE DETAILS.'!$F$3:$G$1994,2,0)," ")</f>
        <v> </v>
      </c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8"/>
      <c r="O801" s="109"/>
      <c r="P801" s="109"/>
      <c r="Q801" s="107"/>
      <c r="R801" s="107"/>
      <c r="S801" s="107"/>
      <c r="T801" s="107"/>
      <c r="U801" s="107"/>
      <c r="V801" s="107" t="str">
        <f t="shared" si="1"/>
        <v> </v>
      </c>
      <c r="W801" s="107"/>
      <c r="X801" s="23"/>
      <c r="Y801" s="23"/>
      <c r="Z801" s="23"/>
    </row>
    <row r="802">
      <c r="A802" s="107"/>
      <c r="B802" s="103" t="str">
        <f>IFERROR( VLOOKUP($A802,'INVOICE DETAILS.'!$F$3:$G$1994,2,0)," ")</f>
        <v> </v>
      </c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8"/>
      <c r="O802" s="109"/>
      <c r="P802" s="109"/>
      <c r="Q802" s="107"/>
      <c r="R802" s="107"/>
      <c r="S802" s="107"/>
      <c r="T802" s="107"/>
      <c r="U802" s="107"/>
      <c r="V802" s="107" t="str">
        <f t="shared" si="1"/>
        <v> </v>
      </c>
      <c r="W802" s="107"/>
      <c r="X802" s="23"/>
      <c r="Y802" s="23"/>
      <c r="Z802" s="23"/>
    </row>
    <row r="803">
      <c r="A803" s="107"/>
      <c r="B803" s="103" t="str">
        <f>IFERROR( VLOOKUP($A803,'INVOICE DETAILS.'!$F$3:$G$1994,2,0)," ")</f>
        <v> </v>
      </c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8"/>
      <c r="O803" s="109"/>
      <c r="P803" s="109"/>
      <c r="Q803" s="107"/>
      <c r="R803" s="107"/>
      <c r="S803" s="107"/>
      <c r="T803" s="107"/>
      <c r="U803" s="107"/>
      <c r="V803" s="107" t="str">
        <f t="shared" si="1"/>
        <v> </v>
      </c>
      <c r="W803" s="107"/>
      <c r="X803" s="23"/>
      <c r="Y803" s="23"/>
      <c r="Z803" s="23"/>
    </row>
    <row r="804">
      <c r="A804" s="107"/>
      <c r="B804" s="103" t="str">
        <f>IFERROR( VLOOKUP($A804,'INVOICE DETAILS.'!$F$3:$G$1994,2,0)," ")</f>
        <v> </v>
      </c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8"/>
      <c r="O804" s="109"/>
      <c r="P804" s="109"/>
      <c r="Q804" s="107"/>
      <c r="R804" s="107"/>
      <c r="S804" s="107"/>
      <c r="T804" s="107"/>
      <c r="U804" s="107"/>
      <c r="V804" s="107" t="str">
        <f t="shared" si="1"/>
        <v> </v>
      </c>
      <c r="W804" s="107"/>
      <c r="X804" s="23"/>
      <c r="Y804" s="23"/>
      <c r="Z804" s="23"/>
    </row>
    <row r="805">
      <c r="A805" s="107"/>
      <c r="B805" s="103" t="str">
        <f>IFERROR( VLOOKUP($A805,'INVOICE DETAILS.'!$F$3:$G$1994,2,0)," ")</f>
        <v> </v>
      </c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8"/>
      <c r="O805" s="109"/>
      <c r="P805" s="109"/>
      <c r="Q805" s="107"/>
      <c r="R805" s="107"/>
      <c r="S805" s="107"/>
      <c r="T805" s="107"/>
      <c r="U805" s="107"/>
      <c r="V805" s="107" t="str">
        <f t="shared" si="1"/>
        <v> </v>
      </c>
      <c r="W805" s="107"/>
      <c r="X805" s="23"/>
      <c r="Y805" s="23"/>
      <c r="Z805" s="23"/>
    </row>
    <row r="806">
      <c r="A806" s="107"/>
      <c r="B806" s="103" t="str">
        <f>IFERROR( VLOOKUP($A806,'INVOICE DETAILS.'!$F$3:$G$1994,2,0)," ")</f>
        <v> </v>
      </c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8"/>
      <c r="O806" s="109"/>
      <c r="P806" s="109"/>
      <c r="Q806" s="107"/>
      <c r="R806" s="107"/>
      <c r="S806" s="107"/>
      <c r="T806" s="107"/>
      <c r="U806" s="107"/>
      <c r="V806" s="107" t="str">
        <f t="shared" si="1"/>
        <v> </v>
      </c>
      <c r="W806" s="107"/>
      <c r="X806" s="23"/>
      <c r="Y806" s="23"/>
      <c r="Z806" s="23"/>
    </row>
    <row r="807">
      <c r="A807" s="107"/>
      <c r="B807" s="103" t="str">
        <f>IFERROR( VLOOKUP($A807,'INVOICE DETAILS.'!$F$3:$G$1994,2,0)," ")</f>
        <v> </v>
      </c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8"/>
      <c r="O807" s="109"/>
      <c r="P807" s="109"/>
      <c r="Q807" s="107"/>
      <c r="R807" s="107"/>
      <c r="S807" s="107"/>
      <c r="T807" s="107"/>
      <c r="U807" s="107"/>
      <c r="V807" s="107" t="str">
        <f t="shared" si="1"/>
        <v> </v>
      </c>
      <c r="W807" s="107"/>
      <c r="X807" s="23"/>
      <c r="Y807" s="23"/>
      <c r="Z807" s="23"/>
    </row>
    <row r="808">
      <c r="A808" s="107"/>
      <c r="B808" s="103" t="str">
        <f>IFERROR( VLOOKUP($A808,'INVOICE DETAILS.'!$F$3:$G$1994,2,0)," ")</f>
        <v> </v>
      </c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8"/>
      <c r="O808" s="109"/>
      <c r="P808" s="109"/>
      <c r="Q808" s="107"/>
      <c r="R808" s="107"/>
      <c r="S808" s="107"/>
      <c r="T808" s="107"/>
      <c r="U808" s="107"/>
      <c r="V808" s="107" t="str">
        <f t="shared" si="1"/>
        <v> </v>
      </c>
      <c r="W808" s="107"/>
      <c r="X808" s="23"/>
      <c r="Y808" s="23"/>
      <c r="Z808" s="23"/>
    </row>
    <row r="809">
      <c r="A809" s="107"/>
      <c r="B809" s="103" t="str">
        <f>IFERROR( VLOOKUP($A809,'INVOICE DETAILS.'!$F$3:$G$1994,2,0)," ")</f>
        <v> </v>
      </c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8"/>
      <c r="O809" s="109"/>
      <c r="P809" s="109"/>
      <c r="Q809" s="107"/>
      <c r="R809" s="107"/>
      <c r="S809" s="107"/>
      <c r="T809" s="107"/>
      <c r="U809" s="107"/>
      <c r="V809" s="107" t="str">
        <f t="shared" si="1"/>
        <v> </v>
      </c>
      <c r="W809" s="107"/>
      <c r="X809" s="23"/>
      <c r="Y809" s="23"/>
      <c r="Z809" s="23"/>
    </row>
    <row r="810">
      <c r="A810" s="107"/>
      <c r="B810" s="103" t="str">
        <f>IFERROR( VLOOKUP($A810,'INVOICE DETAILS.'!$F$3:$G$1994,2,0)," ")</f>
        <v> </v>
      </c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8"/>
      <c r="O810" s="109"/>
      <c r="P810" s="109"/>
      <c r="Q810" s="107"/>
      <c r="R810" s="107"/>
      <c r="S810" s="107"/>
      <c r="T810" s="107"/>
      <c r="U810" s="107"/>
      <c r="V810" s="107" t="str">
        <f t="shared" si="1"/>
        <v> </v>
      </c>
      <c r="W810" s="107"/>
      <c r="X810" s="23"/>
      <c r="Y810" s="23"/>
      <c r="Z810" s="23"/>
    </row>
    <row r="811">
      <c r="A811" s="107"/>
      <c r="B811" s="103" t="str">
        <f>IFERROR( VLOOKUP($A811,'INVOICE DETAILS.'!$F$3:$G$1994,2,0)," ")</f>
        <v> </v>
      </c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8"/>
      <c r="O811" s="109"/>
      <c r="P811" s="109"/>
      <c r="Q811" s="107"/>
      <c r="R811" s="107"/>
      <c r="S811" s="107"/>
      <c r="T811" s="107"/>
      <c r="U811" s="107"/>
      <c r="V811" s="107" t="str">
        <f t="shared" si="1"/>
        <v> </v>
      </c>
      <c r="W811" s="107"/>
      <c r="X811" s="23"/>
      <c r="Y811" s="23"/>
      <c r="Z811" s="23"/>
    </row>
    <row r="812">
      <c r="A812" s="107"/>
      <c r="B812" s="103" t="str">
        <f>IFERROR( VLOOKUP($A812,'INVOICE DETAILS.'!$F$3:$G$1994,2,0)," ")</f>
        <v> </v>
      </c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8"/>
      <c r="O812" s="109"/>
      <c r="P812" s="109"/>
      <c r="Q812" s="107"/>
      <c r="R812" s="107"/>
      <c r="S812" s="107"/>
      <c r="T812" s="107"/>
      <c r="U812" s="107"/>
      <c r="V812" s="107" t="str">
        <f t="shared" si="1"/>
        <v> </v>
      </c>
      <c r="W812" s="107"/>
      <c r="X812" s="23"/>
      <c r="Y812" s="23"/>
      <c r="Z812" s="23"/>
    </row>
    <row r="813">
      <c r="A813" s="107"/>
      <c r="B813" s="103" t="str">
        <f>IFERROR( VLOOKUP($A813,'INVOICE DETAILS.'!$F$3:$G$1994,2,0)," ")</f>
        <v> </v>
      </c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8"/>
      <c r="O813" s="109"/>
      <c r="P813" s="109"/>
      <c r="Q813" s="107"/>
      <c r="R813" s="107"/>
      <c r="S813" s="107"/>
      <c r="T813" s="107"/>
      <c r="U813" s="107"/>
      <c r="V813" s="107" t="str">
        <f t="shared" si="1"/>
        <v> </v>
      </c>
      <c r="W813" s="107"/>
      <c r="X813" s="23"/>
      <c r="Y813" s="23"/>
      <c r="Z813" s="23"/>
    </row>
    <row r="814">
      <c r="A814" s="107"/>
      <c r="B814" s="103" t="str">
        <f>IFERROR( VLOOKUP($A814,'INVOICE DETAILS.'!$F$3:$G$1994,2,0)," ")</f>
        <v> </v>
      </c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8"/>
      <c r="O814" s="109"/>
      <c r="P814" s="109"/>
      <c r="Q814" s="107"/>
      <c r="R814" s="107"/>
      <c r="S814" s="107"/>
      <c r="T814" s="107"/>
      <c r="U814" s="107"/>
      <c r="V814" s="107" t="str">
        <f t="shared" si="1"/>
        <v> </v>
      </c>
      <c r="W814" s="107"/>
      <c r="X814" s="23"/>
      <c r="Y814" s="23"/>
      <c r="Z814" s="23"/>
    </row>
    <row r="815">
      <c r="A815" s="107"/>
      <c r="B815" s="103" t="str">
        <f>IFERROR( VLOOKUP($A815,'INVOICE DETAILS.'!$F$3:$G$1994,2,0)," ")</f>
        <v> </v>
      </c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8"/>
      <c r="O815" s="109"/>
      <c r="P815" s="109"/>
      <c r="Q815" s="107"/>
      <c r="R815" s="107"/>
      <c r="S815" s="107"/>
      <c r="T815" s="107"/>
      <c r="U815" s="107"/>
      <c r="V815" s="107" t="str">
        <f t="shared" si="1"/>
        <v> </v>
      </c>
      <c r="W815" s="107"/>
      <c r="X815" s="23"/>
      <c r="Y815" s="23"/>
      <c r="Z815" s="23"/>
    </row>
    <row r="816">
      <c r="A816" s="107"/>
      <c r="B816" s="103" t="str">
        <f>IFERROR( VLOOKUP($A816,'INVOICE DETAILS.'!$F$3:$G$1994,2,0)," ")</f>
        <v> </v>
      </c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8"/>
      <c r="O816" s="109"/>
      <c r="P816" s="109"/>
      <c r="Q816" s="107"/>
      <c r="R816" s="107"/>
      <c r="S816" s="107"/>
      <c r="T816" s="107"/>
      <c r="U816" s="107"/>
      <c r="V816" s="107" t="str">
        <f t="shared" si="1"/>
        <v> </v>
      </c>
      <c r="W816" s="107"/>
      <c r="X816" s="23"/>
      <c r="Y816" s="23"/>
      <c r="Z816" s="23"/>
    </row>
    <row r="817">
      <c r="A817" s="107"/>
      <c r="B817" s="103" t="str">
        <f>IFERROR( VLOOKUP($A817,'INVOICE DETAILS.'!$F$3:$G$1994,2,0)," ")</f>
        <v> </v>
      </c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8"/>
      <c r="O817" s="109"/>
      <c r="P817" s="109"/>
      <c r="Q817" s="107"/>
      <c r="R817" s="107"/>
      <c r="S817" s="107"/>
      <c r="T817" s="107"/>
      <c r="U817" s="107"/>
      <c r="V817" s="107" t="str">
        <f t="shared" si="1"/>
        <v> </v>
      </c>
      <c r="W817" s="107"/>
      <c r="X817" s="23"/>
      <c r="Y817" s="23"/>
      <c r="Z817" s="23"/>
    </row>
    <row r="818">
      <c r="A818" s="107"/>
      <c r="B818" s="103" t="str">
        <f>IFERROR( VLOOKUP($A818,'INVOICE DETAILS.'!$F$3:$G$1994,2,0)," ")</f>
        <v> </v>
      </c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8"/>
      <c r="O818" s="109"/>
      <c r="P818" s="109"/>
      <c r="Q818" s="107"/>
      <c r="R818" s="107"/>
      <c r="S818" s="107"/>
      <c r="T818" s="107"/>
      <c r="U818" s="107"/>
      <c r="V818" s="107" t="str">
        <f t="shared" si="1"/>
        <v> </v>
      </c>
      <c r="W818" s="107"/>
      <c r="X818" s="23"/>
      <c r="Y818" s="23"/>
      <c r="Z818" s="23"/>
    </row>
    <row r="819">
      <c r="A819" s="107"/>
      <c r="B819" s="103" t="str">
        <f>IFERROR( VLOOKUP($A819,'INVOICE DETAILS.'!$F$3:$G$1994,2,0)," ")</f>
        <v> </v>
      </c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8"/>
      <c r="O819" s="109"/>
      <c r="P819" s="109"/>
      <c r="Q819" s="107"/>
      <c r="R819" s="107"/>
      <c r="S819" s="107"/>
      <c r="T819" s="107"/>
      <c r="U819" s="107"/>
      <c r="V819" s="107" t="str">
        <f t="shared" si="1"/>
        <v> </v>
      </c>
      <c r="W819" s="107"/>
      <c r="X819" s="23"/>
      <c r="Y819" s="23"/>
      <c r="Z819" s="23"/>
    </row>
    <row r="820">
      <c r="A820" s="107"/>
      <c r="B820" s="103" t="str">
        <f>IFERROR( VLOOKUP($A820,'INVOICE DETAILS.'!$F$3:$G$1994,2,0)," ")</f>
        <v> </v>
      </c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8"/>
      <c r="O820" s="109"/>
      <c r="P820" s="109"/>
      <c r="Q820" s="107"/>
      <c r="R820" s="107"/>
      <c r="S820" s="107"/>
      <c r="T820" s="107"/>
      <c r="U820" s="107"/>
      <c r="V820" s="107" t="str">
        <f t="shared" si="1"/>
        <v> </v>
      </c>
      <c r="W820" s="107"/>
      <c r="X820" s="23"/>
      <c r="Y820" s="23"/>
      <c r="Z820" s="23"/>
    </row>
    <row r="821">
      <c r="A821" s="107"/>
      <c r="B821" s="103" t="str">
        <f>IFERROR( VLOOKUP($A821,'INVOICE DETAILS.'!$F$3:$G$1994,2,0)," ")</f>
        <v> </v>
      </c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8"/>
      <c r="O821" s="109"/>
      <c r="P821" s="109"/>
      <c r="Q821" s="107"/>
      <c r="R821" s="107"/>
      <c r="S821" s="107"/>
      <c r="T821" s="107"/>
      <c r="U821" s="107"/>
      <c r="V821" s="107" t="str">
        <f t="shared" si="1"/>
        <v> </v>
      </c>
      <c r="W821" s="107"/>
      <c r="X821" s="23"/>
      <c r="Y821" s="23"/>
      <c r="Z821" s="23"/>
    </row>
    <row r="822">
      <c r="A822" s="107"/>
      <c r="B822" s="103" t="str">
        <f>IFERROR( VLOOKUP($A822,'INVOICE DETAILS.'!$F$3:$G$1994,2,0)," ")</f>
        <v> </v>
      </c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8"/>
      <c r="O822" s="109"/>
      <c r="P822" s="109"/>
      <c r="Q822" s="107"/>
      <c r="R822" s="107"/>
      <c r="S822" s="107"/>
      <c r="T822" s="107"/>
      <c r="U822" s="107"/>
      <c r="V822" s="107" t="str">
        <f t="shared" si="1"/>
        <v> </v>
      </c>
      <c r="W822" s="107"/>
      <c r="X822" s="23"/>
      <c r="Y822" s="23"/>
      <c r="Z822" s="23"/>
    </row>
    <row r="823">
      <c r="A823" s="107"/>
      <c r="B823" s="103" t="str">
        <f>IFERROR( VLOOKUP($A823,'INVOICE DETAILS.'!$F$3:$G$1994,2,0)," ")</f>
        <v> </v>
      </c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8"/>
      <c r="O823" s="109"/>
      <c r="P823" s="109"/>
      <c r="Q823" s="107"/>
      <c r="R823" s="107"/>
      <c r="S823" s="107"/>
      <c r="T823" s="107"/>
      <c r="U823" s="107"/>
      <c r="V823" s="107" t="str">
        <f t="shared" si="1"/>
        <v> </v>
      </c>
      <c r="W823" s="107"/>
      <c r="X823" s="23"/>
      <c r="Y823" s="23"/>
      <c r="Z823" s="23"/>
    </row>
    <row r="824">
      <c r="A824" s="107"/>
      <c r="B824" s="103" t="str">
        <f>IFERROR( VLOOKUP($A824,'INVOICE DETAILS.'!$F$3:$G$1994,2,0)," ")</f>
        <v> </v>
      </c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8"/>
      <c r="O824" s="109"/>
      <c r="P824" s="109"/>
      <c r="Q824" s="107"/>
      <c r="R824" s="107"/>
      <c r="S824" s="107"/>
      <c r="T824" s="107"/>
      <c r="U824" s="107"/>
      <c r="V824" s="107" t="str">
        <f t="shared" si="1"/>
        <v> </v>
      </c>
      <c r="W824" s="107"/>
      <c r="X824" s="23"/>
      <c r="Y824" s="23"/>
      <c r="Z824" s="23"/>
    </row>
    <row r="825">
      <c r="A825" s="107"/>
      <c r="B825" s="103" t="str">
        <f>IFERROR( VLOOKUP($A825,'INVOICE DETAILS.'!$F$3:$G$1994,2,0)," ")</f>
        <v> </v>
      </c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8"/>
      <c r="O825" s="109"/>
      <c r="P825" s="109"/>
      <c r="Q825" s="107"/>
      <c r="R825" s="107"/>
      <c r="S825" s="107"/>
      <c r="T825" s="107"/>
      <c r="U825" s="107"/>
      <c r="V825" s="107" t="str">
        <f t="shared" si="1"/>
        <v> </v>
      </c>
      <c r="W825" s="107"/>
      <c r="X825" s="23"/>
      <c r="Y825" s="23"/>
      <c r="Z825" s="23"/>
    </row>
    <row r="826">
      <c r="A826" s="107"/>
      <c r="B826" s="103" t="str">
        <f>IFERROR( VLOOKUP($A826,'INVOICE DETAILS.'!$F$3:$G$1994,2,0)," ")</f>
        <v> </v>
      </c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8"/>
      <c r="O826" s="109"/>
      <c r="P826" s="109"/>
      <c r="Q826" s="107"/>
      <c r="R826" s="107"/>
      <c r="S826" s="107"/>
      <c r="T826" s="107"/>
      <c r="U826" s="107"/>
      <c r="V826" s="107" t="str">
        <f t="shared" si="1"/>
        <v> </v>
      </c>
      <c r="W826" s="107"/>
      <c r="X826" s="23"/>
      <c r="Y826" s="23"/>
      <c r="Z826" s="23"/>
    </row>
    <row r="827">
      <c r="A827" s="107"/>
      <c r="B827" s="103" t="str">
        <f>IFERROR( VLOOKUP($A827,'INVOICE DETAILS.'!$F$3:$G$1994,2,0)," ")</f>
        <v> </v>
      </c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8"/>
      <c r="O827" s="109"/>
      <c r="P827" s="109"/>
      <c r="Q827" s="107"/>
      <c r="R827" s="107"/>
      <c r="S827" s="107"/>
      <c r="T827" s="107"/>
      <c r="U827" s="107"/>
      <c r="V827" s="107" t="str">
        <f t="shared" si="1"/>
        <v> </v>
      </c>
      <c r="W827" s="107"/>
      <c r="X827" s="23"/>
      <c r="Y827" s="23"/>
      <c r="Z827" s="23"/>
    </row>
    <row r="828">
      <c r="A828" s="107"/>
      <c r="B828" s="103" t="str">
        <f>IFERROR( VLOOKUP($A828,'INVOICE DETAILS.'!$F$3:$G$1994,2,0)," ")</f>
        <v> </v>
      </c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8"/>
      <c r="O828" s="109"/>
      <c r="P828" s="109"/>
      <c r="Q828" s="107"/>
      <c r="R828" s="107"/>
      <c r="S828" s="107"/>
      <c r="T828" s="107"/>
      <c r="U828" s="107"/>
      <c r="V828" s="107" t="str">
        <f t="shared" si="1"/>
        <v> </v>
      </c>
      <c r="W828" s="107"/>
      <c r="X828" s="23"/>
      <c r="Y828" s="23"/>
      <c r="Z828" s="23"/>
    </row>
    <row r="829">
      <c r="A829" s="107"/>
      <c r="B829" s="103" t="str">
        <f>IFERROR( VLOOKUP($A829,'INVOICE DETAILS.'!$F$3:$G$1994,2,0)," ")</f>
        <v> </v>
      </c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8"/>
      <c r="O829" s="109"/>
      <c r="P829" s="109"/>
      <c r="Q829" s="107"/>
      <c r="R829" s="107"/>
      <c r="S829" s="107"/>
      <c r="T829" s="107"/>
      <c r="U829" s="107"/>
      <c r="V829" s="107" t="str">
        <f t="shared" si="1"/>
        <v> </v>
      </c>
      <c r="W829" s="107"/>
      <c r="X829" s="23"/>
      <c r="Y829" s="23"/>
      <c r="Z829" s="23"/>
    </row>
    <row r="830">
      <c r="A830" s="107"/>
      <c r="B830" s="103" t="str">
        <f>IFERROR( VLOOKUP($A830,'INVOICE DETAILS.'!$F$3:$G$1994,2,0)," ")</f>
        <v> </v>
      </c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8"/>
      <c r="O830" s="109"/>
      <c r="P830" s="109"/>
      <c r="Q830" s="107"/>
      <c r="R830" s="107"/>
      <c r="S830" s="107"/>
      <c r="T830" s="107"/>
      <c r="U830" s="107"/>
      <c r="V830" s="107" t="str">
        <f t="shared" si="1"/>
        <v> </v>
      </c>
      <c r="W830" s="107"/>
      <c r="X830" s="23"/>
      <c r="Y830" s="23"/>
      <c r="Z830" s="23"/>
    </row>
    <row r="831">
      <c r="A831" s="107"/>
      <c r="B831" s="103" t="str">
        <f>IFERROR( VLOOKUP($A831,'INVOICE DETAILS.'!$F$3:$G$1994,2,0)," ")</f>
        <v> </v>
      </c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8"/>
      <c r="O831" s="109"/>
      <c r="P831" s="109"/>
      <c r="Q831" s="107"/>
      <c r="R831" s="107"/>
      <c r="S831" s="107"/>
      <c r="T831" s="107"/>
      <c r="U831" s="107"/>
      <c r="V831" s="107" t="str">
        <f t="shared" si="1"/>
        <v> </v>
      </c>
      <c r="W831" s="107"/>
      <c r="X831" s="23"/>
      <c r="Y831" s="23"/>
      <c r="Z831" s="23"/>
    </row>
    <row r="832">
      <c r="A832" s="107"/>
      <c r="B832" s="103" t="str">
        <f>IFERROR( VLOOKUP($A832,'INVOICE DETAILS.'!$F$3:$G$1994,2,0)," ")</f>
        <v> </v>
      </c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8"/>
      <c r="O832" s="109"/>
      <c r="P832" s="109"/>
      <c r="Q832" s="107"/>
      <c r="R832" s="107"/>
      <c r="S832" s="107"/>
      <c r="T832" s="107"/>
      <c r="U832" s="107"/>
      <c r="V832" s="107" t="str">
        <f t="shared" si="1"/>
        <v> </v>
      </c>
      <c r="W832" s="107"/>
      <c r="X832" s="23"/>
      <c r="Y832" s="23"/>
      <c r="Z832" s="23"/>
    </row>
    <row r="833">
      <c r="A833" s="107"/>
      <c r="B833" s="103" t="str">
        <f>IFERROR( VLOOKUP($A833,'INVOICE DETAILS.'!$F$3:$G$1994,2,0)," ")</f>
        <v> </v>
      </c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8"/>
      <c r="O833" s="109"/>
      <c r="P833" s="109"/>
      <c r="Q833" s="107"/>
      <c r="R833" s="107"/>
      <c r="S833" s="107"/>
      <c r="T833" s="107"/>
      <c r="U833" s="107"/>
      <c r="V833" s="107" t="str">
        <f t="shared" si="1"/>
        <v> </v>
      </c>
      <c r="W833" s="107"/>
      <c r="X833" s="23"/>
      <c r="Y833" s="23"/>
      <c r="Z833" s="23"/>
    </row>
    <row r="834">
      <c r="A834" s="107"/>
      <c r="B834" s="103" t="str">
        <f>IFERROR( VLOOKUP($A834,'INVOICE DETAILS.'!$F$3:$G$1994,2,0)," ")</f>
        <v> </v>
      </c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8"/>
      <c r="O834" s="109"/>
      <c r="P834" s="109"/>
      <c r="Q834" s="107"/>
      <c r="R834" s="107"/>
      <c r="S834" s="107"/>
      <c r="T834" s="107"/>
      <c r="U834" s="107"/>
      <c r="V834" s="107" t="str">
        <f t="shared" si="1"/>
        <v> </v>
      </c>
      <c r="W834" s="107"/>
      <c r="X834" s="23"/>
      <c r="Y834" s="23"/>
      <c r="Z834" s="23"/>
    </row>
    <row r="835">
      <c r="A835" s="107"/>
      <c r="B835" s="103" t="str">
        <f>IFERROR( VLOOKUP($A835,'INVOICE DETAILS.'!$F$3:$G$1994,2,0)," ")</f>
        <v> </v>
      </c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8"/>
      <c r="O835" s="109"/>
      <c r="P835" s="109"/>
      <c r="Q835" s="107"/>
      <c r="R835" s="107"/>
      <c r="S835" s="107"/>
      <c r="T835" s="107"/>
      <c r="U835" s="107"/>
      <c r="V835" s="107" t="str">
        <f t="shared" si="1"/>
        <v> </v>
      </c>
      <c r="W835" s="107"/>
      <c r="X835" s="23"/>
      <c r="Y835" s="23"/>
      <c r="Z835" s="23"/>
    </row>
    <row r="836">
      <c r="A836" s="107"/>
      <c r="B836" s="103" t="str">
        <f>IFERROR( VLOOKUP($A836,'INVOICE DETAILS.'!$F$3:$G$1994,2,0)," ")</f>
        <v> </v>
      </c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8"/>
      <c r="O836" s="109"/>
      <c r="P836" s="109"/>
      <c r="Q836" s="107"/>
      <c r="R836" s="107"/>
      <c r="S836" s="107"/>
      <c r="T836" s="107"/>
      <c r="U836" s="107"/>
      <c r="V836" s="107" t="str">
        <f t="shared" si="1"/>
        <v> </v>
      </c>
      <c r="W836" s="107"/>
      <c r="X836" s="23"/>
      <c r="Y836" s="23"/>
      <c r="Z836" s="23"/>
    </row>
    <row r="837">
      <c r="A837" s="107"/>
      <c r="B837" s="103" t="str">
        <f>IFERROR( VLOOKUP($A837,'INVOICE DETAILS.'!$F$3:$G$1994,2,0)," ")</f>
        <v> </v>
      </c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8"/>
      <c r="O837" s="109"/>
      <c r="P837" s="109"/>
      <c r="Q837" s="107"/>
      <c r="R837" s="107"/>
      <c r="S837" s="107"/>
      <c r="T837" s="107"/>
      <c r="U837" s="107"/>
      <c r="V837" s="107" t="str">
        <f t="shared" si="1"/>
        <v> </v>
      </c>
      <c r="W837" s="107"/>
      <c r="X837" s="23"/>
      <c r="Y837" s="23"/>
      <c r="Z837" s="23"/>
    </row>
    <row r="838">
      <c r="A838" s="107"/>
      <c r="B838" s="103" t="str">
        <f>IFERROR( VLOOKUP($A838,'INVOICE DETAILS.'!$F$3:$G$1994,2,0)," ")</f>
        <v> </v>
      </c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8"/>
      <c r="O838" s="109"/>
      <c r="P838" s="109"/>
      <c r="Q838" s="107"/>
      <c r="R838" s="107"/>
      <c r="S838" s="107"/>
      <c r="T838" s="107"/>
      <c r="U838" s="107"/>
      <c r="V838" s="107" t="str">
        <f t="shared" si="1"/>
        <v> </v>
      </c>
      <c r="W838" s="107"/>
      <c r="X838" s="23"/>
      <c r="Y838" s="23"/>
      <c r="Z838" s="23"/>
    </row>
    <row r="839">
      <c r="A839" s="107"/>
      <c r="B839" s="103" t="str">
        <f>IFERROR( VLOOKUP($A839,'INVOICE DETAILS.'!$F$3:$G$1994,2,0)," ")</f>
        <v> </v>
      </c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8"/>
      <c r="O839" s="109"/>
      <c r="P839" s="109"/>
      <c r="Q839" s="107"/>
      <c r="R839" s="107"/>
      <c r="S839" s="107"/>
      <c r="T839" s="107"/>
      <c r="U839" s="107"/>
      <c r="V839" s="107" t="str">
        <f t="shared" si="1"/>
        <v> </v>
      </c>
      <c r="W839" s="107"/>
      <c r="X839" s="23"/>
      <c r="Y839" s="23"/>
      <c r="Z839" s="23"/>
    </row>
    <row r="840">
      <c r="A840" s="107"/>
      <c r="B840" s="103" t="str">
        <f>IFERROR( VLOOKUP($A840,'INVOICE DETAILS.'!$F$3:$G$1994,2,0)," ")</f>
        <v> </v>
      </c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8"/>
      <c r="O840" s="109"/>
      <c r="P840" s="109"/>
      <c r="Q840" s="107"/>
      <c r="R840" s="107"/>
      <c r="S840" s="107"/>
      <c r="T840" s="107"/>
      <c r="U840" s="107"/>
      <c r="V840" s="107" t="str">
        <f t="shared" si="1"/>
        <v> </v>
      </c>
      <c r="W840" s="107"/>
      <c r="X840" s="23"/>
      <c r="Y840" s="23"/>
      <c r="Z840" s="23"/>
    </row>
    <row r="841">
      <c r="A841" s="107"/>
      <c r="B841" s="103" t="str">
        <f>IFERROR( VLOOKUP($A841,'INVOICE DETAILS.'!$F$3:$G$1994,2,0)," ")</f>
        <v> </v>
      </c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8"/>
      <c r="O841" s="109"/>
      <c r="P841" s="109"/>
      <c r="Q841" s="107"/>
      <c r="R841" s="107"/>
      <c r="S841" s="107"/>
      <c r="T841" s="107"/>
      <c r="U841" s="107"/>
      <c r="V841" s="107" t="str">
        <f t="shared" si="1"/>
        <v> </v>
      </c>
      <c r="W841" s="107"/>
      <c r="X841" s="23"/>
      <c r="Y841" s="23"/>
      <c r="Z841" s="23"/>
    </row>
    <row r="842">
      <c r="A842" s="107"/>
      <c r="B842" s="103" t="str">
        <f>IFERROR( VLOOKUP($A842,'INVOICE DETAILS.'!$F$3:$G$1994,2,0)," ")</f>
        <v> </v>
      </c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8"/>
      <c r="O842" s="109"/>
      <c r="P842" s="109"/>
      <c r="Q842" s="107"/>
      <c r="R842" s="107"/>
      <c r="S842" s="107"/>
      <c r="T842" s="107"/>
      <c r="U842" s="107"/>
      <c r="V842" s="107" t="str">
        <f t="shared" si="1"/>
        <v> </v>
      </c>
      <c r="W842" s="107"/>
      <c r="X842" s="23"/>
      <c r="Y842" s="23"/>
      <c r="Z842" s="23"/>
    </row>
    <row r="843">
      <c r="A843" s="107"/>
      <c r="B843" s="103" t="str">
        <f>IFERROR( VLOOKUP($A843,'INVOICE DETAILS.'!$F$3:$G$1994,2,0)," ")</f>
        <v> </v>
      </c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8"/>
      <c r="O843" s="109"/>
      <c r="P843" s="109"/>
      <c r="Q843" s="107"/>
      <c r="R843" s="107"/>
      <c r="S843" s="107"/>
      <c r="T843" s="107"/>
      <c r="U843" s="107"/>
      <c r="V843" s="107" t="str">
        <f t="shared" si="1"/>
        <v> </v>
      </c>
      <c r="W843" s="107"/>
      <c r="X843" s="23"/>
      <c r="Y843" s="23"/>
      <c r="Z843" s="23"/>
    </row>
    <row r="844">
      <c r="A844" s="107"/>
      <c r="B844" s="103" t="str">
        <f>IFERROR( VLOOKUP($A844,'INVOICE DETAILS.'!$F$3:$G$1994,2,0)," ")</f>
        <v> </v>
      </c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8"/>
      <c r="O844" s="109"/>
      <c r="P844" s="109"/>
      <c r="Q844" s="107"/>
      <c r="R844" s="107"/>
      <c r="S844" s="107"/>
      <c r="T844" s="107"/>
      <c r="U844" s="107"/>
      <c r="V844" s="107" t="str">
        <f t="shared" si="1"/>
        <v> </v>
      </c>
      <c r="W844" s="107"/>
      <c r="X844" s="23"/>
      <c r="Y844" s="23"/>
      <c r="Z844" s="23"/>
    </row>
    <row r="845">
      <c r="A845" s="107"/>
      <c r="B845" s="103" t="str">
        <f>IFERROR( VLOOKUP($A845,'INVOICE DETAILS.'!$F$3:$G$1994,2,0)," ")</f>
        <v> </v>
      </c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8"/>
      <c r="O845" s="109"/>
      <c r="P845" s="109"/>
      <c r="Q845" s="107"/>
      <c r="R845" s="107"/>
      <c r="S845" s="107"/>
      <c r="T845" s="107"/>
      <c r="U845" s="107"/>
      <c r="V845" s="107" t="str">
        <f t="shared" si="1"/>
        <v> </v>
      </c>
      <c r="W845" s="107"/>
      <c r="X845" s="23"/>
      <c r="Y845" s="23"/>
      <c r="Z845" s="23"/>
    </row>
    <row r="846">
      <c r="A846" s="107"/>
      <c r="B846" s="103" t="str">
        <f>IFERROR( VLOOKUP($A846,'INVOICE DETAILS.'!$F$3:$G$1994,2,0)," ")</f>
        <v> </v>
      </c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8"/>
      <c r="O846" s="109"/>
      <c r="P846" s="109"/>
      <c r="Q846" s="107"/>
      <c r="R846" s="107"/>
      <c r="S846" s="107"/>
      <c r="T846" s="107"/>
      <c r="U846" s="107"/>
      <c r="V846" s="107" t="str">
        <f t="shared" si="1"/>
        <v> </v>
      </c>
      <c r="W846" s="107"/>
      <c r="X846" s="23"/>
      <c r="Y846" s="23"/>
      <c r="Z846" s="23"/>
    </row>
    <row r="847">
      <c r="A847" s="107"/>
      <c r="B847" s="103" t="str">
        <f>IFERROR( VLOOKUP($A847,'INVOICE DETAILS.'!$F$3:$G$1994,2,0)," ")</f>
        <v> </v>
      </c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8"/>
      <c r="O847" s="109"/>
      <c r="P847" s="109"/>
      <c r="Q847" s="107"/>
      <c r="R847" s="107"/>
      <c r="S847" s="107"/>
      <c r="T847" s="107"/>
      <c r="U847" s="107"/>
      <c r="V847" s="107" t="str">
        <f t="shared" si="1"/>
        <v> </v>
      </c>
      <c r="W847" s="107"/>
      <c r="X847" s="23"/>
      <c r="Y847" s="23"/>
      <c r="Z847" s="23"/>
    </row>
    <row r="848">
      <c r="A848" s="107"/>
      <c r="B848" s="103" t="str">
        <f>IFERROR( VLOOKUP($A848,'INVOICE DETAILS.'!$F$3:$G$1994,2,0)," ")</f>
        <v> </v>
      </c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8"/>
      <c r="O848" s="109"/>
      <c r="P848" s="109"/>
      <c r="Q848" s="107"/>
      <c r="R848" s="107"/>
      <c r="S848" s="107"/>
      <c r="T848" s="107"/>
      <c r="U848" s="107"/>
      <c r="V848" s="107" t="str">
        <f t="shared" si="1"/>
        <v> </v>
      </c>
      <c r="W848" s="107"/>
      <c r="X848" s="23"/>
      <c r="Y848" s="23"/>
      <c r="Z848" s="23"/>
    </row>
    <row r="849">
      <c r="A849" s="107"/>
      <c r="B849" s="103" t="str">
        <f>IFERROR( VLOOKUP($A849,'INVOICE DETAILS.'!$F$3:$G$1994,2,0)," ")</f>
        <v> </v>
      </c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8"/>
      <c r="O849" s="109"/>
      <c r="P849" s="109"/>
      <c r="Q849" s="107"/>
      <c r="R849" s="107"/>
      <c r="S849" s="107"/>
      <c r="T849" s="107"/>
      <c r="U849" s="107"/>
      <c r="V849" s="107" t="str">
        <f t="shared" si="1"/>
        <v> </v>
      </c>
      <c r="W849" s="107"/>
      <c r="X849" s="23"/>
      <c r="Y849" s="23"/>
      <c r="Z849" s="23"/>
    </row>
    <row r="850">
      <c r="A850" s="107"/>
      <c r="B850" s="103" t="str">
        <f>IFERROR( VLOOKUP($A850,'INVOICE DETAILS.'!$F$3:$G$1994,2,0)," ")</f>
        <v> </v>
      </c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8"/>
      <c r="O850" s="109"/>
      <c r="P850" s="109"/>
      <c r="Q850" s="107"/>
      <c r="R850" s="107"/>
      <c r="S850" s="107"/>
      <c r="T850" s="107"/>
      <c r="U850" s="107"/>
      <c r="V850" s="107" t="str">
        <f t="shared" si="1"/>
        <v> </v>
      </c>
      <c r="W850" s="107"/>
      <c r="X850" s="23"/>
      <c r="Y850" s="23"/>
      <c r="Z850" s="23"/>
    </row>
    <row r="851">
      <c r="A851" s="107"/>
      <c r="B851" s="103" t="str">
        <f>IFERROR( VLOOKUP($A851,'INVOICE DETAILS.'!$F$3:$G$1994,2,0)," ")</f>
        <v> </v>
      </c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8"/>
      <c r="O851" s="109"/>
      <c r="P851" s="109"/>
      <c r="Q851" s="107"/>
      <c r="R851" s="107"/>
      <c r="S851" s="107"/>
      <c r="T851" s="107"/>
      <c r="U851" s="107"/>
      <c r="V851" s="107" t="str">
        <f t="shared" si="1"/>
        <v> </v>
      </c>
      <c r="W851" s="107"/>
      <c r="X851" s="23"/>
      <c r="Y851" s="23"/>
      <c r="Z851" s="23"/>
    </row>
    <row r="852">
      <c r="A852" s="107"/>
      <c r="B852" s="103" t="str">
        <f>IFERROR( VLOOKUP($A852,'INVOICE DETAILS.'!$F$3:$G$1994,2,0)," ")</f>
        <v> </v>
      </c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8"/>
      <c r="O852" s="109"/>
      <c r="P852" s="109"/>
      <c r="Q852" s="107"/>
      <c r="R852" s="107"/>
      <c r="S852" s="107"/>
      <c r="T852" s="107"/>
      <c r="U852" s="107"/>
      <c r="V852" s="107" t="str">
        <f t="shared" si="1"/>
        <v> </v>
      </c>
      <c r="W852" s="107"/>
      <c r="X852" s="23"/>
      <c r="Y852" s="23"/>
      <c r="Z852" s="23"/>
    </row>
    <row r="853">
      <c r="A853" s="107"/>
      <c r="B853" s="103" t="str">
        <f>IFERROR( VLOOKUP($A853,'INVOICE DETAILS.'!$F$3:$G$1994,2,0)," ")</f>
        <v> </v>
      </c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8"/>
      <c r="O853" s="109"/>
      <c r="P853" s="109"/>
      <c r="Q853" s="107"/>
      <c r="R853" s="107"/>
      <c r="S853" s="107"/>
      <c r="T853" s="107"/>
      <c r="U853" s="107"/>
      <c r="V853" s="107" t="str">
        <f t="shared" si="1"/>
        <v> </v>
      </c>
      <c r="W853" s="107"/>
      <c r="X853" s="23"/>
      <c r="Y853" s="23"/>
      <c r="Z853" s="23"/>
    </row>
    <row r="854">
      <c r="A854" s="107"/>
      <c r="B854" s="103" t="str">
        <f>IFERROR( VLOOKUP($A854,'INVOICE DETAILS.'!$F$3:$G$1994,2,0)," ")</f>
        <v> </v>
      </c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8"/>
      <c r="O854" s="109"/>
      <c r="P854" s="109"/>
      <c r="Q854" s="107"/>
      <c r="R854" s="107"/>
      <c r="S854" s="107"/>
      <c r="T854" s="107"/>
      <c r="U854" s="107"/>
      <c r="V854" s="107" t="str">
        <f t="shared" si="1"/>
        <v> </v>
      </c>
      <c r="W854" s="107"/>
      <c r="X854" s="23"/>
      <c r="Y854" s="23"/>
      <c r="Z854" s="23"/>
    </row>
    <row r="855">
      <c r="A855" s="107"/>
      <c r="B855" s="103" t="str">
        <f>IFERROR( VLOOKUP($A855,'INVOICE DETAILS.'!$F$3:$G$1994,2,0)," ")</f>
        <v> </v>
      </c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8"/>
      <c r="O855" s="109"/>
      <c r="P855" s="109"/>
      <c r="Q855" s="107"/>
      <c r="R855" s="107"/>
      <c r="S855" s="107"/>
      <c r="T855" s="107"/>
      <c r="U855" s="107"/>
      <c r="V855" s="107" t="str">
        <f t="shared" si="1"/>
        <v> </v>
      </c>
      <c r="W855" s="107"/>
      <c r="X855" s="23"/>
      <c r="Y855" s="23"/>
      <c r="Z855" s="23"/>
    </row>
    <row r="856">
      <c r="A856" s="107"/>
      <c r="B856" s="103" t="str">
        <f>IFERROR( VLOOKUP($A856,'INVOICE DETAILS.'!$F$3:$G$1994,2,0)," ")</f>
        <v> </v>
      </c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8"/>
      <c r="O856" s="109"/>
      <c r="P856" s="109"/>
      <c r="Q856" s="107"/>
      <c r="R856" s="107"/>
      <c r="S856" s="107"/>
      <c r="T856" s="107"/>
      <c r="U856" s="107"/>
      <c r="V856" s="107" t="str">
        <f t="shared" si="1"/>
        <v> </v>
      </c>
      <c r="W856" s="107"/>
      <c r="X856" s="23"/>
      <c r="Y856" s="23"/>
      <c r="Z856" s="23"/>
    </row>
    <row r="857">
      <c r="A857" s="107"/>
      <c r="B857" s="103" t="str">
        <f>IFERROR( VLOOKUP($A857,'INVOICE DETAILS.'!$F$3:$G$1994,2,0)," ")</f>
        <v> </v>
      </c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8"/>
      <c r="O857" s="109"/>
      <c r="P857" s="109"/>
      <c r="Q857" s="107"/>
      <c r="R857" s="107"/>
      <c r="S857" s="107"/>
      <c r="T857" s="107"/>
      <c r="U857" s="107"/>
      <c r="V857" s="107" t="str">
        <f t="shared" si="1"/>
        <v> </v>
      </c>
      <c r="W857" s="107"/>
      <c r="X857" s="23"/>
      <c r="Y857" s="23"/>
      <c r="Z857" s="23"/>
    </row>
    <row r="858">
      <c r="A858" s="107"/>
      <c r="B858" s="103" t="str">
        <f>IFERROR( VLOOKUP($A858,'INVOICE DETAILS.'!$F$3:$G$1994,2,0)," ")</f>
        <v> </v>
      </c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8"/>
      <c r="O858" s="109"/>
      <c r="P858" s="109"/>
      <c r="Q858" s="107"/>
      <c r="R858" s="107"/>
      <c r="S858" s="107"/>
      <c r="T858" s="107"/>
      <c r="U858" s="107"/>
      <c r="V858" s="107" t="str">
        <f t="shared" si="1"/>
        <v> </v>
      </c>
      <c r="W858" s="107"/>
      <c r="X858" s="23"/>
      <c r="Y858" s="23"/>
      <c r="Z858" s="23"/>
    </row>
    <row r="859">
      <c r="A859" s="107"/>
      <c r="B859" s="103" t="str">
        <f>IFERROR( VLOOKUP($A859,'INVOICE DETAILS.'!$F$3:$G$1994,2,0)," ")</f>
        <v> </v>
      </c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8"/>
      <c r="O859" s="109"/>
      <c r="P859" s="109"/>
      <c r="Q859" s="107"/>
      <c r="R859" s="107"/>
      <c r="S859" s="107"/>
      <c r="T859" s="107"/>
      <c r="U859" s="107"/>
      <c r="V859" s="107" t="str">
        <f t="shared" si="1"/>
        <v> </v>
      </c>
      <c r="W859" s="107"/>
      <c r="X859" s="23"/>
      <c r="Y859" s="23"/>
      <c r="Z859" s="23"/>
    </row>
    <row r="860">
      <c r="A860" s="107"/>
      <c r="B860" s="103" t="str">
        <f>IFERROR( VLOOKUP($A860,'INVOICE DETAILS.'!$F$3:$G$1994,2,0)," ")</f>
        <v> </v>
      </c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8"/>
      <c r="O860" s="109"/>
      <c r="P860" s="109"/>
      <c r="Q860" s="107"/>
      <c r="R860" s="107"/>
      <c r="S860" s="107"/>
      <c r="T860" s="107"/>
      <c r="U860" s="107"/>
      <c r="V860" s="107" t="str">
        <f t="shared" si="1"/>
        <v> </v>
      </c>
      <c r="W860" s="107"/>
      <c r="X860" s="23"/>
      <c r="Y860" s="23"/>
      <c r="Z860" s="23"/>
    </row>
    <row r="861">
      <c r="A861" s="107"/>
      <c r="B861" s="103" t="str">
        <f>IFERROR( VLOOKUP($A861,'INVOICE DETAILS.'!$F$3:$G$1994,2,0)," ")</f>
        <v> </v>
      </c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8"/>
      <c r="O861" s="109"/>
      <c r="P861" s="109"/>
      <c r="Q861" s="107"/>
      <c r="R861" s="107"/>
      <c r="S861" s="107"/>
      <c r="T861" s="107"/>
      <c r="U861" s="107"/>
      <c r="V861" s="107" t="str">
        <f t="shared" si="1"/>
        <v> </v>
      </c>
      <c r="W861" s="107"/>
      <c r="X861" s="23"/>
      <c r="Y861" s="23"/>
      <c r="Z861" s="23"/>
    </row>
    <row r="862">
      <c r="A862" s="107"/>
      <c r="B862" s="103" t="str">
        <f>IFERROR( VLOOKUP($A862,'INVOICE DETAILS.'!$F$3:$G$1994,2,0)," ")</f>
        <v> </v>
      </c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8"/>
      <c r="O862" s="109"/>
      <c r="P862" s="109"/>
      <c r="Q862" s="107"/>
      <c r="R862" s="107"/>
      <c r="S862" s="107"/>
      <c r="T862" s="107"/>
      <c r="U862" s="107"/>
      <c r="V862" s="107" t="str">
        <f t="shared" si="1"/>
        <v> </v>
      </c>
      <c r="W862" s="107"/>
      <c r="X862" s="23"/>
      <c r="Y862" s="23"/>
      <c r="Z862" s="23"/>
    </row>
    <row r="863">
      <c r="A863" s="107"/>
      <c r="B863" s="103" t="str">
        <f>IFERROR( VLOOKUP($A863,'INVOICE DETAILS.'!$F$3:$G$1994,2,0)," ")</f>
        <v> </v>
      </c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8"/>
      <c r="O863" s="109"/>
      <c r="P863" s="109"/>
      <c r="Q863" s="107"/>
      <c r="R863" s="107"/>
      <c r="S863" s="107"/>
      <c r="T863" s="107"/>
      <c r="U863" s="107"/>
      <c r="V863" s="107" t="str">
        <f t="shared" si="1"/>
        <v> </v>
      </c>
      <c r="W863" s="107"/>
      <c r="X863" s="23"/>
      <c r="Y863" s="23"/>
      <c r="Z863" s="23"/>
    </row>
    <row r="864">
      <c r="A864" s="107"/>
      <c r="B864" s="103" t="str">
        <f>IFERROR( VLOOKUP($A864,'INVOICE DETAILS.'!$F$3:$G$1994,2,0)," ")</f>
        <v> </v>
      </c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8"/>
      <c r="O864" s="109"/>
      <c r="P864" s="109"/>
      <c r="Q864" s="107"/>
      <c r="R864" s="107"/>
      <c r="S864" s="107"/>
      <c r="T864" s="107"/>
      <c r="U864" s="107"/>
      <c r="V864" s="107" t="str">
        <f t="shared" si="1"/>
        <v> </v>
      </c>
      <c r="W864" s="107"/>
      <c r="X864" s="23"/>
      <c r="Y864" s="23"/>
      <c r="Z864" s="23"/>
    </row>
    <row r="865">
      <c r="A865" s="107"/>
      <c r="B865" s="103" t="str">
        <f>IFERROR( VLOOKUP($A865,'INVOICE DETAILS.'!$F$3:$G$1994,2,0)," ")</f>
        <v> </v>
      </c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8"/>
      <c r="O865" s="109"/>
      <c r="P865" s="109"/>
      <c r="Q865" s="107"/>
      <c r="R865" s="107"/>
      <c r="S865" s="107"/>
      <c r="T865" s="107"/>
      <c r="U865" s="107"/>
      <c r="V865" s="107" t="str">
        <f t="shared" si="1"/>
        <v> </v>
      </c>
      <c r="W865" s="107"/>
      <c r="X865" s="23"/>
      <c r="Y865" s="23"/>
      <c r="Z865" s="23"/>
    </row>
    <row r="866">
      <c r="A866" s="107"/>
      <c r="B866" s="103" t="str">
        <f>IFERROR( VLOOKUP($A866,'INVOICE DETAILS.'!$F$3:$G$1994,2,0)," ")</f>
        <v> </v>
      </c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8"/>
      <c r="O866" s="109"/>
      <c r="P866" s="109"/>
      <c r="Q866" s="107"/>
      <c r="R866" s="107"/>
      <c r="S866" s="107"/>
      <c r="T866" s="107"/>
      <c r="U866" s="107"/>
      <c r="V866" s="107" t="str">
        <f t="shared" si="1"/>
        <v> </v>
      </c>
      <c r="W866" s="107"/>
      <c r="X866" s="23"/>
      <c r="Y866" s="23"/>
      <c r="Z866" s="23"/>
    </row>
    <row r="867">
      <c r="A867" s="107"/>
      <c r="B867" s="103" t="str">
        <f>IFERROR( VLOOKUP($A867,'INVOICE DETAILS.'!$F$3:$G$1994,2,0)," ")</f>
        <v> </v>
      </c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8"/>
      <c r="O867" s="109"/>
      <c r="P867" s="109"/>
      <c r="Q867" s="107"/>
      <c r="R867" s="107"/>
      <c r="S867" s="107"/>
      <c r="T867" s="107"/>
      <c r="U867" s="107"/>
      <c r="V867" s="107" t="str">
        <f t="shared" si="1"/>
        <v> </v>
      </c>
      <c r="W867" s="107"/>
      <c r="X867" s="23"/>
      <c r="Y867" s="23"/>
      <c r="Z867" s="23"/>
    </row>
    <row r="868">
      <c r="A868" s="107"/>
      <c r="B868" s="103" t="str">
        <f>IFERROR( VLOOKUP($A868,'INVOICE DETAILS.'!$F$3:$G$1994,2,0)," ")</f>
        <v> </v>
      </c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8"/>
      <c r="O868" s="109"/>
      <c r="P868" s="109"/>
      <c r="Q868" s="107"/>
      <c r="R868" s="107"/>
      <c r="S868" s="107"/>
      <c r="T868" s="107"/>
      <c r="U868" s="107"/>
      <c r="V868" s="107" t="str">
        <f t="shared" si="1"/>
        <v> </v>
      </c>
      <c r="W868" s="107"/>
      <c r="X868" s="23"/>
      <c r="Y868" s="23"/>
      <c r="Z868" s="23"/>
    </row>
    <row r="869">
      <c r="A869" s="107"/>
      <c r="B869" s="103" t="str">
        <f>IFERROR( VLOOKUP($A869,'INVOICE DETAILS.'!$F$3:$G$1994,2,0)," ")</f>
        <v> </v>
      </c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8"/>
      <c r="O869" s="109"/>
      <c r="P869" s="109"/>
      <c r="Q869" s="107"/>
      <c r="R869" s="107"/>
      <c r="S869" s="107"/>
      <c r="T869" s="107"/>
      <c r="U869" s="107"/>
      <c r="V869" s="107" t="str">
        <f t="shared" si="1"/>
        <v> </v>
      </c>
      <c r="W869" s="107"/>
      <c r="X869" s="23"/>
      <c r="Y869" s="23"/>
      <c r="Z869" s="23"/>
    </row>
    <row r="870">
      <c r="A870" s="107"/>
      <c r="B870" s="103" t="str">
        <f>IFERROR( VLOOKUP($A870,'INVOICE DETAILS.'!$F$3:$G$1994,2,0)," ")</f>
        <v> </v>
      </c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8"/>
      <c r="O870" s="109"/>
      <c r="P870" s="109"/>
      <c r="Q870" s="107"/>
      <c r="R870" s="107"/>
      <c r="S870" s="107"/>
      <c r="T870" s="107"/>
      <c r="U870" s="107"/>
      <c r="V870" s="107" t="str">
        <f t="shared" si="1"/>
        <v> </v>
      </c>
      <c r="W870" s="107"/>
      <c r="X870" s="23"/>
      <c r="Y870" s="23"/>
      <c r="Z870" s="23"/>
    </row>
    <row r="871">
      <c r="A871" s="107"/>
      <c r="B871" s="103" t="str">
        <f>IFERROR( VLOOKUP($A871,'INVOICE DETAILS.'!$F$3:$G$1994,2,0)," ")</f>
        <v> </v>
      </c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8"/>
      <c r="O871" s="109"/>
      <c r="P871" s="109"/>
      <c r="Q871" s="107"/>
      <c r="R871" s="107"/>
      <c r="S871" s="107"/>
      <c r="T871" s="107"/>
      <c r="U871" s="107"/>
      <c r="V871" s="107" t="str">
        <f t="shared" si="1"/>
        <v> </v>
      </c>
      <c r="W871" s="107"/>
      <c r="X871" s="23"/>
      <c r="Y871" s="23"/>
      <c r="Z871" s="23"/>
    </row>
    <row r="872">
      <c r="A872" s="107"/>
      <c r="B872" s="103" t="str">
        <f>IFERROR( VLOOKUP($A872,'INVOICE DETAILS.'!$F$3:$G$1994,2,0)," ")</f>
        <v> </v>
      </c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8"/>
      <c r="O872" s="109"/>
      <c r="P872" s="109"/>
      <c r="Q872" s="107"/>
      <c r="R872" s="107"/>
      <c r="S872" s="107"/>
      <c r="T872" s="107"/>
      <c r="U872" s="107"/>
      <c r="V872" s="107" t="str">
        <f t="shared" si="1"/>
        <v> </v>
      </c>
      <c r="W872" s="107"/>
      <c r="X872" s="23"/>
      <c r="Y872" s="23"/>
      <c r="Z872" s="23"/>
    </row>
    <row r="873">
      <c r="A873" s="107"/>
      <c r="B873" s="103" t="str">
        <f>IFERROR( VLOOKUP($A873,'INVOICE DETAILS.'!$F$3:$G$1994,2,0)," ")</f>
        <v> </v>
      </c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8"/>
      <c r="O873" s="109"/>
      <c r="P873" s="109"/>
      <c r="Q873" s="107"/>
      <c r="R873" s="107"/>
      <c r="S873" s="107"/>
      <c r="T873" s="107"/>
      <c r="U873" s="107"/>
      <c r="V873" s="107" t="str">
        <f t="shared" si="1"/>
        <v> </v>
      </c>
      <c r="W873" s="107"/>
      <c r="X873" s="23"/>
      <c r="Y873" s="23"/>
      <c r="Z873" s="23"/>
    </row>
    <row r="874">
      <c r="A874" s="107"/>
      <c r="B874" s="103" t="str">
        <f>IFERROR( VLOOKUP($A874,'INVOICE DETAILS.'!$F$3:$G$1994,2,0)," ")</f>
        <v> </v>
      </c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8"/>
      <c r="O874" s="109"/>
      <c r="P874" s="109"/>
      <c r="Q874" s="107"/>
      <c r="R874" s="107"/>
      <c r="S874" s="107"/>
      <c r="T874" s="107"/>
      <c r="U874" s="107"/>
      <c r="V874" s="107" t="str">
        <f t="shared" si="1"/>
        <v> </v>
      </c>
      <c r="W874" s="107"/>
      <c r="X874" s="23"/>
      <c r="Y874" s="23"/>
      <c r="Z874" s="23"/>
    </row>
    <row r="875">
      <c r="A875" s="107"/>
      <c r="B875" s="103" t="str">
        <f>IFERROR( VLOOKUP($A875,'INVOICE DETAILS.'!$F$3:$G$1994,2,0)," ")</f>
        <v> </v>
      </c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8"/>
      <c r="O875" s="109"/>
      <c r="P875" s="109"/>
      <c r="Q875" s="107"/>
      <c r="R875" s="107"/>
      <c r="S875" s="107"/>
      <c r="T875" s="107"/>
      <c r="U875" s="107"/>
      <c r="V875" s="107" t="str">
        <f t="shared" si="1"/>
        <v> </v>
      </c>
      <c r="W875" s="107"/>
      <c r="X875" s="23"/>
      <c r="Y875" s="23"/>
      <c r="Z875" s="23"/>
    </row>
    <row r="876">
      <c r="A876" s="107"/>
      <c r="B876" s="103" t="str">
        <f>IFERROR( VLOOKUP($A876,'INVOICE DETAILS.'!$F$3:$G$1994,2,0)," ")</f>
        <v> </v>
      </c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8"/>
      <c r="O876" s="109"/>
      <c r="P876" s="109"/>
      <c r="Q876" s="107"/>
      <c r="R876" s="107"/>
      <c r="S876" s="107"/>
      <c r="T876" s="107"/>
      <c r="U876" s="107"/>
      <c r="V876" s="107" t="str">
        <f t="shared" si="1"/>
        <v> </v>
      </c>
      <c r="W876" s="107"/>
      <c r="X876" s="23"/>
      <c r="Y876" s="23"/>
      <c r="Z876" s="23"/>
    </row>
    <row r="877">
      <c r="A877" s="107"/>
      <c r="B877" s="103" t="str">
        <f>IFERROR( VLOOKUP($A877,'INVOICE DETAILS.'!$F$3:$G$1994,2,0)," ")</f>
        <v> </v>
      </c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8"/>
      <c r="O877" s="109"/>
      <c r="P877" s="109"/>
      <c r="Q877" s="107"/>
      <c r="R877" s="107"/>
      <c r="S877" s="107"/>
      <c r="T877" s="107"/>
      <c r="U877" s="107"/>
      <c r="V877" s="107" t="str">
        <f t="shared" si="1"/>
        <v> </v>
      </c>
      <c r="W877" s="107"/>
      <c r="X877" s="23"/>
      <c r="Y877" s="23"/>
      <c r="Z877" s="23"/>
    </row>
    <row r="878">
      <c r="A878" s="107"/>
      <c r="B878" s="103" t="str">
        <f>IFERROR( VLOOKUP($A878,'INVOICE DETAILS.'!$F$3:$G$1994,2,0)," ")</f>
        <v> </v>
      </c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8"/>
      <c r="O878" s="109"/>
      <c r="P878" s="109"/>
      <c r="Q878" s="107"/>
      <c r="R878" s="107"/>
      <c r="S878" s="107"/>
      <c r="T878" s="107"/>
      <c r="U878" s="107"/>
      <c r="V878" s="107" t="str">
        <f t="shared" si="1"/>
        <v> </v>
      </c>
      <c r="W878" s="107"/>
      <c r="X878" s="23"/>
      <c r="Y878" s="23"/>
      <c r="Z878" s="23"/>
    </row>
    <row r="879">
      <c r="A879" s="107"/>
      <c r="B879" s="103" t="str">
        <f>IFERROR( VLOOKUP($A879,'INVOICE DETAILS.'!$F$3:$G$1994,2,0)," ")</f>
        <v> </v>
      </c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8"/>
      <c r="O879" s="109"/>
      <c r="P879" s="109"/>
      <c r="Q879" s="107"/>
      <c r="R879" s="107"/>
      <c r="S879" s="107"/>
      <c r="T879" s="107"/>
      <c r="U879" s="107"/>
      <c r="V879" s="107" t="str">
        <f t="shared" si="1"/>
        <v> </v>
      </c>
      <c r="W879" s="107"/>
      <c r="X879" s="23"/>
      <c r="Y879" s="23"/>
      <c r="Z879" s="23"/>
    </row>
    <row r="880">
      <c r="A880" s="107"/>
      <c r="B880" s="103" t="str">
        <f>IFERROR( VLOOKUP($A880,'INVOICE DETAILS.'!$F$3:$G$1994,2,0)," ")</f>
        <v> </v>
      </c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8"/>
      <c r="O880" s="109"/>
      <c r="P880" s="109"/>
      <c r="Q880" s="107"/>
      <c r="R880" s="107"/>
      <c r="S880" s="107"/>
      <c r="T880" s="107"/>
      <c r="U880" s="107"/>
      <c r="V880" s="107" t="str">
        <f t="shared" si="1"/>
        <v> </v>
      </c>
      <c r="W880" s="107"/>
      <c r="X880" s="23"/>
      <c r="Y880" s="23"/>
      <c r="Z880" s="23"/>
    </row>
    <row r="881">
      <c r="A881" s="107"/>
      <c r="B881" s="103" t="str">
        <f>IFERROR( VLOOKUP($A881,'INVOICE DETAILS.'!$F$3:$G$1994,2,0)," ")</f>
        <v> </v>
      </c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8"/>
      <c r="O881" s="109"/>
      <c r="P881" s="109"/>
      <c r="Q881" s="107"/>
      <c r="R881" s="107"/>
      <c r="S881" s="107"/>
      <c r="T881" s="107"/>
      <c r="U881" s="107"/>
      <c r="V881" s="107" t="str">
        <f t="shared" si="1"/>
        <v> </v>
      </c>
      <c r="W881" s="107"/>
      <c r="X881" s="23"/>
      <c r="Y881" s="23"/>
      <c r="Z881" s="23"/>
    </row>
    <row r="882">
      <c r="A882" s="107"/>
      <c r="B882" s="103" t="str">
        <f>IFERROR( VLOOKUP($A882,'INVOICE DETAILS.'!$F$3:$G$1994,2,0)," ")</f>
        <v> </v>
      </c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8"/>
      <c r="O882" s="109"/>
      <c r="P882" s="109"/>
      <c r="Q882" s="107"/>
      <c r="R882" s="107"/>
      <c r="S882" s="107"/>
      <c r="T882" s="107"/>
      <c r="U882" s="107"/>
      <c r="V882" s="107" t="str">
        <f t="shared" si="1"/>
        <v> </v>
      </c>
      <c r="W882" s="107"/>
      <c r="X882" s="23"/>
      <c r="Y882" s="23"/>
      <c r="Z882" s="23"/>
    </row>
    <row r="883">
      <c r="A883" s="107"/>
      <c r="B883" s="103" t="str">
        <f>IFERROR( VLOOKUP($A883,'INVOICE DETAILS.'!$F$3:$G$1994,2,0)," ")</f>
        <v> </v>
      </c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8"/>
      <c r="O883" s="109"/>
      <c r="P883" s="109"/>
      <c r="Q883" s="107"/>
      <c r="R883" s="107"/>
      <c r="S883" s="107"/>
      <c r="T883" s="107"/>
      <c r="U883" s="107"/>
      <c r="V883" s="107" t="str">
        <f t="shared" si="1"/>
        <v> </v>
      </c>
      <c r="W883" s="107"/>
      <c r="X883" s="23"/>
      <c r="Y883" s="23"/>
      <c r="Z883" s="23"/>
    </row>
    <row r="884">
      <c r="A884" s="107"/>
      <c r="B884" s="103" t="str">
        <f>IFERROR( VLOOKUP($A884,'INVOICE DETAILS.'!$F$3:$G$1994,2,0)," ")</f>
        <v> </v>
      </c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8"/>
      <c r="O884" s="109"/>
      <c r="P884" s="109"/>
      <c r="Q884" s="107"/>
      <c r="R884" s="107"/>
      <c r="S884" s="107"/>
      <c r="T884" s="107"/>
      <c r="U884" s="107"/>
      <c r="V884" s="107" t="str">
        <f t="shared" si="1"/>
        <v> </v>
      </c>
      <c r="W884" s="107"/>
      <c r="X884" s="23"/>
      <c r="Y884" s="23"/>
      <c r="Z884" s="23"/>
    </row>
    <row r="885">
      <c r="A885" s="107"/>
      <c r="B885" s="103" t="str">
        <f>IFERROR( VLOOKUP($A885,'INVOICE DETAILS.'!$F$3:$G$1994,2,0)," ")</f>
        <v> </v>
      </c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8"/>
      <c r="O885" s="109"/>
      <c r="P885" s="109"/>
      <c r="Q885" s="107"/>
      <c r="R885" s="107"/>
      <c r="S885" s="107"/>
      <c r="T885" s="107"/>
      <c r="U885" s="107"/>
      <c r="V885" s="107" t="str">
        <f t="shared" si="1"/>
        <v> </v>
      </c>
      <c r="W885" s="107"/>
      <c r="X885" s="23"/>
      <c r="Y885" s="23"/>
      <c r="Z885" s="23"/>
    </row>
    <row r="886">
      <c r="A886" s="107"/>
      <c r="B886" s="103" t="str">
        <f>IFERROR( VLOOKUP($A886,'INVOICE DETAILS.'!$F$3:$G$1994,2,0)," ")</f>
        <v> </v>
      </c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8"/>
      <c r="O886" s="109"/>
      <c r="P886" s="109"/>
      <c r="Q886" s="107"/>
      <c r="R886" s="107"/>
      <c r="S886" s="107"/>
      <c r="T886" s="107"/>
      <c r="U886" s="107"/>
      <c r="V886" s="107" t="str">
        <f t="shared" si="1"/>
        <v> </v>
      </c>
      <c r="W886" s="107"/>
      <c r="X886" s="23"/>
      <c r="Y886" s="23"/>
      <c r="Z886" s="23"/>
    </row>
    <row r="887">
      <c r="A887" s="107"/>
      <c r="B887" s="103" t="str">
        <f>IFERROR( VLOOKUP($A887,'INVOICE DETAILS.'!$F$3:$G$1994,2,0)," ")</f>
        <v> </v>
      </c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8"/>
      <c r="O887" s="109"/>
      <c r="P887" s="109"/>
      <c r="Q887" s="107"/>
      <c r="R887" s="107"/>
      <c r="S887" s="107"/>
      <c r="T887" s="107"/>
      <c r="U887" s="107"/>
      <c r="V887" s="107" t="str">
        <f t="shared" si="1"/>
        <v> </v>
      </c>
      <c r="W887" s="107"/>
      <c r="X887" s="23"/>
      <c r="Y887" s="23"/>
      <c r="Z887" s="23"/>
    </row>
    <row r="888">
      <c r="A888" s="107"/>
      <c r="B888" s="103" t="str">
        <f>IFERROR( VLOOKUP($A888,'INVOICE DETAILS.'!$F$3:$G$1994,2,0)," ")</f>
        <v> </v>
      </c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8"/>
      <c r="O888" s="109"/>
      <c r="P888" s="109"/>
      <c r="Q888" s="107"/>
      <c r="R888" s="107"/>
      <c r="S888" s="107"/>
      <c r="T888" s="107"/>
      <c r="U888" s="107"/>
      <c r="V888" s="107" t="str">
        <f t="shared" si="1"/>
        <v> </v>
      </c>
      <c r="W888" s="107"/>
      <c r="X888" s="23"/>
      <c r="Y888" s="23"/>
      <c r="Z888" s="23"/>
    </row>
    <row r="889">
      <c r="A889" s="107"/>
      <c r="B889" s="103" t="str">
        <f>IFERROR( VLOOKUP($A889,'INVOICE DETAILS.'!$F$3:$G$1994,2,0)," ")</f>
        <v> </v>
      </c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8"/>
      <c r="O889" s="109"/>
      <c r="P889" s="109"/>
      <c r="Q889" s="107"/>
      <c r="R889" s="107"/>
      <c r="S889" s="107"/>
      <c r="T889" s="107"/>
      <c r="U889" s="107"/>
      <c r="V889" s="107" t="str">
        <f t="shared" si="1"/>
        <v> </v>
      </c>
      <c r="W889" s="107"/>
      <c r="X889" s="23"/>
      <c r="Y889" s="23"/>
      <c r="Z889" s="23"/>
    </row>
    <row r="890">
      <c r="A890" s="107"/>
      <c r="B890" s="103" t="str">
        <f>IFERROR( VLOOKUP($A890,'INVOICE DETAILS.'!$F$3:$G$1994,2,0)," ")</f>
        <v> </v>
      </c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8"/>
      <c r="O890" s="109"/>
      <c r="P890" s="109"/>
      <c r="Q890" s="107"/>
      <c r="R890" s="107"/>
      <c r="S890" s="107"/>
      <c r="T890" s="107"/>
      <c r="U890" s="107"/>
      <c r="V890" s="107" t="str">
        <f t="shared" si="1"/>
        <v> </v>
      </c>
      <c r="W890" s="107"/>
      <c r="X890" s="23"/>
      <c r="Y890" s="23"/>
      <c r="Z890" s="23"/>
    </row>
    <row r="891">
      <c r="A891" s="107"/>
      <c r="B891" s="103" t="str">
        <f>IFERROR( VLOOKUP($A891,'INVOICE DETAILS.'!$F$3:$G$1994,2,0)," ")</f>
        <v> </v>
      </c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8"/>
      <c r="O891" s="109"/>
      <c r="P891" s="109"/>
      <c r="Q891" s="107"/>
      <c r="R891" s="107"/>
      <c r="S891" s="107"/>
      <c r="T891" s="107"/>
      <c r="U891" s="107"/>
      <c r="V891" s="107" t="str">
        <f t="shared" si="1"/>
        <v> </v>
      </c>
      <c r="W891" s="107"/>
      <c r="X891" s="23"/>
      <c r="Y891" s="23"/>
      <c r="Z891" s="23"/>
    </row>
    <row r="892">
      <c r="A892" s="107"/>
      <c r="B892" s="103" t="str">
        <f>IFERROR( VLOOKUP($A892,'INVOICE DETAILS.'!$F$3:$G$1994,2,0)," ")</f>
        <v> </v>
      </c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8"/>
      <c r="O892" s="109"/>
      <c r="P892" s="109"/>
      <c r="Q892" s="107"/>
      <c r="R892" s="107"/>
      <c r="S892" s="107"/>
      <c r="T892" s="107"/>
      <c r="U892" s="107"/>
      <c r="V892" s="107" t="str">
        <f t="shared" si="1"/>
        <v> </v>
      </c>
      <c r="W892" s="107"/>
      <c r="X892" s="23"/>
      <c r="Y892" s="23"/>
      <c r="Z892" s="23"/>
    </row>
    <row r="893">
      <c r="A893" s="107"/>
      <c r="B893" s="103" t="str">
        <f>IFERROR( VLOOKUP($A893,'INVOICE DETAILS.'!$F$3:$G$1994,2,0)," ")</f>
        <v> </v>
      </c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8"/>
      <c r="O893" s="109"/>
      <c r="P893" s="109"/>
      <c r="Q893" s="107"/>
      <c r="R893" s="107"/>
      <c r="S893" s="107"/>
      <c r="T893" s="107"/>
      <c r="U893" s="107"/>
      <c r="V893" s="107" t="str">
        <f t="shared" si="1"/>
        <v> </v>
      </c>
      <c r="W893" s="107"/>
      <c r="X893" s="23"/>
      <c r="Y893" s="23"/>
      <c r="Z893" s="23"/>
    </row>
    <row r="894">
      <c r="A894" s="107"/>
      <c r="B894" s="103" t="str">
        <f>IFERROR( VLOOKUP($A894,'INVOICE DETAILS.'!$F$3:$G$1994,2,0)," ")</f>
        <v> </v>
      </c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8"/>
      <c r="O894" s="109"/>
      <c r="P894" s="109"/>
      <c r="Q894" s="107"/>
      <c r="R894" s="107"/>
      <c r="S894" s="107"/>
      <c r="T894" s="107"/>
      <c r="U894" s="107"/>
      <c r="V894" s="107" t="str">
        <f t="shared" si="1"/>
        <v> </v>
      </c>
      <c r="W894" s="107"/>
      <c r="X894" s="23"/>
      <c r="Y894" s="23"/>
      <c r="Z894" s="23"/>
    </row>
    <row r="895">
      <c r="A895" s="107"/>
      <c r="B895" s="103" t="str">
        <f>IFERROR( VLOOKUP($A895,'INVOICE DETAILS.'!$F$3:$G$1994,2,0)," ")</f>
        <v> </v>
      </c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8"/>
      <c r="O895" s="109"/>
      <c r="P895" s="109"/>
      <c r="Q895" s="107"/>
      <c r="R895" s="107"/>
      <c r="S895" s="107"/>
      <c r="T895" s="107"/>
      <c r="U895" s="107"/>
      <c r="V895" s="107" t="str">
        <f t="shared" si="1"/>
        <v> </v>
      </c>
      <c r="W895" s="107"/>
      <c r="X895" s="23"/>
      <c r="Y895" s="23"/>
      <c r="Z895" s="23"/>
    </row>
    <row r="896">
      <c r="A896" s="107"/>
      <c r="B896" s="103" t="str">
        <f>IFERROR( VLOOKUP($A896,'INVOICE DETAILS.'!$F$3:$G$1994,2,0)," ")</f>
        <v> </v>
      </c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8"/>
      <c r="O896" s="109"/>
      <c r="P896" s="109"/>
      <c r="Q896" s="107"/>
      <c r="R896" s="107"/>
      <c r="S896" s="107"/>
      <c r="T896" s="107"/>
      <c r="U896" s="107"/>
      <c r="V896" s="107" t="str">
        <f t="shared" si="1"/>
        <v> </v>
      </c>
      <c r="W896" s="107"/>
      <c r="X896" s="23"/>
      <c r="Y896" s="23"/>
      <c r="Z896" s="23"/>
    </row>
    <row r="897">
      <c r="A897" s="107"/>
      <c r="B897" s="103" t="str">
        <f>IFERROR( VLOOKUP($A897,'INVOICE DETAILS.'!$F$3:$G$1994,2,0)," ")</f>
        <v> </v>
      </c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8"/>
      <c r="O897" s="109"/>
      <c r="P897" s="109"/>
      <c r="Q897" s="107"/>
      <c r="R897" s="107"/>
      <c r="S897" s="107"/>
      <c r="T897" s="107"/>
      <c r="U897" s="107"/>
      <c r="V897" s="107" t="str">
        <f t="shared" si="1"/>
        <v> </v>
      </c>
      <c r="W897" s="107"/>
      <c r="X897" s="23"/>
      <c r="Y897" s="23"/>
      <c r="Z897" s="23"/>
    </row>
    <row r="898">
      <c r="A898" s="107"/>
      <c r="B898" s="103" t="str">
        <f>IFERROR( VLOOKUP($A898,'INVOICE DETAILS.'!$F$3:$G$1994,2,0)," ")</f>
        <v> </v>
      </c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8"/>
      <c r="O898" s="109"/>
      <c r="P898" s="109"/>
      <c r="Q898" s="107"/>
      <c r="R898" s="107"/>
      <c r="S898" s="107"/>
      <c r="T898" s="107"/>
      <c r="U898" s="107"/>
      <c r="V898" s="107" t="str">
        <f t="shared" si="1"/>
        <v> </v>
      </c>
      <c r="W898" s="107"/>
      <c r="X898" s="23"/>
      <c r="Y898" s="23"/>
      <c r="Z898" s="23"/>
    </row>
    <row r="899">
      <c r="A899" s="107"/>
      <c r="B899" s="103" t="str">
        <f>IFERROR( VLOOKUP($A899,'INVOICE DETAILS.'!$F$3:$G$1994,2,0)," ")</f>
        <v> </v>
      </c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8"/>
      <c r="O899" s="109"/>
      <c r="P899" s="109"/>
      <c r="Q899" s="107"/>
      <c r="R899" s="107"/>
      <c r="S899" s="107"/>
      <c r="T899" s="107"/>
      <c r="U899" s="107"/>
      <c r="V899" s="107" t="str">
        <f t="shared" si="1"/>
        <v> </v>
      </c>
      <c r="W899" s="107"/>
      <c r="X899" s="23"/>
      <c r="Y899" s="23"/>
      <c r="Z899" s="23"/>
    </row>
    <row r="900">
      <c r="A900" s="107"/>
      <c r="B900" s="103" t="str">
        <f>IFERROR( VLOOKUP($A900,'INVOICE DETAILS.'!$F$3:$G$1994,2,0)," ")</f>
        <v> </v>
      </c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8"/>
      <c r="O900" s="109"/>
      <c r="P900" s="109"/>
      <c r="Q900" s="107"/>
      <c r="R900" s="107"/>
      <c r="S900" s="107"/>
      <c r="T900" s="107"/>
      <c r="U900" s="107"/>
      <c r="V900" s="107" t="str">
        <f t="shared" si="1"/>
        <v> </v>
      </c>
      <c r="W900" s="107"/>
      <c r="X900" s="23"/>
      <c r="Y900" s="23"/>
      <c r="Z900" s="23"/>
    </row>
    <row r="901">
      <c r="A901" s="107"/>
      <c r="B901" s="103" t="str">
        <f>IFERROR( VLOOKUP($A901,'INVOICE DETAILS.'!$F$3:$G$1994,2,0)," ")</f>
        <v> </v>
      </c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8"/>
      <c r="O901" s="109"/>
      <c r="P901" s="109"/>
      <c r="Q901" s="107"/>
      <c r="R901" s="107"/>
      <c r="S901" s="107"/>
      <c r="T901" s="107"/>
      <c r="U901" s="107"/>
      <c r="V901" s="107" t="str">
        <f t="shared" si="1"/>
        <v> </v>
      </c>
      <c r="W901" s="107"/>
      <c r="X901" s="23"/>
      <c r="Y901" s="23"/>
      <c r="Z901" s="23"/>
    </row>
    <row r="902">
      <c r="A902" s="107"/>
      <c r="B902" s="103" t="str">
        <f>IFERROR( VLOOKUP($A902,'INVOICE DETAILS.'!$F$3:$G$1994,2,0)," ")</f>
        <v> </v>
      </c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8"/>
      <c r="O902" s="109"/>
      <c r="P902" s="109"/>
      <c r="Q902" s="107"/>
      <c r="R902" s="107"/>
      <c r="S902" s="107"/>
      <c r="T902" s="107"/>
      <c r="U902" s="107"/>
      <c r="V902" s="107" t="str">
        <f t="shared" si="1"/>
        <v> </v>
      </c>
      <c r="W902" s="107"/>
      <c r="X902" s="23"/>
      <c r="Y902" s="23"/>
      <c r="Z902" s="23"/>
    </row>
    <row r="903">
      <c r="A903" s="107"/>
      <c r="B903" s="103" t="str">
        <f>IFERROR( VLOOKUP($A903,'INVOICE DETAILS.'!$F$3:$G$1994,2,0)," ")</f>
        <v> </v>
      </c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8"/>
      <c r="O903" s="109"/>
      <c r="P903" s="109"/>
      <c r="Q903" s="107"/>
      <c r="R903" s="107"/>
      <c r="S903" s="107"/>
      <c r="T903" s="107"/>
      <c r="U903" s="107"/>
      <c r="V903" s="107" t="str">
        <f t="shared" si="1"/>
        <v> </v>
      </c>
      <c r="W903" s="107"/>
      <c r="X903" s="23"/>
      <c r="Y903" s="23"/>
      <c r="Z903" s="23"/>
    </row>
    <row r="904">
      <c r="A904" s="107"/>
      <c r="B904" s="103" t="str">
        <f>IFERROR( VLOOKUP($A904,'INVOICE DETAILS.'!$F$3:$G$1994,2,0)," ")</f>
        <v> </v>
      </c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8"/>
      <c r="O904" s="109"/>
      <c r="P904" s="109"/>
      <c r="Q904" s="107"/>
      <c r="R904" s="107"/>
      <c r="S904" s="107"/>
      <c r="T904" s="107"/>
      <c r="U904" s="107"/>
      <c r="V904" s="107" t="str">
        <f t="shared" si="1"/>
        <v> </v>
      </c>
      <c r="W904" s="107"/>
      <c r="X904" s="23"/>
      <c r="Y904" s="23"/>
      <c r="Z904" s="23"/>
    </row>
    <row r="905">
      <c r="A905" s="107"/>
      <c r="B905" s="103" t="str">
        <f>IFERROR( VLOOKUP($A905,'INVOICE DETAILS.'!$F$3:$G$1994,2,0)," ")</f>
        <v> </v>
      </c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8"/>
      <c r="O905" s="109"/>
      <c r="P905" s="109"/>
      <c r="Q905" s="107"/>
      <c r="R905" s="107"/>
      <c r="S905" s="107"/>
      <c r="T905" s="107"/>
      <c r="U905" s="107"/>
      <c r="V905" s="107" t="str">
        <f t="shared" si="1"/>
        <v> </v>
      </c>
      <c r="W905" s="107"/>
      <c r="X905" s="23"/>
      <c r="Y905" s="23"/>
      <c r="Z905" s="23"/>
    </row>
    <row r="906">
      <c r="A906" s="107"/>
      <c r="B906" s="103" t="str">
        <f>IFERROR( VLOOKUP($A906,'INVOICE DETAILS.'!$F$3:$G$1994,2,0)," ")</f>
        <v> </v>
      </c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8"/>
      <c r="O906" s="109"/>
      <c r="P906" s="109"/>
      <c r="Q906" s="107"/>
      <c r="R906" s="107"/>
      <c r="S906" s="107"/>
      <c r="T906" s="107"/>
      <c r="U906" s="107"/>
      <c r="V906" s="107" t="str">
        <f t="shared" si="1"/>
        <v> </v>
      </c>
      <c r="W906" s="107"/>
      <c r="X906" s="23"/>
      <c r="Y906" s="23"/>
      <c r="Z906" s="23"/>
    </row>
    <row r="907">
      <c r="A907" s="107"/>
      <c r="B907" s="103" t="str">
        <f>IFERROR( VLOOKUP($A907,'INVOICE DETAILS.'!$F$3:$G$1994,2,0)," ")</f>
        <v> </v>
      </c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8"/>
      <c r="O907" s="109"/>
      <c r="P907" s="109"/>
      <c r="Q907" s="107"/>
      <c r="R907" s="107"/>
      <c r="S907" s="107"/>
      <c r="T907" s="107"/>
      <c r="U907" s="107"/>
      <c r="V907" s="107" t="str">
        <f t="shared" si="1"/>
        <v> </v>
      </c>
      <c r="W907" s="107"/>
      <c r="X907" s="23"/>
      <c r="Y907" s="23"/>
      <c r="Z907" s="23"/>
    </row>
    <row r="908">
      <c r="A908" s="107"/>
      <c r="B908" s="103" t="str">
        <f>IFERROR( VLOOKUP($A908,'INVOICE DETAILS.'!$F$3:$G$1994,2,0)," ")</f>
        <v> </v>
      </c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8"/>
      <c r="O908" s="109"/>
      <c r="P908" s="109"/>
      <c r="Q908" s="107"/>
      <c r="R908" s="107"/>
      <c r="S908" s="107"/>
      <c r="T908" s="107"/>
      <c r="U908" s="107"/>
      <c r="V908" s="107" t="str">
        <f t="shared" si="1"/>
        <v> </v>
      </c>
      <c r="W908" s="107"/>
      <c r="X908" s="23"/>
      <c r="Y908" s="23"/>
      <c r="Z908" s="23"/>
    </row>
    <row r="909">
      <c r="A909" s="107"/>
      <c r="B909" s="103" t="str">
        <f>IFERROR( VLOOKUP($A909,'INVOICE DETAILS.'!$F$3:$G$1994,2,0)," ")</f>
        <v> </v>
      </c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8"/>
      <c r="O909" s="109"/>
      <c r="P909" s="109"/>
      <c r="Q909" s="107"/>
      <c r="R909" s="107"/>
      <c r="S909" s="107"/>
      <c r="T909" s="107"/>
      <c r="U909" s="107"/>
      <c r="V909" s="107" t="str">
        <f t="shared" si="1"/>
        <v> </v>
      </c>
      <c r="W909" s="107"/>
      <c r="X909" s="23"/>
      <c r="Y909" s="23"/>
      <c r="Z909" s="23"/>
    </row>
    <row r="910">
      <c r="A910" s="107"/>
      <c r="B910" s="103" t="str">
        <f>IFERROR( VLOOKUP($A910,'INVOICE DETAILS.'!$F$3:$G$1994,2,0)," ")</f>
        <v> </v>
      </c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8"/>
      <c r="O910" s="109"/>
      <c r="P910" s="109"/>
      <c r="Q910" s="107"/>
      <c r="R910" s="107"/>
      <c r="S910" s="107"/>
      <c r="T910" s="107"/>
      <c r="U910" s="107"/>
      <c r="V910" s="107" t="str">
        <f t="shared" si="1"/>
        <v> </v>
      </c>
      <c r="W910" s="107"/>
      <c r="X910" s="23"/>
      <c r="Y910" s="23"/>
      <c r="Z910" s="23"/>
    </row>
    <row r="911">
      <c r="A911" s="107"/>
      <c r="B911" s="103" t="str">
        <f>IFERROR( VLOOKUP($A911,'INVOICE DETAILS.'!$F$3:$G$1994,2,0)," ")</f>
        <v> </v>
      </c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8"/>
      <c r="O911" s="109"/>
      <c r="P911" s="109"/>
      <c r="Q911" s="107"/>
      <c r="R911" s="107"/>
      <c r="S911" s="107"/>
      <c r="T911" s="107"/>
      <c r="U911" s="107"/>
      <c r="V911" s="107" t="str">
        <f t="shared" si="1"/>
        <v> </v>
      </c>
      <c r="W911" s="107"/>
      <c r="X911" s="23"/>
      <c r="Y911" s="23"/>
      <c r="Z911" s="23"/>
    </row>
    <row r="912">
      <c r="A912" s="107"/>
      <c r="B912" s="103" t="str">
        <f>IFERROR( VLOOKUP($A912,'INVOICE DETAILS.'!$F$3:$G$1994,2,0)," ")</f>
        <v> </v>
      </c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8"/>
      <c r="O912" s="109"/>
      <c r="P912" s="109"/>
      <c r="Q912" s="107"/>
      <c r="R912" s="107"/>
      <c r="S912" s="107"/>
      <c r="T912" s="107"/>
      <c r="U912" s="107"/>
      <c r="V912" s="107" t="str">
        <f t="shared" si="1"/>
        <v> </v>
      </c>
      <c r="W912" s="107"/>
      <c r="X912" s="23"/>
      <c r="Y912" s="23"/>
      <c r="Z912" s="23"/>
    </row>
    <row r="913">
      <c r="A913" s="107"/>
      <c r="B913" s="103" t="str">
        <f>IFERROR( VLOOKUP($A913,'INVOICE DETAILS.'!$F$3:$G$1994,2,0)," ")</f>
        <v> </v>
      </c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8"/>
      <c r="O913" s="109"/>
      <c r="P913" s="109"/>
      <c r="Q913" s="107"/>
      <c r="R913" s="107"/>
      <c r="S913" s="107"/>
      <c r="T913" s="107"/>
      <c r="U913" s="107"/>
      <c r="V913" s="107" t="str">
        <f t="shared" si="1"/>
        <v> </v>
      </c>
      <c r="W913" s="107"/>
      <c r="X913" s="23"/>
      <c r="Y913" s="23"/>
      <c r="Z913" s="23"/>
    </row>
    <row r="914">
      <c r="A914" s="107"/>
      <c r="B914" s="103" t="str">
        <f>IFERROR( VLOOKUP($A914,'INVOICE DETAILS.'!$F$3:$G$1994,2,0)," ")</f>
        <v> </v>
      </c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8"/>
      <c r="O914" s="109"/>
      <c r="P914" s="109"/>
      <c r="Q914" s="107"/>
      <c r="R914" s="107"/>
      <c r="S914" s="107"/>
      <c r="T914" s="107"/>
      <c r="U914" s="107"/>
      <c r="V914" s="107" t="str">
        <f t="shared" si="1"/>
        <v> </v>
      </c>
      <c r="W914" s="107"/>
      <c r="X914" s="23"/>
      <c r="Y914" s="23"/>
      <c r="Z914" s="23"/>
    </row>
    <row r="915">
      <c r="A915" s="107"/>
      <c r="B915" s="103" t="str">
        <f>IFERROR( VLOOKUP($A915,'INVOICE DETAILS.'!$F$3:$G$1994,2,0)," ")</f>
        <v> </v>
      </c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8"/>
      <c r="O915" s="109"/>
      <c r="P915" s="109"/>
      <c r="Q915" s="107"/>
      <c r="R915" s="107"/>
      <c r="S915" s="107"/>
      <c r="T915" s="107"/>
      <c r="U915" s="107"/>
      <c r="V915" s="107" t="str">
        <f t="shared" si="1"/>
        <v> </v>
      </c>
      <c r="W915" s="107"/>
      <c r="X915" s="23"/>
      <c r="Y915" s="23"/>
      <c r="Z915" s="23"/>
    </row>
    <row r="916">
      <c r="A916" s="107"/>
      <c r="B916" s="103" t="str">
        <f>IFERROR( VLOOKUP($A916,'INVOICE DETAILS.'!$F$3:$G$1994,2,0)," ")</f>
        <v> </v>
      </c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8"/>
      <c r="O916" s="109"/>
      <c r="P916" s="109"/>
      <c r="Q916" s="107"/>
      <c r="R916" s="107"/>
      <c r="S916" s="107"/>
      <c r="T916" s="107"/>
      <c r="U916" s="107"/>
      <c r="V916" s="107" t="str">
        <f t="shared" si="1"/>
        <v> </v>
      </c>
      <c r="W916" s="107"/>
      <c r="X916" s="23"/>
      <c r="Y916" s="23"/>
      <c r="Z916" s="23"/>
    </row>
    <row r="917">
      <c r="A917" s="107"/>
      <c r="B917" s="103" t="str">
        <f>IFERROR( VLOOKUP($A917,'INVOICE DETAILS.'!$F$3:$G$1994,2,0)," ")</f>
        <v> </v>
      </c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8"/>
      <c r="O917" s="109"/>
      <c r="P917" s="109"/>
      <c r="Q917" s="107"/>
      <c r="R917" s="107"/>
      <c r="S917" s="107"/>
      <c r="T917" s="107"/>
      <c r="U917" s="107"/>
      <c r="V917" s="107" t="str">
        <f t="shared" si="1"/>
        <v> </v>
      </c>
      <c r="W917" s="107"/>
      <c r="X917" s="23"/>
      <c r="Y917" s="23"/>
      <c r="Z917" s="23"/>
    </row>
    <row r="918">
      <c r="A918" s="107"/>
      <c r="B918" s="103" t="str">
        <f>IFERROR( VLOOKUP($A918,'INVOICE DETAILS.'!$F$3:$G$1994,2,0)," ")</f>
        <v> </v>
      </c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8"/>
      <c r="O918" s="109"/>
      <c r="P918" s="109"/>
      <c r="Q918" s="107"/>
      <c r="R918" s="107"/>
      <c r="S918" s="107"/>
      <c r="T918" s="107"/>
      <c r="U918" s="107"/>
      <c r="V918" s="107" t="str">
        <f t="shared" si="1"/>
        <v> </v>
      </c>
      <c r="W918" s="107"/>
      <c r="X918" s="23"/>
      <c r="Y918" s="23"/>
      <c r="Z918" s="23"/>
    </row>
    <row r="919">
      <c r="A919" s="107"/>
      <c r="B919" s="103" t="str">
        <f>IFERROR( VLOOKUP($A919,'INVOICE DETAILS.'!$F$3:$G$1994,2,0)," ")</f>
        <v> </v>
      </c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8"/>
      <c r="O919" s="109"/>
      <c r="P919" s="109"/>
      <c r="Q919" s="107"/>
      <c r="R919" s="107"/>
      <c r="S919" s="107"/>
      <c r="T919" s="107"/>
      <c r="U919" s="107"/>
      <c r="V919" s="107" t="str">
        <f t="shared" si="1"/>
        <v> </v>
      </c>
      <c r="W919" s="107"/>
      <c r="X919" s="23"/>
      <c r="Y919" s="23"/>
      <c r="Z919" s="23"/>
    </row>
    <row r="920">
      <c r="A920" s="107"/>
      <c r="B920" s="103" t="str">
        <f>IFERROR( VLOOKUP($A920,'INVOICE DETAILS.'!$F$3:$G$1994,2,0)," ")</f>
        <v> </v>
      </c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8"/>
      <c r="O920" s="109"/>
      <c r="P920" s="109"/>
      <c r="Q920" s="107"/>
      <c r="R920" s="107"/>
      <c r="S920" s="107"/>
      <c r="T920" s="107"/>
      <c r="U920" s="107"/>
      <c r="V920" s="107" t="str">
        <f t="shared" si="1"/>
        <v> </v>
      </c>
      <c r="W920" s="107"/>
      <c r="X920" s="23"/>
      <c r="Y920" s="23"/>
      <c r="Z920" s="23"/>
    </row>
    <row r="921">
      <c r="A921" s="107"/>
      <c r="B921" s="103" t="str">
        <f>IFERROR( VLOOKUP($A921,'INVOICE DETAILS.'!$F$3:$G$1994,2,0)," ")</f>
        <v> </v>
      </c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8"/>
      <c r="O921" s="109"/>
      <c r="P921" s="109"/>
      <c r="Q921" s="107"/>
      <c r="R921" s="107"/>
      <c r="S921" s="107"/>
      <c r="T921" s="107"/>
      <c r="U921" s="107"/>
      <c r="V921" s="107" t="str">
        <f t="shared" si="1"/>
        <v> </v>
      </c>
      <c r="W921" s="107"/>
      <c r="X921" s="23"/>
      <c r="Y921" s="23"/>
      <c r="Z921" s="23"/>
    </row>
    <row r="922">
      <c r="A922" s="107"/>
      <c r="B922" s="103" t="str">
        <f>IFERROR( VLOOKUP($A922,'INVOICE DETAILS.'!$F$3:$G$1994,2,0)," ")</f>
        <v> </v>
      </c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8"/>
      <c r="O922" s="109"/>
      <c r="P922" s="109"/>
      <c r="Q922" s="107"/>
      <c r="R922" s="107"/>
      <c r="S922" s="107"/>
      <c r="T922" s="107"/>
      <c r="U922" s="107"/>
      <c r="V922" s="107" t="str">
        <f t="shared" si="1"/>
        <v> </v>
      </c>
      <c r="W922" s="107"/>
      <c r="X922" s="23"/>
      <c r="Y922" s="23"/>
      <c r="Z922" s="23"/>
    </row>
    <row r="923">
      <c r="A923" s="107"/>
      <c r="B923" s="103" t="str">
        <f>IFERROR( VLOOKUP($A923,'INVOICE DETAILS.'!$F$3:$G$1994,2,0)," ")</f>
        <v> </v>
      </c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8"/>
      <c r="O923" s="109"/>
      <c r="P923" s="109"/>
      <c r="Q923" s="107"/>
      <c r="R923" s="107"/>
      <c r="S923" s="107"/>
      <c r="T923" s="107"/>
      <c r="U923" s="107"/>
      <c r="V923" s="107" t="str">
        <f t="shared" si="1"/>
        <v> </v>
      </c>
      <c r="W923" s="107"/>
      <c r="X923" s="23"/>
      <c r="Y923" s="23"/>
      <c r="Z923" s="23"/>
    </row>
    <row r="924">
      <c r="A924" s="107"/>
      <c r="B924" s="103" t="str">
        <f>IFERROR( VLOOKUP($A924,'INVOICE DETAILS.'!$F$3:$G$1994,2,0)," ")</f>
        <v> </v>
      </c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8"/>
      <c r="O924" s="109"/>
      <c r="P924" s="109"/>
      <c r="Q924" s="107"/>
      <c r="R924" s="107"/>
      <c r="S924" s="107"/>
      <c r="T924" s="107"/>
      <c r="U924" s="107"/>
      <c r="V924" s="107" t="str">
        <f t="shared" si="1"/>
        <v> </v>
      </c>
      <c r="W924" s="107"/>
      <c r="X924" s="23"/>
      <c r="Y924" s="23"/>
      <c r="Z924" s="23"/>
    </row>
    <row r="925">
      <c r="A925" s="107"/>
      <c r="B925" s="103" t="str">
        <f>IFERROR( VLOOKUP($A925,'INVOICE DETAILS.'!$F$3:$G$1994,2,0)," ")</f>
        <v> </v>
      </c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8"/>
      <c r="O925" s="109"/>
      <c r="P925" s="109"/>
      <c r="Q925" s="107"/>
      <c r="R925" s="107"/>
      <c r="S925" s="107"/>
      <c r="T925" s="107"/>
      <c r="U925" s="107"/>
      <c r="V925" s="107" t="str">
        <f t="shared" si="1"/>
        <v> </v>
      </c>
      <c r="W925" s="107"/>
      <c r="X925" s="23"/>
      <c r="Y925" s="23"/>
      <c r="Z925" s="23"/>
    </row>
    <row r="926">
      <c r="A926" s="107"/>
      <c r="B926" s="103" t="str">
        <f>IFERROR( VLOOKUP($A926,'INVOICE DETAILS.'!$F$3:$G$1994,2,0)," ")</f>
        <v> </v>
      </c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8"/>
      <c r="O926" s="109"/>
      <c r="P926" s="109"/>
      <c r="Q926" s="107"/>
      <c r="R926" s="107"/>
      <c r="S926" s="107"/>
      <c r="T926" s="107"/>
      <c r="U926" s="107"/>
      <c r="V926" s="107" t="str">
        <f t="shared" si="1"/>
        <v> </v>
      </c>
      <c r="W926" s="107"/>
      <c r="X926" s="23"/>
      <c r="Y926" s="23"/>
      <c r="Z926" s="23"/>
    </row>
    <row r="927">
      <c r="A927" s="107"/>
      <c r="B927" s="103" t="str">
        <f>IFERROR( VLOOKUP($A927,'INVOICE DETAILS.'!$F$3:$G$1994,2,0)," ")</f>
        <v> </v>
      </c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8"/>
      <c r="O927" s="109"/>
      <c r="P927" s="109"/>
      <c r="Q927" s="107"/>
      <c r="R927" s="107"/>
      <c r="S927" s="107"/>
      <c r="T927" s="107"/>
      <c r="U927" s="107"/>
      <c r="V927" s="107" t="str">
        <f t="shared" si="1"/>
        <v> </v>
      </c>
      <c r="W927" s="107"/>
      <c r="X927" s="23"/>
      <c r="Y927" s="23"/>
      <c r="Z927" s="23"/>
    </row>
    <row r="928">
      <c r="A928" s="107"/>
      <c r="B928" s="103" t="str">
        <f>IFERROR( VLOOKUP($A928,'INVOICE DETAILS.'!$F$3:$G$1994,2,0)," ")</f>
        <v> </v>
      </c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8"/>
      <c r="O928" s="109"/>
      <c r="P928" s="109"/>
      <c r="Q928" s="107"/>
      <c r="R928" s="107"/>
      <c r="S928" s="107"/>
      <c r="T928" s="107"/>
      <c r="U928" s="107"/>
      <c r="V928" s="107" t="str">
        <f t="shared" si="1"/>
        <v> </v>
      </c>
      <c r="W928" s="107"/>
      <c r="X928" s="23"/>
      <c r="Y928" s="23"/>
      <c r="Z928" s="23"/>
    </row>
    <row r="929">
      <c r="A929" s="107"/>
      <c r="B929" s="103" t="str">
        <f>IFERROR( VLOOKUP($A929,'INVOICE DETAILS.'!$F$3:$G$1994,2,0)," ")</f>
        <v> </v>
      </c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8"/>
      <c r="O929" s="109"/>
      <c r="P929" s="109"/>
      <c r="Q929" s="107"/>
      <c r="R929" s="107"/>
      <c r="S929" s="107"/>
      <c r="T929" s="107"/>
      <c r="U929" s="107"/>
      <c r="V929" s="107" t="str">
        <f t="shared" si="1"/>
        <v> </v>
      </c>
      <c r="W929" s="107"/>
      <c r="X929" s="23"/>
      <c r="Y929" s="23"/>
      <c r="Z929" s="23"/>
    </row>
    <row r="930">
      <c r="A930" s="107"/>
      <c r="B930" s="103" t="str">
        <f>IFERROR( VLOOKUP($A930,'INVOICE DETAILS.'!$F$3:$G$1994,2,0)," ")</f>
        <v> </v>
      </c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8"/>
      <c r="O930" s="109"/>
      <c r="P930" s="109"/>
      <c r="Q930" s="107"/>
      <c r="R930" s="107"/>
      <c r="S930" s="107"/>
      <c r="T930" s="107"/>
      <c r="U930" s="107"/>
      <c r="V930" s="107" t="str">
        <f t="shared" si="1"/>
        <v> </v>
      </c>
      <c r="W930" s="107"/>
      <c r="X930" s="23"/>
      <c r="Y930" s="23"/>
      <c r="Z930" s="23"/>
    </row>
    <row r="931">
      <c r="A931" s="107"/>
      <c r="B931" s="103" t="str">
        <f>IFERROR( VLOOKUP($A931,'INVOICE DETAILS.'!$F$3:$G$1994,2,0)," ")</f>
        <v> </v>
      </c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8"/>
      <c r="O931" s="109"/>
      <c r="P931" s="109"/>
      <c r="Q931" s="107"/>
      <c r="R931" s="107"/>
      <c r="S931" s="107"/>
      <c r="T931" s="107"/>
      <c r="U931" s="107"/>
      <c r="V931" s="107" t="str">
        <f t="shared" si="1"/>
        <v> </v>
      </c>
      <c r="W931" s="107"/>
      <c r="X931" s="23"/>
      <c r="Y931" s="23"/>
      <c r="Z931" s="23"/>
    </row>
    <row r="932">
      <c r="A932" s="107"/>
      <c r="B932" s="103" t="str">
        <f>IFERROR( VLOOKUP($A932,'INVOICE DETAILS.'!$F$3:$G$1994,2,0)," ")</f>
        <v> </v>
      </c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8"/>
      <c r="O932" s="109"/>
      <c r="P932" s="109"/>
      <c r="Q932" s="107"/>
      <c r="R932" s="107"/>
      <c r="S932" s="107"/>
      <c r="T932" s="107"/>
      <c r="U932" s="107"/>
      <c r="V932" s="107" t="str">
        <f t="shared" si="1"/>
        <v> </v>
      </c>
      <c r="W932" s="107"/>
      <c r="X932" s="23"/>
      <c r="Y932" s="23"/>
      <c r="Z932" s="23"/>
    </row>
    <row r="933">
      <c r="A933" s="107"/>
      <c r="B933" s="103" t="str">
        <f>IFERROR( VLOOKUP($A933,'INVOICE DETAILS.'!$F$3:$G$1994,2,0)," ")</f>
        <v> </v>
      </c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8"/>
      <c r="O933" s="109"/>
      <c r="P933" s="109"/>
      <c r="Q933" s="107"/>
      <c r="R933" s="107"/>
      <c r="S933" s="107"/>
      <c r="T933" s="107"/>
      <c r="U933" s="107"/>
      <c r="V933" s="107" t="str">
        <f t="shared" si="1"/>
        <v> </v>
      </c>
      <c r="W933" s="107"/>
      <c r="X933" s="23"/>
      <c r="Y933" s="23"/>
      <c r="Z933" s="23"/>
    </row>
    <row r="934">
      <c r="A934" s="107"/>
      <c r="B934" s="103" t="str">
        <f>IFERROR( VLOOKUP($A934,'INVOICE DETAILS.'!$F$3:$G$1994,2,0)," ")</f>
        <v> </v>
      </c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8"/>
      <c r="O934" s="109"/>
      <c r="P934" s="109"/>
      <c r="Q934" s="107"/>
      <c r="R934" s="107"/>
      <c r="S934" s="107"/>
      <c r="T934" s="107"/>
      <c r="U934" s="107"/>
      <c r="V934" s="107" t="str">
        <f t="shared" si="1"/>
        <v> </v>
      </c>
      <c r="W934" s="107"/>
      <c r="X934" s="23"/>
      <c r="Y934" s="23"/>
      <c r="Z934" s="23"/>
    </row>
    <row r="935">
      <c r="A935" s="107"/>
      <c r="B935" s="103" t="str">
        <f>IFERROR( VLOOKUP($A935,'INVOICE DETAILS.'!$F$3:$G$1994,2,0)," ")</f>
        <v> </v>
      </c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8"/>
      <c r="O935" s="109"/>
      <c r="P935" s="109"/>
      <c r="Q935" s="107"/>
      <c r="R935" s="107"/>
      <c r="S935" s="107"/>
      <c r="T935" s="107"/>
      <c r="U935" s="107"/>
      <c r="V935" s="107" t="str">
        <f t="shared" si="1"/>
        <v> </v>
      </c>
      <c r="W935" s="107"/>
      <c r="X935" s="23"/>
      <c r="Y935" s="23"/>
      <c r="Z935" s="23"/>
    </row>
    <row r="936">
      <c r="A936" s="107"/>
      <c r="B936" s="103" t="str">
        <f>IFERROR( VLOOKUP($A936,'INVOICE DETAILS.'!$F$3:$G$1994,2,0)," ")</f>
        <v> </v>
      </c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8"/>
      <c r="O936" s="109"/>
      <c r="P936" s="109"/>
      <c r="Q936" s="107"/>
      <c r="R936" s="107"/>
      <c r="S936" s="107"/>
      <c r="T936" s="107"/>
      <c r="U936" s="107"/>
      <c r="V936" s="107" t="str">
        <f t="shared" si="1"/>
        <v> </v>
      </c>
      <c r="W936" s="107"/>
      <c r="X936" s="23"/>
      <c r="Y936" s="23"/>
      <c r="Z936" s="23"/>
    </row>
    <row r="937">
      <c r="A937" s="107"/>
      <c r="B937" s="103" t="str">
        <f>IFERROR( VLOOKUP($A937,'INVOICE DETAILS.'!$F$3:$G$1994,2,0)," ")</f>
        <v> </v>
      </c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8"/>
      <c r="O937" s="109"/>
      <c r="P937" s="109"/>
      <c r="Q937" s="107"/>
      <c r="R937" s="107"/>
      <c r="S937" s="107"/>
      <c r="T937" s="107"/>
      <c r="U937" s="107"/>
      <c r="V937" s="107" t="str">
        <f t="shared" si="1"/>
        <v> </v>
      </c>
      <c r="W937" s="107"/>
      <c r="X937" s="23"/>
      <c r="Y937" s="23"/>
      <c r="Z937" s="23"/>
    </row>
    <row r="938">
      <c r="A938" s="107"/>
      <c r="B938" s="103" t="str">
        <f>IFERROR( VLOOKUP($A938,'INVOICE DETAILS.'!$F$3:$G$1994,2,0)," ")</f>
        <v> </v>
      </c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8"/>
      <c r="O938" s="109"/>
      <c r="P938" s="109"/>
      <c r="Q938" s="107"/>
      <c r="R938" s="107"/>
      <c r="S938" s="107"/>
      <c r="T938" s="107"/>
      <c r="U938" s="107"/>
      <c r="V938" s="107" t="str">
        <f t="shared" si="1"/>
        <v> </v>
      </c>
      <c r="W938" s="107"/>
      <c r="X938" s="23"/>
      <c r="Y938" s="23"/>
      <c r="Z938" s="23"/>
    </row>
    <row r="939">
      <c r="A939" s="107"/>
      <c r="B939" s="103" t="str">
        <f>IFERROR( VLOOKUP($A939,'INVOICE DETAILS.'!$F$3:$G$1994,2,0)," ")</f>
        <v> </v>
      </c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8"/>
      <c r="O939" s="109"/>
      <c r="P939" s="109"/>
      <c r="Q939" s="107"/>
      <c r="R939" s="107"/>
      <c r="S939" s="107"/>
      <c r="T939" s="107"/>
      <c r="U939" s="107"/>
      <c r="V939" s="107" t="str">
        <f t="shared" si="1"/>
        <v> </v>
      </c>
      <c r="W939" s="107"/>
      <c r="X939" s="23"/>
      <c r="Y939" s="23"/>
      <c r="Z939" s="23"/>
    </row>
    <row r="940">
      <c r="A940" s="107"/>
      <c r="B940" s="103" t="str">
        <f>IFERROR( VLOOKUP($A940,'INVOICE DETAILS.'!$F$3:$G$1994,2,0)," ")</f>
        <v> </v>
      </c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8"/>
      <c r="O940" s="109"/>
      <c r="P940" s="109"/>
      <c r="Q940" s="107"/>
      <c r="R940" s="107"/>
      <c r="S940" s="107"/>
      <c r="T940" s="107"/>
      <c r="U940" s="107"/>
      <c r="V940" s="107" t="str">
        <f t="shared" si="1"/>
        <v> </v>
      </c>
      <c r="W940" s="107"/>
      <c r="X940" s="23"/>
      <c r="Y940" s="23"/>
      <c r="Z940" s="23"/>
    </row>
    <row r="941">
      <c r="A941" s="107"/>
      <c r="B941" s="103" t="str">
        <f>IFERROR( VLOOKUP($A941,'INVOICE DETAILS.'!$F$3:$G$1994,2,0)," ")</f>
        <v> </v>
      </c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8"/>
      <c r="O941" s="109"/>
      <c r="P941" s="109"/>
      <c r="Q941" s="107"/>
      <c r="R941" s="107"/>
      <c r="S941" s="107"/>
      <c r="T941" s="107"/>
      <c r="U941" s="107"/>
      <c r="V941" s="107" t="str">
        <f t="shared" si="1"/>
        <v> </v>
      </c>
      <c r="W941" s="107"/>
      <c r="X941" s="23"/>
      <c r="Y941" s="23"/>
      <c r="Z941" s="23"/>
    </row>
    <row r="942">
      <c r="A942" s="107"/>
      <c r="B942" s="103" t="str">
        <f>IFERROR( VLOOKUP($A942,'INVOICE DETAILS.'!$F$3:$G$1994,2,0)," ")</f>
        <v> </v>
      </c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8"/>
      <c r="O942" s="109"/>
      <c r="P942" s="109"/>
      <c r="Q942" s="107"/>
      <c r="R942" s="107"/>
      <c r="S942" s="107"/>
      <c r="T942" s="107"/>
      <c r="U942" s="107"/>
      <c r="V942" s="107" t="str">
        <f t="shared" si="1"/>
        <v> </v>
      </c>
      <c r="W942" s="107"/>
      <c r="X942" s="23"/>
      <c r="Y942" s="23"/>
      <c r="Z942" s="23"/>
    </row>
    <row r="943">
      <c r="A943" s="107"/>
      <c r="B943" s="103" t="str">
        <f>IFERROR( VLOOKUP($A943,'INVOICE DETAILS.'!$F$3:$G$1994,2,0)," ")</f>
        <v> </v>
      </c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8"/>
      <c r="O943" s="109"/>
      <c r="P943" s="109"/>
      <c r="Q943" s="107"/>
      <c r="R943" s="107"/>
      <c r="S943" s="107"/>
      <c r="T943" s="107"/>
      <c r="U943" s="107"/>
      <c r="V943" s="107" t="str">
        <f t="shared" si="1"/>
        <v> </v>
      </c>
      <c r="W943" s="107"/>
      <c r="X943" s="23"/>
      <c r="Y943" s="23"/>
      <c r="Z943" s="23"/>
    </row>
    <row r="944">
      <c r="A944" s="107"/>
      <c r="B944" s="103" t="str">
        <f>IFERROR( VLOOKUP($A944,'INVOICE DETAILS.'!$F$3:$G$1994,2,0)," ")</f>
        <v> </v>
      </c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8"/>
      <c r="O944" s="109"/>
      <c r="P944" s="109"/>
      <c r="Q944" s="107"/>
      <c r="R944" s="107"/>
      <c r="S944" s="107"/>
      <c r="T944" s="107"/>
      <c r="U944" s="107"/>
      <c r="V944" s="107" t="str">
        <f t="shared" si="1"/>
        <v> </v>
      </c>
      <c r="W944" s="107"/>
      <c r="X944" s="23"/>
      <c r="Y944" s="23"/>
      <c r="Z944" s="23"/>
    </row>
    <row r="945">
      <c r="A945" s="107"/>
      <c r="B945" s="103" t="str">
        <f>IFERROR( VLOOKUP($A945,'INVOICE DETAILS.'!$F$3:$G$1994,2,0)," ")</f>
        <v> </v>
      </c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8"/>
      <c r="O945" s="109"/>
      <c r="P945" s="109"/>
      <c r="Q945" s="107"/>
      <c r="R945" s="107"/>
      <c r="S945" s="107"/>
      <c r="T945" s="107"/>
      <c r="U945" s="107"/>
      <c r="V945" s="107" t="str">
        <f t="shared" si="1"/>
        <v> </v>
      </c>
      <c r="W945" s="107"/>
      <c r="X945" s="23"/>
      <c r="Y945" s="23"/>
      <c r="Z945" s="23"/>
    </row>
    <row r="946">
      <c r="A946" s="107"/>
      <c r="B946" s="103" t="str">
        <f>IFERROR( VLOOKUP($A946,'INVOICE DETAILS.'!$F$3:$G$1994,2,0)," ")</f>
        <v> </v>
      </c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8"/>
      <c r="O946" s="109"/>
      <c r="P946" s="109"/>
      <c r="Q946" s="107"/>
      <c r="R946" s="107"/>
      <c r="S946" s="107"/>
      <c r="T946" s="107"/>
      <c r="U946" s="107"/>
      <c r="V946" s="107" t="str">
        <f t="shared" si="1"/>
        <v> </v>
      </c>
      <c r="W946" s="107"/>
      <c r="X946" s="23"/>
      <c r="Y946" s="23"/>
      <c r="Z946" s="23"/>
    </row>
    <row r="947">
      <c r="A947" s="107"/>
      <c r="B947" s="103" t="str">
        <f>IFERROR( VLOOKUP($A947,'INVOICE DETAILS.'!$F$3:$G$1994,2,0)," ")</f>
        <v> </v>
      </c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8"/>
      <c r="O947" s="109"/>
      <c r="P947" s="109"/>
      <c r="Q947" s="107"/>
      <c r="R947" s="107"/>
      <c r="S947" s="107"/>
      <c r="T947" s="107"/>
      <c r="U947" s="107"/>
      <c r="V947" s="107" t="str">
        <f t="shared" si="1"/>
        <v> </v>
      </c>
      <c r="W947" s="107"/>
      <c r="X947" s="23"/>
      <c r="Y947" s="23"/>
      <c r="Z947" s="23"/>
    </row>
    <row r="948">
      <c r="A948" s="107"/>
      <c r="B948" s="103" t="str">
        <f>IFERROR( VLOOKUP($A948,'INVOICE DETAILS.'!$F$3:$G$1994,2,0)," ")</f>
        <v> </v>
      </c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8"/>
      <c r="O948" s="109"/>
      <c r="P948" s="109"/>
      <c r="Q948" s="107"/>
      <c r="R948" s="107"/>
      <c r="S948" s="107"/>
      <c r="T948" s="107"/>
      <c r="U948" s="107"/>
      <c r="V948" s="107" t="str">
        <f t="shared" si="1"/>
        <v> </v>
      </c>
      <c r="W948" s="107"/>
      <c r="X948" s="23"/>
      <c r="Y948" s="23"/>
      <c r="Z948" s="23"/>
    </row>
    <row r="949">
      <c r="A949" s="107"/>
      <c r="B949" s="103" t="str">
        <f>IFERROR( VLOOKUP($A949,'INVOICE DETAILS.'!$F$3:$G$1994,2,0)," ")</f>
        <v> </v>
      </c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8"/>
      <c r="O949" s="109"/>
      <c r="P949" s="109"/>
      <c r="Q949" s="107"/>
      <c r="R949" s="107"/>
      <c r="S949" s="107"/>
      <c r="T949" s="107"/>
      <c r="U949" s="107"/>
      <c r="V949" s="107" t="str">
        <f t="shared" si="1"/>
        <v> </v>
      </c>
      <c r="W949" s="107"/>
      <c r="X949" s="23"/>
      <c r="Y949" s="23"/>
      <c r="Z949" s="23"/>
    </row>
    <row r="950">
      <c r="A950" s="107"/>
      <c r="B950" s="103" t="str">
        <f>IFERROR( VLOOKUP($A950,'INVOICE DETAILS.'!$F$3:$G$1994,2,0)," ")</f>
        <v> </v>
      </c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8"/>
      <c r="O950" s="109"/>
      <c r="P950" s="109"/>
      <c r="Q950" s="107"/>
      <c r="R950" s="107"/>
      <c r="S950" s="107"/>
      <c r="T950" s="107"/>
      <c r="U950" s="107"/>
      <c r="V950" s="107" t="str">
        <f t="shared" si="1"/>
        <v> </v>
      </c>
      <c r="W950" s="107"/>
      <c r="X950" s="23"/>
      <c r="Y950" s="23"/>
      <c r="Z950" s="23"/>
    </row>
    <row r="951">
      <c r="A951" s="107"/>
      <c r="B951" s="103" t="str">
        <f>IFERROR( VLOOKUP($A951,'INVOICE DETAILS.'!$F$3:$G$1994,2,0)," ")</f>
        <v> </v>
      </c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8"/>
      <c r="O951" s="109"/>
      <c r="P951" s="109"/>
      <c r="Q951" s="107"/>
      <c r="R951" s="107"/>
      <c r="S951" s="107"/>
      <c r="T951" s="107"/>
      <c r="U951" s="107"/>
      <c r="V951" s="107" t="str">
        <f t="shared" si="1"/>
        <v> </v>
      </c>
      <c r="W951" s="107"/>
      <c r="X951" s="23"/>
      <c r="Y951" s="23"/>
      <c r="Z951" s="23"/>
    </row>
    <row r="952">
      <c r="A952" s="107"/>
      <c r="B952" s="103" t="str">
        <f>IFERROR( VLOOKUP($A952,'INVOICE DETAILS.'!$F$3:$G$1994,2,0)," ")</f>
        <v> </v>
      </c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8"/>
      <c r="O952" s="109"/>
      <c r="P952" s="109"/>
      <c r="Q952" s="107"/>
      <c r="R952" s="107"/>
      <c r="S952" s="107"/>
      <c r="T952" s="107"/>
      <c r="U952" s="107"/>
      <c r="V952" s="107" t="str">
        <f t="shared" si="1"/>
        <v> </v>
      </c>
      <c r="W952" s="107"/>
      <c r="X952" s="23"/>
      <c r="Y952" s="23"/>
      <c r="Z952" s="23"/>
    </row>
    <row r="953">
      <c r="A953" s="107"/>
      <c r="B953" s="103" t="str">
        <f>IFERROR( VLOOKUP($A953,'INVOICE DETAILS.'!$F$3:$G$1994,2,0)," ")</f>
        <v> </v>
      </c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8"/>
      <c r="O953" s="109"/>
      <c r="P953" s="109"/>
      <c r="Q953" s="107"/>
      <c r="R953" s="107"/>
      <c r="S953" s="107"/>
      <c r="T953" s="107"/>
      <c r="U953" s="107"/>
      <c r="V953" s="107" t="str">
        <f t="shared" si="1"/>
        <v> </v>
      </c>
      <c r="W953" s="107"/>
      <c r="X953" s="23"/>
      <c r="Y953" s="23"/>
      <c r="Z953" s="23"/>
    </row>
    <row r="954">
      <c r="A954" s="107"/>
      <c r="B954" s="103" t="str">
        <f>IFERROR( VLOOKUP($A954,'INVOICE DETAILS.'!$F$3:$G$1994,2,0)," ")</f>
        <v> </v>
      </c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8"/>
      <c r="O954" s="109"/>
      <c r="P954" s="109"/>
      <c r="Q954" s="107"/>
      <c r="R954" s="107"/>
      <c r="S954" s="107"/>
      <c r="T954" s="107"/>
      <c r="U954" s="107"/>
      <c r="V954" s="107" t="str">
        <f t="shared" si="1"/>
        <v> </v>
      </c>
      <c r="W954" s="107"/>
      <c r="X954" s="23"/>
      <c r="Y954" s="23"/>
      <c r="Z954" s="23"/>
    </row>
    <row r="955">
      <c r="A955" s="107"/>
      <c r="B955" s="103" t="str">
        <f>IFERROR( VLOOKUP($A955,'INVOICE DETAILS.'!$F$3:$G$1994,2,0)," ")</f>
        <v> </v>
      </c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8"/>
      <c r="O955" s="109"/>
      <c r="P955" s="109"/>
      <c r="Q955" s="107"/>
      <c r="R955" s="107"/>
      <c r="S955" s="107"/>
      <c r="T955" s="107"/>
      <c r="U955" s="107"/>
      <c r="V955" s="107" t="str">
        <f t="shared" si="1"/>
        <v> </v>
      </c>
      <c r="W955" s="107"/>
      <c r="X955" s="23"/>
      <c r="Y955" s="23"/>
      <c r="Z955" s="23"/>
    </row>
    <row r="956">
      <c r="A956" s="107"/>
      <c r="B956" s="103" t="str">
        <f>IFERROR( VLOOKUP($A956,'INVOICE DETAILS.'!$F$3:$G$1994,2,0)," ")</f>
        <v> </v>
      </c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8"/>
      <c r="O956" s="109"/>
      <c r="P956" s="109"/>
      <c r="Q956" s="107"/>
      <c r="R956" s="107"/>
      <c r="S956" s="107"/>
      <c r="T956" s="107"/>
      <c r="U956" s="107"/>
      <c r="V956" s="107" t="str">
        <f t="shared" si="1"/>
        <v> </v>
      </c>
      <c r="W956" s="107"/>
      <c r="X956" s="23"/>
      <c r="Y956" s="23"/>
      <c r="Z956" s="23"/>
    </row>
    <row r="957">
      <c r="A957" s="107"/>
      <c r="B957" s="103" t="str">
        <f>IFERROR( VLOOKUP($A957,'INVOICE DETAILS.'!$F$3:$G$1994,2,0)," ")</f>
        <v> </v>
      </c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8"/>
      <c r="O957" s="109"/>
      <c r="P957" s="109"/>
      <c r="Q957" s="107"/>
      <c r="R957" s="107"/>
      <c r="S957" s="107"/>
      <c r="T957" s="107"/>
      <c r="U957" s="107"/>
      <c r="V957" s="107" t="str">
        <f t="shared" si="1"/>
        <v> </v>
      </c>
      <c r="W957" s="107"/>
      <c r="X957" s="23"/>
      <c r="Y957" s="23"/>
      <c r="Z957" s="23"/>
    </row>
    <row r="958">
      <c r="A958" s="107"/>
      <c r="B958" s="103" t="str">
        <f>IFERROR( VLOOKUP($A958,'INVOICE DETAILS.'!$F$3:$G$1994,2,0)," ")</f>
        <v> </v>
      </c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8"/>
      <c r="O958" s="109"/>
      <c r="P958" s="109"/>
      <c r="Q958" s="107"/>
      <c r="R958" s="107"/>
      <c r="S958" s="107"/>
      <c r="T958" s="107"/>
      <c r="U958" s="107"/>
      <c r="V958" s="107" t="str">
        <f t="shared" si="1"/>
        <v> </v>
      </c>
      <c r="W958" s="107"/>
      <c r="X958" s="23"/>
      <c r="Y958" s="23"/>
      <c r="Z958" s="23"/>
    </row>
    <row r="959">
      <c r="A959" s="107"/>
      <c r="B959" s="103" t="str">
        <f>IFERROR( VLOOKUP($A959,'INVOICE DETAILS.'!$F$3:$G$1994,2,0)," ")</f>
        <v> </v>
      </c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8"/>
      <c r="O959" s="109"/>
      <c r="P959" s="109"/>
      <c r="Q959" s="107"/>
      <c r="R959" s="107"/>
      <c r="S959" s="107"/>
      <c r="T959" s="107"/>
      <c r="U959" s="107"/>
      <c r="V959" s="107" t="str">
        <f t="shared" si="1"/>
        <v> </v>
      </c>
      <c r="W959" s="107"/>
      <c r="X959" s="23"/>
      <c r="Y959" s="23"/>
      <c r="Z959" s="23"/>
    </row>
    <row r="960">
      <c r="A960" s="107"/>
      <c r="B960" s="103" t="str">
        <f>IFERROR( VLOOKUP($A960,'INVOICE DETAILS.'!$F$3:$G$1994,2,0)," ")</f>
        <v> </v>
      </c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8"/>
      <c r="O960" s="109"/>
      <c r="P960" s="109"/>
      <c r="Q960" s="107"/>
      <c r="R960" s="107"/>
      <c r="S960" s="107"/>
      <c r="T960" s="107"/>
      <c r="U960" s="107"/>
      <c r="V960" s="107" t="str">
        <f t="shared" si="1"/>
        <v> </v>
      </c>
      <c r="W960" s="107"/>
      <c r="X960" s="23"/>
      <c r="Y960" s="23"/>
      <c r="Z960" s="23"/>
    </row>
    <row r="961">
      <c r="A961" s="107"/>
      <c r="B961" s="103" t="str">
        <f>IFERROR( VLOOKUP($A961,'INVOICE DETAILS.'!$F$3:$G$1994,2,0)," ")</f>
        <v> </v>
      </c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8"/>
      <c r="O961" s="109"/>
      <c r="P961" s="109"/>
      <c r="Q961" s="107"/>
      <c r="R961" s="107"/>
      <c r="S961" s="107"/>
      <c r="T961" s="107"/>
      <c r="U961" s="107"/>
      <c r="V961" s="107" t="str">
        <f t="shared" si="1"/>
        <v> </v>
      </c>
      <c r="W961" s="107"/>
      <c r="X961" s="23"/>
      <c r="Y961" s="23"/>
      <c r="Z961" s="23"/>
    </row>
    <row r="962">
      <c r="A962" s="107"/>
      <c r="B962" s="103" t="str">
        <f>IFERROR( VLOOKUP($A962,'INVOICE DETAILS.'!$F$3:$G$1994,2,0)," ")</f>
        <v> </v>
      </c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8"/>
      <c r="O962" s="109"/>
      <c r="P962" s="109"/>
      <c r="Q962" s="107"/>
      <c r="R962" s="107"/>
      <c r="S962" s="107"/>
      <c r="T962" s="107"/>
      <c r="U962" s="107"/>
      <c r="V962" s="107" t="str">
        <f t="shared" si="1"/>
        <v> </v>
      </c>
      <c r="W962" s="107"/>
      <c r="X962" s="23"/>
      <c r="Y962" s="23"/>
      <c r="Z962" s="23"/>
    </row>
    <row r="963">
      <c r="A963" s="107"/>
      <c r="B963" s="103" t="str">
        <f>IFERROR( VLOOKUP($A963,'INVOICE DETAILS.'!$F$3:$G$1994,2,0)," ")</f>
        <v> </v>
      </c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8"/>
      <c r="O963" s="109"/>
      <c r="P963" s="109"/>
      <c r="Q963" s="107"/>
      <c r="R963" s="107"/>
      <c r="S963" s="107"/>
      <c r="T963" s="107"/>
      <c r="U963" s="107"/>
      <c r="V963" s="107" t="str">
        <f t="shared" si="1"/>
        <v> </v>
      </c>
      <c r="W963" s="107"/>
      <c r="X963" s="23"/>
      <c r="Y963" s="23"/>
      <c r="Z963" s="23"/>
    </row>
    <row r="964">
      <c r="A964" s="107"/>
      <c r="B964" s="103" t="str">
        <f>IFERROR( VLOOKUP($A964,'INVOICE DETAILS.'!$F$3:$G$1994,2,0)," ")</f>
        <v> </v>
      </c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8"/>
      <c r="O964" s="109"/>
      <c r="P964" s="109"/>
      <c r="Q964" s="107"/>
      <c r="R964" s="107"/>
      <c r="S964" s="107"/>
      <c r="T964" s="107"/>
      <c r="U964" s="107"/>
      <c r="V964" s="107" t="str">
        <f t="shared" si="1"/>
        <v> </v>
      </c>
      <c r="W964" s="107"/>
      <c r="X964" s="23"/>
      <c r="Y964" s="23"/>
      <c r="Z964" s="23"/>
    </row>
    <row r="965">
      <c r="A965" s="107"/>
      <c r="B965" s="103" t="str">
        <f>IFERROR( VLOOKUP($A965,'INVOICE DETAILS.'!$F$3:$G$1994,2,0)," ")</f>
        <v> </v>
      </c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8"/>
      <c r="O965" s="109"/>
      <c r="P965" s="109"/>
      <c r="Q965" s="107"/>
      <c r="R965" s="107"/>
      <c r="S965" s="107"/>
      <c r="T965" s="107"/>
      <c r="U965" s="107"/>
      <c r="V965" s="107" t="str">
        <f t="shared" si="1"/>
        <v> </v>
      </c>
      <c r="W965" s="107"/>
      <c r="X965" s="23"/>
      <c r="Y965" s="23"/>
      <c r="Z965" s="23"/>
    </row>
    <row r="966">
      <c r="A966" s="107"/>
      <c r="B966" s="103" t="str">
        <f>IFERROR( VLOOKUP($A966,'INVOICE DETAILS.'!$F$3:$G$1994,2,0)," ")</f>
        <v> </v>
      </c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8"/>
      <c r="O966" s="109"/>
      <c r="P966" s="109"/>
      <c r="Q966" s="107"/>
      <c r="R966" s="107"/>
      <c r="S966" s="107"/>
      <c r="T966" s="107"/>
      <c r="U966" s="107"/>
      <c r="V966" s="107" t="str">
        <f t="shared" si="1"/>
        <v> </v>
      </c>
      <c r="W966" s="107"/>
      <c r="X966" s="23"/>
      <c r="Y966" s="23"/>
      <c r="Z966" s="23"/>
    </row>
    <row r="967">
      <c r="A967" s="107"/>
      <c r="B967" s="103" t="str">
        <f>IFERROR( VLOOKUP($A967,'INVOICE DETAILS.'!$F$3:$G$1994,2,0)," ")</f>
        <v> </v>
      </c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8"/>
      <c r="O967" s="109"/>
      <c r="P967" s="109"/>
      <c r="Q967" s="107"/>
      <c r="R967" s="107"/>
      <c r="S967" s="107"/>
      <c r="T967" s="107"/>
      <c r="U967" s="107"/>
      <c r="V967" s="107" t="str">
        <f t="shared" si="1"/>
        <v> </v>
      </c>
      <c r="W967" s="107"/>
      <c r="X967" s="23"/>
      <c r="Y967" s="23"/>
      <c r="Z967" s="23"/>
    </row>
    <row r="968">
      <c r="A968" s="107"/>
      <c r="B968" s="103" t="str">
        <f>IFERROR( VLOOKUP($A968,'INVOICE DETAILS.'!$F$3:$G$1994,2,0)," ")</f>
        <v> </v>
      </c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8"/>
      <c r="O968" s="109"/>
      <c r="P968" s="109"/>
      <c r="Q968" s="107"/>
      <c r="R968" s="107"/>
      <c r="S968" s="107"/>
      <c r="T968" s="107"/>
      <c r="U968" s="107"/>
      <c r="V968" s="107" t="str">
        <f t="shared" si="1"/>
        <v> </v>
      </c>
      <c r="W968" s="107"/>
      <c r="X968" s="23"/>
      <c r="Y968" s="23"/>
      <c r="Z968" s="23"/>
    </row>
    <row r="969">
      <c r="A969" s="107"/>
      <c r="B969" s="103" t="str">
        <f>IFERROR( VLOOKUP($A969,'INVOICE DETAILS.'!$F$3:$G$1994,2,0)," ")</f>
        <v> </v>
      </c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8"/>
      <c r="O969" s="109"/>
      <c r="P969" s="109"/>
      <c r="Q969" s="107"/>
      <c r="R969" s="107"/>
      <c r="S969" s="107"/>
      <c r="T969" s="107"/>
      <c r="U969" s="107"/>
      <c r="V969" s="107" t="str">
        <f t="shared" si="1"/>
        <v> </v>
      </c>
      <c r="W969" s="107"/>
      <c r="X969" s="23"/>
      <c r="Y969" s="23"/>
      <c r="Z969" s="23"/>
    </row>
    <row r="970">
      <c r="A970" s="107"/>
      <c r="B970" s="103" t="str">
        <f>IFERROR( VLOOKUP($A970,'INVOICE DETAILS.'!$F$3:$G$1994,2,0)," ")</f>
        <v> </v>
      </c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8"/>
      <c r="O970" s="109"/>
      <c r="P970" s="109"/>
      <c r="Q970" s="107"/>
      <c r="R970" s="107"/>
      <c r="S970" s="107"/>
      <c r="T970" s="107"/>
      <c r="U970" s="107"/>
      <c r="V970" s="107" t="str">
        <f t="shared" si="1"/>
        <v> </v>
      </c>
      <c r="W970" s="107"/>
      <c r="X970" s="23"/>
      <c r="Y970" s="23"/>
      <c r="Z970" s="23"/>
    </row>
    <row r="971">
      <c r="A971" s="107"/>
      <c r="B971" s="103" t="str">
        <f>IFERROR( VLOOKUP($A971,'INVOICE DETAILS.'!$F$3:$G$1994,2,0)," ")</f>
        <v> </v>
      </c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8"/>
      <c r="O971" s="109"/>
      <c r="P971" s="109"/>
      <c r="Q971" s="107"/>
      <c r="R971" s="107"/>
      <c r="S971" s="107"/>
      <c r="T971" s="107"/>
      <c r="U971" s="107"/>
      <c r="V971" s="107" t="str">
        <f t="shared" si="1"/>
        <v> </v>
      </c>
      <c r="W971" s="107"/>
      <c r="X971" s="23"/>
      <c r="Y971" s="23"/>
      <c r="Z971" s="23"/>
    </row>
    <row r="972">
      <c r="A972" s="107"/>
      <c r="B972" s="103" t="str">
        <f>IFERROR( VLOOKUP($A972,'INVOICE DETAILS.'!$F$3:$G$1994,2,0)," ")</f>
        <v> </v>
      </c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8"/>
      <c r="O972" s="109"/>
      <c r="P972" s="109"/>
      <c r="Q972" s="107"/>
      <c r="R972" s="107"/>
      <c r="S972" s="107"/>
      <c r="T972" s="107"/>
      <c r="U972" s="107"/>
      <c r="V972" s="107" t="str">
        <f t="shared" si="1"/>
        <v> </v>
      </c>
      <c r="W972" s="107"/>
      <c r="X972" s="23"/>
      <c r="Y972" s="23"/>
      <c r="Z972" s="23"/>
    </row>
    <row r="973">
      <c r="A973" s="107"/>
      <c r="B973" s="103" t="str">
        <f>IFERROR( VLOOKUP($A973,'INVOICE DETAILS.'!$F$3:$G$1994,2,0)," ")</f>
        <v> </v>
      </c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8"/>
      <c r="O973" s="109"/>
      <c r="P973" s="109"/>
      <c r="Q973" s="107"/>
      <c r="R973" s="107"/>
      <c r="S973" s="107"/>
      <c r="T973" s="107"/>
      <c r="U973" s="107"/>
      <c r="V973" s="107" t="str">
        <f t="shared" si="1"/>
        <v> </v>
      </c>
      <c r="W973" s="107"/>
      <c r="X973" s="23"/>
      <c r="Y973" s="23"/>
      <c r="Z973" s="23"/>
    </row>
    <row r="974">
      <c r="A974" s="107"/>
      <c r="B974" s="103" t="str">
        <f>IFERROR( VLOOKUP($A974,'INVOICE DETAILS.'!$F$3:$G$1994,2,0)," ")</f>
        <v> </v>
      </c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8"/>
      <c r="O974" s="109"/>
      <c r="P974" s="109"/>
      <c r="Q974" s="107"/>
      <c r="R974" s="107"/>
      <c r="S974" s="107"/>
      <c r="T974" s="107"/>
      <c r="U974" s="107"/>
      <c r="V974" s="107" t="str">
        <f t="shared" si="1"/>
        <v> </v>
      </c>
      <c r="W974" s="107"/>
      <c r="X974" s="23"/>
      <c r="Y974" s="23"/>
      <c r="Z974" s="23"/>
    </row>
    <row r="975">
      <c r="A975" s="107"/>
      <c r="B975" s="103" t="str">
        <f>IFERROR( VLOOKUP($A975,'INVOICE DETAILS.'!$F$3:$G$1994,2,0)," ")</f>
        <v> </v>
      </c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8"/>
      <c r="O975" s="109"/>
      <c r="P975" s="109"/>
      <c r="Q975" s="107"/>
      <c r="R975" s="107"/>
      <c r="S975" s="107"/>
      <c r="T975" s="107"/>
      <c r="U975" s="107"/>
      <c r="V975" s="107" t="str">
        <f t="shared" si="1"/>
        <v> </v>
      </c>
      <c r="W975" s="107"/>
      <c r="X975" s="23"/>
      <c r="Y975" s="23"/>
      <c r="Z975" s="23"/>
    </row>
    <row r="976">
      <c r="A976" s="107"/>
      <c r="B976" s="103" t="str">
        <f>IFERROR( VLOOKUP($A976,'INVOICE DETAILS.'!$F$3:$G$1994,2,0)," ")</f>
        <v> </v>
      </c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8"/>
      <c r="O976" s="109"/>
      <c r="P976" s="109"/>
      <c r="Q976" s="107"/>
      <c r="R976" s="107"/>
      <c r="S976" s="107"/>
      <c r="T976" s="107"/>
      <c r="U976" s="107"/>
      <c r="V976" s="107" t="str">
        <f t="shared" si="1"/>
        <v> </v>
      </c>
      <c r="W976" s="107"/>
      <c r="X976" s="23"/>
      <c r="Y976" s="23"/>
      <c r="Z976" s="23"/>
    </row>
    <row r="977">
      <c r="A977" s="107"/>
      <c r="B977" s="103" t="str">
        <f>IFERROR( VLOOKUP($A977,'INVOICE DETAILS.'!$F$3:$G$1994,2,0)," ")</f>
        <v> </v>
      </c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8"/>
      <c r="O977" s="109"/>
      <c r="P977" s="109"/>
      <c r="Q977" s="107"/>
      <c r="R977" s="107"/>
      <c r="S977" s="107"/>
      <c r="T977" s="107"/>
      <c r="U977" s="107"/>
      <c r="V977" s="107" t="str">
        <f t="shared" si="1"/>
        <v> </v>
      </c>
      <c r="W977" s="107"/>
      <c r="X977" s="23"/>
      <c r="Y977" s="23"/>
      <c r="Z977" s="23"/>
    </row>
    <row r="978">
      <c r="A978" s="107"/>
      <c r="B978" s="103" t="str">
        <f>IFERROR( VLOOKUP($A978,'INVOICE DETAILS.'!$F$3:$G$1994,2,0)," ")</f>
        <v> </v>
      </c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8"/>
      <c r="O978" s="109"/>
      <c r="P978" s="109"/>
      <c r="Q978" s="107"/>
      <c r="R978" s="107"/>
      <c r="S978" s="107"/>
      <c r="T978" s="107"/>
      <c r="U978" s="107"/>
      <c r="V978" s="107" t="str">
        <f t="shared" si="1"/>
        <v> </v>
      </c>
      <c r="W978" s="107"/>
      <c r="X978" s="23"/>
      <c r="Y978" s="23"/>
      <c r="Z978" s="23"/>
    </row>
    <row r="979">
      <c r="A979" s="107"/>
      <c r="B979" s="103" t="str">
        <f>IFERROR( VLOOKUP($A979,'INVOICE DETAILS.'!$F$3:$G$1994,2,0)," ")</f>
        <v> </v>
      </c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8"/>
      <c r="O979" s="109"/>
      <c r="P979" s="109"/>
      <c r="Q979" s="107"/>
      <c r="R979" s="107"/>
      <c r="S979" s="107"/>
      <c r="T979" s="107"/>
      <c r="U979" s="107"/>
      <c r="V979" s="107" t="str">
        <f t="shared" si="1"/>
        <v> </v>
      </c>
      <c r="W979" s="107"/>
      <c r="X979" s="23"/>
      <c r="Y979" s="23"/>
      <c r="Z979" s="23"/>
    </row>
    <row r="980">
      <c r="A980" s="107"/>
      <c r="B980" s="103" t="str">
        <f>IFERROR( VLOOKUP($A980,'INVOICE DETAILS.'!$F$3:$G$1994,2,0)," ")</f>
        <v> </v>
      </c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8"/>
      <c r="O980" s="109"/>
      <c r="P980" s="109"/>
      <c r="Q980" s="107"/>
      <c r="R980" s="107"/>
      <c r="S980" s="107"/>
      <c r="T980" s="107"/>
      <c r="U980" s="107"/>
      <c r="V980" s="107" t="str">
        <f t="shared" si="1"/>
        <v> </v>
      </c>
      <c r="W980" s="107"/>
      <c r="X980" s="23"/>
      <c r="Y980" s="23"/>
      <c r="Z980" s="23"/>
    </row>
    <row r="981">
      <c r="A981" s="107"/>
      <c r="B981" s="103" t="str">
        <f>IFERROR( VLOOKUP($A981,'INVOICE DETAILS.'!$F$3:$G$1994,2,0)," ")</f>
        <v> </v>
      </c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8"/>
      <c r="O981" s="109"/>
      <c r="P981" s="109"/>
      <c r="Q981" s="107"/>
      <c r="R981" s="107"/>
      <c r="S981" s="107"/>
      <c r="T981" s="107"/>
      <c r="U981" s="107"/>
      <c r="V981" s="107" t="str">
        <f t="shared" si="1"/>
        <v> </v>
      </c>
      <c r="W981" s="107"/>
      <c r="X981" s="23"/>
      <c r="Y981" s="23"/>
      <c r="Z981" s="23"/>
    </row>
    <row r="982">
      <c r="A982" s="107"/>
      <c r="B982" s="103" t="str">
        <f>IFERROR( VLOOKUP($A982,'INVOICE DETAILS.'!$F$3:$G$1994,2,0)," ")</f>
        <v> </v>
      </c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8"/>
      <c r="O982" s="109"/>
      <c r="P982" s="109"/>
      <c r="Q982" s="107"/>
      <c r="R982" s="107"/>
      <c r="S982" s="107"/>
      <c r="T982" s="107"/>
      <c r="U982" s="107"/>
      <c r="V982" s="107" t="str">
        <f t="shared" si="1"/>
        <v> </v>
      </c>
      <c r="W982" s="107"/>
      <c r="X982" s="23"/>
      <c r="Y982" s="23"/>
      <c r="Z982" s="23"/>
    </row>
    <row r="983">
      <c r="A983" s="107"/>
      <c r="B983" s="103" t="str">
        <f>IFERROR( VLOOKUP($A983,'INVOICE DETAILS.'!$F$3:$G$1994,2,0)," ")</f>
        <v> </v>
      </c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8"/>
      <c r="O983" s="109"/>
      <c r="P983" s="109"/>
      <c r="Q983" s="107"/>
      <c r="R983" s="107"/>
      <c r="S983" s="107"/>
      <c r="T983" s="107"/>
      <c r="U983" s="107"/>
      <c r="V983" s="107" t="str">
        <f t="shared" si="1"/>
        <v> </v>
      </c>
      <c r="W983" s="107"/>
      <c r="X983" s="23"/>
      <c r="Y983" s="23"/>
      <c r="Z983" s="23"/>
    </row>
    <row r="984">
      <c r="A984" s="107"/>
      <c r="B984" s="103" t="str">
        <f>IFERROR( VLOOKUP($A984,'INVOICE DETAILS.'!$F$3:$G$1994,2,0)," ")</f>
        <v> </v>
      </c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8"/>
      <c r="O984" s="109"/>
      <c r="P984" s="109"/>
      <c r="Q984" s="107"/>
      <c r="R984" s="107"/>
      <c r="S984" s="107"/>
      <c r="T984" s="107"/>
      <c r="U984" s="107"/>
      <c r="V984" s="107" t="str">
        <f t="shared" si="1"/>
        <v> </v>
      </c>
      <c r="W984" s="107"/>
      <c r="X984" s="23"/>
      <c r="Y984" s="23"/>
      <c r="Z984" s="23"/>
    </row>
    <row r="985">
      <c r="A985" s="107"/>
      <c r="B985" s="103" t="str">
        <f>IFERROR( VLOOKUP($A985,'INVOICE DETAILS.'!$F$3:$G$1994,2,0)," ")</f>
        <v> </v>
      </c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8"/>
      <c r="O985" s="109"/>
      <c r="P985" s="109"/>
      <c r="Q985" s="107"/>
      <c r="R985" s="107"/>
      <c r="S985" s="107"/>
      <c r="T985" s="107"/>
      <c r="U985" s="107"/>
      <c r="V985" s="107" t="str">
        <f t="shared" si="1"/>
        <v> </v>
      </c>
      <c r="W985" s="107"/>
      <c r="X985" s="23"/>
      <c r="Y985" s="23"/>
      <c r="Z985" s="23"/>
    </row>
    <row r="986">
      <c r="A986" s="107"/>
      <c r="B986" s="103" t="str">
        <f>IFERROR( VLOOKUP($A986,'INVOICE DETAILS.'!$F$3:$G$1994,2,0)," ")</f>
        <v> </v>
      </c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8"/>
      <c r="O986" s="109"/>
      <c r="P986" s="109"/>
      <c r="Q986" s="107"/>
      <c r="R986" s="107"/>
      <c r="S986" s="107"/>
      <c r="T986" s="107"/>
      <c r="U986" s="107"/>
      <c r="V986" s="107" t="str">
        <f t="shared" si="1"/>
        <v> </v>
      </c>
      <c r="W986" s="107"/>
      <c r="X986" s="23"/>
      <c r="Y986" s="23"/>
      <c r="Z986" s="23"/>
    </row>
    <row r="987">
      <c r="A987" s="107"/>
      <c r="B987" s="103" t="str">
        <f>IFERROR( VLOOKUP($A987,'INVOICE DETAILS.'!$F$3:$G$1994,2,0)," ")</f>
        <v> </v>
      </c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8"/>
      <c r="O987" s="109"/>
      <c r="P987" s="109"/>
      <c r="Q987" s="107"/>
      <c r="R987" s="107"/>
      <c r="S987" s="107"/>
      <c r="T987" s="107"/>
      <c r="U987" s="107"/>
      <c r="V987" s="107" t="str">
        <f t="shared" si="1"/>
        <v> </v>
      </c>
      <c r="W987" s="107"/>
      <c r="X987" s="23"/>
      <c r="Y987" s="23"/>
      <c r="Z987" s="23"/>
    </row>
    <row r="988">
      <c r="A988" s="107"/>
      <c r="B988" s="103" t="str">
        <f>IFERROR( VLOOKUP($A988,'INVOICE DETAILS.'!$F$3:$G$1994,2,0)," ")</f>
        <v> </v>
      </c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8"/>
      <c r="O988" s="109"/>
      <c r="P988" s="109"/>
      <c r="Q988" s="107"/>
      <c r="R988" s="107"/>
      <c r="S988" s="107"/>
      <c r="T988" s="107"/>
      <c r="U988" s="107"/>
      <c r="V988" s="107" t="str">
        <f t="shared" si="1"/>
        <v> </v>
      </c>
      <c r="W988" s="107"/>
      <c r="X988" s="23"/>
      <c r="Y988" s="23"/>
      <c r="Z988" s="23"/>
    </row>
    <row r="989">
      <c r="A989" s="107"/>
      <c r="B989" s="103" t="str">
        <f>IFERROR( VLOOKUP($A989,'INVOICE DETAILS.'!$F$3:$G$1994,2,0)," ")</f>
        <v> </v>
      </c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8"/>
      <c r="O989" s="109"/>
      <c r="P989" s="109"/>
      <c r="Q989" s="107"/>
      <c r="R989" s="107"/>
      <c r="S989" s="107"/>
      <c r="T989" s="107"/>
      <c r="U989" s="107"/>
      <c r="V989" s="107" t="str">
        <f t="shared" si="1"/>
        <v> </v>
      </c>
      <c r="W989" s="107"/>
      <c r="X989" s="23"/>
      <c r="Y989" s="23"/>
      <c r="Z989" s="23"/>
    </row>
    <row r="990">
      <c r="A990" s="107"/>
      <c r="B990" s="103" t="str">
        <f>IFERROR( VLOOKUP($A990,'INVOICE DETAILS.'!$F$3:$G$1994,2,0)," ")</f>
        <v> </v>
      </c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8"/>
      <c r="O990" s="109"/>
      <c r="P990" s="109"/>
      <c r="Q990" s="107"/>
      <c r="R990" s="107"/>
      <c r="S990" s="107"/>
      <c r="T990" s="107"/>
      <c r="U990" s="107"/>
      <c r="V990" s="107" t="str">
        <f t="shared" si="1"/>
        <v> </v>
      </c>
      <c r="W990" s="107"/>
      <c r="X990" s="23"/>
      <c r="Y990" s="23"/>
      <c r="Z990" s="23"/>
    </row>
    <row r="991">
      <c r="A991" s="107"/>
      <c r="B991" s="103" t="str">
        <f>IFERROR( VLOOKUP($A991,'INVOICE DETAILS.'!$F$3:$G$1994,2,0)," ")</f>
        <v> </v>
      </c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8"/>
      <c r="O991" s="109"/>
      <c r="P991" s="109"/>
      <c r="Q991" s="107"/>
      <c r="R991" s="107"/>
      <c r="S991" s="107"/>
      <c r="T991" s="107"/>
      <c r="U991" s="107"/>
      <c r="V991" s="107" t="str">
        <f t="shared" si="1"/>
        <v> </v>
      </c>
      <c r="W991" s="107"/>
      <c r="X991" s="23"/>
      <c r="Y991" s="23"/>
      <c r="Z991" s="23"/>
    </row>
    <row r="992">
      <c r="A992" s="107"/>
      <c r="B992" s="103" t="str">
        <f>IFERROR( VLOOKUP($A992,'INVOICE DETAILS.'!$F$3:$G$1994,2,0)," ")</f>
        <v> </v>
      </c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8"/>
      <c r="O992" s="109"/>
      <c r="P992" s="109"/>
      <c r="Q992" s="107"/>
      <c r="R992" s="107"/>
      <c r="S992" s="107"/>
      <c r="T992" s="107"/>
      <c r="U992" s="107"/>
      <c r="V992" s="107" t="str">
        <f t="shared" si="1"/>
        <v> </v>
      </c>
      <c r="W992" s="107"/>
      <c r="X992" s="23"/>
      <c r="Y992" s="23"/>
      <c r="Z992" s="23"/>
    </row>
    <row r="993">
      <c r="A993" s="107"/>
      <c r="B993" s="103" t="str">
        <f>IFERROR( VLOOKUP($A993,'INVOICE DETAILS.'!$F$3:$G$1994,2,0)," ")</f>
        <v> </v>
      </c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8"/>
      <c r="O993" s="109"/>
      <c r="P993" s="109"/>
      <c r="Q993" s="107"/>
      <c r="R993" s="107"/>
      <c r="S993" s="107"/>
      <c r="T993" s="107"/>
      <c r="U993" s="107"/>
      <c r="V993" s="107" t="str">
        <f t="shared" si="1"/>
        <v> </v>
      </c>
      <c r="W993" s="107"/>
      <c r="X993" s="23"/>
      <c r="Y993" s="23"/>
      <c r="Z993" s="23"/>
    </row>
    <row r="994">
      <c r="A994" s="107"/>
      <c r="B994" s="103" t="str">
        <f>IFERROR( VLOOKUP($A994,'INVOICE DETAILS.'!$F$3:$G$1994,2,0)," ")</f>
        <v> </v>
      </c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8"/>
      <c r="O994" s="109"/>
      <c r="P994" s="109"/>
      <c r="Q994" s="107"/>
      <c r="R994" s="107"/>
      <c r="S994" s="107"/>
      <c r="T994" s="107"/>
      <c r="U994" s="107"/>
      <c r="V994" s="107" t="str">
        <f t="shared" si="1"/>
        <v> </v>
      </c>
      <c r="W994" s="107"/>
      <c r="X994" s="23"/>
      <c r="Y994" s="23"/>
      <c r="Z994" s="23"/>
    </row>
    <row r="995">
      <c r="A995" s="107"/>
      <c r="B995" s="103" t="str">
        <f>IFERROR( VLOOKUP($A995,'INVOICE DETAILS.'!$F$3:$G$1994,2,0)," ")</f>
        <v> </v>
      </c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8"/>
      <c r="O995" s="109"/>
      <c r="P995" s="109"/>
      <c r="Q995" s="107"/>
      <c r="R995" s="107"/>
      <c r="S995" s="107"/>
      <c r="T995" s="107"/>
      <c r="U995" s="107"/>
      <c r="V995" s="107" t="str">
        <f t="shared" si="1"/>
        <v> </v>
      </c>
      <c r="W995" s="107"/>
      <c r="X995" s="23"/>
      <c r="Y995" s="23"/>
      <c r="Z995" s="23"/>
    </row>
    <row r="996">
      <c r="A996" s="107"/>
      <c r="B996" s="103" t="str">
        <f>IFERROR( VLOOKUP($A996,'INVOICE DETAILS.'!$F$3:$G$1994,2,0)," ")</f>
        <v> </v>
      </c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8"/>
      <c r="O996" s="109"/>
      <c r="P996" s="109"/>
      <c r="Q996" s="107"/>
      <c r="R996" s="107"/>
      <c r="S996" s="107"/>
      <c r="T996" s="107"/>
      <c r="U996" s="107"/>
      <c r="V996" s="107" t="str">
        <f t="shared" si="1"/>
        <v> </v>
      </c>
      <c r="W996" s="107"/>
      <c r="X996" s="23"/>
      <c r="Y996" s="23"/>
      <c r="Z996" s="23"/>
    </row>
    <row r="997">
      <c r="A997" s="107"/>
      <c r="B997" s="103" t="str">
        <f>IFERROR( VLOOKUP($A997,'INVOICE DETAILS.'!$F$3:$G$1994,2,0)," ")</f>
        <v> </v>
      </c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8"/>
      <c r="O997" s="109"/>
      <c r="P997" s="109"/>
      <c r="Q997" s="107"/>
      <c r="R997" s="107"/>
      <c r="S997" s="107"/>
      <c r="T997" s="107"/>
      <c r="U997" s="107"/>
      <c r="V997" s="107" t="str">
        <f t="shared" si="1"/>
        <v> </v>
      </c>
      <c r="W997" s="107"/>
      <c r="X997" s="23"/>
      <c r="Y997" s="23"/>
      <c r="Z997" s="23"/>
    </row>
    <row r="998">
      <c r="A998" s="107"/>
      <c r="B998" s="103" t="str">
        <f>IFERROR( VLOOKUP($A998,'INVOICE DETAILS.'!$F$3:$G$1994,2,0)," ")</f>
        <v> </v>
      </c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8"/>
      <c r="O998" s="109"/>
      <c r="P998" s="109"/>
      <c r="Q998" s="107"/>
      <c r="R998" s="107"/>
      <c r="S998" s="107"/>
      <c r="T998" s="107"/>
      <c r="U998" s="107"/>
      <c r="V998" s="107" t="str">
        <f t="shared" si="1"/>
        <v> </v>
      </c>
      <c r="W998" s="107"/>
      <c r="X998" s="23"/>
      <c r="Y998" s="23"/>
      <c r="Z998" s="23"/>
    </row>
    <row r="999">
      <c r="A999" s="107"/>
      <c r="B999" s="103" t="str">
        <f>IFERROR( VLOOKUP($A999,'INVOICE DETAILS.'!$F$3:$G$1994,2,0)," ")</f>
        <v> </v>
      </c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8"/>
      <c r="O999" s="109"/>
      <c r="P999" s="109"/>
      <c r="Q999" s="107"/>
      <c r="R999" s="107"/>
      <c r="S999" s="107"/>
      <c r="T999" s="107"/>
      <c r="U999" s="107"/>
      <c r="V999" s="107" t="str">
        <f t="shared" si="1"/>
        <v> </v>
      </c>
      <c r="W999" s="107"/>
      <c r="X999" s="23"/>
      <c r="Y999" s="23"/>
      <c r="Z999" s="23"/>
    </row>
    <row r="1000">
      <c r="A1000" s="107"/>
      <c r="B1000" s="103" t="str">
        <f>IFERROR( VLOOKUP($A1000,'INVOICE DETAILS.'!$F$3:$G$1994,2,0)," ")</f>
        <v> </v>
      </c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8"/>
      <c r="O1000" s="109"/>
      <c r="P1000" s="109"/>
      <c r="Q1000" s="107"/>
      <c r="R1000" s="107"/>
      <c r="S1000" s="107"/>
      <c r="T1000" s="107"/>
      <c r="U1000" s="107"/>
      <c r="V1000" s="107" t="str">
        <f t="shared" si="1"/>
        <v> </v>
      </c>
      <c r="W1000" s="107"/>
      <c r="X1000" s="23"/>
      <c r="Y1000" s="23"/>
      <c r="Z1000" s="23"/>
    </row>
  </sheetData>
  <autoFilter ref="$A$3:$W$3"/>
  <dataValidations>
    <dataValidation type="list" allowBlank="1" showErrorMessage="1" sqref="A4:A1000">
      <formula1>'INVOICE DETAILS.'!$F$3:$F$1994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9.5"/>
    <col customWidth="1" min="2" max="2" width="24.75"/>
    <col customWidth="1" min="3" max="3" width="25.88"/>
    <col customWidth="1" min="4" max="5" width="15.13"/>
    <col customWidth="1" min="6" max="6" width="23.63"/>
    <col customWidth="1" min="7" max="7" width="16.63"/>
    <col customWidth="1" min="8" max="8" width="25.88"/>
    <col customWidth="1" min="9" max="25" width="18.5"/>
  </cols>
  <sheetData>
    <row r="1">
      <c r="A1" s="110" t="s">
        <v>4287</v>
      </c>
      <c r="B1" s="111">
        <f t="shared" ref="B1:H1" si="1">IF(SUBTOTAL(9,B3:B1001)=0," ",SUBTOTAL(9,B3:B1001))</f>
        <v>67763895.84</v>
      </c>
      <c r="C1" s="111" t="str">
        <f t="shared" si="1"/>
        <v> </v>
      </c>
      <c r="D1" s="111">
        <f t="shared" si="1"/>
        <v>22888</v>
      </c>
      <c r="E1" s="111">
        <f t="shared" si="1"/>
        <v>16674</v>
      </c>
      <c r="F1" s="111">
        <f t="shared" si="1"/>
        <v>488269</v>
      </c>
      <c r="G1" s="111">
        <f t="shared" si="1"/>
        <v>459</v>
      </c>
      <c r="H1" s="111">
        <f t="shared" si="1"/>
        <v>67235605.84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>
      <c r="C2" s="114" t="s">
        <v>4288</v>
      </c>
      <c r="D2" s="115" t="s">
        <v>887</v>
      </c>
      <c r="E2" s="116" t="s">
        <v>4289</v>
      </c>
      <c r="F2" s="116" t="s">
        <v>885</v>
      </c>
      <c r="G2" s="114" t="s">
        <v>4290</v>
      </c>
      <c r="H2" s="114" t="s">
        <v>4291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>
      <c r="C3" s="118"/>
      <c r="D3" s="119"/>
      <c r="E3" s="119"/>
      <c r="F3" s="119"/>
      <c r="G3" s="119"/>
      <c r="H3" s="118">
        <f t="shared" ref="H3:H1001" si="2">IF(SUM(B3:C3)-(SUM(D3:F3))+G3=0," ",SUM(B3:C3)-(SUM(D3:F3)+G3))</f>
        <v>1361055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>
      <c r="C4" s="118"/>
      <c r="D4" s="119"/>
      <c r="E4" s="119"/>
      <c r="F4" s="119"/>
      <c r="G4" s="119"/>
      <c r="H4" s="118">
        <f t="shared" si="2"/>
        <v>119652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</row>
    <row r="5">
      <c r="C5" s="118"/>
      <c r="D5" s="119"/>
      <c r="E5" s="119"/>
      <c r="F5" s="119"/>
      <c r="G5" s="119"/>
      <c r="H5" s="118">
        <f t="shared" si="2"/>
        <v>24640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</row>
    <row r="6">
      <c r="C6" s="118"/>
      <c r="D6" s="119"/>
      <c r="E6" s="119"/>
      <c r="F6" s="119"/>
      <c r="G6" s="119"/>
      <c r="H6" s="119" t="str">
        <f t="shared" si="2"/>
        <v> 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</row>
    <row r="7">
      <c r="C7" s="118"/>
      <c r="D7" s="119"/>
      <c r="E7" s="119"/>
      <c r="F7" s="119"/>
      <c r="G7" s="119"/>
      <c r="H7" s="118">
        <f t="shared" si="2"/>
        <v>17281790.2</v>
      </c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</row>
    <row r="8">
      <c r="C8" s="118"/>
      <c r="D8" s="119"/>
      <c r="E8" s="119"/>
      <c r="F8" s="119"/>
      <c r="G8" s="119"/>
      <c r="H8" s="119" t="str">
        <f t="shared" si="2"/>
        <v> 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</row>
    <row r="9">
      <c r="C9" s="118"/>
      <c r="D9" s="119"/>
      <c r="E9" s="119"/>
      <c r="F9" s="119"/>
      <c r="G9" s="119"/>
      <c r="H9" s="118">
        <f t="shared" si="2"/>
        <v>42450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</row>
    <row r="10">
      <c r="C10" s="118"/>
      <c r="D10" s="119"/>
      <c r="E10" s="119"/>
      <c r="F10" s="119"/>
      <c r="G10" s="119"/>
      <c r="H10" s="118">
        <f t="shared" si="2"/>
        <v>208512</v>
      </c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</row>
    <row r="11">
      <c r="C11" s="118"/>
      <c r="D11" s="119"/>
      <c r="E11" s="119"/>
      <c r="F11" s="119"/>
      <c r="G11" s="119"/>
      <c r="H11" s="118">
        <f t="shared" si="2"/>
        <v>130982</v>
      </c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</row>
    <row r="12">
      <c r="C12" s="121"/>
      <c r="D12" s="118">
        <f>20706+2182</f>
        <v>22888</v>
      </c>
      <c r="E12" s="118">
        <f>16674</f>
        <v>16674</v>
      </c>
      <c r="F12" s="118">
        <f>209836+23270+55163+200000</f>
        <v>488269</v>
      </c>
      <c r="G12" s="118">
        <f>459</f>
        <v>459</v>
      </c>
      <c r="H12" s="118">
        <f t="shared" si="2"/>
        <v>57936</v>
      </c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</row>
    <row r="13">
      <c r="C13" s="118"/>
      <c r="D13" s="119"/>
      <c r="E13" s="119"/>
      <c r="F13" s="119"/>
      <c r="G13" s="119"/>
      <c r="H13" s="118">
        <f t="shared" si="2"/>
        <v>159070</v>
      </c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</row>
    <row r="14">
      <c r="C14" s="118"/>
      <c r="D14" s="119"/>
      <c r="E14" s="119"/>
      <c r="F14" s="119"/>
      <c r="G14" s="119"/>
      <c r="H14" s="118">
        <f t="shared" si="2"/>
        <v>57346</v>
      </c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</row>
    <row r="15">
      <c r="C15" s="118"/>
      <c r="D15" s="119"/>
      <c r="E15" s="119"/>
      <c r="F15" s="119"/>
      <c r="G15" s="119"/>
      <c r="H15" s="118">
        <f t="shared" si="2"/>
        <v>17266</v>
      </c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</row>
    <row r="16">
      <c r="C16" s="118"/>
      <c r="D16" s="119"/>
      <c r="E16" s="119"/>
      <c r="F16" s="119"/>
      <c r="G16" s="119"/>
      <c r="H16" s="119" t="str">
        <f t="shared" si="2"/>
        <v> 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</row>
    <row r="17">
      <c r="C17" s="118"/>
      <c r="D17" s="119"/>
      <c r="E17" s="119"/>
      <c r="F17" s="119"/>
      <c r="G17" s="119"/>
      <c r="H17" s="119" t="str">
        <f t="shared" si="2"/>
        <v> 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>
      <c r="C18" s="118"/>
      <c r="D18" s="119"/>
      <c r="E18" s="119"/>
      <c r="F18" s="119"/>
      <c r="G18" s="119"/>
      <c r="H18" s="118">
        <f t="shared" si="2"/>
        <v>320569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</row>
    <row r="19">
      <c r="C19" s="118"/>
      <c r="D19" s="119"/>
      <c r="E19" s="119"/>
      <c r="F19" s="119"/>
      <c r="G19" s="119"/>
      <c r="H19" s="118">
        <f t="shared" si="2"/>
        <v>174636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</row>
    <row r="20">
      <c r="C20" s="118"/>
      <c r="D20" s="119"/>
      <c r="E20" s="119"/>
      <c r="F20" s="119"/>
      <c r="G20" s="119"/>
      <c r="H20" s="118">
        <f t="shared" si="2"/>
        <v>1784598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</row>
    <row r="21">
      <c r="C21" s="118"/>
      <c r="D21" s="119"/>
      <c r="E21" s="119"/>
      <c r="F21" s="119"/>
      <c r="G21" s="119"/>
      <c r="H21" s="118">
        <f t="shared" si="2"/>
        <v>343788</v>
      </c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</row>
    <row r="22">
      <c r="C22" s="118"/>
      <c r="D22" s="119"/>
      <c r="E22" s="119"/>
      <c r="F22" s="119"/>
      <c r="G22" s="119"/>
      <c r="H22" s="118">
        <f t="shared" si="2"/>
        <v>24253</v>
      </c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</row>
    <row r="23">
      <c r="C23" s="118"/>
      <c r="D23" s="119"/>
      <c r="E23" s="119"/>
      <c r="F23" s="119"/>
      <c r="G23" s="119"/>
      <c r="H23" s="118">
        <f t="shared" si="2"/>
        <v>4780218</v>
      </c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</row>
    <row r="24">
      <c r="C24" s="118"/>
      <c r="D24" s="119"/>
      <c r="E24" s="119"/>
      <c r="F24" s="119"/>
      <c r="G24" s="119"/>
      <c r="H24" s="118">
        <f t="shared" si="2"/>
        <v>682521</v>
      </c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</row>
    <row r="25">
      <c r="C25" s="118"/>
      <c r="D25" s="119"/>
      <c r="E25" s="119"/>
      <c r="F25" s="119"/>
      <c r="G25" s="119"/>
      <c r="H25" s="118">
        <f t="shared" si="2"/>
        <v>19399</v>
      </c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>
      <c r="C26" s="118"/>
      <c r="D26" s="119"/>
      <c r="E26" s="119"/>
      <c r="F26" s="119"/>
      <c r="G26" s="119"/>
      <c r="H26" s="118">
        <f t="shared" si="2"/>
        <v>16284</v>
      </c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</row>
    <row r="27">
      <c r="C27" s="118"/>
      <c r="D27" s="119"/>
      <c r="E27" s="119"/>
      <c r="F27" s="119"/>
      <c r="G27" s="119"/>
      <c r="H27" s="118">
        <f t="shared" si="2"/>
        <v>3245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</row>
    <row r="28">
      <c r="C28" s="118"/>
      <c r="D28" s="119"/>
      <c r="E28" s="119"/>
      <c r="F28" s="119"/>
      <c r="G28" s="119"/>
      <c r="H28" s="118">
        <f t="shared" si="2"/>
        <v>135033</v>
      </c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</row>
    <row r="29">
      <c r="C29" s="118"/>
      <c r="D29" s="119"/>
      <c r="E29" s="119"/>
      <c r="F29" s="119"/>
      <c r="G29" s="119"/>
      <c r="H29" s="118">
        <f t="shared" si="2"/>
        <v>101772</v>
      </c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</row>
    <row r="30">
      <c r="C30" s="118"/>
      <c r="D30" s="119"/>
      <c r="E30" s="119"/>
      <c r="F30" s="119"/>
      <c r="G30" s="119"/>
      <c r="H30" s="118">
        <f t="shared" si="2"/>
        <v>12781</v>
      </c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</row>
    <row r="31">
      <c r="C31" s="118"/>
      <c r="D31" s="119"/>
      <c r="E31" s="119"/>
      <c r="F31" s="119"/>
      <c r="G31" s="119"/>
      <c r="H31" s="118">
        <f t="shared" si="2"/>
        <v>132103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</row>
    <row r="32">
      <c r="C32" s="118"/>
      <c r="D32" s="119"/>
      <c r="E32" s="119"/>
      <c r="F32" s="119"/>
      <c r="G32" s="119"/>
      <c r="H32" s="118">
        <f t="shared" si="2"/>
        <v>286946</v>
      </c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</row>
    <row r="33">
      <c r="C33" s="118"/>
      <c r="D33" s="119"/>
      <c r="E33" s="119"/>
      <c r="F33" s="119"/>
      <c r="G33" s="119"/>
      <c r="H33" s="119" t="str">
        <f t="shared" si="2"/>
        <v> </v>
      </c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</row>
    <row r="34">
      <c r="C34" s="118"/>
      <c r="D34" s="119"/>
      <c r="E34" s="119"/>
      <c r="F34" s="119"/>
      <c r="G34" s="119"/>
      <c r="H34" s="118">
        <f t="shared" si="2"/>
        <v>216430.6</v>
      </c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</row>
    <row r="35">
      <c r="C35" s="118"/>
      <c r="D35" s="119"/>
      <c r="E35" s="119"/>
      <c r="F35" s="119"/>
      <c r="G35" s="119"/>
      <c r="H35" s="118">
        <f t="shared" si="2"/>
        <v>513496</v>
      </c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</row>
    <row r="36">
      <c r="C36" s="118"/>
      <c r="D36" s="119"/>
      <c r="E36" s="119"/>
      <c r="F36" s="119"/>
      <c r="G36" s="119"/>
      <c r="H36" s="118">
        <f t="shared" si="2"/>
        <v>117832</v>
      </c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</row>
    <row r="37">
      <c r="C37" s="118"/>
      <c r="D37" s="119"/>
      <c r="E37" s="119"/>
      <c r="F37" s="119"/>
      <c r="G37" s="119"/>
      <c r="H37" s="118">
        <f t="shared" si="2"/>
        <v>102706</v>
      </c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</row>
    <row r="38">
      <c r="C38" s="118"/>
      <c r="D38" s="119"/>
      <c r="E38" s="119"/>
      <c r="F38" s="119"/>
      <c r="G38" s="119"/>
      <c r="H38" s="118">
        <f t="shared" si="2"/>
        <v>24850</v>
      </c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</row>
    <row r="39">
      <c r="C39" s="118"/>
      <c r="D39" s="119"/>
      <c r="E39" s="119"/>
      <c r="F39" s="119"/>
      <c r="G39" s="119"/>
      <c r="H39" s="118">
        <f t="shared" si="2"/>
        <v>106588.03</v>
      </c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</row>
    <row r="40">
      <c r="C40" s="118"/>
      <c r="D40" s="119"/>
      <c r="E40" s="119"/>
      <c r="F40" s="119"/>
      <c r="G40" s="119"/>
      <c r="H40" s="118">
        <f t="shared" si="2"/>
        <v>43622</v>
      </c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</row>
    <row r="41">
      <c r="C41" s="118"/>
      <c r="D41" s="119"/>
      <c r="E41" s="119"/>
      <c r="F41" s="119"/>
      <c r="G41" s="119"/>
      <c r="H41" s="118">
        <f t="shared" si="2"/>
        <v>45892</v>
      </c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</row>
    <row r="42">
      <c r="C42" s="118"/>
      <c r="D42" s="119"/>
      <c r="E42" s="119"/>
      <c r="F42" s="119"/>
      <c r="G42" s="119"/>
      <c r="H42" s="118">
        <f t="shared" si="2"/>
        <v>25585</v>
      </c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</row>
    <row r="43">
      <c r="C43" s="118"/>
      <c r="D43" s="119"/>
      <c r="E43" s="119"/>
      <c r="F43" s="119"/>
      <c r="G43" s="119"/>
      <c r="H43" s="118">
        <f t="shared" si="2"/>
        <v>101802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</row>
    <row r="44">
      <c r="C44" s="118"/>
      <c r="D44" s="119"/>
      <c r="E44" s="119"/>
      <c r="F44" s="119"/>
      <c r="G44" s="119"/>
      <c r="H44" s="119" t="str">
        <f t="shared" si="2"/>
        <v> </v>
      </c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</row>
    <row r="45">
      <c r="C45" s="118"/>
      <c r="D45" s="119"/>
      <c r="E45" s="119"/>
      <c r="F45" s="119"/>
      <c r="G45" s="119"/>
      <c r="H45" s="118">
        <f t="shared" si="2"/>
        <v>8138273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</row>
    <row r="46">
      <c r="C46" s="118"/>
      <c r="D46" s="119"/>
      <c r="E46" s="119"/>
      <c r="F46" s="119"/>
      <c r="G46" s="119"/>
      <c r="H46" s="118">
        <f t="shared" si="2"/>
        <v>94894</v>
      </c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>
      <c r="C47" s="118"/>
      <c r="D47" s="119"/>
      <c r="E47" s="119"/>
      <c r="F47" s="119"/>
      <c r="G47" s="119"/>
      <c r="H47" s="118">
        <f t="shared" si="2"/>
        <v>232996</v>
      </c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</row>
    <row r="48">
      <c r="C48" s="118"/>
      <c r="D48" s="119"/>
      <c r="E48" s="119"/>
      <c r="F48" s="119"/>
      <c r="G48" s="119"/>
      <c r="H48" s="118">
        <f t="shared" si="2"/>
        <v>209266</v>
      </c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</row>
    <row r="49">
      <c r="C49" s="118"/>
      <c r="D49" s="119"/>
      <c r="E49" s="119"/>
      <c r="F49" s="119"/>
      <c r="G49" s="119"/>
      <c r="H49" s="119" t="str">
        <f t="shared" si="2"/>
        <v> </v>
      </c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</row>
    <row r="50">
      <c r="C50" s="118"/>
      <c r="D50" s="119"/>
      <c r="E50" s="119"/>
      <c r="F50" s="119"/>
      <c r="G50" s="119"/>
      <c r="H50" s="118">
        <f t="shared" si="2"/>
        <v>436478</v>
      </c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</row>
    <row r="51">
      <c r="C51" s="118"/>
      <c r="D51" s="119"/>
      <c r="E51" s="119"/>
      <c r="F51" s="119"/>
      <c r="G51" s="119"/>
      <c r="H51" s="118">
        <f t="shared" si="2"/>
        <v>23714</v>
      </c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</row>
    <row r="52">
      <c r="C52" s="118"/>
      <c r="D52" s="119"/>
      <c r="E52" s="119"/>
      <c r="F52" s="119"/>
      <c r="G52" s="119"/>
      <c r="H52" s="118">
        <f t="shared" si="2"/>
        <v>283052</v>
      </c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</row>
    <row r="53">
      <c r="C53" s="118"/>
      <c r="D53" s="119"/>
      <c r="E53" s="119"/>
      <c r="F53" s="119"/>
      <c r="G53" s="119"/>
      <c r="H53" s="118">
        <f t="shared" si="2"/>
        <v>11152</v>
      </c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</row>
    <row r="54">
      <c r="C54" s="118"/>
      <c r="D54" s="119"/>
      <c r="E54" s="119"/>
      <c r="F54" s="119"/>
      <c r="G54" s="119"/>
      <c r="H54" s="119" t="str">
        <f t="shared" si="2"/>
        <v> </v>
      </c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</row>
    <row r="55">
      <c r="C55" s="118"/>
      <c r="D55" s="119"/>
      <c r="E55" s="119"/>
      <c r="F55" s="119"/>
      <c r="G55" s="119"/>
      <c r="H55" s="118">
        <f t="shared" si="2"/>
        <v>454684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</row>
    <row r="56">
      <c r="C56" s="118"/>
      <c r="D56" s="119"/>
      <c r="E56" s="119"/>
      <c r="F56" s="119"/>
      <c r="G56" s="119"/>
      <c r="H56" s="118">
        <f t="shared" si="2"/>
        <v>543016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</row>
    <row r="57">
      <c r="C57" s="118"/>
      <c r="D57" s="119"/>
      <c r="E57" s="119"/>
      <c r="F57" s="119"/>
      <c r="G57" s="119"/>
      <c r="H57" s="118">
        <f t="shared" si="2"/>
        <v>75779</v>
      </c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</row>
    <row r="58">
      <c r="C58" s="118"/>
      <c r="D58" s="119"/>
      <c r="E58" s="119"/>
      <c r="F58" s="119"/>
      <c r="G58" s="119"/>
      <c r="H58" s="119" t="str">
        <f t="shared" si="2"/>
        <v> </v>
      </c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</row>
    <row r="59">
      <c r="C59" s="118"/>
      <c r="D59" s="119"/>
      <c r="E59" s="119"/>
      <c r="F59" s="119"/>
      <c r="G59" s="119"/>
      <c r="H59" s="119" t="str">
        <f t="shared" si="2"/>
        <v> </v>
      </c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</row>
    <row r="60">
      <c r="C60" s="118"/>
      <c r="D60" s="119"/>
      <c r="E60" s="119"/>
      <c r="F60" s="119"/>
      <c r="G60" s="119"/>
      <c r="H60" s="118">
        <f t="shared" si="2"/>
        <v>102520</v>
      </c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</row>
    <row r="61">
      <c r="C61" s="118"/>
      <c r="D61" s="119"/>
      <c r="E61" s="119"/>
      <c r="F61" s="119"/>
      <c r="G61" s="119"/>
      <c r="H61" s="118">
        <f t="shared" si="2"/>
        <v>1588657.21</v>
      </c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</row>
    <row r="62">
      <c r="C62" s="118"/>
      <c r="D62" s="119"/>
      <c r="E62" s="119"/>
      <c r="F62" s="119"/>
      <c r="G62" s="119"/>
      <c r="H62" s="118">
        <f t="shared" si="2"/>
        <v>42480</v>
      </c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</row>
    <row r="63">
      <c r="C63" s="118"/>
      <c r="D63" s="119"/>
      <c r="E63" s="119"/>
      <c r="F63" s="119"/>
      <c r="G63" s="119"/>
      <c r="H63" s="118">
        <f t="shared" si="2"/>
        <v>23795</v>
      </c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>
      <c r="C64" s="118"/>
      <c r="D64" s="119"/>
      <c r="E64" s="119"/>
      <c r="F64" s="119"/>
      <c r="G64" s="119"/>
      <c r="H64" s="118">
        <f t="shared" si="2"/>
        <v>45728</v>
      </c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</row>
    <row r="65">
      <c r="C65" s="118"/>
      <c r="D65" s="119"/>
      <c r="E65" s="119"/>
      <c r="F65" s="119"/>
      <c r="G65" s="119"/>
      <c r="H65" s="118">
        <f t="shared" si="2"/>
        <v>35551</v>
      </c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</row>
    <row r="66">
      <c r="C66" s="118"/>
      <c r="D66" s="119"/>
      <c r="E66" s="119"/>
      <c r="F66" s="119"/>
      <c r="G66" s="119"/>
      <c r="H66" s="118">
        <f t="shared" si="2"/>
        <v>69869</v>
      </c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</row>
    <row r="67">
      <c r="C67" s="118"/>
      <c r="D67" s="119"/>
      <c r="E67" s="119"/>
      <c r="F67" s="119"/>
      <c r="G67" s="119"/>
      <c r="H67" s="118">
        <f t="shared" si="2"/>
        <v>9488</v>
      </c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</row>
    <row r="68">
      <c r="C68" s="118"/>
      <c r="D68" s="119"/>
      <c r="E68" s="119"/>
      <c r="F68" s="119"/>
      <c r="G68" s="119"/>
      <c r="H68" s="118">
        <f t="shared" si="2"/>
        <v>51438.99</v>
      </c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</row>
    <row r="69">
      <c r="C69" s="118"/>
      <c r="D69" s="119"/>
      <c r="E69" s="119"/>
      <c r="F69" s="119"/>
      <c r="G69" s="119"/>
      <c r="H69" s="118">
        <f t="shared" si="2"/>
        <v>379270</v>
      </c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</row>
    <row r="70">
      <c r="C70" s="118"/>
      <c r="D70" s="119"/>
      <c r="E70" s="119"/>
      <c r="F70" s="119"/>
      <c r="G70" s="119"/>
      <c r="H70" s="118">
        <f t="shared" si="2"/>
        <v>972431</v>
      </c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</row>
    <row r="71">
      <c r="C71" s="118"/>
      <c r="D71" s="119"/>
      <c r="E71" s="119"/>
      <c r="F71" s="119"/>
      <c r="G71" s="119"/>
      <c r="H71" s="118">
        <f t="shared" si="2"/>
        <v>40412</v>
      </c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>
      <c r="C72" s="118"/>
      <c r="D72" s="119"/>
      <c r="E72" s="119"/>
      <c r="F72" s="119"/>
      <c r="G72" s="119"/>
      <c r="H72" s="118">
        <f t="shared" si="2"/>
        <v>541091</v>
      </c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</row>
    <row r="73">
      <c r="C73" s="118"/>
      <c r="D73" s="119"/>
      <c r="E73" s="119"/>
      <c r="F73" s="119"/>
      <c r="G73" s="119"/>
      <c r="H73" s="118">
        <f t="shared" si="2"/>
        <v>239299</v>
      </c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</row>
    <row r="74">
      <c r="C74" s="118"/>
      <c r="D74" s="119"/>
      <c r="E74" s="119"/>
      <c r="F74" s="119"/>
      <c r="G74" s="119"/>
      <c r="H74" s="118">
        <f t="shared" si="2"/>
        <v>587084</v>
      </c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</row>
    <row r="75">
      <c r="C75" s="118"/>
      <c r="D75" s="119"/>
      <c r="E75" s="119"/>
      <c r="F75" s="119"/>
      <c r="G75" s="119"/>
      <c r="H75" s="118">
        <f t="shared" si="2"/>
        <v>107415</v>
      </c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</row>
    <row r="76">
      <c r="C76" s="118"/>
      <c r="D76" s="119"/>
      <c r="E76" s="119"/>
      <c r="F76" s="119"/>
      <c r="G76" s="119"/>
      <c r="H76" s="118">
        <f t="shared" si="2"/>
        <v>238400.75</v>
      </c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>
      <c r="C77" s="118"/>
      <c r="D77" s="119"/>
      <c r="E77" s="119"/>
      <c r="F77" s="119"/>
      <c r="G77" s="119"/>
      <c r="H77" s="118">
        <f t="shared" si="2"/>
        <v>88221.25</v>
      </c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>
      <c r="C78" s="118"/>
      <c r="D78" s="119"/>
      <c r="E78" s="119"/>
      <c r="F78" s="119"/>
      <c r="G78" s="119"/>
      <c r="H78" s="118">
        <f t="shared" si="2"/>
        <v>36279</v>
      </c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</row>
    <row r="79">
      <c r="C79" s="118"/>
      <c r="D79" s="119"/>
      <c r="E79" s="119"/>
      <c r="F79" s="119"/>
      <c r="G79" s="119"/>
      <c r="H79" s="118">
        <f t="shared" si="2"/>
        <v>91014</v>
      </c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</row>
    <row r="80">
      <c r="C80" s="118"/>
      <c r="D80" s="119"/>
      <c r="E80" s="119"/>
      <c r="F80" s="119"/>
      <c r="G80" s="119"/>
      <c r="H80" s="118">
        <f t="shared" si="2"/>
        <v>107821</v>
      </c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>
      <c r="C81" s="118"/>
      <c r="D81" s="119"/>
      <c r="E81" s="119"/>
      <c r="F81" s="119"/>
      <c r="G81" s="119"/>
      <c r="H81" s="118">
        <f t="shared" si="2"/>
        <v>165874</v>
      </c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</row>
    <row r="82">
      <c r="C82" s="118"/>
      <c r="D82" s="119"/>
      <c r="E82" s="119"/>
      <c r="F82" s="119"/>
      <c r="G82" s="119"/>
      <c r="H82" s="118">
        <f t="shared" si="2"/>
        <v>67572</v>
      </c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>
      <c r="C83" s="118"/>
      <c r="D83" s="119"/>
      <c r="E83" s="119"/>
      <c r="F83" s="119"/>
      <c r="G83" s="119"/>
      <c r="H83" s="118">
        <f t="shared" si="2"/>
        <v>68947</v>
      </c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>
      <c r="C84" s="118"/>
      <c r="D84" s="119"/>
      <c r="E84" s="119"/>
      <c r="F84" s="119"/>
      <c r="G84" s="119"/>
      <c r="H84" s="118">
        <f t="shared" si="2"/>
        <v>12873</v>
      </c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</row>
    <row r="85">
      <c r="C85" s="118"/>
      <c r="D85" s="119"/>
      <c r="E85" s="119"/>
      <c r="F85" s="119"/>
      <c r="G85" s="119"/>
      <c r="H85" s="118">
        <f t="shared" si="2"/>
        <v>216610</v>
      </c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</row>
    <row r="86">
      <c r="C86" s="118"/>
      <c r="D86" s="119"/>
      <c r="E86" s="119"/>
      <c r="F86" s="119"/>
      <c r="G86" s="119"/>
      <c r="H86" s="118">
        <f t="shared" si="2"/>
        <v>43360</v>
      </c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</row>
    <row r="87">
      <c r="C87" s="118"/>
      <c r="D87" s="119"/>
      <c r="E87" s="119"/>
      <c r="F87" s="119"/>
      <c r="G87" s="119"/>
      <c r="H87" s="118">
        <f t="shared" si="2"/>
        <v>3147830</v>
      </c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</row>
    <row r="88">
      <c r="C88" s="118"/>
      <c r="D88" s="119"/>
      <c r="E88" s="119"/>
      <c r="F88" s="119"/>
      <c r="G88" s="119"/>
      <c r="H88" s="118">
        <f t="shared" si="2"/>
        <v>203452</v>
      </c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</row>
    <row r="89">
      <c r="C89" s="118"/>
      <c r="D89" s="119"/>
      <c r="E89" s="119"/>
      <c r="F89" s="119"/>
      <c r="G89" s="119"/>
      <c r="H89" s="119" t="str">
        <f t="shared" si="2"/>
        <v> </v>
      </c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</row>
    <row r="90">
      <c r="C90" s="118"/>
      <c r="D90" s="119"/>
      <c r="E90" s="119"/>
      <c r="F90" s="119"/>
      <c r="G90" s="119"/>
      <c r="H90" s="118">
        <f t="shared" si="2"/>
        <v>406897</v>
      </c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</row>
    <row r="91">
      <c r="C91" s="118"/>
      <c r="D91" s="119"/>
      <c r="E91" s="119"/>
      <c r="F91" s="119"/>
      <c r="G91" s="119"/>
      <c r="H91" s="118">
        <f t="shared" si="2"/>
        <v>205039.72</v>
      </c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</row>
    <row r="92">
      <c r="C92" s="118"/>
      <c r="D92" s="119"/>
      <c r="E92" s="119"/>
      <c r="F92" s="119"/>
      <c r="G92" s="119"/>
      <c r="H92" s="118">
        <f t="shared" si="2"/>
        <v>8222</v>
      </c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</row>
    <row r="93">
      <c r="C93" s="118"/>
      <c r="D93" s="119"/>
      <c r="E93" s="119"/>
      <c r="F93" s="119"/>
      <c r="G93" s="119"/>
      <c r="H93" s="118">
        <f t="shared" si="2"/>
        <v>92177</v>
      </c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</row>
    <row r="94">
      <c r="C94" s="118"/>
      <c r="D94" s="119"/>
      <c r="E94" s="119"/>
      <c r="F94" s="119"/>
      <c r="G94" s="119"/>
      <c r="H94" s="118">
        <f t="shared" si="2"/>
        <v>47652</v>
      </c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</row>
    <row r="95">
      <c r="C95" s="118"/>
      <c r="D95" s="119"/>
      <c r="E95" s="119"/>
      <c r="F95" s="119"/>
      <c r="G95" s="119"/>
      <c r="H95" s="118">
        <f t="shared" si="2"/>
        <v>113139</v>
      </c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</row>
    <row r="96">
      <c r="C96" s="118"/>
      <c r="D96" s="119"/>
      <c r="E96" s="119"/>
      <c r="F96" s="119"/>
      <c r="G96" s="119"/>
      <c r="H96" s="118">
        <f t="shared" si="2"/>
        <v>192732</v>
      </c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</row>
    <row r="97">
      <c r="C97" s="118"/>
      <c r="D97" s="119"/>
      <c r="E97" s="119"/>
      <c r="F97" s="119"/>
      <c r="G97" s="119"/>
      <c r="H97" s="119" t="str">
        <f t="shared" si="2"/>
        <v> </v>
      </c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</row>
    <row r="98">
      <c r="C98" s="118"/>
      <c r="D98" s="119"/>
      <c r="E98" s="119"/>
      <c r="F98" s="119"/>
      <c r="G98" s="119"/>
      <c r="H98" s="118">
        <f t="shared" si="2"/>
        <v>27257</v>
      </c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>
      <c r="C99" s="118"/>
      <c r="D99" s="119"/>
      <c r="E99" s="119"/>
      <c r="F99" s="119"/>
      <c r="G99" s="119"/>
      <c r="H99" s="118">
        <f t="shared" si="2"/>
        <v>2376406</v>
      </c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</row>
    <row r="100">
      <c r="C100" s="118"/>
      <c r="D100" s="119"/>
      <c r="E100" s="119"/>
      <c r="F100" s="119"/>
      <c r="G100" s="119"/>
      <c r="H100" s="118">
        <f t="shared" si="2"/>
        <v>264089</v>
      </c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</row>
    <row r="101">
      <c r="C101" s="118"/>
      <c r="D101" s="119"/>
      <c r="E101" s="119"/>
      <c r="F101" s="119"/>
      <c r="G101" s="119"/>
      <c r="H101" s="118">
        <f t="shared" si="2"/>
        <v>523010</v>
      </c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</row>
    <row r="102">
      <c r="C102" s="118"/>
      <c r="D102" s="119"/>
      <c r="E102" s="119"/>
      <c r="F102" s="119"/>
      <c r="G102" s="119"/>
      <c r="H102" s="118">
        <f t="shared" si="2"/>
        <v>204261</v>
      </c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</row>
    <row r="103">
      <c r="C103" s="118"/>
      <c r="D103" s="119"/>
      <c r="E103" s="119"/>
      <c r="F103" s="119"/>
      <c r="G103" s="119"/>
      <c r="H103" s="118">
        <f t="shared" si="2"/>
        <v>42012</v>
      </c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</row>
    <row r="104">
      <c r="C104" s="118"/>
      <c r="D104" s="119"/>
      <c r="E104" s="119"/>
      <c r="F104" s="119"/>
      <c r="G104" s="119"/>
      <c r="H104" s="118">
        <f t="shared" si="2"/>
        <v>67791</v>
      </c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</row>
    <row r="105">
      <c r="C105" s="118"/>
      <c r="D105" s="119"/>
      <c r="E105" s="119"/>
      <c r="F105" s="119"/>
      <c r="G105" s="119"/>
      <c r="H105" s="118">
        <f t="shared" si="2"/>
        <v>187194</v>
      </c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</row>
    <row r="106">
      <c r="C106" s="118"/>
      <c r="D106" s="119"/>
      <c r="E106" s="119"/>
      <c r="F106" s="119"/>
      <c r="G106" s="119"/>
      <c r="H106" s="118">
        <f t="shared" si="2"/>
        <v>32754</v>
      </c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</row>
    <row r="107">
      <c r="C107" s="118"/>
      <c r="D107" s="119"/>
      <c r="E107" s="119"/>
      <c r="F107" s="119"/>
      <c r="G107" s="119"/>
      <c r="H107" s="118">
        <f t="shared" si="2"/>
        <v>149799.69</v>
      </c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</row>
    <row r="108">
      <c r="C108" s="118"/>
      <c r="D108" s="119"/>
      <c r="E108" s="119"/>
      <c r="F108" s="119"/>
      <c r="G108" s="119"/>
      <c r="H108" s="118">
        <f t="shared" si="2"/>
        <v>97940</v>
      </c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>
      <c r="C109" s="118"/>
      <c r="D109" s="119"/>
      <c r="E109" s="119"/>
      <c r="F109" s="119"/>
      <c r="G109" s="119"/>
      <c r="H109" s="118">
        <f t="shared" si="2"/>
        <v>88997</v>
      </c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</row>
    <row r="110">
      <c r="C110" s="118"/>
      <c r="D110" s="119"/>
      <c r="E110" s="119"/>
      <c r="F110" s="119"/>
      <c r="G110" s="119"/>
      <c r="H110" s="118">
        <f t="shared" si="2"/>
        <v>143804</v>
      </c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>
      <c r="C111" s="118"/>
      <c r="D111" s="119"/>
      <c r="E111" s="119"/>
      <c r="F111" s="119"/>
      <c r="G111" s="119"/>
      <c r="H111" s="118">
        <f t="shared" si="2"/>
        <v>110823</v>
      </c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</row>
    <row r="112">
      <c r="C112" s="118"/>
      <c r="D112" s="119"/>
      <c r="E112" s="119"/>
      <c r="F112" s="119"/>
      <c r="G112" s="119"/>
      <c r="H112" s="118">
        <f t="shared" si="2"/>
        <v>206569</v>
      </c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</row>
    <row r="113">
      <c r="C113" s="118"/>
      <c r="D113" s="119"/>
      <c r="E113" s="119"/>
      <c r="F113" s="119"/>
      <c r="G113" s="119"/>
      <c r="H113" s="118">
        <f t="shared" si="2"/>
        <v>68901</v>
      </c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</row>
    <row r="114">
      <c r="C114" s="118"/>
      <c r="D114" s="119"/>
      <c r="E114" s="119"/>
      <c r="F114" s="119"/>
      <c r="G114" s="119"/>
      <c r="H114" s="118">
        <f t="shared" si="2"/>
        <v>70417</v>
      </c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>
      <c r="C115" s="118"/>
      <c r="D115" s="119"/>
      <c r="E115" s="119"/>
      <c r="F115" s="119"/>
      <c r="G115" s="119"/>
      <c r="H115" s="118">
        <f t="shared" si="2"/>
        <v>113743</v>
      </c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>
      <c r="C116" s="118"/>
      <c r="D116" s="119"/>
      <c r="E116" s="119"/>
      <c r="F116" s="119"/>
      <c r="G116" s="119"/>
      <c r="H116" s="118">
        <f t="shared" si="2"/>
        <v>1508719.8</v>
      </c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>
      <c r="C117" s="118"/>
      <c r="D117" s="119"/>
      <c r="E117" s="119"/>
      <c r="F117" s="119"/>
      <c r="G117" s="119"/>
      <c r="H117" s="118">
        <f t="shared" si="2"/>
        <v>14556</v>
      </c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</row>
    <row r="118">
      <c r="C118" s="118"/>
      <c r="D118" s="119"/>
      <c r="E118" s="119"/>
      <c r="F118" s="119"/>
      <c r="G118" s="119"/>
      <c r="H118" s="118">
        <f t="shared" si="2"/>
        <v>99281</v>
      </c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</row>
    <row r="119">
      <c r="C119" s="118"/>
      <c r="D119" s="119"/>
      <c r="E119" s="119"/>
      <c r="F119" s="119"/>
      <c r="G119" s="119"/>
      <c r="H119" s="118">
        <f t="shared" si="2"/>
        <v>119459.01</v>
      </c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</row>
    <row r="120">
      <c r="C120" s="118"/>
      <c r="D120" s="119"/>
      <c r="E120" s="119"/>
      <c r="F120" s="119"/>
      <c r="G120" s="119"/>
      <c r="H120" s="118">
        <f t="shared" si="2"/>
        <v>459058</v>
      </c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</row>
    <row r="121">
      <c r="C121" s="118"/>
      <c r="D121" s="119"/>
      <c r="E121" s="119"/>
      <c r="F121" s="119"/>
      <c r="G121" s="119"/>
      <c r="H121" s="118">
        <f t="shared" si="2"/>
        <v>47098</v>
      </c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</row>
    <row r="122">
      <c r="C122" s="118"/>
      <c r="D122" s="118"/>
      <c r="E122" s="118"/>
      <c r="F122" s="118"/>
      <c r="G122" s="118"/>
      <c r="H122" s="118">
        <f t="shared" si="2"/>
        <v>1163542</v>
      </c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</row>
    <row r="123">
      <c r="C123" s="118"/>
      <c r="D123" s="118"/>
      <c r="E123" s="118"/>
      <c r="F123" s="118"/>
      <c r="G123" s="118"/>
      <c r="H123" s="118">
        <f t="shared" si="2"/>
        <v>557726</v>
      </c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>
      <c r="C124" s="118"/>
      <c r="D124" s="118"/>
      <c r="E124" s="118"/>
      <c r="F124" s="118"/>
      <c r="G124" s="118"/>
      <c r="H124" s="118">
        <f t="shared" si="2"/>
        <v>6828016.59</v>
      </c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</row>
    <row r="125">
      <c r="C125" s="118"/>
      <c r="D125" s="118"/>
      <c r="E125" s="118"/>
      <c r="F125" s="118"/>
      <c r="G125" s="118"/>
      <c r="H125" s="118">
        <f t="shared" si="2"/>
        <v>228215</v>
      </c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</row>
    <row r="126">
      <c r="C126" s="118"/>
      <c r="D126" s="118"/>
      <c r="E126" s="118"/>
      <c r="F126" s="118"/>
      <c r="G126" s="118"/>
      <c r="H126" s="118">
        <f t="shared" si="2"/>
        <v>52736</v>
      </c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</row>
    <row r="127">
      <c r="C127" s="118"/>
      <c r="D127" s="118"/>
      <c r="E127" s="118"/>
      <c r="F127" s="118"/>
      <c r="G127" s="118"/>
      <c r="H127" s="118">
        <f t="shared" si="2"/>
        <v>173990</v>
      </c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</row>
    <row r="128">
      <c r="C128" s="118"/>
      <c r="D128" s="118"/>
      <c r="E128" s="118"/>
      <c r="F128" s="118"/>
      <c r="G128" s="118"/>
      <c r="H128" s="118">
        <f t="shared" si="2"/>
        <v>221361</v>
      </c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</row>
    <row r="129">
      <c r="C129" s="118"/>
      <c r="D129" s="118"/>
      <c r="E129" s="118"/>
      <c r="F129" s="118"/>
      <c r="G129" s="118"/>
      <c r="H129" s="118">
        <f t="shared" si="2"/>
        <v>514485</v>
      </c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</row>
    <row r="130">
      <c r="A130" s="119"/>
      <c r="B130" s="119"/>
      <c r="C130" s="118"/>
      <c r="D130" s="118"/>
      <c r="E130" s="118"/>
      <c r="F130" s="118"/>
      <c r="G130" s="118"/>
      <c r="H130" s="119" t="str">
        <f t="shared" si="2"/>
        <v> </v>
      </c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</row>
    <row r="131">
      <c r="A131" s="119"/>
      <c r="B131" s="119"/>
      <c r="C131" s="118"/>
      <c r="D131" s="118"/>
      <c r="E131" s="118"/>
      <c r="F131" s="118"/>
      <c r="G131" s="118"/>
      <c r="H131" s="119" t="str">
        <f t="shared" si="2"/>
        <v> </v>
      </c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>
      <c r="A132" s="119"/>
      <c r="B132" s="119"/>
      <c r="C132" s="118"/>
      <c r="D132" s="118"/>
      <c r="E132" s="118"/>
      <c r="F132" s="118"/>
      <c r="G132" s="118"/>
      <c r="H132" s="119" t="str">
        <f t="shared" si="2"/>
        <v> </v>
      </c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>
      <c r="A133" s="119"/>
      <c r="B133" s="119"/>
      <c r="C133" s="118"/>
      <c r="D133" s="118"/>
      <c r="E133" s="118"/>
      <c r="F133" s="118"/>
      <c r="G133" s="118"/>
      <c r="H133" s="119" t="str">
        <f t="shared" si="2"/>
        <v> </v>
      </c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</row>
    <row r="134">
      <c r="A134" s="119"/>
      <c r="B134" s="119"/>
      <c r="C134" s="118"/>
      <c r="D134" s="118"/>
      <c r="E134" s="118"/>
      <c r="F134" s="118"/>
      <c r="G134" s="118"/>
      <c r="H134" s="119" t="str">
        <f t="shared" si="2"/>
        <v> </v>
      </c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</row>
    <row r="135">
      <c r="A135" s="119"/>
      <c r="B135" s="119"/>
      <c r="C135" s="118"/>
      <c r="D135" s="118"/>
      <c r="E135" s="118"/>
      <c r="F135" s="118"/>
      <c r="G135" s="118"/>
      <c r="H135" s="119" t="str">
        <f t="shared" si="2"/>
        <v> </v>
      </c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</row>
    <row r="136">
      <c r="A136" s="119"/>
      <c r="B136" s="119"/>
      <c r="C136" s="118"/>
      <c r="D136" s="118"/>
      <c r="E136" s="118"/>
      <c r="F136" s="118"/>
      <c r="G136" s="118"/>
      <c r="H136" s="119" t="str">
        <f t="shared" si="2"/>
        <v> </v>
      </c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</row>
    <row r="137">
      <c r="A137" s="119"/>
      <c r="B137" s="119"/>
      <c r="C137" s="118"/>
      <c r="D137" s="118"/>
      <c r="E137" s="118"/>
      <c r="F137" s="118"/>
      <c r="G137" s="118"/>
      <c r="H137" s="119" t="str">
        <f t="shared" si="2"/>
        <v> </v>
      </c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</row>
    <row r="138">
      <c r="A138" s="119"/>
      <c r="B138" s="119"/>
      <c r="C138" s="118"/>
      <c r="D138" s="118"/>
      <c r="E138" s="118"/>
      <c r="F138" s="118"/>
      <c r="G138" s="118"/>
      <c r="H138" s="119" t="str">
        <f t="shared" si="2"/>
        <v> </v>
      </c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</row>
    <row r="139">
      <c r="A139" s="119"/>
      <c r="B139" s="119"/>
      <c r="C139" s="118"/>
      <c r="D139" s="118"/>
      <c r="E139" s="118"/>
      <c r="F139" s="118"/>
      <c r="G139" s="118"/>
      <c r="H139" s="119" t="str">
        <f t="shared" si="2"/>
        <v> </v>
      </c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</row>
    <row r="140">
      <c r="A140" s="119"/>
      <c r="B140" s="119"/>
      <c r="C140" s="118"/>
      <c r="D140" s="118"/>
      <c r="E140" s="118"/>
      <c r="F140" s="118"/>
      <c r="G140" s="118"/>
      <c r="H140" s="119" t="str">
        <f t="shared" si="2"/>
        <v> </v>
      </c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</row>
    <row r="141">
      <c r="A141" s="119"/>
      <c r="B141" s="119"/>
      <c r="C141" s="118"/>
      <c r="D141" s="118"/>
      <c r="E141" s="118"/>
      <c r="F141" s="118"/>
      <c r="G141" s="118"/>
      <c r="H141" s="119" t="str">
        <f t="shared" si="2"/>
        <v> </v>
      </c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</row>
    <row r="142">
      <c r="A142" s="119"/>
      <c r="B142" s="119"/>
      <c r="C142" s="118"/>
      <c r="D142" s="118"/>
      <c r="E142" s="118"/>
      <c r="F142" s="118"/>
      <c r="G142" s="118"/>
      <c r="H142" s="119" t="str">
        <f t="shared" si="2"/>
        <v> </v>
      </c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</row>
    <row r="143">
      <c r="A143" s="119"/>
      <c r="B143" s="119"/>
      <c r="C143" s="118"/>
      <c r="D143" s="118"/>
      <c r="E143" s="118"/>
      <c r="F143" s="118"/>
      <c r="G143" s="118"/>
      <c r="H143" s="119" t="str">
        <f t="shared" si="2"/>
        <v> </v>
      </c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</row>
    <row r="144">
      <c r="A144" s="119"/>
      <c r="B144" s="119"/>
      <c r="C144" s="118"/>
      <c r="D144" s="118"/>
      <c r="E144" s="118"/>
      <c r="F144" s="118"/>
      <c r="G144" s="118"/>
      <c r="H144" s="119" t="str">
        <f t="shared" si="2"/>
        <v> </v>
      </c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</row>
    <row r="145">
      <c r="A145" s="119"/>
      <c r="B145" s="119"/>
      <c r="C145" s="118"/>
      <c r="D145" s="118"/>
      <c r="E145" s="118"/>
      <c r="F145" s="118"/>
      <c r="G145" s="118"/>
      <c r="H145" s="119" t="str">
        <f t="shared" si="2"/>
        <v> </v>
      </c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</row>
    <row r="146">
      <c r="A146" s="119"/>
      <c r="B146" s="119"/>
      <c r="C146" s="118"/>
      <c r="D146" s="118"/>
      <c r="E146" s="118"/>
      <c r="F146" s="118"/>
      <c r="G146" s="118"/>
      <c r="H146" s="119" t="str">
        <f t="shared" si="2"/>
        <v> </v>
      </c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</row>
    <row r="147">
      <c r="A147" s="119"/>
      <c r="B147" s="119"/>
      <c r="C147" s="118"/>
      <c r="D147" s="118"/>
      <c r="E147" s="118"/>
      <c r="F147" s="118"/>
      <c r="G147" s="118"/>
      <c r="H147" s="119" t="str">
        <f t="shared" si="2"/>
        <v> </v>
      </c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</row>
    <row r="148">
      <c r="A148" s="119"/>
      <c r="B148" s="119"/>
      <c r="C148" s="118"/>
      <c r="D148" s="118"/>
      <c r="E148" s="118"/>
      <c r="F148" s="118"/>
      <c r="G148" s="118"/>
      <c r="H148" s="119" t="str">
        <f t="shared" si="2"/>
        <v> </v>
      </c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</row>
    <row r="149">
      <c r="A149" s="119"/>
      <c r="B149" s="119"/>
      <c r="C149" s="118"/>
      <c r="D149" s="118"/>
      <c r="E149" s="118"/>
      <c r="F149" s="118"/>
      <c r="G149" s="118"/>
      <c r="H149" s="119" t="str">
        <f t="shared" si="2"/>
        <v> </v>
      </c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>
      <c r="A150" s="119"/>
      <c r="B150" s="119"/>
      <c r="C150" s="118"/>
      <c r="D150" s="118"/>
      <c r="E150" s="118"/>
      <c r="F150" s="118"/>
      <c r="G150" s="118"/>
      <c r="H150" s="119" t="str">
        <f t="shared" si="2"/>
        <v> </v>
      </c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>
      <c r="A151" s="119"/>
      <c r="B151" s="119"/>
      <c r="C151" s="118"/>
      <c r="D151" s="118"/>
      <c r="E151" s="118"/>
      <c r="F151" s="118"/>
      <c r="G151" s="118"/>
      <c r="H151" s="119" t="str">
        <f t="shared" si="2"/>
        <v> </v>
      </c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</row>
    <row r="152">
      <c r="A152" s="119"/>
      <c r="B152" s="119"/>
      <c r="C152" s="118"/>
      <c r="D152" s="118"/>
      <c r="E152" s="118"/>
      <c r="F152" s="118"/>
      <c r="G152" s="118"/>
      <c r="H152" s="119" t="str">
        <f t="shared" si="2"/>
        <v> </v>
      </c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</row>
    <row r="153">
      <c r="A153" s="119"/>
      <c r="B153" s="119"/>
      <c r="C153" s="118"/>
      <c r="D153" s="118"/>
      <c r="E153" s="118"/>
      <c r="F153" s="118"/>
      <c r="G153" s="118"/>
      <c r="H153" s="119" t="str">
        <f t="shared" si="2"/>
        <v> </v>
      </c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</row>
    <row r="154">
      <c r="A154" s="119"/>
      <c r="B154" s="119"/>
      <c r="C154" s="118"/>
      <c r="D154" s="118"/>
      <c r="E154" s="118"/>
      <c r="F154" s="118"/>
      <c r="G154" s="118"/>
      <c r="H154" s="119" t="str">
        <f t="shared" si="2"/>
        <v> </v>
      </c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>
      <c r="A155" s="119"/>
      <c r="B155" s="119"/>
      <c r="C155" s="118"/>
      <c r="D155" s="118"/>
      <c r="E155" s="118"/>
      <c r="F155" s="118"/>
      <c r="G155" s="118"/>
      <c r="H155" s="119" t="str">
        <f t="shared" si="2"/>
        <v> </v>
      </c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>
      <c r="A156" s="119"/>
      <c r="B156" s="119"/>
      <c r="C156" s="118"/>
      <c r="D156" s="118"/>
      <c r="E156" s="118"/>
      <c r="F156" s="118"/>
      <c r="G156" s="118"/>
      <c r="H156" s="119" t="str">
        <f t="shared" si="2"/>
        <v> </v>
      </c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</row>
    <row r="157">
      <c r="A157" s="119"/>
      <c r="B157" s="119"/>
      <c r="C157" s="118"/>
      <c r="D157" s="118"/>
      <c r="E157" s="118"/>
      <c r="F157" s="118"/>
      <c r="G157" s="118"/>
      <c r="H157" s="119" t="str">
        <f t="shared" si="2"/>
        <v> </v>
      </c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</row>
    <row r="158">
      <c r="A158" s="119"/>
      <c r="B158" s="119"/>
      <c r="C158" s="118"/>
      <c r="D158" s="118"/>
      <c r="E158" s="118"/>
      <c r="F158" s="118"/>
      <c r="G158" s="118"/>
      <c r="H158" s="119" t="str">
        <f t="shared" si="2"/>
        <v> </v>
      </c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</row>
    <row r="159">
      <c r="A159" s="119"/>
      <c r="B159" s="119"/>
      <c r="C159" s="118"/>
      <c r="D159" s="118"/>
      <c r="E159" s="118"/>
      <c r="F159" s="118"/>
      <c r="G159" s="118"/>
      <c r="H159" s="119" t="str">
        <f t="shared" si="2"/>
        <v> </v>
      </c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>
      <c r="A160" s="119"/>
      <c r="B160" s="119"/>
      <c r="C160" s="118"/>
      <c r="D160" s="118"/>
      <c r="E160" s="118"/>
      <c r="F160" s="118"/>
      <c r="G160" s="118"/>
      <c r="H160" s="119" t="str">
        <f t="shared" si="2"/>
        <v> </v>
      </c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</row>
    <row r="161">
      <c r="A161" s="119"/>
      <c r="B161" s="119"/>
      <c r="C161" s="118"/>
      <c r="D161" s="118"/>
      <c r="E161" s="118"/>
      <c r="F161" s="118"/>
      <c r="G161" s="118"/>
      <c r="H161" s="119" t="str">
        <f t="shared" si="2"/>
        <v> </v>
      </c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</row>
    <row r="162">
      <c r="A162" s="119"/>
      <c r="B162" s="119"/>
      <c r="C162" s="118"/>
      <c r="D162" s="118"/>
      <c r="E162" s="118"/>
      <c r="F162" s="118"/>
      <c r="G162" s="118"/>
      <c r="H162" s="119" t="str">
        <f t="shared" si="2"/>
        <v> </v>
      </c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</row>
    <row r="163">
      <c r="A163" s="119"/>
      <c r="B163" s="119"/>
      <c r="C163" s="118"/>
      <c r="D163" s="118"/>
      <c r="E163" s="118"/>
      <c r="F163" s="118"/>
      <c r="G163" s="118"/>
      <c r="H163" s="119" t="str">
        <f t="shared" si="2"/>
        <v> </v>
      </c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</row>
    <row r="164">
      <c r="A164" s="119"/>
      <c r="B164" s="119"/>
      <c r="C164" s="118"/>
      <c r="D164" s="118"/>
      <c r="E164" s="118"/>
      <c r="F164" s="118"/>
      <c r="G164" s="118"/>
      <c r="H164" s="119" t="str">
        <f t="shared" si="2"/>
        <v> </v>
      </c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</row>
    <row r="165">
      <c r="A165" s="119"/>
      <c r="B165" s="119"/>
      <c r="C165" s="118"/>
      <c r="D165" s="118"/>
      <c r="E165" s="118"/>
      <c r="F165" s="118"/>
      <c r="G165" s="118"/>
      <c r="H165" s="119" t="str">
        <f t="shared" si="2"/>
        <v> </v>
      </c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</row>
    <row r="166">
      <c r="A166" s="119"/>
      <c r="B166" s="119"/>
      <c r="C166" s="118"/>
      <c r="D166" s="118"/>
      <c r="E166" s="118"/>
      <c r="F166" s="118"/>
      <c r="G166" s="118"/>
      <c r="H166" s="119" t="str">
        <f t="shared" si="2"/>
        <v> </v>
      </c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</row>
    <row r="167">
      <c r="A167" s="119"/>
      <c r="B167" s="119"/>
      <c r="C167" s="118"/>
      <c r="D167" s="118"/>
      <c r="E167" s="118"/>
      <c r="F167" s="118"/>
      <c r="G167" s="118"/>
      <c r="H167" s="119" t="str">
        <f t="shared" si="2"/>
        <v> </v>
      </c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</row>
    <row r="168">
      <c r="A168" s="119"/>
      <c r="B168" s="119"/>
      <c r="C168" s="118"/>
      <c r="D168" s="118"/>
      <c r="E168" s="118"/>
      <c r="F168" s="118"/>
      <c r="G168" s="118"/>
      <c r="H168" s="119" t="str">
        <f t="shared" si="2"/>
        <v> </v>
      </c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</row>
    <row r="169">
      <c r="A169" s="119"/>
      <c r="B169" s="119"/>
      <c r="C169" s="118"/>
      <c r="D169" s="118"/>
      <c r="E169" s="118"/>
      <c r="F169" s="118"/>
      <c r="G169" s="118"/>
      <c r="H169" s="119" t="str">
        <f t="shared" si="2"/>
        <v> </v>
      </c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>
      <c r="A170" s="119"/>
      <c r="B170" s="119"/>
      <c r="C170" s="118"/>
      <c r="D170" s="118"/>
      <c r="E170" s="118"/>
      <c r="F170" s="118"/>
      <c r="G170" s="118"/>
      <c r="H170" s="119" t="str">
        <f t="shared" si="2"/>
        <v> </v>
      </c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</row>
    <row r="171">
      <c r="A171" s="119"/>
      <c r="B171" s="119"/>
      <c r="C171" s="118"/>
      <c r="D171" s="118"/>
      <c r="E171" s="118"/>
      <c r="F171" s="118"/>
      <c r="G171" s="118"/>
      <c r="H171" s="119" t="str">
        <f t="shared" si="2"/>
        <v> </v>
      </c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</row>
    <row r="172">
      <c r="A172" s="119"/>
      <c r="B172" s="119"/>
      <c r="C172" s="118"/>
      <c r="D172" s="118"/>
      <c r="E172" s="118"/>
      <c r="F172" s="118"/>
      <c r="G172" s="118"/>
      <c r="H172" s="119" t="str">
        <f t="shared" si="2"/>
        <v> </v>
      </c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</row>
    <row r="173">
      <c r="A173" s="119"/>
      <c r="B173" s="119"/>
      <c r="C173" s="118"/>
      <c r="D173" s="118"/>
      <c r="E173" s="118"/>
      <c r="F173" s="118"/>
      <c r="G173" s="118"/>
      <c r="H173" s="119" t="str">
        <f t="shared" si="2"/>
        <v> </v>
      </c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</row>
    <row r="174">
      <c r="A174" s="119"/>
      <c r="B174" s="119"/>
      <c r="C174" s="118"/>
      <c r="D174" s="118"/>
      <c r="E174" s="118"/>
      <c r="F174" s="118"/>
      <c r="G174" s="118"/>
      <c r="H174" s="119" t="str">
        <f t="shared" si="2"/>
        <v> </v>
      </c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>
      <c r="A175" s="119"/>
      <c r="B175" s="119"/>
      <c r="C175" s="118"/>
      <c r="D175" s="118"/>
      <c r="E175" s="118"/>
      <c r="F175" s="118"/>
      <c r="G175" s="118"/>
      <c r="H175" s="119" t="str">
        <f t="shared" si="2"/>
        <v> </v>
      </c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</row>
    <row r="176">
      <c r="A176" s="119"/>
      <c r="B176" s="119"/>
      <c r="C176" s="118"/>
      <c r="D176" s="118"/>
      <c r="E176" s="118"/>
      <c r="F176" s="118"/>
      <c r="G176" s="118"/>
      <c r="H176" s="119" t="str">
        <f t="shared" si="2"/>
        <v> </v>
      </c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</row>
    <row r="177">
      <c r="A177" s="119"/>
      <c r="B177" s="119"/>
      <c r="C177" s="118"/>
      <c r="D177" s="118"/>
      <c r="E177" s="118"/>
      <c r="F177" s="118"/>
      <c r="G177" s="118"/>
      <c r="H177" s="119" t="str">
        <f t="shared" si="2"/>
        <v> </v>
      </c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</row>
    <row r="178">
      <c r="A178" s="119"/>
      <c r="B178" s="119"/>
      <c r="C178" s="118"/>
      <c r="D178" s="118"/>
      <c r="E178" s="118"/>
      <c r="F178" s="118"/>
      <c r="G178" s="118"/>
      <c r="H178" s="119" t="str">
        <f t="shared" si="2"/>
        <v> </v>
      </c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</row>
    <row r="179">
      <c r="A179" s="119"/>
      <c r="B179" s="119"/>
      <c r="C179" s="118"/>
      <c r="D179" s="118"/>
      <c r="E179" s="118"/>
      <c r="F179" s="118"/>
      <c r="G179" s="118"/>
      <c r="H179" s="119" t="str">
        <f t="shared" si="2"/>
        <v> </v>
      </c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</row>
    <row r="180">
      <c r="A180" s="119"/>
      <c r="B180" s="119"/>
      <c r="C180" s="118"/>
      <c r="D180" s="118"/>
      <c r="E180" s="118"/>
      <c r="F180" s="118"/>
      <c r="G180" s="118"/>
      <c r="H180" s="119" t="str">
        <f t="shared" si="2"/>
        <v> </v>
      </c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>
      <c r="A181" s="119"/>
      <c r="B181" s="119"/>
      <c r="C181" s="118"/>
      <c r="D181" s="118"/>
      <c r="E181" s="118"/>
      <c r="F181" s="118"/>
      <c r="G181" s="118"/>
      <c r="H181" s="119" t="str">
        <f t="shared" si="2"/>
        <v> </v>
      </c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</row>
    <row r="182">
      <c r="A182" s="119"/>
      <c r="B182" s="119"/>
      <c r="C182" s="118"/>
      <c r="D182" s="118"/>
      <c r="E182" s="118"/>
      <c r="F182" s="118"/>
      <c r="G182" s="118"/>
      <c r="H182" s="119" t="str">
        <f t="shared" si="2"/>
        <v> </v>
      </c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</row>
    <row r="183">
      <c r="A183" s="119"/>
      <c r="B183" s="119"/>
      <c r="C183" s="118"/>
      <c r="D183" s="118"/>
      <c r="E183" s="118"/>
      <c r="F183" s="118"/>
      <c r="G183" s="118"/>
      <c r="H183" s="119" t="str">
        <f t="shared" si="2"/>
        <v> </v>
      </c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</row>
    <row r="184">
      <c r="A184" s="119"/>
      <c r="B184" s="119"/>
      <c r="C184" s="118"/>
      <c r="D184" s="118"/>
      <c r="E184" s="118"/>
      <c r="F184" s="118"/>
      <c r="G184" s="118"/>
      <c r="H184" s="119" t="str">
        <f t="shared" si="2"/>
        <v> </v>
      </c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</row>
    <row r="185">
      <c r="A185" s="119"/>
      <c r="B185" s="119"/>
      <c r="C185" s="118"/>
      <c r="D185" s="118"/>
      <c r="E185" s="118"/>
      <c r="F185" s="118"/>
      <c r="G185" s="118"/>
      <c r="H185" s="119" t="str">
        <f t="shared" si="2"/>
        <v> </v>
      </c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</row>
    <row r="186">
      <c r="A186" s="119"/>
      <c r="B186" s="119"/>
      <c r="C186" s="118"/>
      <c r="D186" s="118"/>
      <c r="E186" s="118"/>
      <c r="F186" s="118"/>
      <c r="G186" s="118"/>
      <c r="H186" s="119" t="str">
        <f t="shared" si="2"/>
        <v> </v>
      </c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>
      <c r="A187" s="119"/>
      <c r="B187" s="119"/>
      <c r="C187" s="118"/>
      <c r="D187" s="118"/>
      <c r="E187" s="118"/>
      <c r="F187" s="118"/>
      <c r="G187" s="118"/>
      <c r="H187" s="119" t="str">
        <f t="shared" si="2"/>
        <v> </v>
      </c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</row>
    <row r="188">
      <c r="A188" s="119"/>
      <c r="B188" s="119"/>
      <c r="C188" s="118"/>
      <c r="D188" s="118"/>
      <c r="E188" s="118"/>
      <c r="F188" s="118"/>
      <c r="G188" s="118"/>
      <c r="H188" s="119" t="str">
        <f t="shared" si="2"/>
        <v> </v>
      </c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</row>
    <row r="189">
      <c r="A189" s="119"/>
      <c r="B189" s="119"/>
      <c r="C189" s="118"/>
      <c r="D189" s="118"/>
      <c r="E189" s="118"/>
      <c r="F189" s="118"/>
      <c r="G189" s="118"/>
      <c r="H189" s="119" t="str">
        <f t="shared" si="2"/>
        <v> </v>
      </c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</row>
    <row r="190">
      <c r="A190" s="119"/>
      <c r="B190" s="119"/>
      <c r="C190" s="118"/>
      <c r="D190" s="118"/>
      <c r="E190" s="118"/>
      <c r="F190" s="118"/>
      <c r="G190" s="118"/>
      <c r="H190" s="119" t="str">
        <f t="shared" si="2"/>
        <v> </v>
      </c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</row>
    <row r="191">
      <c r="A191" s="119"/>
      <c r="B191" s="119"/>
      <c r="C191" s="118"/>
      <c r="D191" s="118"/>
      <c r="E191" s="118"/>
      <c r="F191" s="118"/>
      <c r="G191" s="118"/>
      <c r="H191" s="119" t="str">
        <f t="shared" si="2"/>
        <v> </v>
      </c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</row>
    <row r="192">
      <c r="A192" s="119"/>
      <c r="B192" s="119"/>
      <c r="C192" s="118"/>
      <c r="D192" s="118"/>
      <c r="E192" s="118"/>
      <c r="F192" s="118"/>
      <c r="G192" s="118"/>
      <c r="H192" s="119" t="str">
        <f t="shared" si="2"/>
        <v> </v>
      </c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</row>
    <row r="193">
      <c r="A193" s="119"/>
      <c r="B193" s="119"/>
      <c r="C193" s="118"/>
      <c r="D193" s="118"/>
      <c r="E193" s="118"/>
      <c r="F193" s="118"/>
      <c r="G193" s="118"/>
      <c r="H193" s="119" t="str">
        <f t="shared" si="2"/>
        <v> </v>
      </c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</row>
    <row r="194">
      <c r="A194" s="119"/>
      <c r="B194" s="119"/>
      <c r="C194" s="118"/>
      <c r="D194" s="118"/>
      <c r="E194" s="118"/>
      <c r="F194" s="118"/>
      <c r="G194" s="118"/>
      <c r="H194" s="119" t="str">
        <f t="shared" si="2"/>
        <v> </v>
      </c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</row>
    <row r="195">
      <c r="A195" s="119"/>
      <c r="B195" s="119"/>
      <c r="C195" s="118"/>
      <c r="D195" s="118"/>
      <c r="E195" s="118"/>
      <c r="F195" s="118"/>
      <c r="G195" s="118"/>
      <c r="H195" s="119" t="str">
        <f t="shared" si="2"/>
        <v> </v>
      </c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</row>
    <row r="196">
      <c r="A196" s="119"/>
      <c r="B196" s="119"/>
      <c r="C196" s="118"/>
      <c r="D196" s="118"/>
      <c r="E196" s="118"/>
      <c r="F196" s="118"/>
      <c r="G196" s="118"/>
      <c r="H196" s="119" t="str">
        <f t="shared" si="2"/>
        <v> </v>
      </c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</row>
    <row r="197">
      <c r="A197" s="119"/>
      <c r="B197" s="119"/>
      <c r="C197" s="118"/>
      <c r="D197" s="118"/>
      <c r="E197" s="118"/>
      <c r="F197" s="118"/>
      <c r="G197" s="118"/>
      <c r="H197" s="119" t="str">
        <f t="shared" si="2"/>
        <v> </v>
      </c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</row>
    <row r="198">
      <c r="A198" s="119"/>
      <c r="B198" s="119"/>
      <c r="C198" s="118"/>
      <c r="D198" s="118"/>
      <c r="E198" s="118"/>
      <c r="F198" s="118"/>
      <c r="G198" s="118"/>
      <c r="H198" s="119" t="str">
        <f t="shared" si="2"/>
        <v> </v>
      </c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</row>
    <row r="199">
      <c r="A199" s="119"/>
      <c r="B199" s="119"/>
      <c r="C199" s="118"/>
      <c r="D199" s="118"/>
      <c r="E199" s="118"/>
      <c r="F199" s="118"/>
      <c r="G199" s="118"/>
      <c r="H199" s="119" t="str">
        <f t="shared" si="2"/>
        <v> </v>
      </c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</row>
    <row r="200">
      <c r="A200" s="119"/>
      <c r="B200" s="119"/>
      <c r="C200" s="118"/>
      <c r="D200" s="118"/>
      <c r="E200" s="118"/>
      <c r="F200" s="118"/>
      <c r="G200" s="118"/>
      <c r="H200" s="119" t="str">
        <f t="shared" si="2"/>
        <v> </v>
      </c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</row>
    <row r="201">
      <c r="A201" s="119"/>
      <c r="B201" s="119"/>
      <c r="C201" s="118"/>
      <c r="D201" s="118"/>
      <c r="E201" s="118"/>
      <c r="F201" s="118"/>
      <c r="G201" s="118"/>
      <c r="H201" s="119" t="str">
        <f t="shared" si="2"/>
        <v> </v>
      </c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</row>
    <row r="202">
      <c r="A202" s="119"/>
      <c r="B202" s="119"/>
      <c r="C202" s="118"/>
      <c r="D202" s="118"/>
      <c r="E202" s="118"/>
      <c r="F202" s="118"/>
      <c r="G202" s="118"/>
      <c r="H202" s="119" t="str">
        <f t="shared" si="2"/>
        <v> </v>
      </c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</row>
    <row r="203">
      <c r="A203" s="119"/>
      <c r="B203" s="119"/>
      <c r="C203" s="118"/>
      <c r="D203" s="118"/>
      <c r="E203" s="118"/>
      <c r="F203" s="118"/>
      <c r="G203" s="118"/>
      <c r="H203" s="119" t="str">
        <f t="shared" si="2"/>
        <v> </v>
      </c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</row>
    <row r="204">
      <c r="A204" s="119"/>
      <c r="B204" s="119"/>
      <c r="C204" s="118"/>
      <c r="D204" s="118"/>
      <c r="E204" s="118"/>
      <c r="F204" s="118"/>
      <c r="G204" s="118"/>
      <c r="H204" s="119" t="str">
        <f t="shared" si="2"/>
        <v> </v>
      </c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</row>
    <row r="205">
      <c r="A205" s="119"/>
      <c r="B205" s="119"/>
      <c r="C205" s="118"/>
      <c r="D205" s="118"/>
      <c r="E205" s="118"/>
      <c r="F205" s="118"/>
      <c r="G205" s="118"/>
      <c r="H205" s="119" t="str">
        <f t="shared" si="2"/>
        <v> </v>
      </c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</row>
    <row r="206">
      <c r="A206" s="119"/>
      <c r="B206" s="119"/>
      <c r="C206" s="118"/>
      <c r="D206" s="118"/>
      <c r="E206" s="118"/>
      <c r="F206" s="118"/>
      <c r="G206" s="118"/>
      <c r="H206" s="119" t="str">
        <f t="shared" si="2"/>
        <v> </v>
      </c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</row>
    <row r="207">
      <c r="A207" s="119"/>
      <c r="B207" s="119"/>
      <c r="C207" s="118"/>
      <c r="D207" s="118"/>
      <c r="E207" s="118"/>
      <c r="F207" s="118"/>
      <c r="G207" s="118"/>
      <c r="H207" s="119" t="str">
        <f t="shared" si="2"/>
        <v> </v>
      </c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</row>
    <row r="208">
      <c r="A208" s="119"/>
      <c r="B208" s="119"/>
      <c r="C208" s="118"/>
      <c r="D208" s="118"/>
      <c r="E208" s="118"/>
      <c r="F208" s="118"/>
      <c r="G208" s="118"/>
      <c r="H208" s="119" t="str">
        <f t="shared" si="2"/>
        <v> </v>
      </c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</row>
    <row r="209">
      <c r="A209" s="119"/>
      <c r="B209" s="119"/>
      <c r="C209" s="118"/>
      <c r="D209" s="118"/>
      <c r="E209" s="118"/>
      <c r="F209" s="118"/>
      <c r="G209" s="118"/>
      <c r="H209" s="119" t="str">
        <f t="shared" si="2"/>
        <v> </v>
      </c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</row>
    <row r="210">
      <c r="A210" s="119"/>
      <c r="B210" s="119"/>
      <c r="C210" s="118"/>
      <c r="D210" s="118"/>
      <c r="E210" s="118"/>
      <c r="F210" s="118"/>
      <c r="G210" s="118"/>
      <c r="H210" s="119" t="str">
        <f t="shared" si="2"/>
        <v> </v>
      </c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</row>
    <row r="211">
      <c r="A211" s="119"/>
      <c r="B211" s="119"/>
      <c r="C211" s="118"/>
      <c r="D211" s="118"/>
      <c r="E211" s="118"/>
      <c r="F211" s="118"/>
      <c r="G211" s="118"/>
      <c r="H211" s="119" t="str">
        <f t="shared" si="2"/>
        <v> </v>
      </c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</row>
    <row r="212">
      <c r="A212" s="119"/>
      <c r="B212" s="119"/>
      <c r="C212" s="118"/>
      <c r="D212" s="118"/>
      <c r="E212" s="118"/>
      <c r="F212" s="118"/>
      <c r="G212" s="118"/>
      <c r="H212" s="119" t="str">
        <f t="shared" si="2"/>
        <v> </v>
      </c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</row>
    <row r="213">
      <c r="A213" s="119"/>
      <c r="B213" s="119"/>
      <c r="C213" s="118"/>
      <c r="D213" s="118"/>
      <c r="E213" s="118"/>
      <c r="F213" s="118"/>
      <c r="G213" s="118"/>
      <c r="H213" s="119" t="str">
        <f t="shared" si="2"/>
        <v> </v>
      </c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</row>
    <row r="214">
      <c r="A214" s="119"/>
      <c r="B214" s="119"/>
      <c r="C214" s="118"/>
      <c r="D214" s="118"/>
      <c r="E214" s="118"/>
      <c r="F214" s="118"/>
      <c r="G214" s="118"/>
      <c r="H214" s="119" t="str">
        <f t="shared" si="2"/>
        <v> </v>
      </c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</row>
    <row r="215">
      <c r="A215" s="119"/>
      <c r="B215" s="119"/>
      <c r="C215" s="118"/>
      <c r="D215" s="118"/>
      <c r="E215" s="118"/>
      <c r="F215" s="118"/>
      <c r="G215" s="118"/>
      <c r="H215" s="119" t="str">
        <f t="shared" si="2"/>
        <v> </v>
      </c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</row>
    <row r="216">
      <c r="A216" s="119"/>
      <c r="B216" s="119"/>
      <c r="C216" s="118"/>
      <c r="D216" s="118"/>
      <c r="E216" s="118"/>
      <c r="F216" s="118"/>
      <c r="G216" s="118"/>
      <c r="H216" s="119" t="str">
        <f t="shared" si="2"/>
        <v> </v>
      </c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</row>
    <row r="217">
      <c r="A217" s="119"/>
      <c r="B217" s="119"/>
      <c r="C217" s="118"/>
      <c r="D217" s="118"/>
      <c r="E217" s="118"/>
      <c r="F217" s="118"/>
      <c r="G217" s="118"/>
      <c r="H217" s="119" t="str">
        <f t="shared" si="2"/>
        <v> </v>
      </c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</row>
    <row r="218">
      <c r="A218" s="119"/>
      <c r="B218" s="119"/>
      <c r="C218" s="118"/>
      <c r="D218" s="118"/>
      <c r="E218" s="118"/>
      <c r="F218" s="118"/>
      <c r="G218" s="118"/>
      <c r="H218" s="119" t="str">
        <f t="shared" si="2"/>
        <v> </v>
      </c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</row>
    <row r="219">
      <c r="A219" s="119"/>
      <c r="B219" s="119"/>
      <c r="C219" s="118"/>
      <c r="D219" s="118"/>
      <c r="E219" s="118"/>
      <c r="F219" s="118"/>
      <c r="G219" s="118"/>
      <c r="H219" s="119" t="str">
        <f t="shared" si="2"/>
        <v> </v>
      </c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</row>
    <row r="220">
      <c r="A220" s="119"/>
      <c r="B220" s="119"/>
      <c r="C220" s="118"/>
      <c r="D220" s="118"/>
      <c r="E220" s="118"/>
      <c r="F220" s="118"/>
      <c r="G220" s="118"/>
      <c r="H220" s="119" t="str">
        <f t="shared" si="2"/>
        <v> </v>
      </c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</row>
    <row r="221">
      <c r="A221" s="119"/>
      <c r="B221" s="119"/>
      <c r="C221" s="118"/>
      <c r="D221" s="118"/>
      <c r="E221" s="118"/>
      <c r="F221" s="118"/>
      <c r="G221" s="118"/>
      <c r="H221" s="119" t="str">
        <f t="shared" si="2"/>
        <v> </v>
      </c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</row>
    <row r="222">
      <c r="A222" s="119"/>
      <c r="B222" s="119"/>
      <c r="C222" s="118"/>
      <c r="D222" s="118"/>
      <c r="E222" s="118"/>
      <c r="F222" s="118"/>
      <c r="G222" s="118"/>
      <c r="H222" s="119" t="str">
        <f t="shared" si="2"/>
        <v> </v>
      </c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</row>
    <row r="223">
      <c r="A223" s="119"/>
      <c r="B223" s="119"/>
      <c r="C223" s="118"/>
      <c r="D223" s="118"/>
      <c r="E223" s="118"/>
      <c r="F223" s="118"/>
      <c r="G223" s="118"/>
      <c r="H223" s="119" t="str">
        <f t="shared" si="2"/>
        <v> </v>
      </c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</row>
    <row r="224">
      <c r="A224" s="119"/>
      <c r="B224" s="119"/>
      <c r="C224" s="118"/>
      <c r="D224" s="118"/>
      <c r="E224" s="118"/>
      <c r="F224" s="118"/>
      <c r="G224" s="118"/>
      <c r="H224" s="119" t="str">
        <f t="shared" si="2"/>
        <v> </v>
      </c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</row>
    <row r="225">
      <c r="A225" s="119"/>
      <c r="B225" s="119"/>
      <c r="C225" s="118"/>
      <c r="D225" s="118"/>
      <c r="E225" s="118"/>
      <c r="F225" s="118"/>
      <c r="G225" s="118"/>
      <c r="H225" s="119" t="str">
        <f t="shared" si="2"/>
        <v> </v>
      </c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</row>
    <row r="226">
      <c r="A226" s="119"/>
      <c r="B226" s="119"/>
      <c r="C226" s="118"/>
      <c r="D226" s="118"/>
      <c r="E226" s="118"/>
      <c r="F226" s="118"/>
      <c r="G226" s="118"/>
      <c r="H226" s="119" t="str">
        <f t="shared" si="2"/>
        <v> </v>
      </c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</row>
    <row r="227">
      <c r="A227" s="119"/>
      <c r="B227" s="119"/>
      <c r="C227" s="118"/>
      <c r="D227" s="118"/>
      <c r="E227" s="118"/>
      <c r="F227" s="118"/>
      <c r="G227" s="118"/>
      <c r="H227" s="119" t="str">
        <f t="shared" si="2"/>
        <v> </v>
      </c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</row>
    <row r="228">
      <c r="A228" s="119"/>
      <c r="B228" s="119"/>
      <c r="C228" s="118"/>
      <c r="D228" s="118"/>
      <c r="E228" s="118"/>
      <c r="F228" s="118"/>
      <c r="G228" s="118"/>
      <c r="H228" s="119" t="str">
        <f t="shared" si="2"/>
        <v> </v>
      </c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</row>
    <row r="229">
      <c r="A229" s="119"/>
      <c r="B229" s="119"/>
      <c r="C229" s="118"/>
      <c r="D229" s="118"/>
      <c r="E229" s="118"/>
      <c r="F229" s="118"/>
      <c r="G229" s="118"/>
      <c r="H229" s="119" t="str">
        <f t="shared" si="2"/>
        <v> </v>
      </c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</row>
    <row r="230">
      <c r="A230" s="119"/>
      <c r="B230" s="119"/>
      <c r="C230" s="118"/>
      <c r="D230" s="118"/>
      <c r="E230" s="118"/>
      <c r="F230" s="118"/>
      <c r="G230" s="118"/>
      <c r="H230" s="119" t="str">
        <f t="shared" si="2"/>
        <v> </v>
      </c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</row>
    <row r="231">
      <c r="A231" s="119"/>
      <c r="B231" s="119"/>
      <c r="C231" s="118"/>
      <c r="D231" s="118"/>
      <c r="E231" s="118"/>
      <c r="F231" s="118"/>
      <c r="G231" s="118"/>
      <c r="H231" s="119" t="str">
        <f t="shared" si="2"/>
        <v> </v>
      </c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</row>
    <row r="232">
      <c r="A232" s="119"/>
      <c r="B232" s="119"/>
      <c r="C232" s="118"/>
      <c r="D232" s="118"/>
      <c r="E232" s="118"/>
      <c r="F232" s="118"/>
      <c r="G232" s="118"/>
      <c r="H232" s="119" t="str">
        <f t="shared" si="2"/>
        <v> </v>
      </c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</row>
    <row r="233">
      <c r="A233" s="119"/>
      <c r="B233" s="119"/>
      <c r="C233" s="118"/>
      <c r="D233" s="118"/>
      <c r="E233" s="118"/>
      <c r="F233" s="118"/>
      <c r="G233" s="118"/>
      <c r="H233" s="119" t="str">
        <f t="shared" si="2"/>
        <v> </v>
      </c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</row>
    <row r="234">
      <c r="A234" s="119"/>
      <c r="B234" s="119"/>
      <c r="C234" s="118"/>
      <c r="D234" s="118"/>
      <c r="E234" s="118"/>
      <c r="F234" s="118"/>
      <c r="G234" s="118"/>
      <c r="H234" s="119" t="str">
        <f t="shared" si="2"/>
        <v> </v>
      </c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</row>
    <row r="235">
      <c r="A235" s="119"/>
      <c r="B235" s="119"/>
      <c r="C235" s="118"/>
      <c r="D235" s="118"/>
      <c r="E235" s="118"/>
      <c r="F235" s="118"/>
      <c r="G235" s="118"/>
      <c r="H235" s="119" t="str">
        <f t="shared" si="2"/>
        <v> </v>
      </c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>
      <c r="A236" s="119"/>
      <c r="B236" s="119"/>
      <c r="C236" s="118"/>
      <c r="D236" s="118"/>
      <c r="E236" s="118"/>
      <c r="F236" s="118"/>
      <c r="G236" s="118"/>
      <c r="H236" s="119" t="str">
        <f t="shared" si="2"/>
        <v> </v>
      </c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</row>
    <row r="237">
      <c r="A237" s="119"/>
      <c r="B237" s="119"/>
      <c r="C237" s="118"/>
      <c r="D237" s="118"/>
      <c r="E237" s="118"/>
      <c r="F237" s="118"/>
      <c r="G237" s="118"/>
      <c r="H237" s="119" t="str">
        <f t="shared" si="2"/>
        <v> </v>
      </c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</row>
    <row r="238">
      <c r="A238" s="119"/>
      <c r="B238" s="119"/>
      <c r="C238" s="118"/>
      <c r="D238" s="118"/>
      <c r="E238" s="118"/>
      <c r="F238" s="118"/>
      <c r="G238" s="118"/>
      <c r="H238" s="119" t="str">
        <f t="shared" si="2"/>
        <v> </v>
      </c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</row>
    <row r="239">
      <c r="A239" s="119"/>
      <c r="B239" s="119"/>
      <c r="C239" s="118"/>
      <c r="D239" s="118"/>
      <c r="E239" s="118"/>
      <c r="F239" s="118"/>
      <c r="G239" s="118"/>
      <c r="H239" s="119" t="str">
        <f t="shared" si="2"/>
        <v> </v>
      </c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</row>
    <row r="240">
      <c r="A240" s="119"/>
      <c r="B240" s="119"/>
      <c r="C240" s="118"/>
      <c r="D240" s="118"/>
      <c r="E240" s="118"/>
      <c r="F240" s="118"/>
      <c r="G240" s="118"/>
      <c r="H240" s="119" t="str">
        <f t="shared" si="2"/>
        <v> </v>
      </c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</row>
    <row r="241">
      <c r="A241" s="119"/>
      <c r="B241" s="119"/>
      <c r="C241" s="118"/>
      <c r="D241" s="118"/>
      <c r="E241" s="118"/>
      <c r="F241" s="118"/>
      <c r="G241" s="118"/>
      <c r="H241" s="119" t="str">
        <f t="shared" si="2"/>
        <v> </v>
      </c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</row>
    <row r="242">
      <c r="A242" s="119"/>
      <c r="B242" s="119"/>
      <c r="C242" s="118"/>
      <c r="D242" s="118"/>
      <c r="E242" s="118"/>
      <c r="F242" s="118"/>
      <c r="G242" s="118"/>
      <c r="H242" s="119" t="str">
        <f t="shared" si="2"/>
        <v> </v>
      </c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</row>
    <row r="243">
      <c r="A243" s="119"/>
      <c r="B243" s="119"/>
      <c r="C243" s="118"/>
      <c r="D243" s="118"/>
      <c r="E243" s="118"/>
      <c r="F243" s="118"/>
      <c r="G243" s="118"/>
      <c r="H243" s="119" t="str">
        <f t="shared" si="2"/>
        <v> </v>
      </c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>
      <c r="A244" s="119"/>
      <c r="B244" s="119"/>
      <c r="C244" s="118"/>
      <c r="D244" s="118"/>
      <c r="E244" s="118"/>
      <c r="F244" s="118"/>
      <c r="G244" s="118"/>
      <c r="H244" s="119" t="str">
        <f t="shared" si="2"/>
        <v> </v>
      </c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</row>
    <row r="245">
      <c r="A245" s="119"/>
      <c r="B245" s="119"/>
      <c r="C245" s="118"/>
      <c r="D245" s="118"/>
      <c r="E245" s="118"/>
      <c r="F245" s="118"/>
      <c r="G245" s="118"/>
      <c r="H245" s="119" t="str">
        <f t="shared" si="2"/>
        <v> </v>
      </c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</row>
    <row r="246">
      <c r="A246" s="119"/>
      <c r="B246" s="119"/>
      <c r="C246" s="118"/>
      <c r="D246" s="118"/>
      <c r="E246" s="118"/>
      <c r="F246" s="118"/>
      <c r="G246" s="118"/>
      <c r="H246" s="119" t="str">
        <f t="shared" si="2"/>
        <v> </v>
      </c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</row>
    <row r="247">
      <c r="A247" s="119"/>
      <c r="B247" s="119"/>
      <c r="C247" s="118"/>
      <c r="D247" s="118"/>
      <c r="E247" s="118"/>
      <c r="F247" s="118"/>
      <c r="G247" s="118"/>
      <c r="H247" s="119" t="str">
        <f t="shared" si="2"/>
        <v> </v>
      </c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</row>
    <row r="248">
      <c r="A248" s="119"/>
      <c r="B248" s="119"/>
      <c r="C248" s="118"/>
      <c r="D248" s="118"/>
      <c r="E248" s="118"/>
      <c r="F248" s="118"/>
      <c r="G248" s="118"/>
      <c r="H248" s="119" t="str">
        <f t="shared" si="2"/>
        <v> </v>
      </c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</row>
    <row r="249">
      <c r="A249" s="119"/>
      <c r="B249" s="119"/>
      <c r="C249" s="118"/>
      <c r="D249" s="118"/>
      <c r="E249" s="118"/>
      <c r="F249" s="118"/>
      <c r="G249" s="118"/>
      <c r="H249" s="119" t="str">
        <f t="shared" si="2"/>
        <v> </v>
      </c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</row>
    <row r="250">
      <c r="A250" s="119"/>
      <c r="B250" s="119"/>
      <c r="C250" s="118"/>
      <c r="D250" s="118"/>
      <c r="E250" s="118"/>
      <c r="F250" s="118"/>
      <c r="G250" s="118"/>
      <c r="H250" s="119" t="str">
        <f t="shared" si="2"/>
        <v> </v>
      </c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</row>
    <row r="251">
      <c r="A251" s="119"/>
      <c r="B251" s="119"/>
      <c r="C251" s="118"/>
      <c r="D251" s="118"/>
      <c r="E251" s="118"/>
      <c r="F251" s="118"/>
      <c r="G251" s="118"/>
      <c r="H251" s="119" t="str">
        <f t="shared" si="2"/>
        <v> </v>
      </c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</row>
    <row r="252">
      <c r="A252" s="119"/>
      <c r="B252" s="119"/>
      <c r="C252" s="118"/>
      <c r="D252" s="118"/>
      <c r="E252" s="118"/>
      <c r="F252" s="118"/>
      <c r="G252" s="118"/>
      <c r="H252" s="119" t="str">
        <f t="shared" si="2"/>
        <v> </v>
      </c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</row>
    <row r="253">
      <c r="A253" s="119"/>
      <c r="B253" s="119"/>
      <c r="C253" s="118"/>
      <c r="D253" s="118"/>
      <c r="E253" s="118"/>
      <c r="F253" s="118"/>
      <c r="G253" s="118"/>
      <c r="H253" s="119" t="str">
        <f t="shared" si="2"/>
        <v> </v>
      </c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</row>
    <row r="254">
      <c r="A254" s="119"/>
      <c r="B254" s="119"/>
      <c r="C254" s="118"/>
      <c r="D254" s="118"/>
      <c r="E254" s="118"/>
      <c r="F254" s="118"/>
      <c r="G254" s="118"/>
      <c r="H254" s="119" t="str">
        <f t="shared" si="2"/>
        <v> </v>
      </c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</row>
    <row r="255">
      <c r="A255" s="119"/>
      <c r="B255" s="119"/>
      <c r="C255" s="118"/>
      <c r="D255" s="118"/>
      <c r="E255" s="118"/>
      <c r="F255" s="118"/>
      <c r="G255" s="118"/>
      <c r="H255" s="119" t="str">
        <f t="shared" si="2"/>
        <v> </v>
      </c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</row>
    <row r="256">
      <c r="A256" s="119"/>
      <c r="B256" s="119"/>
      <c r="C256" s="118"/>
      <c r="D256" s="118"/>
      <c r="E256" s="118"/>
      <c r="F256" s="118"/>
      <c r="G256" s="118"/>
      <c r="H256" s="119" t="str">
        <f t="shared" si="2"/>
        <v> </v>
      </c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</row>
    <row r="257">
      <c r="A257" s="119"/>
      <c r="B257" s="119"/>
      <c r="C257" s="118"/>
      <c r="D257" s="118"/>
      <c r="E257" s="118"/>
      <c r="F257" s="118"/>
      <c r="G257" s="118"/>
      <c r="H257" s="119" t="str">
        <f t="shared" si="2"/>
        <v> </v>
      </c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</row>
    <row r="258">
      <c r="A258" s="119"/>
      <c r="B258" s="119"/>
      <c r="C258" s="118"/>
      <c r="D258" s="118"/>
      <c r="E258" s="118"/>
      <c r="F258" s="118"/>
      <c r="G258" s="118"/>
      <c r="H258" s="119" t="str">
        <f t="shared" si="2"/>
        <v> </v>
      </c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</row>
    <row r="259">
      <c r="A259" s="119"/>
      <c r="B259" s="119"/>
      <c r="C259" s="118"/>
      <c r="D259" s="118"/>
      <c r="E259" s="118"/>
      <c r="F259" s="118"/>
      <c r="G259" s="118"/>
      <c r="H259" s="119" t="str">
        <f t="shared" si="2"/>
        <v> </v>
      </c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</row>
    <row r="260">
      <c r="A260" s="119"/>
      <c r="B260" s="119"/>
      <c r="C260" s="118"/>
      <c r="D260" s="118"/>
      <c r="E260" s="118"/>
      <c r="F260" s="118"/>
      <c r="G260" s="118"/>
      <c r="H260" s="119" t="str">
        <f t="shared" si="2"/>
        <v> </v>
      </c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</row>
    <row r="261">
      <c r="A261" s="119"/>
      <c r="B261" s="119"/>
      <c r="C261" s="118"/>
      <c r="D261" s="118"/>
      <c r="E261" s="118"/>
      <c r="F261" s="118"/>
      <c r="G261" s="118"/>
      <c r="H261" s="119" t="str">
        <f t="shared" si="2"/>
        <v> </v>
      </c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</row>
    <row r="262">
      <c r="A262" s="119"/>
      <c r="B262" s="119"/>
      <c r="C262" s="118"/>
      <c r="D262" s="118"/>
      <c r="E262" s="118"/>
      <c r="F262" s="118"/>
      <c r="G262" s="118"/>
      <c r="H262" s="119" t="str">
        <f t="shared" si="2"/>
        <v> </v>
      </c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</row>
    <row r="263">
      <c r="A263" s="119"/>
      <c r="B263" s="119"/>
      <c r="C263" s="118"/>
      <c r="D263" s="118"/>
      <c r="E263" s="118"/>
      <c r="F263" s="118"/>
      <c r="G263" s="118"/>
      <c r="H263" s="119" t="str">
        <f t="shared" si="2"/>
        <v> </v>
      </c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</row>
    <row r="264">
      <c r="A264" s="119"/>
      <c r="B264" s="119"/>
      <c r="C264" s="118"/>
      <c r="D264" s="118"/>
      <c r="E264" s="118"/>
      <c r="F264" s="118"/>
      <c r="G264" s="118"/>
      <c r="H264" s="119" t="str">
        <f t="shared" si="2"/>
        <v> </v>
      </c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</row>
    <row r="265">
      <c r="A265" s="119"/>
      <c r="B265" s="119"/>
      <c r="C265" s="118"/>
      <c r="D265" s="118"/>
      <c r="E265" s="118"/>
      <c r="F265" s="118"/>
      <c r="G265" s="118"/>
      <c r="H265" s="119" t="str">
        <f t="shared" si="2"/>
        <v> </v>
      </c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</row>
    <row r="266">
      <c r="A266" s="119"/>
      <c r="B266" s="119"/>
      <c r="C266" s="118"/>
      <c r="D266" s="118"/>
      <c r="E266" s="118"/>
      <c r="F266" s="118"/>
      <c r="G266" s="118"/>
      <c r="H266" s="119" t="str">
        <f t="shared" si="2"/>
        <v> </v>
      </c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</row>
    <row r="267">
      <c r="A267" s="119"/>
      <c r="B267" s="119"/>
      <c r="C267" s="118"/>
      <c r="D267" s="118"/>
      <c r="E267" s="118"/>
      <c r="F267" s="118"/>
      <c r="G267" s="118"/>
      <c r="H267" s="119" t="str">
        <f t="shared" si="2"/>
        <v> </v>
      </c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</row>
    <row r="268">
      <c r="A268" s="119"/>
      <c r="B268" s="119"/>
      <c r="C268" s="118"/>
      <c r="D268" s="118"/>
      <c r="E268" s="118"/>
      <c r="F268" s="118"/>
      <c r="G268" s="118"/>
      <c r="H268" s="119" t="str">
        <f t="shared" si="2"/>
        <v> </v>
      </c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</row>
    <row r="269">
      <c r="A269" s="119"/>
      <c r="B269" s="119"/>
      <c r="C269" s="118"/>
      <c r="D269" s="118"/>
      <c r="E269" s="118"/>
      <c r="F269" s="118"/>
      <c r="G269" s="118"/>
      <c r="H269" s="119" t="str">
        <f t="shared" si="2"/>
        <v> </v>
      </c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</row>
    <row r="270">
      <c r="A270" s="119"/>
      <c r="B270" s="119"/>
      <c r="C270" s="118"/>
      <c r="D270" s="118"/>
      <c r="E270" s="118"/>
      <c r="F270" s="118"/>
      <c r="G270" s="118"/>
      <c r="H270" s="119" t="str">
        <f t="shared" si="2"/>
        <v> 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</row>
    <row r="271">
      <c r="A271" s="119"/>
      <c r="B271" s="119"/>
      <c r="C271" s="118"/>
      <c r="D271" s="118"/>
      <c r="E271" s="118"/>
      <c r="F271" s="118"/>
      <c r="G271" s="118"/>
      <c r="H271" s="119" t="str">
        <f t="shared" si="2"/>
        <v> </v>
      </c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</row>
    <row r="272">
      <c r="A272" s="119"/>
      <c r="B272" s="119"/>
      <c r="C272" s="118"/>
      <c r="D272" s="118"/>
      <c r="E272" s="118"/>
      <c r="F272" s="118"/>
      <c r="G272" s="118"/>
      <c r="H272" s="119" t="str">
        <f t="shared" si="2"/>
        <v> </v>
      </c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</row>
    <row r="273">
      <c r="A273" s="119"/>
      <c r="B273" s="119"/>
      <c r="C273" s="118"/>
      <c r="D273" s="118"/>
      <c r="E273" s="118"/>
      <c r="F273" s="118"/>
      <c r="G273" s="118"/>
      <c r="H273" s="119" t="str">
        <f t="shared" si="2"/>
        <v> </v>
      </c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</row>
    <row r="274">
      <c r="A274" s="119"/>
      <c r="B274" s="119"/>
      <c r="C274" s="118"/>
      <c r="D274" s="118"/>
      <c r="E274" s="118"/>
      <c r="F274" s="118"/>
      <c r="G274" s="118"/>
      <c r="H274" s="119" t="str">
        <f t="shared" si="2"/>
        <v> </v>
      </c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</row>
    <row r="275">
      <c r="A275" s="119"/>
      <c r="B275" s="119"/>
      <c r="C275" s="118"/>
      <c r="D275" s="118"/>
      <c r="E275" s="118"/>
      <c r="F275" s="118"/>
      <c r="G275" s="118"/>
      <c r="H275" s="119" t="str">
        <f t="shared" si="2"/>
        <v> </v>
      </c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</row>
    <row r="276">
      <c r="A276" s="119"/>
      <c r="B276" s="119"/>
      <c r="C276" s="118"/>
      <c r="D276" s="118"/>
      <c r="E276" s="118"/>
      <c r="F276" s="118"/>
      <c r="G276" s="118"/>
      <c r="H276" s="119" t="str">
        <f t="shared" si="2"/>
        <v> </v>
      </c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</row>
    <row r="277">
      <c r="A277" s="119"/>
      <c r="B277" s="119"/>
      <c r="C277" s="118"/>
      <c r="D277" s="118"/>
      <c r="E277" s="118"/>
      <c r="F277" s="118"/>
      <c r="G277" s="118"/>
      <c r="H277" s="119" t="str">
        <f t="shared" si="2"/>
        <v> </v>
      </c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</row>
    <row r="278">
      <c r="A278" s="119"/>
      <c r="B278" s="119"/>
      <c r="C278" s="118"/>
      <c r="D278" s="118"/>
      <c r="E278" s="118"/>
      <c r="F278" s="118"/>
      <c r="G278" s="118"/>
      <c r="H278" s="119" t="str">
        <f t="shared" si="2"/>
        <v> </v>
      </c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</row>
    <row r="279">
      <c r="A279" s="119"/>
      <c r="B279" s="119"/>
      <c r="C279" s="118"/>
      <c r="D279" s="118"/>
      <c r="E279" s="118"/>
      <c r="F279" s="118"/>
      <c r="G279" s="118"/>
      <c r="H279" s="119" t="str">
        <f t="shared" si="2"/>
        <v> </v>
      </c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</row>
    <row r="280">
      <c r="A280" s="119"/>
      <c r="B280" s="119"/>
      <c r="C280" s="118"/>
      <c r="D280" s="118"/>
      <c r="E280" s="118"/>
      <c r="F280" s="118"/>
      <c r="G280" s="118"/>
      <c r="H280" s="119" t="str">
        <f t="shared" si="2"/>
        <v> </v>
      </c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</row>
    <row r="281">
      <c r="A281" s="119"/>
      <c r="B281" s="119"/>
      <c r="C281" s="118"/>
      <c r="D281" s="118"/>
      <c r="E281" s="118"/>
      <c r="F281" s="118"/>
      <c r="G281" s="118"/>
      <c r="H281" s="119" t="str">
        <f t="shared" si="2"/>
        <v> </v>
      </c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</row>
    <row r="282">
      <c r="A282" s="119"/>
      <c r="B282" s="119"/>
      <c r="C282" s="118"/>
      <c r="D282" s="118"/>
      <c r="E282" s="118"/>
      <c r="F282" s="118"/>
      <c r="G282" s="118"/>
      <c r="H282" s="119" t="str">
        <f t="shared" si="2"/>
        <v> </v>
      </c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</row>
    <row r="283">
      <c r="A283" s="119"/>
      <c r="B283" s="119"/>
      <c r="C283" s="118"/>
      <c r="D283" s="118"/>
      <c r="E283" s="118"/>
      <c r="F283" s="118"/>
      <c r="G283" s="118"/>
      <c r="H283" s="119" t="str">
        <f t="shared" si="2"/>
        <v> </v>
      </c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</row>
    <row r="284">
      <c r="A284" s="119"/>
      <c r="B284" s="119"/>
      <c r="C284" s="118"/>
      <c r="D284" s="118"/>
      <c r="E284" s="118"/>
      <c r="F284" s="118"/>
      <c r="G284" s="118"/>
      <c r="H284" s="119" t="str">
        <f t="shared" si="2"/>
        <v> </v>
      </c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</row>
    <row r="285">
      <c r="A285" s="119"/>
      <c r="B285" s="119"/>
      <c r="C285" s="118"/>
      <c r="D285" s="118"/>
      <c r="E285" s="118"/>
      <c r="F285" s="118"/>
      <c r="G285" s="118"/>
      <c r="H285" s="119" t="str">
        <f t="shared" si="2"/>
        <v> </v>
      </c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</row>
    <row r="286">
      <c r="A286" s="119"/>
      <c r="B286" s="119"/>
      <c r="C286" s="118"/>
      <c r="D286" s="118"/>
      <c r="E286" s="118"/>
      <c r="F286" s="118"/>
      <c r="G286" s="118"/>
      <c r="H286" s="119" t="str">
        <f t="shared" si="2"/>
        <v> </v>
      </c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</row>
    <row r="287">
      <c r="A287" s="119"/>
      <c r="B287" s="119"/>
      <c r="C287" s="118"/>
      <c r="D287" s="118"/>
      <c r="E287" s="118"/>
      <c r="F287" s="118"/>
      <c r="G287" s="118"/>
      <c r="H287" s="119" t="str">
        <f t="shared" si="2"/>
        <v> </v>
      </c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</row>
    <row r="288">
      <c r="A288" s="119"/>
      <c r="B288" s="119"/>
      <c r="C288" s="118"/>
      <c r="D288" s="118"/>
      <c r="E288" s="118"/>
      <c r="F288" s="118"/>
      <c r="G288" s="118"/>
      <c r="H288" s="119" t="str">
        <f t="shared" si="2"/>
        <v> </v>
      </c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</row>
    <row r="289">
      <c r="A289" s="119"/>
      <c r="B289" s="119"/>
      <c r="C289" s="118"/>
      <c r="D289" s="118"/>
      <c r="E289" s="118"/>
      <c r="F289" s="118"/>
      <c r="G289" s="118"/>
      <c r="H289" s="119" t="str">
        <f t="shared" si="2"/>
        <v> </v>
      </c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</row>
    <row r="290">
      <c r="A290" s="119"/>
      <c r="B290" s="119"/>
      <c r="C290" s="118"/>
      <c r="D290" s="118"/>
      <c r="E290" s="118"/>
      <c r="F290" s="118"/>
      <c r="G290" s="118"/>
      <c r="H290" s="119" t="str">
        <f t="shared" si="2"/>
        <v> </v>
      </c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</row>
    <row r="291">
      <c r="A291" s="119"/>
      <c r="B291" s="119"/>
      <c r="C291" s="118"/>
      <c r="D291" s="118"/>
      <c r="E291" s="118"/>
      <c r="F291" s="118"/>
      <c r="G291" s="118"/>
      <c r="H291" s="119" t="str">
        <f t="shared" si="2"/>
        <v> </v>
      </c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</row>
    <row r="292">
      <c r="A292" s="119"/>
      <c r="B292" s="119"/>
      <c r="C292" s="118"/>
      <c r="D292" s="118"/>
      <c r="E292" s="118"/>
      <c r="F292" s="118"/>
      <c r="G292" s="118"/>
      <c r="H292" s="119" t="str">
        <f t="shared" si="2"/>
        <v> </v>
      </c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</row>
    <row r="293">
      <c r="A293" s="119"/>
      <c r="B293" s="119"/>
      <c r="C293" s="118"/>
      <c r="D293" s="118"/>
      <c r="E293" s="118"/>
      <c r="F293" s="118"/>
      <c r="G293" s="118"/>
      <c r="H293" s="119" t="str">
        <f t="shared" si="2"/>
        <v> </v>
      </c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</row>
    <row r="294">
      <c r="A294" s="119"/>
      <c r="B294" s="119"/>
      <c r="C294" s="118"/>
      <c r="D294" s="118"/>
      <c r="E294" s="118"/>
      <c r="F294" s="118"/>
      <c r="G294" s="118"/>
      <c r="H294" s="119" t="str">
        <f t="shared" si="2"/>
        <v> </v>
      </c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</row>
    <row r="295">
      <c r="A295" s="119"/>
      <c r="B295" s="119"/>
      <c r="C295" s="118"/>
      <c r="D295" s="118"/>
      <c r="E295" s="118"/>
      <c r="F295" s="118"/>
      <c r="G295" s="118"/>
      <c r="H295" s="119" t="str">
        <f t="shared" si="2"/>
        <v> </v>
      </c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</row>
    <row r="296">
      <c r="A296" s="119"/>
      <c r="B296" s="119"/>
      <c r="C296" s="118"/>
      <c r="D296" s="118"/>
      <c r="E296" s="118"/>
      <c r="F296" s="118"/>
      <c r="G296" s="118"/>
      <c r="H296" s="119" t="str">
        <f t="shared" si="2"/>
        <v> </v>
      </c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</row>
    <row r="297">
      <c r="A297" s="119"/>
      <c r="B297" s="119"/>
      <c r="C297" s="118"/>
      <c r="D297" s="118"/>
      <c r="E297" s="118"/>
      <c r="F297" s="118"/>
      <c r="G297" s="118"/>
      <c r="H297" s="119" t="str">
        <f t="shared" si="2"/>
        <v> </v>
      </c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</row>
    <row r="298">
      <c r="A298" s="119"/>
      <c r="B298" s="119"/>
      <c r="C298" s="118"/>
      <c r="D298" s="118"/>
      <c r="E298" s="118"/>
      <c r="F298" s="118"/>
      <c r="G298" s="118"/>
      <c r="H298" s="119" t="str">
        <f t="shared" si="2"/>
        <v> </v>
      </c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</row>
    <row r="299">
      <c r="A299" s="119"/>
      <c r="B299" s="119"/>
      <c r="C299" s="118"/>
      <c r="D299" s="118"/>
      <c r="E299" s="118"/>
      <c r="F299" s="118"/>
      <c r="G299" s="118"/>
      <c r="H299" s="119" t="str">
        <f t="shared" si="2"/>
        <v> </v>
      </c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</row>
    <row r="300">
      <c r="A300" s="119"/>
      <c r="B300" s="119"/>
      <c r="C300" s="118"/>
      <c r="D300" s="118"/>
      <c r="E300" s="118"/>
      <c r="F300" s="118"/>
      <c r="G300" s="118"/>
      <c r="H300" s="119" t="str">
        <f t="shared" si="2"/>
        <v> </v>
      </c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</row>
    <row r="301">
      <c r="A301" s="119"/>
      <c r="B301" s="119"/>
      <c r="C301" s="118"/>
      <c r="D301" s="118"/>
      <c r="E301" s="118"/>
      <c r="F301" s="118"/>
      <c r="G301" s="118"/>
      <c r="H301" s="119" t="str">
        <f t="shared" si="2"/>
        <v> </v>
      </c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</row>
    <row r="302">
      <c r="A302" s="119"/>
      <c r="B302" s="119"/>
      <c r="C302" s="118"/>
      <c r="D302" s="118"/>
      <c r="E302" s="118"/>
      <c r="F302" s="118"/>
      <c r="G302" s="118"/>
      <c r="H302" s="119" t="str">
        <f t="shared" si="2"/>
        <v> </v>
      </c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</row>
    <row r="303">
      <c r="A303" s="119"/>
      <c r="B303" s="119"/>
      <c r="C303" s="118"/>
      <c r="D303" s="118"/>
      <c r="E303" s="118"/>
      <c r="F303" s="118"/>
      <c r="G303" s="118"/>
      <c r="H303" s="119" t="str">
        <f t="shared" si="2"/>
        <v> </v>
      </c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</row>
    <row r="304">
      <c r="A304" s="119"/>
      <c r="B304" s="119"/>
      <c r="C304" s="118"/>
      <c r="D304" s="118"/>
      <c r="E304" s="118"/>
      <c r="F304" s="118"/>
      <c r="G304" s="118"/>
      <c r="H304" s="119" t="str">
        <f t="shared" si="2"/>
        <v> </v>
      </c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</row>
    <row r="305">
      <c r="A305" s="119"/>
      <c r="B305" s="119"/>
      <c r="C305" s="118"/>
      <c r="D305" s="118"/>
      <c r="E305" s="118"/>
      <c r="F305" s="118"/>
      <c r="G305" s="118"/>
      <c r="H305" s="119" t="str">
        <f t="shared" si="2"/>
        <v> </v>
      </c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</row>
    <row r="306">
      <c r="A306" s="119"/>
      <c r="B306" s="119"/>
      <c r="C306" s="118"/>
      <c r="D306" s="118"/>
      <c r="E306" s="118"/>
      <c r="F306" s="118"/>
      <c r="G306" s="118"/>
      <c r="H306" s="119" t="str">
        <f t="shared" si="2"/>
        <v> </v>
      </c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</row>
    <row r="307">
      <c r="A307" s="119"/>
      <c r="B307" s="119"/>
      <c r="C307" s="118"/>
      <c r="D307" s="118"/>
      <c r="E307" s="118"/>
      <c r="F307" s="118"/>
      <c r="G307" s="118"/>
      <c r="H307" s="119" t="str">
        <f t="shared" si="2"/>
        <v> </v>
      </c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</row>
    <row r="308">
      <c r="A308" s="119"/>
      <c r="B308" s="119"/>
      <c r="C308" s="118"/>
      <c r="D308" s="118"/>
      <c r="E308" s="118"/>
      <c r="F308" s="118"/>
      <c r="G308" s="118"/>
      <c r="H308" s="119" t="str">
        <f t="shared" si="2"/>
        <v> </v>
      </c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</row>
    <row r="309">
      <c r="A309" s="119"/>
      <c r="B309" s="119"/>
      <c r="C309" s="118"/>
      <c r="D309" s="118"/>
      <c r="E309" s="118"/>
      <c r="F309" s="118"/>
      <c r="G309" s="118"/>
      <c r="H309" s="119" t="str">
        <f t="shared" si="2"/>
        <v> </v>
      </c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</row>
    <row r="310">
      <c r="A310" s="119"/>
      <c r="B310" s="119"/>
      <c r="C310" s="118"/>
      <c r="D310" s="118"/>
      <c r="E310" s="118"/>
      <c r="F310" s="118"/>
      <c r="G310" s="118"/>
      <c r="H310" s="119" t="str">
        <f t="shared" si="2"/>
        <v> </v>
      </c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</row>
    <row r="311">
      <c r="A311" s="119"/>
      <c r="B311" s="119"/>
      <c r="C311" s="118"/>
      <c r="D311" s="118"/>
      <c r="E311" s="118"/>
      <c r="F311" s="118"/>
      <c r="G311" s="118"/>
      <c r="H311" s="119" t="str">
        <f t="shared" si="2"/>
        <v> </v>
      </c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</row>
    <row r="312">
      <c r="A312" s="119"/>
      <c r="B312" s="119"/>
      <c r="C312" s="118"/>
      <c r="D312" s="118"/>
      <c r="E312" s="118"/>
      <c r="F312" s="118"/>
      <c r="G312" s="118"/>
      <c r="H312" s="119" t="str">
        <f t="shared" si="2"/>
        <v> </v>
      </c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</row>
    <row r="313">
      <c r="A313" s="119"/>
      <c r="B313" s="119"/>
      <c r="C313" s="118"/>
      <c r="D313" s="118"/>
      <c r="E313" s="118"/>
      <c r="F313" s="118"/>
      <c r="G313" s="118"/>
      <c r="H313" s="119" t="str">
        <f t="shared" si="2"/>
        <v> </v>
      </c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</row>
    <row r="314">
      <c r="A314" s="119"/>
      <c r="B314" s="119"/>
      <c r="C314" s="118"/>
      <c r="D314" s="118"/>
      <c r="E314" s="118"/>
      <c r="F314" s="118"/>
      <c r="G314" s="118"/>
      <c r="H314" s="119" t="str">
        <f t="shared" si="2"/>
        <v> </v>
      </c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</row>
    <row r="315">
      <c r="A315" s="119"/>
      <c r="B315" s="119"/>
      <c r="C315" s="118"/>
      <c r="D315" s="118"/>
      <c r="E315" s="118"/>
      <c r="F315" s="118"/>
      <c r="G315" s="118"/>
      <c r="H315" s="119" t="str">
        <f t="shared" si="2"/>
        <v> </v>
      </c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</row>
    <row r="316">
      <c r="A316" s="119"/>
      <c r="B316" s="119"/>
      <c r="C316" s="118"/>
      <c r="D316" s="118"/>
      <c r="E316" s="118"/>
      <c r="F316" s="118"/>
      <c r="G316" s="118"/>
      <c r="H316" s="119" t="str">
        <f t="shared" si="2"/>
        <v> </v>
      </c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</row>
    <row r="317">
      <c r="A317" s="119"/>
      <c r="B317" s="119"/>
      <c r="C317" s="118"/>
      <c r="D317" s="118"/>
      <c r="E317" s="118"/>
      <c r="F317" s="118"/>
      <c r="G317" s="118"/>
      <c r="H317" s="119" t="str">
        <f t="shared" si="2"/>
        <v> </v>
      </c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</row>
    <row r="318">
      <c r="A318" s="119"/>
      <c r="B318" s="119"/>
      <c r="C318" s="118"/>
      <c r="D318" s="118"/>
      <c r="E318" s="118"/>
      <c r="F318" s="118"/>
      <c r="G318" s="118"/>
      <c r="H318" s="119" t="str">
        <f t="shared" si="2"/>
        <v> </v>
      </c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</row>
    <row r="319">
      <c r="A319" s="119"/>
      <c r="B319" s="119"/>
      <c r="C319" s="118"/>
      <c r="D319" s="118"/>
      <c r="E319" s="118"/>
      <c r="F319" s="118"/>
      <c r="G319" s="118"/>
      <c r="H319" s="119" t="str">
        <f t="shared" si="2"/>
        <v> </v>
      </c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</row>
    <row r="320">
      <c r="A320" s="119"/>
      <c r="B320" s="119"/>
      <c r="C320" s="118"/>
      <c r="D320" s="118"/>
      <c r="E320" s="118"/>
      <c r="F320" s="118"/>
      <c r="G320" s="118"/>
      <c r="H320" s="119" t="str">
        <f t="shared" si="2"/>
        <v> </v>
      </c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</row>
    <row r="321">
      <c r="A321" s="119"/>
      <c r="B321" s="119"/>
      <c r="C321" s="118"/>
      <c r="D321" s="118"/>
      <c r="E321" s="118"/>
      <c r="F321" s="118"/>
      <c r="G321" s="118"/>
      <c r="H321" s="119" t="str">
        <f t="shared" si="2"/>
        <v> </v>
      </c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</row>
    <row r="322">
      <c r="A322" s="119"/>
      <c r="B322" s="119"/>
      <c r="C322" s="118"/>
      <c r="D322" s="118"/>
      <c r="E322" s="118"/>
      <c r="F322" s="118"/>
      <c r="G322" s="118"/>
      <c r="H322" s="119" t="str">
        <f t="shared" si="2"/>
        <v> </v>
      </c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</row>
    <row r="323">
      <c r="A323" s="119"/>
      <c r="B323" s="119"/>
      <c r="C323" s="118"/>
      <c r="D323" s="118"/>
      <c r="E323" s="118"/>
      <c r="F323" s="118"/>
      <c r="G323" s="118"/>
      <c r="H323" s="119" t="str">
        <f t="shared" si="2"/>
        <v> </v>
      </c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</row>
    <row r="324">
      <c r="A324" s="119"/>
      <c r="B324" s="119"/>
      <c r="C324" s="118"/>
      <c r="D324" s="118"/>
      <c r="E324" s="118"/>
      <c r="F324" s="118"/>
      <c r="G324" s="118"/>
      <c r="H324" s="119" t="str">
        <f t="shared" si="2"/>
        <v> </v>
      </c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</row>
    <row r="325">
      <c r="A325" s="119"/>
      <c r="B325" s="119"/>
      <c r="C325" s="118"/>
      <c r="D325" s="118"/>
      <c r="E325" s="118"/>
      <c r="F325" s="118"/>
      <c r="G325" s="118"/>
      <c r="H325" s="119" t="str">
        <f t="shared" si="2"/>
        <v> </v>
      </c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</row>
    <row r="326">
      <c r="A326" s="119"/>
      <c r="B326" s="119"/>
      <c r="C326" s="118"/>
      <c r="D326" s="118"/>
      <c r="E326" s="118"/>
      <c r="F326" s="118"/>
      <c r="G326" s="118"/>
      <c r="H326" s="119" t="str">
        <f t="shared" si="2"/>
        <v> </v>
      </c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</row>
    <row r="327">
      <c r="A327" s="119"/>
      <c r="B327" s="119"/>
      <c r="C327" s="118"/>
      <c r="D327" s="118"/>
      <c r="E327" s="118"/>
      <c r="F327" s="118"/>
      <c r="G327" s="118"/>
      <c r="H327" s="119" t="str">
        <f t="shared" si="2"/>
        <v> </v>
      </c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</row>
    <row r="328">
      <c r="A328" s="119"/>
      <c r="B328" s="119"/>
      <c r="C328" s="118"/>
      <c r="D328" s="118"/>
      <c r="E328" s="118"/>
      <c r="F328" s="118"/>
      <c r="G328" s="118"/>
      <c r="H328" s="119" t="str">
        <f t="shared" si="2"/>
        <v> </v>
      </c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</row>
    <row r="329">
      <c r="A329" s="119"/>
      <c r="B329" s="119"/>
      <c r="C329" s="118"/>
      <c r="D329" s="118"/>
      <c r="E329" s="118"/>
      <c r="F329" s="118"/>
      <c r="G329" s="118"/>
      <c r="H329" s="119" t="str">
        <f t="shared" si="2"/>
        <v> </v>
      </c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</row>
    <row r="330">
      <c r="A330" s="119"/>
      <c r="B330" s="119"/>
      <c r="C330" s="118"/>
      <c r="D330" s="118"/>
      <c r="E330" s="118"/>
      <c r="F330" s="118"/>
      <c r="G330" s="118"/>
      <c r="H330" s="119" t="str">
        <f t="shared" si="2"/>
        <v> </v>
      </c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</row>
    <row r="331">
      <c r="A331" s="119"/>
      <c r="B331" s="119"/>
      <c r="C331" s="118"/>
      <c r="D331" s="118"/>
      <c r="E331" s="118"/>
      <c r="F331" s="118"/>
      <c r="G331" s="118"/>
      <c r="H331" s="119" t="str">
        <f t="shared" si="2"/>
        <v> </v>
      </c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</row>
    <row r="332">
      <c r="A332" s="119"/>
      <c r="B332" s="119"/>
      <c r="C332" s="118"/>
      <c r="D332" s="118"/>
      <c r="E332" s="118"/>
      <c r="F332" s="118"/>
      <c r="G332" s="118"/>
      <c r="H332" s="119" t="str">
        <f t="shared" si="2"/>
        <v> </v>
      </c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</row>
    <row r="333">
      <c r="A333" s="119"/>
      <c r="B333" s="119"/>
      <c r="C333" s="118"/>
      <c r="D333" s="118"/>
      <c r="E333" s="118"/>
      <c r="F333" s="118"/>
      <c r="G333" s="118"/>
      <c r="H333" s="119" t="str">
        <f t="shared" si="2"/>
        <v> </v>
      </c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</row>
    <row r="334">
      <c r="A334" s="119"/>
      <c r="B334" s="119"/>
      <c r="C334" s="118"/>
      <c r="D334" s="118"/>
      <c r="E334" s="118"/>
      <c r="F334" s="118"/>
      <c r="G334" s="118"/>
      <c r="H334" s="119" t="str">
        <f t="shared" si="2"/>
        <v> </v>
      </c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</row>
    <row r="335">
      <c r="A335" s="119"/>
      <c r="B335" s="119"/>
      <c r="C335" s="118"/>
      <c r="D335" s="118"/>
      <c r="E335" s="118"/>
      <c r="F335" s="118"/>
      <c r="G335" s="118"/>
      <c r="H335" s="119" t="str">
        <f t="shared" si="2"/>
        <v> </v>
      </c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</row>
    <row r="336">
      <c r="A336" s="119"/>
      <c r="B336" s="119"/>
      <c r="C336" s="118"/>
      <c r="D336" s="118"/>
      <c r="E336" s="118"/>
      <c r="F336" s="118"/>
      <c r="G336" s="118"/>
      <c r="H336" s="119" t="str">
        <f t="shared" si="2"/>
        <v> </v>
      </c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</row>
    <row r="337">
      <c r="A337" s="119"/>
      <c r="B337" s="119"/>
      <c r="C337" s="118"/>
      <c r="D337" s="118"/>
      <c r="E337" s="118"/>
      <c r="F337" s="118"/>
      <c r="G337" s="118"/>
      <c r="H337" s="119" t="str">
        <f t="shared" si="2"/>
        <v> </v>
      </c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</row>
    <row r="338">
      <c r="A338" s="119"/>
      <c r="B338" s="119"/>
      <c r="C338" s="118"/>
      <c r="D338" s="118"/>
      <c r="E338" s="118"/>
      <c r="F338" s="118"/>
      <c r="G338" s="118"/>
      <c r="H338" s="119" t="str">
        <f t="shared" si="2"/>
        <v> </v>
      </c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</row>
    <row r="339">
      <c r="A339" s="119"/>
      <c r="B339" s="119"/>
      <c r="C339" s="118"/>
      <c r="D339" s="118"/>
      <c r="E339" s="118"/>
      <c r="F339" s="118"/>
      <c r="G339" s="118"/>
      <c r="H339" s="119" t="str">
        <f t="shared" si="2"/>
        <v> </v>
      </c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</row>
    <row r="340">
      <c r="A340" s="119"/>
      <c r="B340" s="119"/>
      <c r="C340" s="118"/>
      <c r="D340" s="118"/>
      <c r="E340" s="118"/>
      <c r="F340" s="118"/>
      <c r="G340" s="118"/>
      <c r="H340" s="119" t="str">
        <f t="shared" si="2"/>
        <v> </v>
      </c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</row>
    <row r="341">
      <c r="A341" s="119"/>
      <c r="B341" s="119"/>
      <c r="C341" s="118"/>
      <c r="D341" s="118"/>
      <c r="E341" s="118"/>
      <c r="F341" s="118"/>
      <c r="G341" s="118"/>
      <c r="H341" s="119" t="str">
        <f t="shared" si="2"/>
        <v> </v>
      </c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</row>
    <row r="342">
      <c r="A342" s="119"/>
      <c r="B342" s="119"/>
      <c r="C342" s="118"/>
      <c r="D342" s="118"/>
      <c r="E342" s="118"/>
      <c r="F342" s="118"/>
      <c r="G342" s="118"/>
      <c r="H342" s="119" t="str">
        <f t="shared" si="2"/>
        <v> </v>
      </c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</row>
    <row r="343">
      <c r="A343" s="119"/>
      <c r="B343" s="119"/>
      <c r="C343" s="118"/>
      <c r="D343" s="118"/>
      <c r="E343" s="118"/>
      <c r="F343" s="118"/>
      <c r="G343" s="118"/>
      <c r="H343" s="119" t="str">
        <f t="shared" si="2"/>
        <v> </v>
      </c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</row>
    <row r="344">
      <c r="A344" s="119"/>
      <c r="B344" s="119"/>
      <c r="C344" s="118"/>
      <c r="D344" s="118"/>
      <c r="E344" s="118"/>
      <c r="F344" s="118"/>
      <c r="G344" s="118"/>
      <c r="H344" s="119" t="str">
        <f t="shared" si="2"/>
        <v> </v>
      </c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</row>
    <row r="345">
      <c r="A345" s="119"/>
      <c r="B345" s="119"/>
      <c r="C345" s="118"/>
      <c r="D345" s="118"/>
      <c r="E345" s="118"/>
      <c r="F345" s="118"/>
      <c r="G345" s="118"/>
      <c r="H345" s="119" t="str">
        <f t="shared" si="2"/>
        <v> </v>
      </c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</row>
    <row r="346">
      <c r="A346" s="119"/>
      <c r="B346" s="119"/>
      <c r="C346" s="118"/>
      <c r="D346" s="118"/>
      <c r="E346" s="118"/>
      <c r="F346" s="118"/>
      <c r="G346" s="118"/>
      <c r="H346" s="119" t="str">
        <f t="shared" si="2"/>
        <v> </v>
      </c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</row>
    <row r="347">
      <c r="A347" s="119"/>
      <c r="B347" s="119"/>
      <c r="C347" s="118"/>
      <c r="D347" s="118"/>
      <c r="E347" s="118"/>
      <c r="F347" s="118"/>
      <c r="G347" s="118"/>
      <c r="H347" s="119" t="str">
        <f t="shared" si="2"/>
        <v> </v>
      </c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</row>
    <row r="348">
      <c r="A348" s="119"/>
      <c r="B348" s="119"/>
      <c r="C348" s="118"/>
      <c r="D348" s="118"/>
      <c r="E348" s="118"/>
      <c r="F348" s="118"/>
      <c r="G348" s="118"/>
      <c r="H348" s="119" t="str">
        <f t="shared" si="2"/>
        <v> </v>
      </c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</row>
    <row r="349">
      <c r="A349" s="119"/>
      <c r="B349" s="119"/>
      <c r="C349" s="118"/>
      <c r="D349" s="118"/>
      <c r="E349" s="118"/>
      <c r="F349" s="118"/>
      <c r="G349" s="118"/>
      <c r="H349" s="119" t="str">
        <f t="shared" si="2"/>
        <v> </v>
      </c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</row>
    <row r="350">
      <c r="A350" s="119"/>
      <c r="B350" s="119"/>
      <c r="C350" s="118"/>
      <c r="D350" s="118"/>
      <c r="E350" s="118"/>
      <c r="F350" s="118"/>
      <c r="G350" s="118"/>
      <c r="H350" s="119" t="str">
        <f t="shared" si="2"/>
        <v> </v>
      </c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</row>
    <row r="351">
      <c r="A351" s="119"/>
      <c r="B351" s="119"/>
      <c r="C351" s="118"/>
      <c r="D351" s="118"/>
      <c r="E351" s="118"/>
      <c r="F351" s="118"/>
      <c r="G351" s="118"/>
      <c r="H351" s="119" t="str">
        <f t="shared" si="2"/>
        <v> </v>
      </c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</row>
    <row r="352">
      <c r="A352" s="119"/>
      <c r="B352" s="119"/>
      <c r="C352" s="118"/>
      <c r="D352" s="118"/>
      <c r="E352" s="118"/>
      <c r="F352" s="118"/>
      <c r="G352" s="118"/>
      <c r="H352" s="119" t="str">
        <f t="shared" si="2"/>
        <v> </v>
      </c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</row>
    <row r="353">
      <c r="A353" s="119"/>
      <c r="B353" s="119"/>
      <c r="C353" s="118"/>
      <c r="D353" s="118"/>
      <c r="E353" s="118"/>
      <c r="F353" s="118"/>
      <c r="G353" s="118"/>
      <c r="H353" s="119" t="str">
        <f t="shared" si="2"/>
        <v> </v>
      </c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</row>
    <row r="354">
      <c r="A354" s="119"/>
      <c r="B354" s="119"/>
      <c r="C354" s="118"/>
      <c r="D354" s="118"/>
      <c r="E354" s="118"/>
      <c r="F354" s="118"/>
      <c r="G354" s="118"/>
      <c r="H354" s="119" t="str">
        <f t="shared" si="2"/>
        <v> </v>
      </c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</row>
    <row r="355">
      <c r="A355" s="119"/>
      <c r="B355" s="119"/>
      <c r="C355" s="118"/>
      <c r="D355" s="118"/>
      <c r="E355" s="118"/>
      <c r="F355" s="118"/>
      <c r="G355" s="118"/>
      <c r="H355" s="119" t="str">
        <f t="shared" si="2"/>
        <v> </v>
      </c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</row>
    <row r="356">
      <c r="A356" s="119"/>
      <c r="B356" s="119"/>
      <c r="C356" s="118"/>
      <c r="D356" s="118"/>
      <c r="E356" s="118"/>
      <c r="F356" s="118"/>
      <c r="G356" s="118"/>
      <c r="H356" s="119" t="str">
        <f t="shared" si="2"/>
        <v> </v>
      </c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</row>
    <row r="357">
      <c r="A357" s="119"/>
      <c r="B357" s="119"/>
      <c r="C357" s="118"/>
      <c r="D357" s="118"/>
      <c r="E357" s="118"/>
      <c r="F357" s="118"/>
      <c r="G357" s="118"/>
      <c r="H357" s="119" t="str">
        <f t="shared" si="2"/>
        <v> </v>
      </c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</row>
    <row r="358">
      <c r="A358" s="119"/>
      <c r="B358" s="119"/>
      <c r="C358" s="118"/>
      <c r="D358" s="118"/>
      <c r="E358" s="118"/>
      <c r="F358" s="118"/>
      <c r="G358" s="118"/>
      <c r="H358" s="119" t="str">
        <f t="shared" si="2"/>
        <v> </v>
      </c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</row>
    <row r="359">
      <c r="A359" s="119"/>
      <c r="B359" s="119"/>
      <c r="C359" s="118"/>
      <c r="D359" s="118"/>
      <c r="E359" s="118"/>
      <c r="F359" s="118"/>
      <c r="G359" s="118"/>
      <c r="H359" s="119" t="str">
        <f t="shared" si="2"/>
        <v> </v>
      </c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</row>
    <row r="360">
      <c r="A360" s="119"/>
      <c r="B360" s="119"/>
      <c r="C360" s="118"/>
      <c r="D360" s="118"/>
      <c r="E360" s="118"/>
      <c r="F360" s="118"/>
      <c r="G360" s="118"/>
      <c r="H360" s="119" t="str">
        <f t="shared" si="2"/>
        <v> </v>
      </c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</row>
    <row r="361">
      <c r="A361" s="119"/>
      <c r="B361" s="119"/>
      <c r="C361" s="118"/>
      <c r="D361" s="118"/>
      <c r="E361" s="118"/>
      <c r="F361" s="118"/>
      <c r="G361" s="118"/>
      <c r="H361" s="119" t="str">
        <f t="shared" si="2"/>
        <v> </v>
      </c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</row>
    <row r="362">
      <c r="A362" s="119"/>
      <c r="B362" s="119"/>
      <c r="C362" s="118"/>
      <c r="D362" s="118"/>
      <c r="E362" s="118"/>
      <c r="F362" s="118"/>
      <c r="G362" s="118"/>
      <c r="H362" s="119" t="str">
        <f t="shared" si="2"/>
        <v> </v>
      </c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</row>
    <row r="363">
      <c r="A363" s="119"/>
      <c r="B363" s="119"/>
      <c r="C363" s="118"/>
      <c r="D363" s="118"/>
      <c r="E363" s="118"/>
      <c r="F363" s="118"/>
      <c r="G363" s="118"/>
      <c r="H363" s="119" t="str">
        <f t="shared" si="2"/>
        <v> </v>
      </c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</row>
    <row r="364">
      <c r="A364" s="119"/>
      <c r="B364" s="119"/>
      <c r="C364" s="118"/>
      <c r="D364" s="118"/>
      <c r="E364" s="118"/>
      <c r="F364" s="118"/>
      <c r="G364" s="118"/>
      <c r="H364" s="119" t="str">
        <f t="shared" si="2"/>
        <v> </v>
      </c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</row>
    <row r="365">
      <c r="A365" s="119"/>
      <c r="B365" s="119"/>
      <c r="C365" s="118"/>
      <c r="D365" s="118"/>
      <c r="E365" s="118"/>
      <c r="F365" s="118"/>
      <c r="G365" s="118"/>
      <c r="H365" s="119" t="str">
        <f t="shared" si="2"/>
        <v> </v>
      </c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</row>
    <row r="366">
      <c r="A366" s="119"/>
      <c r="B366" s="119"/>
      <c r="C366" s="118"/>
      <c r="D366" s="118"/>
      <c r="E366" s="118"/>
      <c r="F366" s="118"/>
      <c r="G366" s="118"/>
      <c r="H366" s="119" t="str">
        <f t="shared" si="2"/>
        <v> </v>
      </c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</row>
    <row r="367">
      <c r="A367" s="119"/>
      <c r="B367" s="119"/>
      <c r="C367" s="118"/>
      <c r="D367" s="118"/>
      <c r="E367" s="118"/>
      <c r="F367" s="118"/>
      <c r="G367" s="118"/>
      <c r="H367" s="119" t="str">
        <f t="shared" si="2"/>
        <v> </v>
      </c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</row>
    <row r="368">
      <c r="A368" s="119"/>
      <c r="B368" s="119"/>
      <c r="C368" s="118"/>
      <c r="D368" s="118"/>
      <c r="E368" s="118"/>
      <c r="F368" s="118"/>
      <c r="G368" s="118"/>
      <c r="H368" s="119" t="str">
        <f t="shared" si="2"/>
        <v> </v>
      </c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</row>
    <row r="369">
      <c r="A369" s="119"/>
      <c r="B369" s="119"/>
      <c r="C369" s="118"/>
      <c r="D369" s="118"/>
      <c r="E369" s="118"/>
      <c r="F369" s="118"/>
      <c r="G369" s="118"/>
      <c r="H369" s="119" t="str">
        <f t="shared" si="2"/>
        <v> </v>
      </c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</row>
    <row r="370">
      <c r="A370" s="119"/>
      <c r="B370" s="119"/>
      <c r="C370" s="118"/>
      <c r="D370" s="118"/>
      <c r="E370" s="118"/>
      <c r="F370" s="118"/>
      <c r="G370" s="118"/>
      <c r="H370" s="119" t="str">
        <f t="shared" si="2"/>
        <v> </v>
      </c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</row>
    <row r="371">
      <c r="A371" s="119"/>
      <c r="B371" s="119"/>
      <c r="C371" s="118"/>
      <c r="D371" s="118"/>
      <c r="E371" s="118"/>
      <c r="F371" s="118"/>
      <c r="G371" s="118"/>
      <c r="H371" s="119" t="str">
        <f t="shared" si="2"/>
        <v> </v>
      </c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</row>
    <row r="372">
      <c r="A372" s="119"/>
      <c r="B372" s="119"/>
      <c r="C372" s="118"/>
      <c r="D372" s="118"/>
      <c r="E372" s="118"/>
      <c r="F372" s="118"/>
      <c r="G372" s="118"/>
      <c r="H372" s="119" t="str">
        <f t="shared" si="2"/>
        <v> </v>
      </c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</row>
    <row r="373">
      <c r="A373" s="119"/>
      <c r="B373" s="119"/>
      <c r="C373" s="118"/>
      <c r="D373" s="118"/>
      <c r="E373" s="118"/>
      <c r="F373" s="118"/>
      <c r="G373" s="118"/>
      <c r="H373" s="119" t="str">
        <f t="shared" si="2"/>
        <v> </v>
      </c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</row>
    <row r="374">
      <c r="A374" s="119"/>
      <c r="B374" s="119"/>
      <c r="C374" s="118"/>
      <c r="D374" s="118"/>
      <c r="E374" s="118"/>
      <c r="F374" s="118"/>
      <c r="G374" s="118"/>
      <c r="H374" s="119" t="str">
        <f t="shared" si="2"/>
        <v> </v>
      </c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</row>
    <row r="375">
      <c r="A375" s="119"/>
      <c r="B375" s="119"/>
      <c r="C375" s="118"/>
      <c r="D375" s="118"/>
      <c r="E375" s="118"/>
      <c r="F375" s="118"/>
      <c r="G375" s="118"/>
      <c r="H375" s="119" t="str">
        <f t="shared" si="2"/>
        <v> </v>
      </c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</row>
    <row r="376">
      <c r="A376" s="119"/>
      <c r="B376" s="119"/>
      <c r="C376" s="118"/>
      <c r="D376" s="118"/>
      <c r="E376" s="118"/>
      <c r="F376" s="118"/>
      <c r="G376" s="118"/>
      <c r="H376" s="119" t="str">
        <f t="shared" si="2"/>
        <v> </v>
      </c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</row>
    <row r="377">
      <c r="A377" s="119"/>
      <c r="B377" s="119"/>
      <c r="C377" s="118"/>
      <c r="D377" s="118"/>
      <c r="E377" s="118"/>
      <c r="F377" s="118"/>
      <c r="G377" s="118"/>
      <c r="H377" s="119" t="str">
        <f t="shared" si="2"/>
        <v> </v>
      </c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</row>
    <row r="378">
      <c r="A378" s="119"/>
      <c r="B378" s="119"/>
      <c r="C378" s="118"/>
      <c r="D378" s="118"/>
      <c r="E378" s="118"/>
      <c r="F378" s="118"/>
      <c r="G378" s="118"/>
      <c r="H378" s="119" t="str">
        <f t="shared" si="2"/>
        <v> </v>
      </c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</row>
    <row r="379">
      <c r="A379" s="119"/>
      <c r="B379" s="119"/>
      <c r="C379" s="118"/>
      <c r="D379" s="118"/>
      <c r="E379" s="118"/>
      <c r="F379" s="118"/>
      <c r="G379" s="118"/>
      <c r="H379" s="119" t="str">
        <f t="shared" si="2"/>
        <v> </v>
      </c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</row>
    <row r="380">
      <c r="A380" s="119"/>
      <c r="B380" s="119"/>
      <c r="C380" s="118"/>
      <c r="D380" s="118"/>
      <c r="E380" s="118"/>
      <c r="F380" s="118"/>
      <c r="G380" s="118"/>
      <c r="H380" s="119" t="str">
        <f t="shared" si="2"/>
        <v> </v>
      </c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</row>
    <row r="381">
      <c r="A381" s="119"/>
      <c r="B381" s="119"/>
      <c r="C381" s="118"/>
      <c r="D381" s="118"/>
      <c r="E381" s="118"/>
      <c r="F381" s="118"/>
      <c r="G381" s="118"/>
      <c r="H381" s="119" t="str">
        <f t="shared" si="2"/>
        <v> </v>
      </c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</row>
    <row r="382">
      <c r="A382" s="119"/>
      <c r="B382" s="119"/>
      <c r="C382" s="118"/>
      <c r="D382" s="118"/>
      <c r="E382" s="118"/>
      <c r="F382" s="118"/>
      <c r="G382" s="118"/>
      <c r="H382" s="119" t="str">
        <f t="shared" si="2"/>
        <v> </v>
      </c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</row>
    <row r="383">
      <c r="A383" s="119"/>
      <c r="B383" s="119"/>
      <c r="C383" s="118"/>
      <c r="D383" s="118"/>
      <c r="E383" s="118"/>
      <c r="F383" s="118"/>
      <c r="G383" s="118"/>
      <c r="H383" s="119" t="str">
        <f t="shared" si="2"/>
        <v> </v>
      </c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</row>
    <row r="384">
      <c r="A384" s="119"/>
      <c r="B384" s="119"/>
      <c r="C384" s="118"/>
      <c r="D384" s="118"/>
      <c r="E384" s="118"/>
      <c r="F384" s="118"/>
      <c r="G384" s="118"/>
      <c r="H384" s="119" t="str">
        <f t="shared" si="2"/>
        <v> </v>
      </c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</row>
    <row r="385">
      <c r="A385" s="119"/>
      <c r="B385" s="119"/>
      <c r="C385" s="118"/>
      <c r="D385" s="118"/>
      <c r="E385" s="118"/>
      <c r="F385" s="118"/>
      <c r="G385" s="118"/>
      <c r="H385" s="119" t="str">
        <f t="shared" si="2"/>
        <v> </v>
      </c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</row>
    <row r="386">
      <c r="A386" s="119"/>
      <c r="B386" s="119"/>
      <c r="C386" s="118"/>
      <c r="D386" s="118"/>
      <c r="E386" s="118"/>
      <c r="F386" s="118"/>
      <c r="G386" s="118"/>
      <c r="H386" s="119" t="str">
        <f t="shared" si="2"/>
        <v> </v>
      </c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</row>
    <row r="387">
      <c r="A387" s="119"/>
      <c r="B387" s="119"/>
      <c r="C387" s="118"/>
      <c r="D387" s="118"/>
      <c r="E387" s="118"/>
      <c r="F387" s="118"/>
      <c r="G387" s="118"/>
      <c r="H387" s="119" t="str">
        <f t="shared" si="2"/>
        <v> </v>
      </c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</row>
    <row r="388">
      <c r="A388" s="119"/>
      <c r="B388" s="119"/>
      <c r="C388" s="118"/>
      <c r="D388" s="118"/>
      <c r="E388" s="118"/>
      <c r="F388" s="118"/>
      <c r="G388" s="118"/>
      <c r="H388" s="119" t="str">
        <f t="shared" si="2"/>
        <v> </v>
      </c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</row>
    <row r="389">
      <c r="A389" s="119"/>
      <c r="B389" s="119"/>
      <c r="C389" s="118"/>
      <c r="D389" s="118"/>
      <c r="E389" s="118"/>
      <c r="F389" s="118"/>
      <c r="G389" s="118"/>
      <c r="H389" s="119" t="str">
        <f t="shared" si="2"/>
        <v> </v>
      </c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</row>
    <row r="390">
      <c r="A390" s="119"/>
      <c r="B390" s="119"/>
      <c r="C390" s="118"/>
      <c r="D390" s="118"/>
      <c r="E390" s="118"/>
      <c r="F390" s="118"/>
      <c r="G390" s="118"/>
      <c r="H390" s="119" t="str">
        <f t="shared" si="2"/>
        <v> </v>
      </c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</row>
    <row r="391">
      <c r="A391" s="119"/>
      <c r="B391" s="119"/>
      <c r="C391" s="118"/>
      <c r="D391" s="118"/>
      <c r="E391" s="118"/>
      <c r="F391" s="118"/>
      <c r="G391" s="118"/>
      <c r="H391" s="119" t="str">
        <f t="shared" si="2"/>
        <v> </v>
      </c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</row>
    <row r="392">
      <c r="A392" s="119"/>
      <c r="B392" s="119"/>
      <c r="C392" s="118"/>
      <c r="D392" s="118"/>
      <c r="E392" s="118"/>
      <c r="F392" s="118"/>
      <c r="G392" s="118"/>
      <c r="H392" s="119" t="str">
        <f t="shared" si="2"/>
        <v> </v>
      </c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</row>
    <row r="393">
      <c r="A393" s="119"/>
      <c r="B393" s="119"/>
      <c r="C393" s="118"/>
      <c r="D393" s="118"/>
      <c r="E393" s="118"/>
      <c r="F393" s="118"/>
      <c r="G393" s="118"/>
      <c r="H393" s="119" t="str">
        <f t="shared" si="2"/>
        <v> </v>
      </c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</row>
    <row r="394">
      <c r="A394" s="119"/>
      <c r="B394" s="119"/>
      <c r="C394" s="118"/>
      <c r="D394" s="118"/>
      <c r="E394" s="118"/>
      <c r="F394" s="118"/>
      <c r="G394" s="118"/>
      <c r="H394" s="119" t="str">
        <f t="shared" si="2"/>
        <v> </v>
      </c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</row>
    <row r="395">
      <c r="A395" s="119"/>
      <c r="B395" s="119"/>
      <c r="C395" s="118"/>
      <c r="D395" s="118"/>
      <c r="E395" s="118"/>
      <c r="F395" s="118"/>
      <c r="G395" s="118"/>
      <c r="H395" s="119" t="str">
        <f t="shared" si="2"/>
        <v> </v>
      </c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</row>
    <row r="396">
      <c r="A396" s="119"/>
      <c r="B396" s="119"/>
      <c r="C396" s="118"/>
      <c r="D396" s="118"/>
      <c r="E396" s="118"/>
      <c r="F396" s="118"/>
      <c r="G396" s="118"/>
      <c r="H396" s="119" t="str">
        <f t="shared" si="2"/>
        <v> </v>
      </c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</row>
    <row r="397">
      <c r="A397" s="119"/>
      <c r="B397" s="119"/>
      <c r="C397" s="118"/>
      <c r="D397" s="118"/>
      <c r="E397" s="118"/>
      <c r="F397" s="118"/>
      <c r="G397" s="118"/>
      <c r="H397" s="119" t="str">
        <f t="shared" si="2"/>
        <v> </v>
      </c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</row>
    <row r="398">
      <c r="A398" s="119"/>
      <c r="B398" s="119"/>
      <c r="C398" s="118"/>
      <c r="D398" s="118"/>
      <c r="E398" s="118"/>
      <c r="F398" s="118"/>
      <c r="G398" s="118"/>
      <c r="H398" s="119" t="str">
        <f t="shared" si="2"/>
        <v> </v>
      </c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</row>
    <row r="399">
      <c r="A399" s="119"/>
      <c r="B399" s="119"/>
      <c r="C399" s="118"/>
      <c r="D399" s="118"/>
      <c r="E399" s="118"/>
      <c r="F399" s="118"/>
      <c r="G399" s="118"/>
      <c r="H399" s="119" t="str">
        <f t="shared" si="2"/>
        <v> </v>
      </c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</row>
    <row r="400">
      <c r="A400" s="119"/>
      <c r="B400" s="119"/>
      <c r="C400" s="118"/>
      <c r="D400" s="118"/>
      <c r="E400" s="118"/>
      <c r="F400" s="118"/>
      <c r="G400" s="118"/>
      <c r="H400" s="119" t="str">
        <f t="shared" si="2"/>
        <v> </v>
      </c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</row>
    <row r="401">
      <c r="A401" s="119"/>
      <c r="B401" s="119"/>
      <c r="C401" s="118"/>
      <c r="D401" s="118"/>
      <c r="E401" s="118"/>
      <c r="F401" s="118"/>
      <c r="G401" s="118"/>
      <c r="H401" s="119" t="str">
        <f t="shared" si="2"/>
        <v> </v>
      </c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</row>
    <row r="402">
      <c r="A402" s="119"/>
      <c r="B402" s="119"/>
      <c r="C402" s="118"/>
      <c r="D402" s="118"/>
      <c r="E402" s="118"/>
      <c r="F402" s="118"/>
      <c r="G402" s="118"/>
      <c r="H402" s="119" t="str">
        <f t="shared" si="2"/>
        <v> </v>
      </c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</row>
    <row r="403">
      <c r="A403" s="119"/>
      <c r="B403" s="119"/>
      <c r="C403" s="118"/>
      <c r="D403" s="118"/>
      <c r="E403" s="118"/>
      <c r="F403" s="118"/>
      <c r="G403" s="118"/>
      <c r="H403" s="119" t="str">
        <f t="shared" si="2"/>
        <v> </v>
      </c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</row>
    <row r="404">
      <c r="A404" s="119"/>
      <c r="B404" s="119"/>
      <c r="C404" s="118"/>
      <c r="D404" s="118"/>
      <c r="E404" s="118"/>
      <c r="F404" s="118"/>
      <c r="G404" s="118"/>
      <c r="H404" s="119" t="str">
        <f t="shared" si="2"/>
        <v> </v>
      </c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</row>
    <row r="405">
      <c r="A405" s="119"/>
      <c r="B405" s="119"/>
      <c r="C405" s="118"/>
      <c r="D405" s="118"/>
      <c r="E405" s="118"/>
      <c r="F405" s="118"/>
      <c r="G405" s="118"/>
      <c r="H405" s="119" t="str">
        <f t="shared" si="2"/>
        <v> </v>
      </c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</row>
    <row r="406">
      <c r="A406" s="119"/>
      <c r="B406" s="119"/>
      <c r="C406" s="118"/>
      <c r="D406" s="118"/>
      <c r="E406" s="118"/>
      <c r="F406" s="118"/>
      <c r="G406" s="118"/>
      <c r="H406" s="119" t="str">
        <f t="shared" si="2"/>
        <v> </v>
      </c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</row>
    <row r="407">
      <c r="A407" s="119"/>
      <c r="B407" s="119"/>
      <c r="C407" s="118"/>
      <c r="D407" s="118"/>
      <c r="E407" s="118"/>
      <c r="F407" s="118"/>
      <c r="G407" s="118"/>
      <c r="H407" s="119" t="str">
        <f t="shared" si="2"/>
        <v> </v>
      </c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</row>
    <row r="408">
      <c r="A408" s="119"/>
      <c r="B408" s="119"/>
      <c r="C408" s="118"/>
      <c r="D408" s="118"/>
      <c r="E408" s="118"/>
      <c r="F408" s="118"/>
      <c r="G408" s="118"/>
      <c r="H408" s="119" t="str">
        <f t="shared" si="2"/>
        <v> </v>
      </c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</row>
    <row r="409">
      <c r="A409" s="119"/>
      <c r="B409" s="119"/>
      <c r="C409" s="118"/>
      <c r="D409" s="118"/>
      <c r="E409" s="118"/>
      <c r="F409" s="118"/>
      <c r="G409" s="118"/>
      <c r="H409" s="119" t="str">
        <f t="shared" si="2"/>
        <v> </v>
      </c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</row>
    <row r="410">
      <c r="A410" s="119"/>
      <c r="B410" s="119"/>
      <c r="C410" s="118"/>
      <c r="D410" s="118"/>
      <c r="E410" s="118"/>
      <c r="F410" s="118"/>
      <c r="G410" s="118"/>
      <c r="H410" s="119" t="str">
        <f t="shared" si="2"/>
        <v> </v>
      </c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</row>
    <row r="411">
      <c r="A411" s="119"/>
      <c r="B411" s="119"/>
      <c r="C411" s="118"/>
      <c r="D411" s="118"/>
      <c r="E411" s="118"/>
      <c r="F411" s="118"/>
      <c r="G411" s="118"/>
      <c r="H411" s="119" t="str">
        <f t="shared" si="2"/>
        <v> </v>
      </c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</row>
    <row r="412">
      <c r="A412" s="119"/>
      <c r="B412" s="119"/>
      <c r="C412" s="118"/>
      <c r="D412" s="118"/>
      <c r="E412" s="118"/>
      <c r="F412" s="118"/>
      <c r="G412" s="118"/>
      <c r="H412" s="119" t="str">
        <f t="shared" si="2"/>
        <v> </v>
      </c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</row>
    <row r="413">
      <c r="A413" s="119"/>
      <c r="B413" s="119"/>
      <c r="C413" s="118"/>
      <c r="D413" s="118"/>
      <c r="E413" s="118"/>
      <c r="F413" s="118"/>
      <c r="G413" s="118"/>
      <c r="H413" s="119" t="str">
        <f t="shared" si="2"/>
        <v> </v>
      </c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</row>
    <row r="414">
      <c r="A414" s="119"/>
      <c r="B414" s="119"/>
      <c r="C414" s="118"/>
      <c r="D414" s="118"/>
      <c r="E414" s="118"/>
      <c r="F414" s="118"/>
      <c r="G414" s="118"/>
      <c r="H414" s="119" t="str">
        <f t="shared" si="2"/>
        <v> </v>
      </c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</row>
    <row r="415">
      <c r="A415" s="119"/>
      <c r="B415" s="119"/>
      <c r="C415" s="118"/>
      <c r="D415" s="118"/>
      <c r="E415" s="118"/>
      <c r="F415" s="118"/>
      <c r="G415" s="118"/>
      <c r="H415" s="119" t="str">
        <f t="shared" si="2"/>
        <v> </v>
      </c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</row>
    <row r="416">
      <c r="A416" s="119"/>
      <c r="B416" s="119"/>
      <c r="C416" s="118"/>
      <c r="D416" s="118"/>
      <c r="E416" s="118"/>
      <c r="F416" s="118"/>
      <c r="G416" s="118"/>
      <c r="H416" s="119" t="str">
        <f t="shared" si="2"/>
        <v> </v>
      </c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</row>
    <row r="417">
      <c r="A417" s="119"/>
      <c r="B417" s="119"/>
      <c r="C417" s="118"/>
      <c r="D417" s="118"/>
      <c r="E417" s="118"/>
      <c r="F417" s="118"/>
      <c r="G417" s="118"/>
      <c r="H417" s="119" t="str">
        <f t="shared" si="2"/>
        <v> </v>
      </c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</row>
    <row r="418">
      <c r="A418" s="119"/>
      <c r="B418" s="119"/>
      <c r="C418" s="118"/>
      <c r="D418" s="118"/>
      <c r="E418" s="118"/>
      <c r="F418" s="118"/>
      <c r="G418" s="118"/>
      <c r="H418" s="119" t="str">
        <f t="shared" si="2"/>
        <v> </v>
      </c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</row>
    <row r="419">
      <c r="A419" s="119"/>
      <c r="B419" s="119"/>
      <c r="C419" s="118"/>
      <c r="D419" s="118"/>
      <c r="E419" s="118"/>
      <c r="F419" s="118"/>
      <c r="G419" s="118"/>
      <c r="H419" s="119" t="str">
        <f t="shared" si="2"/>
        <v> </v>
      </c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</row>
    <row r="420">
      <c r="A420" s="119"/>
      <c r="B420" s="119"/>
      <c r="C420" s="118"/>
      <c r="D420" s="118"/>
      <c r="E420" s="118"/>
      <c r="F420" s="118"/>
      <c r="G420" s="118"/>
      <c r="H420" s="119" t="str">
        <f t="shared" si="2"/>
        <v> </v>
      </c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</row>
    <row r="421">
      <c r="A421" s="119"/>
      <c r="B421" s="119"/>
      <c r="C421" s="118"/>
      <c r="D421" s="118"/>
      <c r="E421" s="118"/>
      <c r="F421" s="118"/>
      <c r="G421" s="118"/>
      <c r="H421" s="119" t="str">
        <f t="shared" si="2"/>
        <v> </v>
      </c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</row>
    <row r="422">
      <c r="A422" s="119"/>
      <c r="B422" s="119"/>
      <c r="C422" s="118"/>
      <c r="D422" s="118"/>
      <c r="E422" s="118"/>
      <c r="F422" s="118"/>
      <c r="G422" s="118"/>
      <c r="H422" s="119" t="str">
        <f t="shared" si="2"/>
        <v> </v>
      </c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</row>
    <row r="423">
      <c r="A423" s="119"/>
      <c r="B423" s="119"/>
      <c r="C423" s="118"/>
      <c r="D423" s="118"/>
      <c r="E423" s="118"/>
      <c r="F423" s="118"/>
      <c r="G423" s="118"/>
      <c r="H423" s="119" t="str">
        <f t="shared" si="2"/>
        <v> </v>
      </c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</row>
    <row r="424">
      <c r="A424" s="119"/>
      <c r="B424" s="119"/>
      <c r="C424" s="118"/>
      <c r="D424" s="118"/>
      <c r="E424" s="118"/>
      <c r="F424" s="118"/>
      <c r="G424" s="118"/>
      <c r="H424" s="119" t="str">
        <f t="shared" si="2"/>
        <v> </v>
      </c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</row>
    <row r="425">
      <c r="A425" s="119"/>
      <c r="B425" s="119"/>
      <c r="C425" s="118"/>
      <c r="D425" s="118"/>
      <c r="E425" s="118"/>
      <c r="F425" s="118"/>
      <c r="G425" s="118"/>
      <c r="H425" s="119" t="str">
        <f t="shared" si="2"/>
        <v> </v>
      </c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</row>
    <row r="426">
      <c r="A426" s="119"/>
      <c r="B426" s="119"/>
      <c r="C426" s="118"/>
      <c r="D426" s="118"/>
      <c r="E426" s="118"/>
      <c r="F426" s="118"/>
      <c r="G426" s="118"/>
      <c r="H426" s="119" t="str">
        <f t="shared" si="2"/>
        <v> </v>
      </c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</row>
    <row r="427">
      <c r="A427" s="119"/>
      <c r="B427" s="119"/>
      <c r="C427" s="118"/>
      <c r="D427" s="118"/>
      <c r="E427" s="118"/>
      <c r="F427" s="118"/>
      <c r="G427" s="118"/>
      <c r="H427" s="119" t="str">
        <f t="shared" si="2"/>
        <v> </v>
      </c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</row>
    <row r="428">
      <c r="A428" s="119"/>
      <c r="B428" s="119"/>
      <c r="C428" s="118"/>
      <c r="D428" s="118"/>
      <c r="E428" s="118"/>
      <c r="F428" s="118"/>
      <c r="G428" s="118"/>
      <c r="H428" s="119" t="str">
        <f t="shared" si="2"/>
        <v> </v>
      </c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</row>
    <row r="429">
      <c r="A429" s="119"/>
      <c r="B429" s="119"/>
      <c r="C429" s="118"/>
      <c r="D429" s="118"/>
      <c r="E429" s="118"/>
      <c r="F429" s="118"/>
      <c r="G429" s="118"/>
      <c r="H429" s="119" t="str">
        <f t="shared" si="2"/>
        <v> </v>
      </c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</row>
    <row r="430">
      <c r="A430" s="119"/>
      <c r="B430" s="119"/>
      <c r="C430" s="118"/>
      <c r="D430" s="118"/>
      <c r="E430" s="118"/>
      <c r="F430" s="118"/>
      <c r="G430" s="118"/>
      <c r="H430" s="119" t="str">
        <f t="shared" si="2"/>
        <v> </v>
      </c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</row>
    <row r="431">
      <c r="A431" s="119"/>
      <c r="B431" s="119"/>
      <c r="C431" s="118"/>
      <c r="D431" s="118"/>
      <c r="E431" s="118"/>
      <c r="F431" s="118"/>
      <c r="G431" s="118"/>
      <c r="H431" s="119" t="str">
        <f t="shared" si="2"/>
        <v> </v>
      </c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</row>
    <row r="432">
      <c r="A432" s="119"/>
      <c r="B432" s="119"/>
      <c r="C432" s="118"/>
      <c r="D432" s="118"/>
      <c r="E432" s="118"/>
      <c r="F432" s="118"/>
      <c r="G432" s="118"/>
      <c r="H432" s="119" t="str">
        <f t="shared" si="2"/>
        <v> </v>
      </c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</row>
    <row r="433">
      <c r="A433" s="119"/>
      <c r="B433" s="119"/>
      <c r="C433" s="118"/>
      <c r="D433" s="118"/>
      <c r="E433" s="118"/>
      <c r="F433" s="118"/>
      <c r="G433" s="118"/>
      <c r="H433" s="119" t="str">
        <f t="shared" si="2"/>
        <v> </v>
      </c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</row>
    <row r="434">
      <c r="A434" s="119"/>
      <c r="B434" s="119"/>
      <c r="C434" s="118"/>
      <c r="D434" s="118"/>
      <c r="E434" s="118"/>
      <c r="F434" s="118"/>
      <c r="G434" s="118"/>
      <c r="H434" s="119" t="str">
        <f t="shared" si="2"/>
        <v> </v>
      </c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</row>
    <row r="435">
      <c r="A435" s="119"/>
      <c r="B435" s="119"/>
      <c r="C435" s="118"/>
      <c r="D435" s="118"/>
      <c r="E435" s="118"/>
      <c r="F435" s="118"/>
      <c r="G435" s="118"/>
      <c r="H435" s="119" t="str">
        <f t="shared" si="2"/>
        <v> </v>
      </c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</row>
    <row r="436">
      <c r="A436" s="119"/>
      <c r="B436" s="119"/>
      <c r="C436" s="118"/>
      <c r="D436" s="118"/>
      <c r="E436" s="118"/>
      <c r="F436" s="118"/>
      <c r="G436" s="118"/>
      <c r="H436" s="119" t="str">
        <f t="shared" si="2"/>
        <v> </v>
      </c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</row>
    <row r="437">
      <c r="A437" s="119"/>
      <c r="B437" s="119"/>
      <c r="C437" s="118"/>
      <c r="D437" s="118"/>
      <c r="E437" s="118"/>
      <c r="F437" s="118"/>
      <c r="G437" s="118"/>
      <c r="H437" s="119" t="str">
        <f t="shared" si="2"/>
        <v> </v>
      </c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</row>
    <row r="438">
      <c r="A438" s="119"/>
      <c r="B438" s="119"/>
      <c r="C438" s="118"/>
      <c r="D438" s="118"/>
      <c r="E438" s="118"/>
      <c r="F438" s="118"/>
      <c r="G438" s="118"/>
      <c r="H438" s="119" t="str">
        <f t="shared" si="2"/>
        <v> </v>
      </c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</row>
    <row r="439">
      <c r="A439" s="119"/>
      <c r="B439" s="119"/>
      <c r="C439" s="118"/>
      <c r="D439" s="118"/>
      <c r="E439" s="118"/>
      <c r="F439" s="118"/>
      <c r="G439" s="118"/>
      <c r="H439" s="119" t="str">
        <f t="shared" si="2"/>
        <v> </v>
      </c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</row>
    <row r="440">
      <c r="A440" s="119"/>
      <c r="B440" s="119"/>
      <c r="C440" s="118"/>
      <c r="D440" s="118"/>
      <c r="E440" s="118"/>
      <c r="F440" s="118"/>
      <c r="G440" s="118"/>
      <c r="H440" s="119" t="str">
        <f t="shared" si="2"/>
        <v> </v>
      </c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</row>
    <row r="441">
      <c r="A441" s="119"/>
      <c r="B441" s="119"/>
      <c r="C441" s="118"/>
      <c r="D441" s="118"/>
      <c r="E441" s="118"/>
      <c r="F441" s="118"/>
      <c r="G441" s="118"/>
      <c r="H441" s="119" t="str">
        <f t="shared" si="2"/>
        <v> </v>
      </c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</row>
    <row r="442">
      <c r="A442" s="119"/>
      <c r="B442" s="119"/>
      <c r="C442" s="118"/>
      <c r="D442" s="118"/>
      <c r="E442" s="118"/>
      <c r="F442" s="118"/>
      <c r="G442" s="118"/>
      <c r="H442" s="119" t="str">
        <f t="shared" si="2"/>
        <v> </v>
      </c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</row>
    <row r="443">
      <c r="A443" s="119"/>
      <c r="B443" s="119"/>
      <c r="C443" s="118"/>
      <c r="D443" s="118"/>
      <c r="E443" s="118"/>
      <c r="F443" s="118"/>
      <c r="G443" s="118"/>
      <c r="H443" s="119" t="str">
        <f t="shared" si="2"/>
        <v> </v>
      </c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</row>
    <row r="444">
      <c r="A444" s="119"/>
      <c r="B444" s="119"/>
      <c r="C444" s="118"/>
      <c r="D444" s="118"/>
      <c r="E444" s="118"/>
      <c r="F444" s="118"/>
      <c r="G444" s="118"/>
      <c r="H444" s="119" t="str">
        <f t="shared" si="2"/>
        <v> </v>
      </c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</row>
    <row r="445">
      <c r="A445" s="119"/>
      <c r="B445" s="119"/>
      <c r="C445" s="118"/>
      <c r="D445" s="118"/>
      <c r="E445" s="118"/>
      <c r="F445" s="118"/>
      <c r="G445" s="118"/>
      <c r="H445" s="119" t="str">
        <f t="shared" si="2"/>
        <v> </v>
      </c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</row>
    <row r="446">
      <c r="A446" s="119"/>
      <c r="B446" s="119"/>
      <c r="C446" s="118"/>
      <c r="D446" s="118"/>
      <c r="E446" s="118"/>
      <c r="F446" s="118"/>
      <c r="G446" s="118"/>
      <c r="H446" s="119" t="str">
        <f t="shared" si="2"/>
        <v> </v>
      </c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</row>
    <row r="447">
      <c r="A447" s="119"/>
      <c r="B447" s="119"/>
      <c r="C447" s="118"/>
      <c r="D447" s="118"/>
      <c r="E447" s="118"/>
      <c r="F447" s="118"/>
      <c r="G447" s="118"/>
      <c r="H447" s="119" t="str">
        <f t="shared" si="2"/>
        <v> </v>
      </c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</row>
    <row r="448">
      <c r="A448" s="119"/>
      <c r="B448" s="119"/>
      <c r="C448" s="118"/>
      <c r="D448" s="118"/>
      <c r="E448" s="118"/>
      <c r="F448" s="118"/>
      <c r="G448" s="118"/>
      <c r="H448" s="119" t="str">
        <f t="shared" si="2"/>
        <v> </v>
      </c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</row>
    <row r="449">
      <c r="A449" s="119"/>
      <c r="B449" s="119"/>
      <c r="C449" s="118"/>
      <c r="D449" s="118"/>
      <c r="E449" s="118"/>
      <c r="F449" s="118"/>
      <c r="G449" s="118"/>
      <c r="H449" s="119" t="str">
        <f t="shared" si="2"/>
        <v> </v>
      </c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</row>
    <row r="450">
      <c r="A450" s="119"/>
      <c r="B450" s="119"/>
      <c r="C450" s="118"/>
      <c r="D450" s="118"/>
      <c r="E450" s="118"/>
      <c r="F450" s="118"/>
      <c r="G450" s="118"/>
      <c r="H450" s="119" t="str">
        <f t="shared" si="2"/>
        <v> </v>
      </c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</row>
    <row r="451">
      <c r="A451" s="119"/>
      <c r="B451" s="119"/>
      <c r="C451" s="118"/>
      <c r="D451" s="118"/>
      <c r="E451" s="118"/>
      <c r="F451" s="118"/>
      <c r="G451" s="118"/>
      <c r="H451" s="119" t="str">
        <f t="shared" si="2"/>
        <v> </v>
      </c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</row>
    <row r="452">
      <c r="A452" s="119"/>
      <c r="B452" s="119"/>
      <c r="C452" s="118"/>
      <c r="D452" s="118"/>
      <c r="E452" s="118"/>
      <c r="F452" s="118"/>
      <c r="G452" s="118"/>
      <c r="H452" s="119" t="str">
        <f t="shared" si="2"/>
        <v> </v>
      </c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</row>
    <row r="453">
      <c r="A453" s="119"/>
      <c r="B453" s="119"/>
      <c r="C453" s="118"/>
      <c r="D453" s="118"/>
      <c r="E453" s="118"/>
      <c r="F453" s="118"/>
      <c r="G453" s="118"/>
      <c r="H453" s="119" t="str">
        <f t="shared" si="2"/>
        <v> </v>
      </c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</row>
    <row r="454">
      <c r="A454" s="119"/>
      <c r="B454" s="119"/>
      <c r="C454" s="118"/>
      <c r="D454" s="118"/>
      <c r="E454" s="118"/>
      <c r="F454" s="118"/>
      <c r="G454" s="118"/>
      <c r="H454" s="119" t="str">
        <f t="shared" si="2"/>
        <v> </v>
      </c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</row>
    <row r="455">
      <c r="A455" s="119"/>
      <c r="B455" s="119"/>
      <c r="C455" s="118"/>
      <c r="D455" s="118"/>
      <c r="E455" s="118"/>
      <c r="F455" s="118"/>
      <c r="G455" s="118"/>
      <c r="H455" s="119" t="str">
        <f t="shared" si="2"/>
        <v> </v>
      </c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</row>
    <row r="456">
      <c r="A456" s="119"/>
      <c r="B456" s="119"/>
      <c r="C456" s="118"/>
      <c r="D456" s="118"/>
      <c r="E456" s="118"/>
      <c r="F456" s="118"/>
      <c r="G456" s="118"/>
      <c r="H456" s="119" t="str">
        <f t="shared" si="2"/>
        <v> </v>
      </c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</row>
    <row r="457">
      <c r="A457" s="119"/>
      <c r="B457" s="119"/>
      <c r="C457" s="118"/>
      <c r="D457" s="118"/>
      <c r="E457" s="118"/>
      <c r="F457" s="118"/>
      <c r="G457" s="118"/>
      <c r="H457" s="119" t="str">
        <f t="shared" si="2"/>
        <v> </v>
      </c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</row>
    <row r="458">
      <c r="A458" s="119"/>
      <c r="B458" s="119"/>
      <c r="C458" s="118"/>
      <c r="D458" s="118"/>
      <c r="E458" s="118"/>
      <c r="F458" s="118"/>
      <c r="G458" s="118"/>
      <c r="H458" s="119" t="str">
        <f t="shared" si="2"/>
        <v> </v>
      </c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</row>
    <row r="459">
      <c r="A459" s="119"/>
      <c r="B459" s="119"/>
      <c r="C459" s="118"/>
      <c r="D459" s="118"/>
      <c r="E459" s="118"/>
      <c r="F459" s="118"/>
      <c r="G459" s="118"/>
      <c r="H459" s="119" t="str">
        <f t="shared" si="2"/>
        <v> </v>
      </c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</row>
    <row r="460">
      <c r="A460" s="119"/>
      <c r="B460" s="119"/>
      <c r="C460" s="118"/>
      <c r="D460" s="118"/>
      <c r="E460" s="118"/>
      <c r="F460" s="118"/>
      <c r="G460" s="118"/>
      <c r="H460" s="119" t="str">
        <f t="shared" si="2"/>
        <v> </v>
      </c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</row>
    <row r="461">
      <c r="A461" s="119"/>
      <c r="B461" s="119"/>
      <c r="C461" s="118"/>
      <c r="D461" s="118"/>
      <c r="E461" s="118"/>
      <c r="F461" s="118"/>
      <c r="G461" s="118"/>
      <c r="H461" s="119" t="str">
        <f t="shared" si="2"/>
        <v> </v>
      </c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</row>
    <row r="462">
      <c r="A462" s="119"/>
      <c r="B462" s="119"/>
      <c r="C462" s="118"/>
      <c r="D462" s="118"/>
      <c r="E462" s="118"/>
      <c r="F462" s="118"/>
      <c r="G462" s="118"/>
      <c r="H462" s="119" t="str">
        <f t="shared" si="2"/>
        <v> </v>
      </c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</row>
    <row r="463">
      <c r="A463" s="119"/>
      <c r="B463" s="119"/>
      <c r="C463" s="118"/>
      <c r="D463" s="118"/>
      <c r="E463" s="118"/>
      <c r="F463" s="118"/>
      <c r="G463" s="118"/>
      <c r="H463" s="119" t="str">
        <f t="shared" si="2"/>
        <v> </v>
      </c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</row>
    <row r="464">
      <c r="A464" s="119"/>
      <c r="B464" s="119"/>
      <c r="C464" s="118"/>
      <c r="D464" s="118"/>
      <c r="E464" s="118"/>
      <c r="F464" s="118"/>
      <c r="G464" s="118"/>
      <c r="H464" s="119" t="str">
        <f t="shared" si="2"/>
        <v> </v>
      </c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</row>
    <row r="465">
      <c r="A465" s="119"/>
      <c r="B465" s="119"/>
      <c r="C465" s="118"/>
      <c r="D465" s="118"/>
      <c r="E465" s="118"/>
      <c r="F465" s="118"/>
      <c r="G465" s="118"/>
      <c r="H465" s="119" t="str">
        <f t="shared" si="2"/>
        <v> </v>
      </c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</row>
    <row r="466">
      <c r="A466" s="119"/>
      <c r="B466" s="119"/>
      <c r="C466" s="118"/>
      <c r="D466" s="118"/>
      <c r="E466" s="118"/>
      <c r="F466" s="118"/>
      <c r="G466" s="118"/>
      <c r="H466" s="119" t="str">
        <f t="shared" si="2"/>
        <v> </v>
      </c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</row>
    <row r="467">
      <c r="A467" s="119"/>
      <c r="B467" s="119"/>
      <c r="C467" s="118"/>
      <c r="D467" s="118"/>
      <c r="E467" s="118"/>
      <c r="F467" s="118"/>
      <c r="G467" s="118"/>
      <c r="H467" s="119" t="str">
        <f t="shared" si="2"/>
        <v> </v>
      </c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</row>
    <row r="468">
      <c r="A468" s="119"/>
      <c r="B468" s="119"/>
      <c r="C468" s="118"/>
      <c r="D468" s="118"/>
      <c r="E468" s="118"/>
      <c r="F468" s="118"/>
      <c r="G468" s="118"/>
      <c r="H468" s="119" t="str">
        <f t="shared" si="2"/>
        <v> </v>
      </c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</row>
    <row r="469">
      <c r="A469" s="119"/>
      <c r="B469" s="119"/>
      <c r="C469" s="118"/>
      <c r="D469" s="118"/>
      <c r="E469" s="118"/>
      <c r="F469" s="118"/>
      <c r="G469" s="118"/>
      <c r="H469" s="119" t="str">
        <f t="shared" si="2"/>
        <v> </v>
      </c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</row>
    <row r="470">
      <c r="A470" s="119"/>
      <c r="B470" s="119"/>
      <c r="C470" s="118"/>
      <c r="D470" s="118"/>
      <c r="E470" s="118"/>
      <c r="F470" s="118"/>
      <c r="G470" s="118"/>
      <c r="H470" s="119" t="str">
        <f t="shared" si="2"/>
        <v> </v>
      </c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</row>
    <row r="471">
      <c r="A471" s="119"/>
      <c r="B471" s="119"/>
      <c r="C471" s="118"/>
      <c r="D471" s="118"/>
      <c r="E471" s="118"/>
      <c r="F471" s="118"/>
      <c r="G471" s="118"/>
      <c r="H471" s="119" t="str">
        <f t="shared" si="2"/>
        <v> </v>
      </c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</row>
    <row r="472">
      <c r="A472" s="119"/>
      <c r="B472" s="119"/>
      <c r="C472" s="118"/>
      <c r="D472" s="118"/>
      <c r="E472" s="118"/>
      <c r="F472" s="118"/>
      <c r="G472" s="118"/>
      <c r="H472" s="119" t="str">
        <f t="shared" si="2"/>
        <v> </v>
      </c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</row>
    <row r="473">
      <c r="A473" s="119"/>
      <c r="B473" s="119"/>
      <c r="C473" s="118"/>
      <c r="D473" s="118"/>
      <c r="E473" s="118"/>
      <c r="F473" s="118"/>
      <c r="G473" s="118"/>
      <c r="H473" s="119" t="str">
        <f t="shared" si="2"/>
        <v> </v>
      </c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</row>
    <row r="474">
      <c r="A474" s="119"/>
      <c r="B474" s="119"/>
      <c r="C474" s="118"/>
      <c r="D474" s="118"/>
      <c r="E474" s="118"/>
      <c r="F474" s="118"/>
      <c r="G474" s="118"/>
      <c r="H474" s="119" t="str">
        <f t="shared" si="2"/>
        <v> </v>
      </c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</row>
    <row r="475">
      <c r="A475" s="119"/>
      <c r="B475" s="119"/>
      <c r="C475" s="118"/>
      <c r="D475" s="118"/>
      <c r="E475" s="118"/>
      <c r="F475" s="118"/>
      <c r="G475" s="118"/>
      <c r="H475" s="119" t="str">
        <f t="shared" si="2"/>
        <v> </v>
      </c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</row>
    <row r="476">
      <c r="A476" s="119"/>
      <c r="B476" s="119"/>
      <c r="C476" s="118"/>
      <c r="D476" s="118"/>
      <c r="E476" s="118"/>
      <c r="F476" s="118"/>
      <c r="G476" s="118"/>
      <c r="H476" s="119" t="str">
        <f t="shared" si="2"/>
        <v> </v>
      </c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</row>
    <row r="477">
      <c r="A477" s="119"/>
      <c r="B477" s="119"/>
      <c r="C477" s="118"/>
      <c r="D477" s="118"/>
      <c r="E477" s="118"/>
      <c r="F477" s="118"/>
      <c r="G477" s="118"/>
      <c r="H477" s="119" t="str">
        <f t="shared" si="2"/>
        <v> </v>
      </c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</row>
    <row r="478">
      <c r="A478" s="119"/>
      <c r="B478" s="119"/>
      <c r="C478" s="118"/>
      <c r="D478" s="118"/>
      <c r="E478" s="118"/>
      <c r="F478" s="118"/>
      <c r="G478" s="118"/>
      <c r="H478" s="119" t="str">
        <f t="shared" si="2"/>
        <v> </v>
      </c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</row>
    <row r="479">
      <c r="A479" s="119"/>
      <c r="B479" s="119"/>
      <c r="C479" s="118"/>
      <c r="D479" s="118"/>
      <c r="E479" s="118"/>
      <c r="F479" s="118"/>
      <c r="G479" s="118"/>
      <c r="H479" s="119" t="str">
        <f t="shared" si="2"/>
        <v> </v>
      </c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</row>
    <row r="480">
      <c r="A480" s="119"/>
      <c r="B480" s="119"/>
      <c r="C480" s="118"/>
      <c r="D480" s="118"/>
      <c r="E480" s="118"/>
      <c r="F480" s="118"/>
      <c r="G480" s="118"/>
      <c r="H480" s="119" t="str">
        <f t="shared" si="2"/>
        <v> </v>
      </c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</row>
    <row r="481">
      <c r="A481" s="119"/>
      <c r="B481" s="119"/>
      <c r="C481" s="118"/>
      <c r="D481" s="118"/>
      <c r="E481" s="118"/>
      <c r="F481" s="118"/>
      <c r="G481" s="118"/>
      <c r="H481" s="119" t="str">
        <f t="shared" si="2"/>
        <v> </v>
      </c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</row>
    <row r="482">
      <c r="A482" s="119"/>
      <c r="B482" s="119"/>
      <c r="C482" s="118"/>
      <c r="D482" s="118"/>
      <c r="E482" s="118"/>
      <c r="F482" s="118"/>
      <c r="G482" s="118"/>
      <c r="H482" s="119" t="str">
        <f t="shared" si="2"/>
        <v> </v>
      </c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</row>
    <row r="483">
      <c r="A483" s="119"/>
      <c r="B483" s="119"/>
      <c r="C483" s="118"/>
      <c r="D483" s="118"/>
      <c r="E483" s="118"/>
      <c r="F483" s="118"/>
      <c r="G483" s="118"/>
      <c r="H483" s="119" t="str">
        <f t="shared" si="2"/>
        <v> </v>
      </c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</row>
    <row r="484">
      <c r="A484" s="119"/>
      <c r="B484" s="119"/>
      <c r="C484" s="118"/>
      <c r="D484" s="118"/>
      <c r="E484" s="118"/>
      <c r="F484" s="118"/>
      <c r="G484" s="118"/>
      <c r="H484" s="119" t="str">
        <f t="shared" si="2"/>
        <v> </v>
      </c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</row>
    <row r="485">
      <c r="A485" s="119"/>
      <c r="B485" s="119"/>
      <c r="C485" s="118"/>
      <c r="D485" s="118"/>
      <c r="E485" s="118"/>
      <c r="F485" s="118"/>
      <c r="G485" s="118"/>
      <c r="H485" s="119" t="str">
        <f t="shared" si="2"/>
        <v> </v>
      </c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</row>
    <row r="486">
      <c r="A486" s="119"/>
      <c r="B486" s="119"/>
      <c r="C486" s="118"/>
      <c r="D486" s="118"/>
      <c r="E486" s="118"/>
      <c r="F486" s="118"/>
      <c r="G486" s="118"/>
      <c r="H486" s="119" t="str">
        <f t="shared" si="2"/>
        <v> </v>
      </c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</row>
    <row r="487">
      <c r="A487" s="119"/>
      <c r="B487" s="119"/>
      <c r="C487" s="118"/>
      <c r="D487" s="118"/>
      <c r="E487" s="118"/>
      <c r="F487" s="118"/>
      <c r="G487" s="118"/>
      <c r="H487" s="119" t="str">
        <f t="shared" si="2"/>
        <v> </v>
      </c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</row>
    <row r="488">
      <c r="A488" s="119"/>
      <c r="B488" s="119"/>
      <c r="C488" s="118"/>
      <c r="D488" s="118"/>
      <c r="E488" s="118"/>
      <c r="F488" s="118"/>
      <c r="G488" s="118"/>
      <c r="H488" s="119" t="str">
        <f t="shared" si="2"/>
        <v> </v>
      </c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</row>
    <row r="489">
      <c r="A489" s="119"/>
      <c r="B489" s="119"/>
      <c r="C489" s="118"/>
      <c r="D489" s="118"/>
      <c r="E489" s="118"/>
      <c r="F489" s="118"/>
      <c r="G489" s="118"/>
      <c r="H489" s="119" t="str">
        <f t="shared" si="2"/>
        <v> </v>
      </c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</row>
    <row r="490">
      <c r="A490" s="119"/>
      <c r="B490" s="119"/>
      <c r="C490" s="118"/>
      <c r="D490" s="118"/>
      <c r="E490" s="118"/>
      <c r="F490" s="118"/>
      <c r="G490" s="118"/>
      <c r="H490" s="119" t="str">
        <f t="shared" si="2"/>
        <v> </v>
      </c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</row>
    <row r="491">
      <c r="A491" s="119"/>
      <c r="B491" s="119"/>
      <c r="C491" s="118"/>
      <c r="D491" s="118"/>
      <c r="E491" s="118"/>
      <c r="F491" s="118"/>
      <c r="G491" s="118"/>
      <c r="H491" s="119" t="str">
        <f t="shared" si="2"/>
        <v> </v>
      </c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</row>
    <row r="492">
      <c r="A492" s="119"/>
      <c r="B492" s="119"/>
      <c r="C492" s="118"/>
      <c r="D492" s="118"/>
      <c r="E492" s="118"/>
      <c r="F492" s="118"/>
      <c r="G492" s="118"/>
      <c r="H492" s="119" t="str">
        <f t="shared" si="2"/>
        <v> </v>
      </c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</row>
    <row r="493">
      <c r="A493" s="119"/>
      <c r="B493" s="119"/>
      <c r="C493" s="118"/>
      <c r="D493" s="118"/>
      <c r="E493" s="118"/>
      <c r="F493" s="118"/>
      <c r="G493" s="118"/>
      <c r="H493" s="119" t="str">
        <f t="shared" si="2"/>
        <v> </v>
      </c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</row>
    <row r="494">
      <c r="A494" s="119"/>
      <c r="B494" s="119"/>
      <c r="C494" s="118"/>
      <c r="D494" s="118"/>
      <c r="E494" s="118"/>
      <c r="F494" s="118"/>
      <c r="G494" s="118"/>
      <c r="H494" s="119" t="str">
        <f t="shared" si="2"/>
        <v> </v>
      </c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</row>
    <row r="495">
      <c r="A495" s="119"/>
      <c r="B495" s="119"/>
      <c r="C495" s="118"/>
      <c r="D495" s="118"/>
      <c r="E495" s="118"/>
      <c r="F495" s="118"/>
      <c r="G495" s="118"/>
      <c r="H495" s="119" t="str">
        <f t="shared" si="2"/>
        <v> </v>
      </c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</row>
    <row r="496">
      <c r="A496" s="119"/>
      <c r="B496" s="119"/>
      <c r="C496" s="118"/>
      <c r="D496" s="118"/>
      <c r="E496" s="118"/>
      <c r="F496" s="118"/>
      <c r="G496" s="118"/>
      <c r="H496" s="119" t="str">
        <f t="shared" si="2"/>
        <v> </v>
      </c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</row>
    <row r="497">
      <c r="A497" s="119"/>
      <c r="B497" s="119"/>
      <c r="C497" s="118"/>
      <c r="D497" s="118"/>
      <c r="E497" s="118"/>
      <c r="F497" s="118"/>
      <c r="G497" s="118"/>
      <c r="H497" s="119" t="str">
        <f t="shared" si="2"/>
        <v> </v>
      </c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</row>
    <row r="498">
      <c r="A498" s="119"/>
      <c r="B498" s="119"/>
      <c r="C498" s="118"/>
      <c r="D498" s="118"/>
      <c r="E498" s="118"/>
      <c r="F498" s="118"/>
      <c r="G498" s="118"/>
      <c r="H498" s="119" t="str">
        <f t="shared" si="2"/>
        <v> </v>
      </c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</row>
    <row r="499">
      <c r="A499" s="119"/>
      <c r="B499" s="119"/>
      <c r="C499" s="118"/>
      <c r="D499" s="118"/>
      <c r="E499" s="118"/>
      <c r="F499" s="118"/>
      <c r="G499" s="118"/>
      <c r="H499" s="119" t="str">
        <f t="shared" si="2"/>
        <v> </v>
      </c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</row>
    <row r="500">
      <c r="A500" s="119"/>
      <c r="B500" s="119"/>
      <c r="C500" s="118"/>
      <c r="D500" s="118"/>
      <c r="E500" s="118"/>
      <c r="F500" s="118"/>
      <c r="G500" s="118"/>
      <c r="H500" s="119" t="str">
        <f t="shared" si="2"/>
        <v> </v>
      </c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</row>
    <row r="501">
      <c r="A501" s="119"/>
      <c r="B501" s="119"/>
      <c r="C501" s="118"/>
      <c r="D501" s="118"/>
      <c r="E501" s="118"/>
      <c r="F501" s="118"/>
      <c r="G501" s="118"/>
      <c r="H501" s="119" t="str">
        <f t="shared" si="2"/>
        <v> </v>
      </c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</row>
    <row r="502">
      <c r="A502" s="119"/>
      <c r="B502" s="119"/>
      <c r="C502" s="118"/>
      <c r="D502" s="118"/>
      <c r="E502" s="118"/>
      <c r="F502" s="118"/>
      <c r="G502" s="118"/>
      <c r="H502" s="119" t="str">
        <f t="shared" si="2"/>
        <v> </v>
      </c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</row>
    <row r="503">
      <c r="A503" s="119"/>
      <c r="B503" s="119"/>
      <c r="C503" s="118"/>
      <c r="D503" s="118"/>
      <c r="E503" s="118"/>
      <c r="F503" s="118"/>
      <c r="G503" s="118"/>
      <c r="H503" s="119" t="str">
        <f t="shared" si="2"/>
        <v> </v>
      </c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</row>
    <row r="504">
      <c r="A504" s="119"/>
      <c r="B504" s="119"/>
      <c r="C504" s="118"/>
      <c r="D504" s="118"/>
      <c r="E504" s="118"/>
      <c r="F504" s="118"/>
      <c r="G504" s="118"/>
      <c r="H504" s="119" t="str">
        <f t="shared" si="2"/>
        <v> </v>
      </c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</row>
    <row r="505">
      <c r="A505" s="119"/>
      <c r="B505" s="119"/>
      <c r="C505" s="118"/>
      <c r="D505" s="118"/>
      <c r="E505" s="118"/>
      <c r="F505" s="118"/>
      <c r="G505" s="118"/>
      <c r="H505" s="119" t="str">
        <f t="shared" si="2"/>
        <v> </v>
      </c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</row>
    <row r="506">
      <c r="A506" s="119"/>
      <c r="B506" s="119"/>
      <c r="C506" s="118"/>
      <c r="D506" s="118"/>
      <c r="E506" s="118"/>
      <c r="F506" s="118"/>
      <c r="G506" s="118"/>
      <c r="H506" s="119" t="str">
        <f t="shared" si="2"/>
        <v> </v>
      </c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</row>
    <row r="507">
      <c r="A507" s="119"/>
      <c r="B507" s="119"/>
      <c r="C507" s="118"/>
      <c r="D507" s="118"/>
      <c r="E507" s="118"/>
      <c r="F507" s="118"/>
      <c r="G507" s="118"/>
      <c r="H507" s="119" t="str">
        <f t="shared" si="2"/>
        <v> </v>
      </c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</row>
    <row r="508">
      <c r="A508" s="119"/>
      <c r="B508" s="119"/>
      <c r="C508" s="118"/>
      <c r="D508" s="118"/>
      <c r="E508" s="118"/>
      <c r="F508" s="118"/>
      <c r="G508" s="118"/>
      <c r="H508" s="119" t="str">
        <f t="shared" si="2"/>
        <v> </v>
      </c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</row>
    <row r="509">
      <c r="A509" s="119"/>
      <c r="B509" s="119"/>
      <c r="C509" s="118"/>
      <c r="D509" s="118"/>
      <c r="E509" s="118"/>
      <c r="F509" s="118"/>
      <c r="G509" s="118"/>
      <c r="H509" s="119" t="str">
        <f t="shared" si="2"/>
        <v> </v>
      </c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</row>
    <row r="510">
      <c r="A510" s="119"/>
      <c r="B510" s="119"/>
      <c r="C510" s="118"/>
      <c r="D510" s="118"/>
      <c r="E510" s="118"/>
      <c r="F510" s="118"/>
      <c r="G510" s="118"/>
      <c r="H510" s="119" t="str">
        <f t="shared" si="2"/>
        <v> </v>
      </c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</row>
    <row r="511">
      <c r="A511" s="119"/>
      <c r="B511" s="119"/>
      <c r="C511" s="118"/>
      <c r="D511" s="118"/>
      <c r="E511" s="118"/>
      <c r="F511" s="118"/>
      <c r="G511" s="118"/>
      <c r="H511" s="119" t="str">
        <f t="shared" si="2"/>
        <v> </v>
      </c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</row>
    <row r="512">
      <c r="A512" s="119"/>
      <c r="B512" s="119"/>
      <c r="C512" s="118"/>
      <c r="D512" s="118"/>
      <c r="E512" s="118"/>
      <c r="F512" s="118"/>
      <c r="G512" s="118"/>
      <c r="H512" s="119" t="str">
        <f t="shared" si="2"/>
        <v> </v>
      </c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</row>
    <row r="513">
      <c r="A513" s="119"/>
      <c r="B513" s="119"/>
      <c r="C513" s="118"/>
      <c r="D513" s="118"/>
      <c r="E513" s="118"/>
      <c r="F513" s="118"/>
      <c r="G513" s="118"/>
      <c r="H513" s="119" t="str">
        <f t="shared" si="2"/>
        <v> </v>
      </c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</row>
    <row r="514">
      <c r="A514" s="119"/>
      <c r="B514" s="119"/>
      <c r="C514" s="118"/>
      <c r="D514" s="118"/>
      <c r="E514" s="118"/>
      <c r="F514" s="118"/>
      <c r="G514" s="118"/>
      <c r="H514" s="119" t="str">
        <f t="shared" si="2"/>
        <v> </v>
      </c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</row>
    <row r="515">
      <c r="A515" s="119"/>
      <c r="B515" s="119"/>
      <c r="C515" s="118"/>
      <c r="D515" s="118"/>
      <c r="E515" s="118"/>
      <c r="F515" s="118"/>
      <c r="G515" s="118"/>
      <c r="H515" s="119" t="str">
        <f t="shared" si="2"/>
        <v> </v>
      </c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</row>
    <row r="516">
      <c r="A516" s="119"/>
      <c r="B516" s="119"/>
      <c r="C516" s="118"/>
      <c r="D516" s="118"/>
      <c r="E516" s="118"/>
      <c r="F516" s="118"/>
      <c r="G516" s="118"/>
      <c r="H516" s="119" t="str">
        <f t="shared" si="2"/>
        <v> </v>
      </c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</row>
    <row r="517">
      <c r="A517" s="119"/>
      <c r="B517" s="119"/>
      <c r="C517" s="118"/>
      <c r="D517" s="118"/>
      <c r="E517" s="118"/>
      <c r="F517" s="118"/>
      <c r="G517" s="118"/>
      <c r="H517" s="119" t="str">
        <f t="shared" si="2"/>
        <v> </v>
      </c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</row>
    <row r="518">
      <c r="A518" s="119"/>
      <c r="B518" s="119"/>
      <c r="C518" s="118"/>
      <c r="D518" s="118"/>
      <c r="E518" s="118"/>
      <c r="F518" s="118"/>
      <c r="G518" s="118"/>
      <c r="H518" s="119" t="str">
        <f t="shared" si="2"/>
        <v> </v>
      </c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</row>
    <row r="519">
      <c r="A519" s="119"/>
      <c r="B519" s="119"/>
      <c r="C519" s="118"/>
      <c r="D519" s="118"/>
      <c r="E519" s="118"/>
      <c r="F519" s="118"/>
      <c r="G519" s="118"/>
      <c r="H519" s="119" t="str">
        <f t="shared" si="2"/>
        <v> </v>
      </c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</row>
    <row r="520">
      <c r="A520" s="119"/>
      <c r="B520" s="119"/>
      <c r="C520" s="118"/>
      <c r="D520" s="118"/>
      <c r="E520" s="118"/>
      <c r="F520" s="118"/>
      <c r="G520" s="118"/>
      <c r="H520" s="119" t="str">
        <f t="shared" si="2"/>
        <v> </v>
      </c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</row>
    <row r="521">
      <c r="A521" s="119"/>
      <c r="B521" s="119"/>
      <c r="C521" s="118"/>
      <c r="D521" s="118"/>
      <c r="E521" s="118"/>
      <c r="F521" s="118"/>
      <c r="G521" s="118"/>
      <c r="H521" s="119" t="str">
        <f t="shared" si="2"/>
        <v> </v>
      </c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</row>
    <row r="522">
      <c r="A522" s="119"/>
      <c r="B522" s="119"/>
      <c r="C522" s="118"/>
      <c r="D522" s="118"/>
      <c r="E522" s="118"/>
      <c r="F522" s="118"/>
      <c r="G522" s="118"/>
      <c r="H522" s="119" t="str">
        <f t="shared" si="2"/>
        <v> </v>
      </c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</row>
    <row r="523">
      <c r="A523" s="119"/>
      <c r="B523" s="119"/>
      <c r="C523" s="118"/>
      <c r="D523" s="118"/>
      <c r="E523" s="118"/>
      <c r="F523" s="118"/>
      <c r="G523" s="118"/>
      <c r="H523" s="119" t="str">
        <f t="shared" si="2"/>
        <v> </v>
      </c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</row>
    <row r="524">
      <c r="A524" s="119"/>
      <c r="B524" s="119"/>
      <c r="C524" s="118"/>
      <c r="D524" s="118"/>
      <c r="E524" s="118"/>
      <c r="F524" s="118"/>
      <c r="G524" s="118"/>
      <c r="H524" s="119" t="str">
        <f t="shared" si="2"/>
        <v> </v>
      </c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</row>
    <row r="525">
      <c r="A525" s="119"/>
      <c r="B525" s="119"/>
      <c r="C525" s="118"/>
      <c r="D525" s="118"/>
      <c r="E525" s="118"/>
      <c r="F525" s="118"/>
      <c r="G525" s="118"/>
      <c r="H525" s="119" t="str">
        <f t="shared" si="2"/>
        <v> </v>
      </c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</row>
    <row r="526">
      <c r="A526" s="119"/>
      <c r="B526" s="119"/>
      <c r="C526" s="118"/>
      <c r="D526" s="118"/>
      <c r="E526" s="118"/>
      <c r="F526" s="118"/>
      <c r="G526" s="118"/>
      <c r="H526" s="119" t="str">
        <f t="shared" si="2"/>
        <v> </v>
      </c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</row>
    <row r="527">
      <c r="A527" s="119"/>
      <c r="B527" s="119"/>
      <c r="C527" s="118"/>
      <c r="D527" s="118"/>
      <c r="E527" s="118"/>
      <c r="F527" s="118"/>
      <c r="G527" s="118"/>
      <c r="H527" s="119" t="str">
        <f t="shared" si="2"/>
        <v> </v>
      </c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</row>
    <row r="528">
      <c r="A528" s="119"/>
      <c r="B528" s="119"/>
      <c r="C528" s="118"/>
      <c r="D528" s="118"/>
      <c r="E528" s="118"/>
      <c r="F528" s="118"/>
      <c r="G528" s="118"/>
      <c r="H528" s="119" t="str">
        <f t="shared" si="2"/>
        <v> </v>
      </c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</row>
    <row r="529">
      <c r="A529" s="119"/>
      <c r="B529" s="119"/>
      <c r="C529" s="118"/>
      <c r="D529" s="118"/>
      <c r="E529" s="118"/>
      <c r="F529" s="118"/>
      <c r="G529" s="118"/>
      <c r="H529" s="119" t="str">
        <f t="shared" si="2"/>
        <v> </v>
      </c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</row>
    <row r="530">
      <c r="A530" s="119"/>
      <c r="B530" s="119"/>
      <c r="C530" s="118"/>
      <c r="D530" s="118"/>
      <c r="E530" s="118"/>
      <c r="F530" s="118"/>
      <c r="G530" s="118"/>
      <c r="H530" s="119" t="str">
        <f t="shared" si="2"/>
        <v> </v>
      </c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</row>
    <row r="531">
      <c r="A531" s="119"/>
      <c r="B531" s="119"/>
      <c r="C531" s="118"/>
      <c r="D531" s="118"/>
      <c r="E531" s="118"/>
      <c r="F531" s="118"/>
      <c r="G531" s="118"/>
      <c r="H531" s="119" t="str">
        <f t="shared" si="2"/>
        <v> </v>
      </c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</row>
    <row r="532">
      <c r="A532" s="119"/>
      <c r="B532" s="119"/>
      <c r="C532" s="118"/>
      <c r="D532" s="118"/>
      <c r="E532" s="118"/>
      <c r="F532" s="118"/>
      <c r="G532" s="118"/>
      <c r="H532" s="119" t="str">
        <f t="shared" si="2"/>
        <v> </v>
      </c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</row>
    <row r="533">
      <c r="A533" s="119"/>
      <c r="B533" s="119"/>
      <c r="C533" s="118"/>
      <c r="D533" s="118"/>
      <c r="E533" s="118"/>
      <c r="F533" s="118"/>
      <c r="G533" s="118"/>
      <c r="H533" s="119" t="str">
        <f t="shared" si="2"/>
        <v> </v>
      </c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</row>
    <row r="534">
      <c r="A534" s="119"/>
      <c r="B534" s="119"/>
      <c r="C534" s="118"/>
      <c r="D534" s="118"/>
      <c r="E534" s="118"/>
      <c r="F534" s="118"/>
      <c r="G534" s="118"/>
      <c r="H534" s="119" t="str">
        <f t="shared" si="2"/>
        <v> </v>
      </c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</row>
    <row r="535">
      <c r="A535" s="119"/>
      <c r="B535" s="119"/>
      <c r="C535" s="118"/>
      <c r="D535" s="118"/>
      <c r="E535" s="118"/>
      <c r="F535" s="118"/>
      <c r="G535" s="118"/>
      <c r="H535" s="119" t="str">
        <f t="shared" si="2"/>
        <v> </v>
      </c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</row>
    <row r="536">
      <c r="A536" s="119"/>
      <c r="B536" s="119"/>
      <c r="C536" s="118"/>
      <c r="D536" s="118"/>
      <c r="E536" s="118"/>
      <c r="F536" s="118"/>
      <c r="G536" s="118"/>
      <c r="H536" s="119" t="str">
        <f t="shared" si="2"/>
        <v> </v>
      </c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</row>
    <row r="537">
      <c r="A537" s="119"/>
      <c r="B537" s="119"/>
      <c r="C537" s="118"/>
      <c r="D537" s="118"/>
      <c r="E537" s="118"/>
      <c r="F537" s="118"/>
      <c r="G537" s="118"/>
      <c r="H537" s="119" t="str">
        <f t="shared" si="2"/>
        <v> </v>
      </c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</row>
    <row r="538">
      <c r="A538" s="119"/>
      <c r="B538" s="119"/>
      <c r="C538" s="118"/>
      <c r="D538" s="118"/>
      <c r="E538" s="118"/>
      <c r="F538" s="118"/>
      <c r="G538" s="118"/>
      <c r="H538" s="119" t="str">
        <f t="shared" si="2"/>
        <v> </v>
      </c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</row>
    <row r="539">
      <c r="A539" s="119"/>
      <c r="B539" s="119"/>
      <c r="C539" s="118"/>
      <c r="D539" s="118"/>
      <c r="E539" s="118"/>
      <c r="F539" s="118"/>
      <c r="G539" s="118"/>
      <c r="H539" s="119" t="str">
        <f t="shared" si="2"/>
        <v> </v>
      </c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</row>
    <row r="540">
      <c r="A540" s="119"/>
      <c r="B540" s="119"/>
      <c r="C540" s="118"/>
      <c r="D540" s="118"/>
      <c r="E540" s="118"/>
      <c r="F540" s="118"/>
      <c r="G540" s="118"/>
      <c r="H540" s="119" t="str">
        <f t="shared" si="2"/>
        <v> </v>
      </c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</row>
    <row r="541">
      <c r="A541" s="119"/>
      <c r="B541" s="119"/>
      <c r="C541" s="118"/>
      <c r="D541" s="118"/>
      <c r="E541" s="118"/>
      <c r="F541" s="118"/>
      <c r="G541" s="118"/>
      <c r="H541" s="119" t="str">
        <f t="shared" si="2"/>
        <v> </v>
      </c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</row>
    <row r="542">
      <c r="A542" s="119"/>
      <c r="B542" s="119"/>
      <c r="C542" s="118"/>
      <c r="D542" s="118"/>
      <c r="E542" s="118"/>
      <c r="F542" s="118"/>
      <c r="G542" s="118"/>
      <c r="H542" s="119" t="str">
        <f t="shared" si="2"/>
        <v> </v>
      </c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</row>
    <row r="543">
      <c r="A543" s="119"/>
      <c r="B543" s="119"/>
      <c r="C543" s="118"/>
      <c r="D543" s="118"/>
      <c r="E543" s="118"/>
      <c r="F543" s="118"/>
      <c r="G543" s="118"/>
      <c r="H543" s="119" t="str">
        <f t="shared" si="2"/>
        <v> </v>
      </c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</row>
    <row r="544">
      <c r="A544" s="119"/>
      <c r="B544" s="119"/>
      <c r="C544" s="118"/>
      <c r="D544" s="118"/>
      <c r="E544" s="118"/>
      <c r="F544" s="118"/>
      <c r="G544" s="118"/>
      <c r="H544" s="119" t="str">
        <f t="shared" si="2"/>
        <v> </v>
      </c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</row>
    <row r="545">
      <c r="A545" s="119"/>
      <c r="B545" s="119"/>
      <c r="C545" s="118"/>
      <c r="D545" s="118"/>
      <c r="E545" s="118"/>
      <c r="F545" s="118"/>
      <c r="G545" s="118"/>
      <c r="H545" s="119" t="str">
        <f t="shared" si="2"/>
        <v> </v>
      </c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</row>
    <row r="546">
      <c r="A546" s="119"/>
      <c r="B546" s="119"/>
      <c r="C546" s="118"/>
      <c r="D546" s="118"/>
      <c r="E546" s="118"/>
      <c r="F546" s="118"/>
      <c r="G546" s="118"/>
      <c r="H546" s="119" t="str">
        <f t="shared" si="2"/>
        <v> </v>
      </c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</row>
    <row r="547">
      <c r="A547" s="119"/>
      <c r="B547" s="119"/>
      <c r="C547" s="118"/>
      <c r="D547" s="118"/>
      <c r="E547" s="118"/>
      <c r="F547" s="118"/>
      <c r="G547" s="118"/>
      <c r="H547" s="119" t="str">
        <f t="shared" si="2"/>
        <v> </v>
      </c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</row>
    <row r="548">
      <c r="A548" s="119"/>
      <c r="B548" s="119"/>
      <c r="C548" s="118"/>
      <c r="D548" s="118"/>
      <c r="E548" s="118"/>
      <c r="F548" s="118"/>
      <c r="G548" s="118"/>
      <c r="H548" s="119" t="str">
        <f t="shared" si="2"/>
        <v> </v>
      </c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</row>
    <row r="549">
      <c r="A549" s="119"/>
      <c r="B549" s="119"/>
      <c r="C549" s="118"/>
      <c r="D549" s="118"/>
      <c r="E549" s="118"/>
      <c r="F549" s="118"/>
      <c r="G549" s="118"/>
      <c r="H549" s="119" t="str">
        <f t="shared" si="2"/>
        <v> </v>
      </c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</row>
    <row r="550">
      <c r="A550" s="119"/>
      <c r="B550" s="119"/>
      <c r="C550" s="118"/>
      <c r="D550" s="118"/>
      <c r="E550" s="118"/>
      <c r="F550" s="118"/>
      <c r="G550" s="118"/>
      <c r="H550" s="119" t="str">
        <f t="shared" si="2"/>
        <v> </v>
      </c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</row>
    <row r="551">
      <c r="A551" s="119"/>
      <c r="B551" s="119"/>
      <c r="C551" s="118"/>
      <c r="D551" s="118"/>
      <c r="E551" s="118"/>
      <c r="F551" s="118"/>
      <c r="G551" s="118"/>
      <c r="H551" s="119" t="str">
        <f t="shared" si="2"/>
        <v> </v>
      </c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</row>
    <row r="552">
      <c r="A552" s="119"/>
      <c r="B552" s="119"/>
      <c r="C552" s="118"/>
      <c r="D552" s="118"/>
      <c r="E552" s="118"/>
      <c r="F552" s="118"/>
      <c r="G552" s="118"/>
      <c r="H552" s="119" t="str">
        <f t="shared" si="2"/>
        <v> </v>
      </c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</row>
    <row r="553">
      <c r="A553" s="119"/>
      <c r="B553" s="119"/>
      <c r="C553" s="118"/>
      <c r="D553" s="118"/>
      <c r="E553" s="118"/>
      <c r="F553" s="118"/>
      <c r="G553" s="118"/>
      <c r="H553" s="119" t="str">
        <f t="shared" si="2"/>
        <v> </v>
      </c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</row>
    <row r="554">
      <c r="A554" s="119"/>
      <c r="B554" s="119"/>
      <c r="C554" s="118"/>
      <c r="D554" s="118"/>
      <c r="E554" s="118"/>
      <c r="F554" s="118"/>
      <c r="G554" s="118"/>
      <c r="H554" s="119" t="str">
        <f t="shared" si="2"/>
        <v> </v>
      </c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</row>
    <row r="555">
      <c r="A555" s="119"/>
      <c r="B555" s="119"/>
      <c r="C555" s="118"/>
      <c r="D555" s="118"/>
      <c r="E555" s="118"/>
      <c r="F555" s="118"/>
      <c r="G555" s="118"/>
      <c r="H555" s="119" t="str">
        <f t="shared" si="2"/>
        <v> </v>
      </c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</row>
    <row r="556">
      <c r="A556" s="119"/>
      <c r="B556" s="119"/>
      <c r="C556" s="118"/>
      <c r="D556" s="118"/>
      <c r="E556" s="118"/>
      <c r="F556" s="118"/>
      <c r="G556" s="118"/>
      <c r="H556" s="119" t="str">
        <f t="shared" si="2"/>
        <v> </v>
      </c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</row>
    <row r="557">
      <c r="A557" s="119"/>
      <c r="B557" s="119"/>
      <c r="C557" s="118"/>
      <c r="D557" s="118"/>
      <c r="E557" s="118"/>
      <c r="F557" s="118"/>
      <c r="G557" s="118"/>
      <c r="H557" s="119" t="str">
        <f t="shared" si="2"/>
        <v> </v>
      </c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</row>
    <row r="558">
      <c r="A558" s="119"/>
      <c r="B558" s="119"/>
      <c r="C558" s="118"/>
      <c r="D558" s="118"/>
      <c r="E558" s="118"/>
      <c r="F558" s="118"/>
      <c r="G558" s="118"/>
      <c r="H558" s="119" t="str">
        <f t="shared" si="2"/>
        <v> </v>
      </c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</row>
    <row r="559">
      <c r="A559" s="119"/>
      <c r="B559" s="119"/>
      <c r="C559" s="118"/>
      <c r="D559" s="118"/>
      <c r="E559" s="118"/>
      <c r="F559" s="118"/>
      <c r="G559" s="118"/>
      <c r="H559" s="119" t="str">
        <f t="shared" si="2"/>
        <v> </v>
      </c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</row>
    <row r="560">
      <c r="A560" s="119"/>
      <c r="B560" s="119"/>
      <c r="C560" s="118"/>
      <c r="D560" s="118"/>
      <c r="E560" s="118"/>
      <c r="F560" s="118"/>
      <c r="G560" s="118"/>
      <c r="H560" s="119" t="str">
        <f t="shared" si="2"/>
        <v> </v>
      </c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</row>
    <row r="561">
      <c r="A561" s="119"/>
      <c r="B561" s="119"/>
      <c r="C561" s="118"/>
      <c r="D561" s="118"/>
      <c r="E561" s="118"/>
      <c r="F561" s="118"/>
      <c r="G561" s="118"/>
      <c r="H561" s="119" t="str">
        <f t="shared" si="2"/>
        <v> </v>
      </c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</row>
    <row r="562">
      <c r="A562" s="119"/>
      <c r="B562" s="119"/>
      <c r="C562" s="118"/>
      <c r="D562" s="118"/>
      <c r="E562" s="118"/>
      <c r="F562" s="118"/>
      <c r="G562" s="118"/>
      <c r="H562" s="119" t="str">
        <f t="shared" si="2"/>
        <v> </v>
      </c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</row>
    <row r="563">
      <c r="A563" s="119"/>
      <c r="B563" s="119"/>
      <c r="C563" s="118"/>
      <c r="D563" s="118"/>
      <c r="E563" s="118"/>
      <c r="F563" s="118"/>
      <c r="G563" s="118"/>
      <c r="H563" s="119" t="str">
        <f t="shared" si="2"/>
        <v> </v>
      </c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</row>
    <row r="564">
      <c r="A564" s="119"/>
      <c r="B564" s="119"/>
      <c r="C564" s="118"/>
      <c r="D564" s="118"/>
      <c r="E564" s="118"/>
      <c r="F564" s="118"/>
      <c r="G564" s="118"/>
      <c r="H564" s="119" t="str">
        <f t="shared" si="2"/>
        <v> </v>
      </c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</row>
    <row r="565">
      <c r="A565" s="119"/>
      <c r="B565" s="119"/>
      <c r="C565" s="118"/>
      <c r="D565" s="118"/>
      <c r="E565" s="118"/>
      <c r="F565" s="118"/>
      <c r="G565" s="118"/>
      <c r="H565" s="119" t="str">
        <f t="shared" si="2"/>
        <v> </v>
      </c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</row>
    <row r="566">
      <c r="A566" s="119"/>
      <c r="B566" s="119"/>
      <c r="C566" s="118"/>
      <c r="D566" s="118"/>
      <c r="E566" s="118"/>
      <c r="F566" s="118"/>
      <c r="G566" s="118"/>
      <c r="H566" s="119" t="str">
        <f t="shared" si="2"/>
        <v> </v>
      </c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</row>
    <row r="567">
      <c r="A567" s="119"/>
      <c r="B567" s="119"/>
      <c r="C567" s="118"/>
      <c r="D567" s="118"/>
      <c r="E567" s="118"/>
      <c r="F567" s="118"/>
      <c r="G567" s="118"/>
      <c r="H567" s="119" t="str">
        <f t="shared" si="2"/>
        <v> </v>
      </c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</row>
    <row r="568">
      <c r="A568" s="119"/>
      <c r="B568" s="119"/>
      <c r="C568" s="118"/>
      <c r="D568" s="118"/>
      <c r="E568" s="118"/>
      <c r="F568" s="118"/>
      <c r="G568" s="118"/>
      <c r="H568" s="119" t="str">
        <f t="shared" si="2"/>
        <v> </v>
      </c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</row>
    <row r="569">
      <c r="A569" s="119"/>
      <c r="B569" s="119"/>
      <c r="C569" s="118"/>
      <c r="D569" s="118"/>
      <c r="E569" s="118"/>
      <c r="F569" s="118"/>
      <c r="G569" s="118"/>
      <c r="H569" s="119" t="str">
        <f t="shared" si="2"/>
        <v> </v>
      </c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</row>
    <row r="570">
      <c r="A570" s="119"/>
      <c r="B570" s="119"/>
      <c r="C570" s="118"/>
      <c r="D570" s="118"/>
      <c r="E570" s="118"/>
      <c r="F570" s="118"/>
      <c r="G570" s="118"/>
      <c r="H570" s="119" t="str">
        <f t="shared" si="2"/>
        <v> </v>
      </c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</row>
    <row r="571">
      <c r="A571" s="119"/>
      <c r="B571" s="119"/>
      <c r="C571" s="118"/>
      <c r="D571" s="118"/>
      <c r="E571" s="118"/>
      <c r="F571" s="118"/>
      <c r="G571" s="118"/>
      <c r="H571" s="119" t="str">
        <f t="shared" si="2"/>
        <v> </v>
      </c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</row>
    <row r="572">
      <c r="A572" s="119"/>
      <c r="B572" s="119"/>
      <c r="C572" s="118"/>
      <c r="D572" s="118"/>
      <c r="E572" s="118"/>
      <c r="F572" s="118"/>
      <c r="G572" s="118"/>
      <c r="H572" s="119" t="str">
        <f t="shared" si="2"/>
        <v> </v>
      </c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</row>
    <row r="573">
      <c r="A573" s="119"/>
      <c r="B573" s="119"/>
      <c r="C573" s="118"/>
      <c r="D573" s="118"/>
      <c r="E573" s="118"/>
      <c r="F573" s="118"/>
      <c r="G573" s="118"/>
      <c r="H573" s="119" t="str">
        <f t="shared" si="2"/>
        <v> </v>
      </c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</row>
    <row r="574">
      <c r="A574" s="119"/>
      <c r="B574" s="119"/>
      <c r="C574" s="118"/>
      <c r="D574" s="118"/>
      <c r="E574" s="118"/>
      <c r="F574" s="118"/>
      <c r="G574" s="118"/>
      <c r="H574" s="119" t="str">
        <f t="shared" si="2"/>
        <v> </v>
      </c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</row>
    <row r="575">
      <c r="A575" s="119"/>
      <c r="B575" s="119"/>
      <c r="C575" s="118"/>
      <c r="D575" s="118"/>
      <c r="E575" s="118"/>
      <c r="F575" s="118"/>
      <c r="G575" s="118"/>
      <c r="H575" s="119" t="str">
        <f t="shared" si="2"/>
        <v> </v>
      </c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</row>
    <row r="576">
      <c r="A576" s="119"/>
      <c r="B576" s="119"/>
      <c r="C576" s="118"/>
      <c r="D576" s="118"/>
      <c r="E576" s="118"/>
      <c r="F576" s="118"/>
      <c r="G576" s="118"/>
      <c r="H576" s="119" t="str">
        <f t="shared" si="2"/>
        <v> </v>
      </c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</row>
    <row r="577">
      <c r="A577" s="119"/>
      <c r="B577" s="119"/>
      <c r="C577" s="118"/>
      <c r="D577" s="118"/>
      <c r="E577" s="118"/>
      <c r="F577" s="118"/>
      <c r="G577" s="118"/>
      <c r="H577" s="119" t="str">
        <f t="shared" si="2"/>
        <v> </v>
      </c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</row>
    <row r="578">
      <c r="A578" s="119"/>
      <c r="B578" s="119"/>
      <c r="C578" s="118"/>
      <c r="D578" s="118"/>
      <c r="E578" s="118"/>
      <c r="F578" s="118"/>
      <c r="G578" s="118"/>
      <c r="H578" s="119" t="str">
        <f t="shared" si="2"/>
        <v> </v>
      </c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</row>
    <row r="579">
      <c r="A579" s="119"/>
      <c r="B579" s="119"/>
      <c r="C579" s="118"/>
      <c r="D579" s="118"/>
      <c r="E579" s="118"/>
      <c r="F579" s="118"/>
      <c r="G579" s="118"/>
      <c r="H579" s="119" t="str">
        <f t="shared" si="2"/>
        <v> </v>
      </c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</row>
    <row r="580">
      <c r="A580" s="119"/>
      <c r="B580" s="119"/>
      <c r="C580" s="118"/>
      <c r="D580" s="118"/>
      <c r="E580" s="118"/>
      <c r="F580" s="118"/>
      <c r="G580" s="118"/>
      <c r="H580" s="119" t="str">
        <f t="shared" si="2"/>
        <v> </v>
      </c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</row>
    <row r="581">
      <c r="A581" s="119"/>
      <c r="B581" s="119"/>
      <c r="C581" s="118"/>
      <c r="D581" s="118"/>
      <c r="E581" s="118"/>
      <c r="F581" s="118"/>
      <c r="G581" s="118"/>
      <c r="H581" s="119" t="str">
        <f t="shared" si="2"/>
        <v> </v>
      </c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</row>
    <row r="582">
      <c r="A582" s="119"/>
      <c r="B582" s="119"/>
      <c r="C582" s="118"/>
      <c r="D582" s="118"/>
      <c r="E582" s="118"/>
      <c r="F582" s="118"/>
      <c r="G582" s="118"/>
      <c r="H582" s="119" t="str">
        <f t="shared" si="2"/>
        <v> </v>
      </c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</row>
    <row r="583">
      <c r="A583" s="119"/>
      <c r="B583" s="119"/>
      <c r="C583" s="118"/>
      <c r="D583" s="118"/>
      <c r="E583" s="118"/>
      <c r="F583" s="118"/>
      <c r="G583" s="118"/>
      <c r="H583" s="119" t="str">
        <f t="shared" si="2"/>
        <v> </v>
      </c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</row>
    <row r="584">
      <c r="A584" s="119"/>
      <c r="B584" s="119"/>
      <c r="C584" s="118"/>
      <c r="D584" s="118"/>
      <c r="E584" s="118"/>
      <c r="F584" s="118"/>
      <c r="G584" s="118"/>
      <c r="H584" s="119" t="str">
        <f t="shared" si="2"/>
        <v> </v>
      </c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</row>
    <row r="585">
      <c r="A585" s="119"/>
      <c r="B585" s="119"/>
      <c r="C585" s="118"/>
      <c r="D585" s="118"/>
      <c r="E585" s="118"/>
      <c r="F585" s="118"/>
      <c r="G585" s="118"/>
      <c r="H585" s="119" t="str">
        <f t="shared" si="2"/>
        <v> </v>
      </c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</row>
    <row r="586">
      <c r="A586" s="119"/>
      <c r="B586" s="119"/>
      <c r="C586" s="118"/>
      <c r="D586" s="118"/>
      <c r="E586" s="118"/>
      <c r="F586" s="118"/>
      <c r="G586" s="118"/>
      <c r="H586" s="119" t="str">
        <f t="shared" si="2"/>
        <v> </v>
      </c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</row>
    <row r="587">
      <c r="A587" s="119"/>
      <c r="B587" s="119"/>
      <c r="C587" s="118"/>
      <c r="D587" s="118"/>
      <c r="E587" s="118"/>
      <c r="F587" s="118"/>
      <c r="G587" s="118"/>
      <c r="H587" s="119" t="str">
        <f t="shared" si="2"/>
        <v> </v>
      </c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</row>
    <row r="588">
      <c r="A588" s="119"/>
      <c r="B588" s="119"/>
      <c r="C588" s="118"/>
      <c r="D588" s="118"/>
      <c r="E588" s="118"/>
      <c r="F588" s="118"/>
      <c r="G588" s="118"/>
      <c r="H588" s="119" t="str">
        <f t="shared" si="2"/>
        <v> </v>
      </c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</row>
    <row r="589">
      <c r="A589" s="119"/>
      <c r="B589" s="119"/>
      <c r="C589" s="118"/>
      <c r="D589" s="118"/>
      <c r="E589" s="118"/>
      <c r="F589" s="118"/>
      <c r="G589" s="118"/>
      <c r="H589" s="119" t="str">
        <f t="shared" si="2"/>
        <v> </v>
      </c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</row>
    <row r="590">
      <c r="A590" s="119"/>
      <c r="B590" s="119"/>
      <c r="C590" s="118"/>
      <c r="D590" s="118"/>
      <c r="E590" s="118"/>
      <c r="F590" s="118"/>
      <c r="G590" s="118"/>
      <c r="H590" s="119" t="str">
        <f t="shared" si="2"/>
        <v> </v>
      </c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</row>
    <row r="591">
      <c r="A591" s="119"/>
      <c r="B591" s="119"/>
      <c r="C591" s="118"/>
      <c r="D591" s="118"/>
      <c r="E591" s="118"/>
      <c r="F591" s="118"/>
      <c r="G591" s="118"/>
      <c r="H591" s="119" t="str">
        <f t="shared" si="2"/>
        <v> </v>
      </c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</row>
    <row r="592">
      <c r="A592" s="119"/>
      <c r="B592" s="119"/>
      <c r="C592" s="118"/>
      <c r="D592" s="118"/>
      <c r="E592" s="118"/>
      <c r="F592" s="118"/>
      <c r="G592" s="118"/>
      <c r="H592" s="119" t="str">
        <f t="shared" si="2"/>
        <v> </v>
      </c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</row>
    <row r="593">
      <c r="A593" s="119"/>
      <c r="B593" s="119"/>
      <c r="C593" s="118"/>
      <c r="D593" s="118"/>
      <c r="E593" s="118"/>
      <c r="F593" s="118"/>
      <c r="G593" s="118"/>
      <c r="H593" s="119" t="str">
        <f t="shared" si="2"/>
        <v> </v>
      </c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</row>
    <row r="594">
      <c r="A594" s="119"/>
      <c r="B594" s="119"/>
      <c r="C594" s="118"/>
      <c r="D594" s="118"/>
      <c r="E594" s="118"/>
      <c r="F594" s="118"/>
      <c r="G594" s="118"/>
      <c r="H594" s="119" t="str">
        <f t="shared" si="2"/>
        <v> </v>
      </c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</row>
    <row r="595">
      <c r="A595" s="119"/>
      <c r="B595" s="119"/>
      <c r="C595" s="118"/>
      <c r="D595" s="118"/>
      <c r="E595" s="118"/>
      <c r="F595" s="118"/>
      <c r="G595" s="118"/>
      <c r="H595" s="119" t="str">
        <f t="shared" si="2"/>
        <v> </v>
      </c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</row>
    <row r="596">
      <c r="A596" s="119"/>
      <c r="B596" s="119"/>
      <c r="C596" s="118"/>
      <c r="D596" s="118"/>
      <c r="E596" s="118"/>
      <c r="F596" s="118"/>
      <c r="G596" s="118"/>
      <c r="H596" s="119" t="str">
        <f t="shared" si="2"/>
        <v> </v>
      </c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</row>
    <row r="597">
      <c r="A597" s="119"/>
      <c r="B597" s="119"/>
      <c r="C597" s="118"/>
      <c r="D597" s="118"/>
      <c r="E597" s="118"/>
      <c r="F597" s="118"/>
      <c r="G597" s="118"/>
      <c r="H597" s="119" t="str">
        <f t="shared" si="2"/>
        <v> </v>
      </c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</row>
    <row r="598">
      <c r="A598" s="119"/>
      <c r="B598" s="119"/>
      <c r="C598" s="118"/>
      <c r="D598" s="118"/>
      <c r="E598" s="118"/>
      <c r="F598" s="118"/>
      <c r="G598" s="118"/>
      <c r="H598" s="119" t="str">
        <f t="shared" si="2"/>
        <v> </v>
      </c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</row>
    <row r="599">
      <c r="A599" s="119"/>
      <c r="B599" s="119"/>
      <c r="C599" s="118"/>
      <c r="D599" s="118"/>
      <c r="E599" s="118"/>
      <c r="F599" s="118"/>
      <c r="G599" s="118"/>
      <c r="H599" s="119" t="str">
        <f t="shared" si="2"/>
        <v> </v>
      </c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</row>
    <row r="600">
      <c r="A600" s="119"/>
      <c r="B600" s="119"/>
      <c r="C600" s="118"/>
      <c r="D600" s="118"/>
      <c r="E600" s="118"/>
      <c r="F600" s="118"/>
      <c r="G600" s="118"/>
      <c r="H600" s="119" t="str">
        <f t="shared" si="2"/>
        <v> </v>
      </c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</row>
    <row r="601">
      <c r="A601" s="119"/>
      <c r="B601" s="119"/>
      <c r="C601" s="118"/>
      <c r="D601" s="118"/>
      <c r="E601" s="118"/>
      <c r="F601" s="118"/>
      <c r="G601" s="118"/>
      <c r="H601" s="119" t="str">
        <f t="shared" si="2"/>
        <v> </v>
      </c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</row>
    <row r="602">
      <c r="A602" s="119"/>
      <c r="B602" s="119"/>
      <c r="C602" s="118"/>
      <c r="D602" s="118"/>
      <c r="E602" s="118"/>
      <c r="F602" s="118"/>
      <c r="G602" s="118"/>
      <c r="H602" s="119" t="str">
        <f t="shared" si="2"/>
        <v> </v>
      </c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</row>
    <row r="603">
      <c r="A603" s="119"/>
      <c r="B603" s="119"/>
      <c r="C603" s="118"/>
      <c r="D603" s="118"/>
      <c r="E603" s="118"/>
      <c r="F603" s="118"/>
      <c r="G603" s="118"/>
      <c r="H603" s="119" t="str">
        <f t="shared" si="2"/>
        <v> </v>
      </c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</row>
    <row r="604">
      <c r="A604" s="119"/>
      <c r="B604" s="119"/>
      <c r="C604" s="118"/>
      <c r="D604" s="118"/>
      <c r="E604" s="118"/>
      <c r="F604" s="118"/>
      <c r="G604" s="118"/>
      <c r="H604" s="119" t="str">
        <f t="shared" si="2"/>
        <v> </v>
      </c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</row>
    <row r="605">
      <c r="A605" s="119"/>
      <c r="B605" s="119"/>
      <c r="C605" s="118"/>
      <c r="D605" s="118"/>
      <c r="E605" s="118"/>
      <c r="F605" s="118"/>
      <c r="G605" s="118"/>
      <c r="H605" s="119" t="str">
        <f t="shared" si="2"/>
        <v> </v>
      </c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</row>
    <row r="606">
      <c r="A606" s="119"/>
      <c r="B606" s="119"/>
      <c r="C606" s="118"/>
      <c r="D606" s="118"/>
      <c r="E606" s="118"/>
      <c r="F606" s="118"/>
      <c r="G606" s="118"/>
      <c r="H606" s="119" t="str">
        <f t="shared" si="2"/>
        <v> </v>
      </c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</row>
    <row r="607">
      <c r="A607" s="119"/>
      <c r="B607" s="119"/>
      <c r="C607" s="118"/>
      <c r="D607" s="118"/>
      <c r="E607" s="118"/>
      <c r="F607" s="118"/>
      <c r="G607" s="118"/>
      <c r="H607" s="119" t="str">
        <f t="shared" si="2"/>
        <v> </v>
      </c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</row>
    <row r="608">
      <c r="A608" s="119"/>
      <c r="B608" s="119"/>
      <c r="C608" s="118"/>
      <c r="D608" s="118"/>
      <c r="E608" s="118"/>
      <c r="F608" s="118"/>
      <c r="G608" s="118"/>
      <c r="H608" s="119" t="str">
        <f t="shared" si="2"/>
        <v> </v>
      </c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</row>
    <row r="609">
      <c r="A609" s="119"/>
      <c r="B609" s="119"/>
      <c r="C609" s="118"/>
      <c r="D609" s="118"/>
      <c r="E609" s="118"/>
      <c r="F609" s="118"/>
      <c r="G609" s="118"/>
      <c r="H609" s="119" t="str">
        <f t="shared" si="2"/>
        <v> </v>
      </c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</row>
    <row r="610">
      <c r="A610" s="119"/>
      <c r="B610" s="119"/>
      <c r="C610" s="118"/>
      <c r="D610" s="118"/>
      <c r="E610" s="118"/>
      <c r="F610" s="118"/>
      <c r="G610" s="118"/>
      <c r="H610" s="119" t="str">
        <f t="shared" si="2"/>
        <v> </v>
      </c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</row>
    <row r="611">
      <c r="A611" s="119"/>
      <c r="B611" s="119"/>
      <c r="C611" s="118"/>
      <c r="D611" s="118"/>
      <c r="E611" s="118"/>
      <c r="F611" s="118"/>
      <c r="G611" s="118"/>
      <c r="H611" s="119" t="str">
        <f t="shared" si="2"/>
        <v> </v>
      </c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</row>
    <row r="612">
      <c r="A612" s="119"/>
      <c r="B612" s="119"/>
      <c r="C612" s="118"/>
      <c r="D612" s="118"/>
      <c r="E612" s="118"/>
      <c r="F612" s="118"/>
      <c r="G612" s="118"/>
      <c r="H612" s="119" t="str">
        <f t="shared" si="2"/>
        <v> </v>
      </c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</row>
    <row r="613">
      <c r="A613" s="119"/>
      <c r="B613" s="119"/>
      <c r="C613" s="118"/>
      <c r="D613" s="118"/>
      <c r="E613" s="118"/>
      <c r="F613" s="118"/>
      <c r="G613" s="118"/>
      <c r="H613" s="119" t="str">
        <f t="shared" si="2"/>
        <v> </v>
      </c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</row>
    <row r="614">
      <c r="A614" s="119"/>
      <c r="B614" s="119"/>
      <c r="C614" s="118"/>
      <c r="D614" s="118"/>
      <c r="E614" s="118"/>
      <c r="F614" s="118"/>
      <c r="G614" s="118"/>
      <c r="H614" s="119" t="str">
        <f t="shared" si="2"/>
        <v> </v>
      </c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</row>
    <row r="615">
      <c r="A615" s="119"/>
      <c r="B615" s="119"/>
      <c r="C615" s="118"/>
      <c r="D615" s="118"/>
      <c r="E615" s="118"/>
      <c r="F615" s="118"/>
      <c r="G615" s="118"/>
      <c r="H615" s="119" t="str">
        <f t="shared" si="2"/>
        <v> </v>
      </c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</row>
    <row r="616">
      <c r="A616" s="119"/>
      <c r="B616" s="119"/>
      <c r="C616" s="118"/>
      <c r="D616" s="118"/>
      <c r="E616" s="118"/>
      <c r="F616" s="118"/>
      <c r="G616" s="118"/>
      <c r="H616" s="119" t="str">
        <f t="shared" si="2"/>
        <v> </v>
      </c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</row>
    <row r="617">
      <c r="A617" s="119"/>
      <c r="B617" s="119"/>
      <c r="C617" s="118"/>
      <c r="D617" s="118"/>
      <c r="E617" s="118"/>
      <c r="F617" s="118"/>
      <c r="G617" s="118"/>
      <c r="H617" s="119" t="str">
        <f t="shared" si="2"/>
        <v> </v>
      </c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</row>
    <row r="618">
      <c r="A618" s="119"/>
      <c r="B618" s="119"/>
      <c r="C618" s="118"/>
      <c r="D618" s="118"/>
      <c r="E618" s="118"/>
      <c r="F618" s="118"/>
      <c r="G618" s="118"/>
      <c r="H618" s="119" t="str">
        <f t="shared" si="2"/>
        <v> </v>
      </c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</row>
    <row r="619">
      <c r="A619" s="119"/>
      <c r="B619" s="119"/>
      <c r="C619" s="118"/>
      <c r="D619" s="118"/>
      <c r="E619" s="118"/>
      <c r="F619" s="118"/>
      <c r="G619" s="118"/>
      <c r="H619" s="119" t="str">
        <f t="shared" si="2"/>
        <v> </v>
      </c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</row>
    <row r="620">
      <c r="A620" s="119"/>
      <c r="B620" s="119"/>
      <c r="C620" s="118"/>
      <c r="D620" s="118"/>
      <c r="E620" s="118"/>
      <c r="F620" s="118"/>
      <c r="G620" s="118"/>
      <c r="H620" s="119" t="str">
        <f t="shared" si="2"/>
        <v> </v>
      </c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</row>
    <row r="621">
      <c r="A621" s="119"/>
      <c r="B621" s="119"/>
      <c r="C621" s="118"/>
      <c r="D621" s="118"/>
      <c r="E621" s="118"/>
      <c r="F621" s="118"/>
      <c r="G621" s="118"/>
      <c r="H621" s="119" t="str">
        <f t="shared" si="2"/>
        <v> </v>
      </c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</row>
    <row r="622">
      <c r="A622" s="119"/>
      <c r="B622" s="119"/>
      <c r="C622" s="118"/>
      <c r="D622" s="118"/>
      <c r="E622" s="118"/>
      <c r="F622" s="118"/>
      <c r="G622" s="118"/>
      <c r="H622" s="119" t="str">
        <f t="shared" si="2"/>
        <v> </v>
      </c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</row>
    <row r="623">
      <c r="A623" s="119"/>
      <c r="B623" s="119"/>
      <c r="C623" s="118"/>
      <c r="D623" s="118"/>
      <c r="E623" s="118"/>
      <c r="F623" s="118"/>
      <c r="G623" s="118"/>
      <c r="H623" s="119" t="str">
        <f t="shared" si="2"/>
        <v> </v>
      </c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</row>
    <row r="624">
      <c r="A624" s="119"/>
      <c r="B624" s="119"/>
      <c r="C624" s="118"/>
      <c r="D624" s="118"/>
      <c r="E624" s="118"/>
      <c r="F624" s="118"/>
      <c r="G624" s="118"/>
      <c r="H624" s="119" t="str">
        <f t="shared" si="2"/>
        <v> </v>
      </c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</row>
    <row r="625">
      <c r="A625" s="119"/>
      <c r="B625" s="119"/>
      <c r="C625" s="118"/>
      <c r="D625" s="118"/>
      <c r="E625" s="118"/>
      <c r="F625" s="118"/>
      <c r="G625" s="118"/>
      <c r="H625" s="119" t="str">
        <f t="shared" si="2"/>
        <v> </v>
      </c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</row>
    <row r="626">
      <c r="A626" s="119"/>
      <c r="B626" s="119"/>
      <c r="C626" s="118"/>
      <c r="D626" s="118"/>
      <c r="E626" s="118"/>
      <c r="F626" s="118"/>
      <c r="G626" s="118"/>
      <c r="H626" s="119" t="str">
        <f t="shared" si="2"/>
        <v> </v>
      </c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</row>
    <row r="627">
      <c r="A627" s="119"/>
      <c r="B627" s="119"/>
      <c r="C627" s="118"/>
      <c r="D627" s="118"/>
      <c r="E627" s="118"/>
      <c r="F627" s="118"/>
      <c r="G627" s="118"/>
      <c r="H627" s="119" t="str">
        <f t="shared" si="2"/>
        <v> </v>
      </c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</row>
    <row r="628">
      <c r="A628" s="119"/>
      <c r="B628" s="119"/>
      <c r="C628" s="118"/>
      <c r="D628" s="118"/>
      <c r="E628" s="118"/>
      <c r="F628" s="118"/>
      <c r="G628" s="118"/>
      <c r="H628" s="119" t="str">
        <f t="shared" si="2"/>
        <v> </v>
      </c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</row>
    <row r="629">
      <c r="A629" s="119"/>
      <c r="B629" s="119"/>
      <c r="C629" s="118"/>
      <c r="D629" s="118"/>
      <c r="E629" s="118"/>
      <c r="F629" s="118"/>
      <c r="G629" s="118"/>
      <c r="H629" s="119" t="str">
        <f t="shared" si="2"/>
        <v> </v>
      </c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</row>
    <row r="630">
      <c r="A630" s="119"/>
      <c r="B630" s="119"/>
      <c r="C630" s="118"/>
      <c r="D630" s="118"/>
      <c r="E630" s="118"/>
      <c r="F630" s="118"/>
      <c r="G630" s="118"/>
      <c r="H630" s="119" t="str">
        <f t="shared" si="2"/>
        <v> </v>
      </c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</row>
    <row r="631">
      <c r="A631" s="119"/>
      <c r="B631" s="119"/>
      <c r="C631" s="118"/>
      <c r="D631" s="118"/>
      <c r="E631" s="118"/>
      <c r="F631" s="118"/>
      <c r="G631" s="118"/>
      <c r="H631" s="119" t="str">
        <f t="shared" si="2"/>
        <v> </v>
      </c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</row>
    <row r="632">
      <c r="A632" s="119"/>
      <c r="B632" s="119"/>
      <c r="C632" s="118"/>
      <c r="D632" s="118"/>
      <c r="E632" s="118"/>
      <c r="F632" s="118"/>
      <c r="G632" s="118"/>
      <c r="H632" s="119" t="str">
        <f t="shared" si="2"/>
        <v> </v>
      </c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</row>
    <row r="633">
      <c r="A633" s="119"/>
      <c r="B633" s="119"/>
      <c r="C633" s="118"/>
      <c r="D633" s="118"/>
      <c r="E633" s="118"/>
      <c r="F633" s="118"/>
      <c r="G633" s="118"/>
      <c r="H633" s="119" t="str">
        <f t="shared" si="2"/>
        <v> </v>
      </c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</row>
    <row r="634">
      <c r="A634" s="119"/>
      <c r="B634" s="119"/>
      <c r="C634" s="118"/>
      <c r="D634" s="118"/>
      <c r="E634" s="118"/>
      <c r="F634" s="118"/>
      <c r="G634" s="118"/>
      <c r="H634" s="119" t="str">
        <f t="shared" si="2"/>
        <v> </v>
      </c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</row>
    <row r="635">
      <c r="A635" s="119"/>
      <c r="B635" s="119"/>
      <c r="C635" s="118"/>
      <c r="D635" s="118"/>
      <c r="E635" s="118"/>
      <c r="F635" s="118"/>
      <c r="G635" s="118"/>
      <c r="H635" s="119" t="str">
        <f t="shared" si="2"/>
        <v> </v>
      </c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</row>
    <row r="636">
      <c r="A636" s="119"/>
      <c r="B636" s="119"/>
      <c r="C636" s="118"/>
      <c r="D636" s="118"/>
      <c r="E636" s="118"/>
      <c r="F636" s="118"/>
      <c r="G636" s="118"/>
      <c r="H636" s="119" t="str">
        <f t="shared" si="2"/>
        <v> </v>
      </c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</row>
    <row r="637">
      <c r="A637" s="119"/>
      <c r="B637" s="119"/>
      <c r="C637" s="118"/>
      <c r="D637" s="118"/>
      <c r="E637" s="118"/>
      <c r="F637" s="118"/>
      <c r="G637" s="118"/>
      <c r="H637" s="119" t="str">
        <f t="shared" si="2"/>
        <v> </v>
      </c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</row>
    <row r="638">
      <c r="A638" s="119"/>
      <c r="B638" s="119"/>
      <c r="C638" s="118"/>
      <c r="D638" s="118"/>
      <c r="E638" s="118"/>
      <c r="F638" s="118"/>
      <c r="G638" s="118"/>
      <c r="H638" s="119" t="str">
        <f t="shared" si="2"/>
        <v> </v>
      </c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</row>
    <row r="639">
      <c r="A639" s="119"/>
      <c r="B639" s="119"/>
      <c r="C639" s="118"/>
      <c r="D639" s="118"/>
      <c r="E639" s="118"/>
      <c r="F639" s="118"/>
      <c r="G639" s="118"/>
      <c r="H639" s="119" t="str">
        <f t="shared" si="2"/>
        <v> </v>
      </c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</row>
    <row r="640">
      <c r="A640" s="119"/>
      <c r="B640" s="119"/>
      <c r="C640" s="118"/>
      <c r="D640" s="118"/>
      <c r="E640" s="118"/>
      <c r="F640" s="118"/>
      <c r="G640" s="118"/>
      <c r="H640" s="119" t="str">
        <f t="shared" si="2"/>
        <v> </v>
      </c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</row>
    <row r="641">
      <c r="A641" s="119"/>
      <c r="B641" s="119"/>
      <c r="C641" s="118"/>
      <c r="D641" s="118"/>
      <c r="E641" s="118"/>
      <c r="F641" s="118"/>
      <c r="G641" s="118"/>
      <c r="H641" s="119" t="str">
        <f t="shared" si="2"/>
        <v> </v>
      </c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</row>
    <row r="642">
      <c r="A642" s="119"/>
      <c r="B642" s="119"/>
      <c r="C642" s="118"/>
      <c r="D642" s="118"/>
      <c r="E642" s="118"/>
      <c r="F642" s="118"/>
      <c r="G642" s="118"/>
      <c r="H642" s="119" t="str">
        <f t="shared" si="2"/>
        <v> </v>
      </c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</row>
    <row r="643">
      <c r="A643" s="119"/>
      <c r="B643" s="119"/>
      <c r="C643" s="118"/>
      <c r="D643" s="118"/>
      <c r="E643" s="118"/>
      <c r="F643" s="118"/>
      <c r="G643" s="118"/>
      <c r="H643" s="119" t="str">
        <f t="shared" si="2"/>
        <v> </v>
      </c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</row>
    <row r="644">
      <c r="A644" s="119"/>
      <c r="B644" s="119"/>
      <c r="C644" s="118"/>
      <c r="D644" s="118"/>
      <c r="E644" s="118"/>
      <c r="F644" s="118"/>
      <c r="G644" s="118"/>
      <c r="H644" s="119" t="str">
        <f t="shared" si="2"/>
        <v> </v>
      </c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</row>
    <row r="645">
      <c r="A645" s="119"/>
      <c r="B645" s="119"/>
      <c r="C645" s="118"/>
      <c r="D645" s="118"/>
      <c r="E645" s="118"/>
      <c r="F645" s="118"/>
      <c r="G645" s="118"/>
      <c r="H645" s="119" t="str">
        <f t="shared" si="2"/>
        <v> </v>
      </c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</row>
    <row r="646">
      <c r="A646" s="119"/>
      <c r="B646" s="119"/>
      <c r="C646" s="118"/>
      <c r="D646" s="118"/>
      <c r="E646" s="118"/>
      <c r="F646" s="118"/>
      <c r="G646" s="118"/>
      <c r="H646" s="119" t="str">
        <f t="shared" si="2"/>
        <v> </v>
      </c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</row>
    <row r="647">
      <c r="A647" s="119"/>
      <c r="B647" s="119"/>
      <c r="C647" s="118"/>
      <c r="D647" s="118"/>
      <c r="E647" s="118"/>
      <c r="F647" s="118"/>
      <c r="G647" s="118"/>
      <c r="H647" s="119" t="str">
        <f t="shared" si="2"/>
        <v> </v>
      </c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</row>
    <row r="648">
      <c r="A648" s="119"/>
      <c r="B648" s="119"/>
      <c r="C648" s="118"/>
      <c r="D648" s="118"/>
      <c r="E648" s="118"/>
      <c r="F648" s="118"/>
      <c r="G648" s="118"/>
      <c r="H648" s="119" t="str">
        <f t="shared" si="2"/>
        <v> </v>
      </c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</row>
    <row r="649">
      <c r="A649" s="119"/>
      <c r="B649" s="119"/>
      <c r="C649" s="118"/>
      <c r="D649" s="118"/>
      <c r="E649" s="118"/>
      <c r="F649" s="118"/>
      <c r="G649" s="118"/>
      <c r="H649" s="119" t="str">
        <f t="shared" si="2"/>
        <v> </v>
      </c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</row>
    <row r="650">
      <c r="A650" s="119"/>
      <c r="B650" s="119"/>
      <c r="C650" s="118"/>
      <c r="D650" s="118"/>
      <c r="E650" s="118"/>
      <c r="F650" s="118"/>
      <c r="G650" s="118"/>
      <c r="H650" s="119" t="str">
        <f t="shared" si="2"/>
        <v> </v>
      </c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</row>
    <row r="651">
      <c r="A651" s="119"/>
      <c r="B651" s="119"/>
      <c r="C651" s="118"/>
      <c r="D651" s="118"/>
      <c r="E651" s="118"/>
      <c r="F651" s="118"/>
      <c r="G651" s="118"/>
      <c r="H651" s="119" t="str">
        <f t="shared" si="2"/>
        <v> </v>
      </c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</row>
    <row r="652">
      <c r="A652" s="119"/>
      <c r="B652" s="119"/>
      <c r="C652" s="118"/>
      <c r="D652" s="118"/>
      <c r="E652" s="118"/>
      <c r="F652" s="118"/>
      <c r="G652" s="118"/>
      <c r="H652" s="119" t="str">
        <f t="shared" si="2"/>
        <v> </v>
      </c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</row>
    <row r="653">
      <c r="A653" s="119"/>
      <c r="B653" s="119"/>
      <c r="C653" s="118"/>
      <c r="D653" s="118"/>
      <c r="E653" s="118"/>
      <c r="F653" s="118"/>
      <c r="G653" s="118"/>
      <c r="H653" s="119" t="str">
        <f t="shared" si="2"/>
        <v> </v>
      </c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</row>
    <row r="654">
      <c r="A654" s="119"/>
      <c r="B654" s="119"/>
      <c r="C654" s="118"/>
      <c r="D654" s="118"/>
      <c r="E654" s="118"/>
      <c r="F654" s="118"/>
      <c r="G654" s="118"/>
      <c r="H654" s="119" t="str">
        <f t="shared" si="2"/>
        <v> </v>
      </c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</row>
    <row r="655">
      <c r="A655" s="119"/>
      <c r="B655" s="119"/>
      <c r="C655" s="118"/>
      <c r="D655" s="118"/>
      <c r="E655" s="118"/>
      <c r="F655" s="118"/>
      <c r="G655" s="118"/>
      <c r="H655" s="119" t="str">
        <f t="shared" si="2"/>
        <v> </v>
      </c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</row>
    <row r="656">
      <c r="A656" s="119"/>
      <c r="B656" s="119"/>
      <c r="C656" s="118"/>
      <c r="D656" s="118"/>
      <c r="E656" s="118"/>
      <c r="F656" s="118"/>
      <c r="G656" s="118"/>
      <c r="H656" s="119" t="str">
        <f t="shared" si="2"/>
        <v> </v>
      </c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</row>
    <row r="657">
      <c r="A657" s="119"/>
      <c r="B657" s="119"/>
      <c r="C657" s="118"/>
      <c r="D657" s="118"/>
      <c r="E657" s="118"/>
      <c r="F657" s="118"/>
      <c r="G657" s="118"/>
      <c r="H657" s="119" t="str">
        <f t="shared" si="2"/>
        <v> </v>
      </c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</row>
    <row r="658">
      <c r="A658" s="119"/>
      <c r="B658" s="119"/>
      <c r="C658" s="118"/>
      <c r="D658" s="118"/>
      <c r="E658" s="118"/>
      <c r="F658" s="118"/>
      <c r="G658" s="118"/>
      <c r="H658" s="119" t="str">
        <f t="shared" si="2"/>
        <v> </v>
      </c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</row>
    <row r="659">
      <c r="A659" s="119"/>
      <c r="B659" s="119"/>
      <c r="C659" s="118"/>
      <c r="D659" s="118"/>
      <c r="E659" s="118"/>
      <c r="F659" s="118"/>
      <c r="G659" s="118"/>
      <c r="H659" s="119" t="str">
        <f t="shared" si="2"/>
        <v> </v>
      </c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</row>
    <row r="660">
      <c r="A660" s="119"/>
      <c r="B660" s="119"/>
      <c r="C660" s="118"/>
      <c r="D660" s="118"/>
      <c r="E660" s="118"/>
      <c r="F660" s="118"/>
      <c r="G660" s="118"/>
      <c r="H660" s="119" t="str">
        <f t="shared" si="2"/>
        <v> </v>
      </c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</row>
    <row r="661">
      <c r="A661" s="119"/>
      <c r="B661" s="119"/>
      <c r="C661" s="118"/>
      <c r="D661" s="118"/>
      <c r="E661" s="118"/>
      <c r="F661" s="118"/>
      <c r="G661" s="118"/>
      <c r="H661" s="119" t="str">
        <f t="shared" si="2"/>
        <v> </v>
      </c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</row>
    <row r="662">
      <c r="A662" s="119"/>
      <c r="B662" s="119"/>
      <c r="C662" s="118"/>
      <c r="D662" s="118"/>
      <c r="E662" s="118"/>
      <c r="F662" s="118"/>
      <c r="G662" s="118"/>
      <c r="H662" s="119" t="str">
        <f t="shared" si="2"/>
        <v> </v>
      </c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</row>
    <row r="663">
      <c r="A663" s="119"/>
      <c r="B663" s="119"/>
      <c r="C663" s="118"/>
      <c r="D663" s="118"/>
      <c r="E663" s="118"/>
      <c r="F663" s="118"/>
      <c r="G663" s="118"/>
      <c r="H663" s="119" t="str">
        <f t="shared" si="2"/>
        <v> </v>
      </c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</row>
    <row r="664">
      <c r="A664" s="119"/>
      <c r="B664" s="119"/>
      <c r="C664" s="118"/>
      <c r="D664" s="118"/>
      <c r="E664" s="118"/>
      <c r="F664" s="118"/>
      <c r="G664" s="118"/>
      <c r="H664" s="119" t="str">
        <f t="shared" si="2"/>
        <v> </v>
      </c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</row>
    <row r="665">
      <c r="A665" s="119"/>
      <c r="B665" s="119"/>
      <c r="C665" s="118"/>
      <c r="D665" s="118"/>
      <c r="E665" s="118"/>
      <c r="F665" s="118"/>
      <c r="G665" s="118"/>
      <c r="H665" s="119" t="str">
        <f t="shared" si="2"/>
        <v> </v>
      </c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</row>
    <row r="666">
      <c r="A666" s="119"/>
      <c r="B666" s="119"/>
      <c r="C666" s="118"/>
      <c r="D666" s="118"/>
      <c r="E666" s="118"/>
      <c r="F666" s="118"/>
      <c r="G666" s="118"/>
      <c r="H666" s="119" t="str">
        <f t="shared" si="2"/>
        <v> </v>
      </c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</row>
    <row r="667">
      <c r="A667" s="119"/>
      <c r="B667" s="119"/>
      <c r="C667" s="118"/>
      <c r="D667" s="118"/>
      <c r="E667" s="118"/>
      <c r="F667" s="118"/>
      <c r="G667" s="118"/>
      <c r="H667" s="119" t="str">
        <f t="shared" si="2"/>
        <v> </v>
      </c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</row>
    <row r="668">
      <c r="A668" s="119"/>
      <c r="B668" s="119"/>
      <c r="C668" s="118"/>
      <c r="D668" s="118"/>
      <c r="E668" s="118"/>
      <c r="F668" s="118"/>
      <c r="G668" s="118"/>
      <c r="H668" s="119" t="str">
        <f t="shared" si="2"/>
        <v> </v>
      </c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</row>
    <row r="669">
      <c r="A669" s="119"/>
      <c r="B669" s="119"/>
      <c r="C669" s="118"/>
      <c r="D669" s="118"/>
      <c r="E669" s="118"/>
      <c r="F669" s="118"/>
      <c r="G669" s="118"/>
      <c r="H669" s="119" t="str">
        <f t="shared" si="2"/>
        <v> </v>
      </c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</row>
    <row r="670">
      <c r="A670" s="119"/>
      <c r="B670" s="119"/>
      <c r="C670" s="118"/>
      <c r="D670" s="118"/>
      <c r="E670" s="118"/>
      <c r="F670" s="118"/>
      <c r="G670" s="118"/>
      <c r="H670" s="119" t="str">
        <f t="shared" si="2"/>
        <v> </v>
      </c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</row>
    <row r="671">
      <c r="A671" s="119"/>
      <c r="B671" s="119"/>
      <c r="C671" s="118"/>
      <c r="D671" s="118"/>
      <c r="E671" s="118"/>
      <c r="F671" s="118"/>
      <c r="G671" s="118"/>
      <c r="H671" s="119" t="str">
        <f t="shared" si="2"/>
        <v> </v>
      </c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</row>
    <row r="672">
      <c r="A672" s="119"/>
      <c r="B672" s="119"/>
      <c r="C672" s="118"/>
      <c r="D672" s="118"/>
      <c r="E672" s="118"/>
      <c r="F672" s="118"/>
      <c r="G672" s="118"/>
      <c r="H672" s="119" t="str">
        <f t="shared" si="2"/>
        <v> </v>
      </c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</row>
    <row r="673">
      <c r="A673" s="119"/>
      <c r="B673" s="119"/>
      <c r="C673" s="118"/>
      <c r="D673" s="118"/>
      <c r="E673" s="118"/>
      <c r="F673" s="118"/>
      <c r="G673" s="118"/>
      <c r="H673" s="119" t="str">
        <f t="shared" si="2"/>
        <v> </v>
      </c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</row>
    <row r="674">
      <c r="A674" s="119"/>
      <c r="B674" s="119"/>
      <c r="C674" s="118"/>
      <c r="D674" s="118"/>
      <c r="E674" s="118"/>
      <c r="F674" s="118"/>
      <c r="G674" s="118"/>
      <c r="H674" s="119" t="str">
        <f t="shared" si="2"/>
        <v> </v>
      </c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</row>
    <row r="675">
      <c r="A675" s="119"/>
      <c r="B675" s="119"/>
      <c r="C675" s="118"/>
      <c r="D675" s="118"/>
      <c r="E675" s="118"/>
      <c r="F675" s="118"/>
      <c r="G675" s="118"/>
      <c r="H675" s="119" t="str">
        <f t="shared" si="2"/>
        <v> </v>
      </c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</row>
    <row r="676">
      <c r="A676" s="119"/>
      <c r="B676" s="119"/>
      <c r="C676" s="118"/>
      <c r="D676" s="118"/>
      <c r="E676" s="118"/>
      <c r="F676" s="118"/>
      <c r="G676" s="118"/>
      <c r="H676" s="119" t="str">
        <f t="shared" si="2"/>
        <v> </v>
      </c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</row>
    <row r="677">
      <c r="A677" s="119"/>
      <c r="B677" s="119"/>
      <c r="C677" s="118"/>
      <c r="D677" s="118"/>
      <c r="E677" s="118"/>
      <c r="F677" s="118"/>
      <c r="G677" s="118"/>
      <c r="H677" s="119" t="str">
        <f t="shared" si="2"/>
        <v> </v>
      </c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</row>
    <row r="678">
      <c r="A678" s="119"/>
      <c r="B678" s="119"/>
      <c r="C678" s="118"/>
      <c r="D678" s="118"/>
      <c r="E678" s="118"/>
      <c r="F678" s="118"/>
      <c r="G678" s="118"/>
      <c r="H678" s="119" t="str">
        <f t="shared" si="2"/>
        <v> </v>
      </c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</row>
    <row r="679">
      <c r="A679" s="119"/>
      <c r="B679" s="119"/>
      <c r="C679" s="118"/>
      <c r="D679" s="118"/>
      <c r="E679" s="118"/>
      <c r="F679" s="118"/>
      <c r="G679" s="118"/>
      <c r="H679" s="119" t="str">
        <f t="shared" si="2"/>
        <v> </v>
      </c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</row>
    <row r="680">
      <c r="A680" s="119"/>
      <c r="B680" s="119"/>
      <c r="C680" s="118"/>
      <c r="D680" s="118"/>
      <c r="E680" s="118"/>
      <c r="F680" s="118"/>
      <c r="G680" s="118"/>
      <c r="H680" s="119" t="str">
        <f t="shared" si="2"/>
        <v> </v>
      </c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</row>
    <row r="681">
      <c r="A681" s="119"/>
      <c r="B681" s="119"/>
      <c r="C681" s="118"/>
      <c r="D681" s="118"/>
      <c r="E681" s="118"/>
      <c r="F681" s="118"/>
      <c r="G681" s="118"/>
      <c r="H681" s="119" t="str">
        <f t="shared" si="2"/>
        <v> </v>
      </c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</row>
    <row r="682">
      <c r="A682" s="119"/>
      <c r="B682" s="119"/>
      <c r="C682" s="118"/>
      <c r="D682" s="118"/>
      <c r="E682" s="118"/>
      <c r="F682" s="118"/>
      <c r="G682" s="118"/>
      <c r="H682" s="119" t="str">
        <f t="shared" si="2"/>
        <v> </v>
      </c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</row>
    <row r="683">
      <c r="A683" s="119"/>
      <c r="B683" s="119"/>
      <c r="C683" s="118"/>
      <c r="D683" s="118"/>
      <c r="E683" s="118"/>
      <c r="F683" s="118"/>
      <c r="G683" s="118"/>
      <c r="H683" s="119" t="str">
        <f t="shared" si="2"/>
        <v> </v>
      </c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</row>
    <row r="684">
      <c r="A684" s="119"/>
      <c r="B684" s="119"/>
      <c r="C684" s="118"/>
      <c r="D684" s="118"/>
      <c r="E684" s="118"/>
      <c r="F684" s="118"/>
      <c r="G684" s="118"/>
      <c r="H684" s="119" t="str">
        <f t="shared" si="2"/>
        <v> </v>
      </c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</row>
    <row r="685">
      <c r="A685" s="119"/>
      <c r="B685" s="119"/>
      <c r="C685" s="118"/>
      <c r="D685" s="118"/>
      <c r="E685" s="118"/>
      <c r="F685" s="118"/>
      <c r="G685" s="118"/>
      <c r="H685" s="119" t="str">
        <f t="shared" si="2"/>
        <v> </v>
      </c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</row>
    <row r="686">
      <c r="A686" s="119"/>
      <c r="B686" s="119"/>
      <c r="C686" s="118"/>
      <c r="D686" s="118"/>
      <c r="E686" s="118"/>
      <c r="F686" s="118"/>
      <c r="G686" s="118"/>
      <c r="H686" s="119" t="str">
        <f t="shared" si="2"/>
        <v> </v>
      </c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</row>
    <row r="687">
      <c r="A687" s="119"/>
      <c r="B687" s="119"/>
      <c r="C687" s="118"/>
      <c r="D687" s="118"/>
      <c r="E687" s="118"/>
      <c r="F687" s="118"/>
      <c r="G687" s="118"/>
      <c r="H687" s="119" t="str">
        <f t="shared" si="2"/>
        <v> </v>
      </c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</row>
    <row r="688">
      <c r="A688" s="119"/>
      <c r="B688" s="119"/>
      <c r="C688" s="118"/>
      <c r="D688" s="118"/>
      <c r="E688" s="118"/>
      <c r="F688" s="118"/>
      <c r="G688" s="118"/>
      <c r="H688" s="119" t="str">
        <f t="shared" si="2"/>
        <v> </v>
      </c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</row>
    <row r="689">
      <c r="A689" s="119"/>
      <c r="B689" s="119"/>
      <c r="C689" s="118"/>
      <c r="D689" s="118"/>
      <c r="E689" s="118"/>
      <c r="F689" s="118"/>
      <c r="G689" s="118"/>
      <c r="H689" s="119" t="str">
        <f t="shared" si="2"/>
        <v> </v>
      </c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</row>
    <row r="690">
      <c r="A690" s="119"/>
      <c r="B690" s="119"/>
      <c r="C690" s="118"/>
      <c r="D690" s="118"/>
      <c r="E690" s="118"/>
      <c r="F690" s="118"/>
      <c r="G690" s="118"/>
      <c r="H690" s="119" t="str">
        <f t="shared" si="2"/>
        <v> </v>
      </c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</row>
    <row r="691">
      <c r="A691" s="119"/>
      <c r="B691" s="119"/>
      <c r="C691" s="118"/>
      <c r="D691" s="118"/>
      <c r="E691" s="118"/>
      <c r="F691" s="118"/>
      <c r="G691" s="118"/>
      <c r="H691" s="119" t="str">
        <f t="shared" si="2"/>
        <v> </v>
      </c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</row>
    <row r="692">
      <c r="A692" s="119"/>
      <c r="B692" s="119"/>
      <c r="C692" s="118"/>
      <c r="D692" s="118"/>
      <c r="E692" s="118"/>
      <c r="F692" s="118"/>
      <c r="G692" s="118"/>
      <c r="H692" s="119" t="str">
        <f t="shared" si="2"/>
        <v> </v>
      </c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</row>
    <row r="693">
      <c r="A693" s="119"/>
      <c r="B693" s="119"/>
      <c r="C693" s="118"/>
      <c r="D693" s="118"/>
      <c r="E693" s="118"/>
      <c r="F693" s="118"/>
      <c r="G693" s="118"/>
      <c r="H693" s="119" t="str">
        <f t="shared" si="2"/>
        <v> </v>
      </c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</row>
    <row r="694">
      <c r="A694" s="119"/>
      <c r="B694" s="119"/>
      <c r="C694" s="118"/>
      <c r="D694" s="118"/>
      <c r="E694" s="118"/>
      <c r="F694" s="118"/>
      <c r="G694" s="118"/>
      <c r="H694" s="119" t="str">
        <f t="shared" si="2"/>
        <v> </v>
      </c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</row>
    <row r="695">
      <c r="A695" s="119"/>
      <c r="B695" s="119"/>
      <c r="C695" s="118"/>
      <c r="D695" s="118"/>
      <c r="E695" s="118"/>
      <c r="F695" s="118"/>
      <c r="G695" s="118"/>
      <c r="H695" s="119" t="str">
        <f t="shared" si="2"/>
        <v> </v>
      </c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</row>
    <row r="696">
      <c r="A696" s="119"/>
      <c r="B696" s="119"/>
      <c r="C696" s="118"/>
      <c r="D696" s="118"/>
      <c r="E696" s="118"/>
      <c r="F696" s="118"/>
      <c r="G696" s="118"/>
      <c r="H696" s="119" t="str">
        <f t="shared" si="2"/>
        <v> </v>
      </c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</row>
    <row r="697">
      <c r="A697" s="119"/>
      <c r="B697" s="119"/>
      <c r="C697" s="118"/>
      <c r="D697" s="118"/>
      <c r="E697" s="118"/>
      <c r="F697" s="118"/>
      <c r="G697" s="118"/>
      <c r="H697" s="119" t="str">
        <f t="shared" si="2"/>
        <v> </v>
      </c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</row>
    <row r="698">
      <c r="A698" s="119"/>
      <c r="B698" s="119"/>
      <c r="C698" s="118"/>
      <c r="D698" s="118"/>
      <c r="E698" s="118"/>
      <c r="F698" s="118"/>
      <c r="G698" s="118"/>
      <c r="H698" s="119" t="str">
        <f t="shared" si="2"/>
        <v> </v>
      </c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</row>
    <row r="699">
      <c r="A699" s="119"/>
      <c r="B699" s="119"/>
      <c r="C699" s="118"/>
      <c r="D699" s="118"/>
      <c r="E699" s="118"/>
      <c r="F699" s="118"/>
      <c r="G699" s="118"/>
      <c r="H699" s="119" t="str">
        <f t="shared" si="2"/>
        <v> </v>
      </c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</row>
    <row r="700">
      <c r="A700" s="119"/>
      <c r="B700" s="119"/>
      <c r="C700" s="118"/>
      <c r="D700" s="118"/>
      <c r="E700" s="118"/>
      <c r="F700" s="118"/>
      <c r="G700" s="118"/>
      <c r="H700" s="119" t="str">
        <f t="shared" si="2"/>
        <v> </v>
      </c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</row>
    <row r="701">
      <c r="A701" s="119"/>
      <c r="B701" s="119"/>
      <c r="C701" s="118"/>
      <c r="D701" s="118"/>
      <c r="E701" s="118"/>
      <c r="F701" s="118"/>
      <c r="G701" s="118"/>
      <c r="H701" s="119" t="str">
        <f t="shared" si="2"/>
        <v> </v>
      </c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</row>
    <row r="702">
      <c r="A702" s="119"/>
      <c r="B702" s="119"/>
      <c r="C702" s="118"/>
      <c r="D702" s="118"/>
      <c r="E702" s="118"/>
      <c r="F702" s="118"/>
      <c r="G702" s="118"/>
      <c r="H702" s="119" t="str">
        <f t="shared" si="2"/>
        <v> </v>
      </c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</row>
    <row r="703">
      <c r="A703" s="119"/>
      <c r="B703" s="119"/>
      <c r="C703" s="118"/>
      <c r="D703" s="118"/>
      <c r="E703" s="118"/>
      <c r="F703" s="118"/>
      <c r="G703" s="118"/>
      <c r="H703" s="119" t="str">
        <f t="shared" si="2"/>
        <v> </v>
      </c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</row>
    <row r="704">
      <c r="A704" s="119"/>
      <c r="B704" s="119"/>
      <c r="C704" s="118"/>
      <c r="D704" s="118"/>
      <c r="E704" s="118"/>
      <c r="F704" s="118"/>
      <c r="G704" s="118"/>
      <c r="H704" s="119" t="str">
        <f t="shared" si="2"/>
        <v> </v>
      </c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</row>
    <row r="705">
      <c r="A705" s="119"/>
      <c r="B705" s="119"/>
      <c r="C705" s="118"/>
      <c r="D705" s="118"/>
      <c r="E705" s="118"/>
      <c r="F705" s="118"/>
      <c r="G705" s="118"/>
      <c r="H705" s="119" t="str">
        <f t="shared" si="2"/>
        <v> </v>
      </c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</row>
    <row r="706">
      <c r="A706" s="119"/>
      <c r="B706" s="119"/>
      <c r="C706" s="118"/>
      <c r="D706" s="118"/>
      <c r="E706" s="118"/>
      <c r="F706" s="118"/>
      <c r="G706" s="118"/>
      <c r="H706" s="119" t="str">
        <f t="shared" si="2"/>
        <v> </v>
      </c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</row>
    <row r="707">
      <c r="A707" s="119"/>
      <c r="B707" s="119"/>
      <c r="C707" s="118"/>
      <c r="D707" s="118"/>
      <c r="E707" s="118"/>
      <c r="F707" s="118"/>
      <c r="G707" s="118"/>
      <c r="H707" s="119" t="str">
        <f t="shared" si="2"/>
        <v> </v>
      </c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</row>
    <row r="708">
      <c r="A708" s="119"/>
      <c r="B708" s="119"/>
      <c r="C708" s="118"/>
      <c r="D708" s="118"/>
      <c r="E708" s="118"/>
      <c r="F708" s="118"/>
      <c r="G708" s="118"/>
      <c r="H708" s="119" t="str">
        <f t="shared" si="2"/>
        <v> </v>
      </c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</row>
    <row r="709">
      <c r="A709" s="119"/>
      <c r="B709" s="119"/>
      <c r="C709" s="118"/>
      <c r="D709" s="118"/>
      <c r="E709" s="118"/>
      <c r="F709" s="118"/>
      <c r="G709" s="118"/>
      <c r="H709" s="119" t="str">
        <f t="shared" si="2"/>
        <v> </v>
      </c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</row>
    <row r="710">
      <c r="A710" s="119"/>
      <c r="B710" s="119"/>
      <c r="C710" s="118"/>
      <c r="D710" s="118"/>
      <c r="E710" s="118"/>
      <c r="F710" s="118"/>
      <c r="G710" s="118"/>
      <c r="H710" s="119" t="str">
        <f t="shared" si="2"/>
        <v> </v>
      </c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</row>
    <row r="711">
      <c r="A711" s="119"/>
      <c r="B711" s="119"/>
      <c r="C711" s="118"/>
      <c r="D711" s="118"/>
      <c r="E711" s="118"/>
      <c r="F711" s="118"/>
      <c r="G711" s="118"/>
      <c r="H711" s="119" t="str">
        <f t="shared" si="2"/>
        <v> </v>
      </c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</row>
    <row r="712">
      <c r="A712" s="119"/>
      <c r="B712" s="119"/>
      <c r="C712" s="118"/>
      <c r="D712" s="118"/>
      <c r="E712" s="118"/>
      <c r="F712" s="118"/>
      <c r="G712" s="118"/>
      <c r="H712" s="119" t="str">
        <f t="shared" si="2"/>
        <v> </v>
      </c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</row>
    <row r="713">
      <c r="A713" s="119"/>
      <c r="B713" s="119"/>
      <c r="C713" s="118"/>
      <c r="D713" s="118"/>
      <c r="E713" s="118"/>
      <c r="F713" s="118"/>
      <c r="G713" s="118"/>
      <c r="H713" s="119" t="str">
        <f t="shared" si="2"/>
        <v> </v>
      </c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</row>
    <row r="714">
      <c r="A714" s="119"/>
      <c r="B714" s="119"/>
      <c r="C714" s="118"/>
      <c r="D714" s="118"/>
      <c r="E714" s="118"/>
      <c r="F714" s="118"/>
      <c r="G714" s="118"/>
      <c r="H714" s="119" t="str">
        <f t="shared" si="2"/>
        <v> </v>
      </c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</row>
    <row r="715">
      <c r="A715" s="119"/>
      <c r="B715" s="119"/>
      <c r="C715" s="118"/>
      <c r="D715" s="118"/>
      <c r="E715" s="118"/>
      <c r="F715" s="118"/>
      <c r="G715" s="118"/>
      <c r="H715" s="119" t="str">
        <f t="shared" si="2"/>
        <v> </v>
      </c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</row>
    <row r="716">
      <c r="A716" s="119"/>
      <c r="B716" s="119"/>
      <c r="C716" s="118"/>
      <c r="D716" s="118"/>
      <c r="E716" s="118"/>
      <c r="F716" s="118"/>
      <c r="G716" s="118"/>
      <c r="H716" s="119" t="str">
        <f t="shared" si="2"/>
        <v> </v>
      </c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</row>
    <row r="717">
      <c r="A717" s="119"/>
      <c r="B717" s="119"/>
      <c r="C717" s="118"/>
      <c r="D717" s="118"/>
      <c r="E717" s="118"/>
      <c r="F717" s="118"/>
      <c r="G717" s="118"/>
      <c r="H717" s="119" t="str">
        <f t="shared" si="2"/>
        <v> </v>
      </c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</row>
    <row r="718">
      <c r="A718" s="119"/>
      <c r="B718" s="119"/>
      <c r="C718" s="118"/>
      <c r="D718" s="118"/>
      <c r="E718" s="118"/>
      <c r="F718" s="118"/>
      <c r="G718" s="118"/>
      <c r="H718" s="119" t="str">
        <f t="shared" si="2"/>
        <v> </v>
      </c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</row>
    <row r="719">
      <c r="A719" s="119"/>
      <c r="B719" s="119"/>
      <c r="C719" s="118"/>
      <c r="D719" s="118"/>
      <c r="E719" s="118"/>
      <c r="F719" s="118"/>
      <c r="G719" s="118"/>
      <c r="H719" s="119" t="str">
        <f t="shared" si="2"/>
        <v> </v>
      </c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</row>
    <row r="720">
      <c r="A720" s="119"/>
      <c r="B720" s="119"/>
      <c r="C720" s="118"/>
      <c r="D720" s="118"/>
      <c r="E720" s="118"/>
      <c r="F720" s="118"/>
      <c r="G720" s="118"/>
      <c r="H720" s="119" t="str">
        <f t="shared" si="2"/>
        <v> </v>
      </c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</row>
    <row r="721">
      <c r="A721" s="119"/>
      <c r="B721" s="119"/>
      <c r="C721" s="118"/>
      <c r="D721" s="118"/>
      <c r="E721" s="118"/>
      <c r="F721" s="118"/>
      <c r="G721" s="118"/>
      <c r="H721" s="119" t="str">
        <f t="shared" si="2"/>
        <v> </v>
      </c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</row>
    <row r="722">
      <c r="A722" s="119"/>
      <c r="B722" s="119"/>
      <c r="C722" s="118"/>
      <c r="D722" s="118"/>
      <c r="E722" s="118"/>
      <c r="F722" s="118"/>
      <c r="G722" s="118"/>
      <c r="H722" s="119" t="str">
        <f t="shared" si="2"/>
        <v> </v>
      </c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</row>
    <row r="723">
      <c r="A723" s="119"/>
      <c r="B723" s="119"/>
      <c r="C723" s="118"/>
      <c r="D723" s="118"/>
      <c r="E723" s="118"/>
      <c r="F723" s="118"/>
      <c r="G723" s="118"/>
      <c r="H723" s="119" t="str">
        <f t="shared" si="2"/>
        <v> </v>
      </c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</row>
    <row r="724">
      <c r="A724" s="119"/>
      <c r="B724" s="119"/>
      <c r="C724" s="118"/>
      <c r="D724" s="118"/>
      <c r="E724" s="118"/>
      <c r="F724" s="118"/>
      <c r="G724" s="118"/>
      <c r="H724" s="119" t="str">
        <f t="shared" si="2"/>
        <v> </v>
      </c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</row>
    <row r="725">
      <c r="A725" s="119"/>
      <c r="B725" s="119"/>
      <c r="C725" s="118"/>
      <c r="D725" s="118"/>
      <c r="E725" s="118"/>
      <c r="F725" s="118"/>
      <c r="G725" s="118"/>
      <c r="H725" s="119" t="str">
        <f t="shared" si="2"/>
        <v> </v>
      </c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</row>
    <row r="726">
      <c r="A726" s="119"/>
      <c r="B726" s="119"/>
      <c r="C726" s="118"/>
      <c r="D726" s="118"/>
      <c r="E726" s="118"/>
      <c r="F726" s="118"/>
      <c r="G726" s="118"/>
      <c r="H726" s="119" t="str">
        <f t="shared" si="2"/>
        <v> </v>
      </c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</row>
    <row r="727">
      <c r="A727" s="119"/>
      <c r="B727" s="119"/>
      <c r="C727" s="118"/>
      <c r="D727" s="118"/>
      <c r="E727" s="118"/>
      <c r="F727" s="118"/>
      <c r="G727" s="118"/>
      <c r="H727" s="119" t="str">
        <f t="shared" si="2"/>
        <v> </v>
      </c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</row>
    <row r="728">
      <c r="A728" s="119"/>
      <c r="B728" s="119"/>
      <c r="C728" s="118"/>
      <c r="D728" s="118"/>
      <c r="E728" s="118"/>
      <c r="F728" s="118"/>
      <c r="G728" s="118"/>
      <c r="H728" s="119" t="str">
        <f t="shared" si="2"/>
        <v> </v>
      </c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</row>
    <row r="729">
      <c r="A729" s="119"/>
      <c r="B729" s="119"/>
      <c r="C729" s="118"/>
      <c r="D729" s="118"/>
      <c r="E729" s="118"/>
      <c r="F729" s="118"/>
      <c r="G729" s="118"/>
      <c r="H729" s="119" t="str">
        <f t="shared" si="2"/>
        <v> </v>
      </c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</row>
    <row r="730">
      <c r="A730" s="119"/>
      <c r="B730" s="119"/>
      <c r="C730" s="118"/>
      <c r="D730" s="118"/>
      <c r="E730" s="118"/>
      <c r="F730" s="118"/>
      <c r="G730" s="118"/>
      <c r="H730" s="119" t="str">
        <f t="shared" si="2"/>
        <v> </v>
      </c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</row>
    <row r="731">
      <c r="A731" s="119"/>
      <c r="B731" s="119"/>
      <c r="C731" s="118"/>
      <c r="D731" s="118"/>
      <c r="E731" s="118"/>
      <c r="F731" s="118"/>
      <c r="G731" s="118"/>
      <c r="H731" s="119" t="str">
        <f t="shared" si="2"/>
        <v> </v>
      </c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</row>
    <row r="732">
      <c r="A732" s="119"/>
      <c r="B732" s="119"/>
      <c r="C732" s="118"/>
      <c r="D732" s="118"/>
      <c r="E732" s="118"/>
      <c r="F732" s="118"/>
      <c r="G732" s="118"/>
      <c r="H732" s="119" t="str">
        <f t="shared" si="2"/>
        <v> </v>
      </c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</row>
    <row r="733">
      <c r="A733" s="119"/>
      <c r="B733" s="119"/>
      <c r="C733" s="118"/>
      <c r="D733" s="118"/>
      <c r="E733" s="118"/>
      <c r="F733" s="118"/>
      <c r="G733" s="118"/>
      <c r="H733" s="119" t="str">
        <f t="shared" si="2"/>
        <v> </v>
      </c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</row>
    <row r="734">
      <c r="A734" s="119"/>
      <c r="B734" s="119"/>
      <c r="C734" s="118"/>
      <c r="D734" s="118"/>
      <c r="E734" s="118"/>
      <c r="F734" s="118"/>
      <c r="G734" s="118"/>
      <c r="H734" s="119" t="str">
        <f t="shared" si="2"/>
        <v> </v>
      </c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</row>
    <row r="735">
      <c r="A735" s="119"/>
      <c r="B735" s="119"/>
      <c r="C735" s="118"/>
      <c r="D735" s="118"/>
      <c r="E735" s="118"/>
      <c r="F735" s="118"/>
      <c r="G735" s="118"/>
      <c r="H735" s="119" t="str">
        <f t="shared" si="2"/>
        <v> </v>
      </c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</row>
    <row r="736">
      <c r="A736" s="119"/>
      <c r="B736" s="119"/>
      <c r="C736" s="118"/>
      <c r="D736" s="118"/>
      <c r="E736" s="118"/>
      <c r="F736" s="118"/>
      <c r="G736" s="118"/>
      <c r="H736" s="119" t="str">
        <f t="shared" si="2"/>
        <v> </v>
      </c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</row>
    <row r="737">
      <c r="A737" s="119"/>
      <c r="B737" s="119"/>
      <c r="C737" s="118"/>
      <c r="D737" s="118"/>
      <c r="E737" s="118"/>
      <c r="F737" s="118"/>
      <c r="G737" s="118"/>
      <c r="H737" s="119" t="str">
        <f t="shared" si="2"/>
        <v> </v>
      </c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</row>
    <row r="738">
      <c r="A738" s="119"/>
      <c r="B738" s="119"/>
      <c r="C738" s="118"/>
      <c r="D738" s="118"/>
      <c r="E738" s="118"/>
      <c r="F738" s="118"/>
      <c r="G738" s="118"/>
      <c r="H738" s="119" t="str">
        <f t="shared" si="2"/>
        <v> </v>
      </c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</row>
    <row r="739">
      <c r="A739" s="119"/>
      <c r="B739" s="119"/>
      <c r="C739" s="118"/>
      <c r="D739" s="118"/>
      <c r="E739" s="118"/>
      <c r="F739" s="118"/>
      <c r="G739" s="118"/>
      <c r="H739" s="119" t="str">
        <f t="shared" si="2"/>
        <v> </v>
      </c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</row>
    <row r="740">
      <c r="A740" s="119"/>
      <c r="B740" s="119"/>
      <c r="C740" s="118"/>
      <c r="D740" s="118"/>
      <c r="E740" s="118"/>
      <c r="F740" s="118"/>
      <c r="G740" s="118"/>
      <c r="H740" s="119" t="str">
        <f t="shared" si="2"/>
        <v> </v>
      </c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</row>
    <row r="741">
      <c r="A741" s="119"/>
      <c r="B741" s="119"/>
      <c r="C741" s="118"/>
      <c r="D741" s="118"/>
      <c r="E741" s="118"/>
      <c r="F741" s="118"/>
      <c r="G741" s="118"/>
      <c r="H741" s="119" t="str">
        <f t="shared" si="2"/>
        <v> </v>
      </c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</row>
    <row r="742">
      <c r="A742" s="119"/>
      <c r="B742" s="119"/>
      <c r="C742" s="118"/>
      <c r="D742" s="118"/>
      <c r="E742" s="118"/>
      <c r="F742" s="118"/>
      <c r="G742" s="118"/>
      <c r="H742" s="119" t="str">
        <f t="shared" si="2"/>
        <v> </v>
      </c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</row>
    <row r="743">
      <c r="A743" s="119"/>
      <c r="B743" s="119"/>
      <c r="C743" s="118"/>
      <c r="D743" s="118"/>
      <c r="E743" s="118"/>
      <c r="F743" s="118"/>
      <c r="G743" s="118"/>
      <c r="H743" s="119" t="str">
        <f t="shared" si="2"/>
        <v> </v>
      </c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</row>
    <row r="744">
      <c r="A744" s="119"/>
      <c r="B744" s="119"/>
      <c r="C744" s="118"/>
      <c r="D744" s="118"/>
      <c r="E744" s="118"/>
      <c r="F744" s="118"/>
      <c r="G744" s="118"/>
      <c r="H744" s="119" t="str">
        <f t="shared" si="2"/>
        <v> </v>
      </c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</row>
    <row r="745">
      <c r="A745" s="119"/>
      <c r="B745" s="119"/>
      <c r="C745" s="118"/>
      <c r="D745" s="118"/>
      <c r="E745" s="118"/>
      <c r="F745" s="118"/>
      <c r="G745" s="118"/>
      <c r="H745" s="119" t="str">
        <f t="shared" si="2"/>
        <v> </v>
      </c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</row>
    <row r="746">
      <c r="A746" s="119"/>
      <c r="B746" s="119"/>
      <c r="C746" s="118"/>
      <c r="D746" s="118"/>
      <c r="E746" s="118"/>
      <c r="F746" s="118"/>
      <c r="G746" s="118"/>
      <c r="H746" s="119" t="str">
        <f t="shared" si="2"/>
        <v> </v>
      </c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</row>
    <row r="747">
      <c r="A747" s="119"/>
      <c r="B747" s="119"/>
      <c r="C747" s="118"/>
      <c r="D747" s="118"/>
      <c r="E747" s="118"/>
      <c r="F747" s="118"/>
      <c r="G747" s="118"/>
      <c r="H747" s="119" t="str">
        <f t="shared" si="2"/>
        <v> </v>
      </c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</row>
    <row r="748">
      <c r="A748" s="119"/>
      <c r="B748" s="119"/>
      <c r="C748" s="118"/>
      <c r="D748" s="118"/>
      <c r="E748" s="118"/>
      <c r="F748" s="118"/>
      <c r="G748" s="118"/>
      <c r="H748" s="119" t="str">
        <f t="shared" si="2"/>
        <v> </v>
      </c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</row>
    <row r="749">
      <c r="A749" s="119"/>
      <c r="B749" s="119"/>
      <c r="C749" s="118"/>
      <c r="D749" s="118"/>
      <c r="E749" s="118"/>
      <c r="F749" s="118"/>
      <c r="G749" s="118"/>
      <c r="H749" s="119" t="str">
        <f t="shared" si="2"/>
        <v> </v>
      </c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</row>
    <row r="750">
      <c r="A750" s="119"/>
      <c r="B750" s="119"/>
      <c r="C750" s="118"/>
      <c r="D750" s="118"/>
      <c r="E750" s="118"/>
      <c r="F750" s="118"/>
      <c r="G750" s="118"/>
      <c r="H750" s="119" t="str">
        <f t="shared" si="2"/>
        <v> </v>
      </c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</row>
    <row r="751">
      <c r="A751" s="119"/>
      <c r="B751" s="119"/>
      <c r="C751" s="118"/>
      <c r="D751" s="118"/>
      <c r="E751" s="118"/>
      <c r="F751" s="118"/>
      <c r="G751" s="118"/>
      <c r="H751" s="119" t="str">
        <f t="shared" si="2"/>
        <v> </v>
      </c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</row>
    <row r="752">
      <c r="A752" s="119"/>
      <c r="B752" s="119"/>
      <c r="C752" s="118"/>
      <c r="D752" s="118"/>
      <c r="E752" s="118"/>
      <c r="F752" s="118"/>
      <c r="G752" s="118"/>
      <c r="H752" s="119" t="str">
        <f t="shared" si="2"/>
        <v> </v>
      </c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</row>
    <row r="753">
      <c r="A753" s="119"/>
      <c r="B753" s="119"/>
      <c r="C753" s="118"/>
      <c r="D753" s="118"/>
      <c r="E753" s="118"/>
      <c r="F753" s="118"/>
      <c r="G753" s="118"/>
      <c r="H753" s="119" t="str">
        <f t="shared" si="2"/>
        <v> </v>
      </c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</row>
    <row r="754">
      <c r="A754" s="119"/>
      <c r="B754" s="119"/>
      <c r="C754" s="118"/>
      <c r="D754" s="118"/>
      <c r="E754" s="118"/>
      <c r="F754" s="118"/>
      <c r="G754" s="118"/>
      <c r="H754" s="119" t="str">
        <f t="shared" si="2"/>
        <v> </v>
      </c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</row>
    <row r="755">
      <c r="A755" s="119"/>
      <c r="B755" s="119"/>
      <c r="C755" s="118"/>
      <c r="D755" s="118"/>
      <c r="E755" s="118"/>
      <c r="F755" s="118"/>
      <c r="G755" s="118"/>
      <c r="H755" s="119" t="str">
        <f t="shared" si="2"/>
        <v> </v>
      </c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</row>
    <row r="756">
      <c r="A756" s="119"/>
      <c r="B756" s="119"/>
      <c r="C756" s="118"/>
      <c r="D756" s="118"/>
      <c r="E756" s="118"/>
      <c r="F756" s="118"/>
      <c r="G756" s="118"/>
      <c r="H756" s="119" t="str">
        <f t="shared" si="2"/>
        <v> </v>
      </c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</row>
    <row r="757">
      <c r="A757" s="119"/>
      <c r="B757" s="119"/>
      <c r="C757" s="118"/>
      <c r="D757" s="118"/>
      <c r="E757" s="118"/>
      <c r="F757" s="118"/>
      <c r="G757" s="118"/>
      <c r="H757" s="119" t="str">
        <f t="shared" si="2"/>
        <v> </v>
      </c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</row>
    <row r="758">
      <c r="A758" s="119"/>
      <c r="B758" s="119"/>
      <c r="C758" s="118"/>
      <c r="D758" s="118"/>
      <c r="E758" s="118"/>
      <c r="F758" s="118"/>
      <c r="G758" s="118"/>
      <c r="H758" s="119" t="str">
        <f t="shared" si="2"/>
        <v> </v>
      </c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</row>
    <row r="759">
      <c r="A759" s="119"/>
      <c r="B759" s="119"/>
      <c r="C759" s="118"/>
      <c r="D759" s="118"/>
      <c r="E759" s="118"/>
      <c r="F759" s="118"/>
      <c r="G759" s="118"/>
      <c r="H759" s="119" t="str">
        <f t="shared" si="2"/>
        <v> </v>
      </c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</row>
    <row r="760">
      <c r="A760" s="119"/>
      <c r="B760" s="119"/>
      <c r="C760" s="118"/>
      <c r="D760" s="118"/>
      <c r="E760" s="118"/>
      <c r="F760" s="118"/>
      <c r="G760" s="118"/>
      <c r="H760" s="119" t="str">
        <f t="shared" si="2"/>
        <v> </v>
      </c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</row>
    <row r="761">
      <c r="A761" s="119"/>
      <c r="B761" s="119"/>
      <c r="C761" s="118"/>
      <c r="D761" s="118"/>
      <c r="E761" s="118"/>
      <c r="F761" s="118"/>
      <c r="G761" s="118"/>
      <c r="H761" s="119" t="str">
        <f t="shared" si="2"/>
        <v> </v>
      </c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</row>
    <row r="762">
      <c r="A762" s="119"/>
      <c r="B762" s="119"/>
      <c r="C762" s="118"/>
      <c r="D762" s="118"/>
      <c r="E762" s="118"/>
      <c r="F762" s="118"/>
      <c r="G762" s="118"/>
      <c r="H762" s="119" t="str">
        <f t="shared" si="2"/>
        <v> </v>
      </c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</row>
    <row r="763">
      <c r="A763" s="119"/>
      <c r="B763" s="119"/>
      <c r="C763" s="118"/>
      <c r="D763" s="118"/>
      <c r="E763" s="118"/>
      <c r="F763" s="118"/>
      <c r="G763" s="118"/>
      <c r="H763" s="119" t="str">
        <f t="shared" si="2"/>
        <v> </v>
      </c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</row>
    <row r="764">
      <c r="A764" s="119"/>
      <c r="B764" s="119"/>
      <c r="C764" s="118"/>
      <c r="D764" s="118"/>
      <c r="E764" s="118"/>
      <c r="F764" s="118"/>
      <c r="G764" s="118"/>
      <c r="H764" s="119" t="str">
        <f t="shared" si="2"/>
        <v> </v>
      </c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</row>
    <row r="765">
      <c r="A765" s="119"/>
      <c r="B765" s="119"/>
      <c r="C765" s="118"/>
      <c r="D765" s="118"/>
      <c r="E765" s="118"/>
      <c r="F765" s="118"/>
      <c r="G765" s="118"/>
      <c r="H765" s="119" t="str">
        <f t="shared" si="2"/>
        <v> </v>
      </c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</row>
    <row r="766">
      <c r="A766" s="119"/>
      <c r="B766" s="119"/>
      <c r="C766" s="118"/>
      <c r="D766" s="118"/>
      <c r="E766" s="118"/>
      <c r="F766" s="118"/>
      <c r="G766" s="118"/>
      <c r="H766" s="119" t="str">
        <f t="shared" si="2"/>
        <v> </v>
      </c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</row>
    <row r="767">
      <c r="A767" s="119"/>
      <c r="B767" s="119"/>
      <c r="C767" s="118"/>
      <c r="D767" s="118"/>
      <c r="E767" s="118"/>
      <c r="F767" s="118"/>
      <c r="G767" s="118"/>
      <c r="H767" s="119" t="str">
        <f t="shared" si="2"/>
        <v> </v>
      </c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</row>
    <row r="768">
      <c r="A768" s="119"/>
      <c r="B768" s="119"/>
      <c r="C768" s="118"/>
      <c r="D768" s="118"/>
      <c r="E768" s="118"/>
      <c r="F768" s="118"/>
      <c r="G768" s="118"/>
      <c r="H768" s="119" t="str">
        <f t="shared" si="2"/>
        <v> </v>
      </c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</row>
    <row r="769">
      <c r="A769" s="119"/>
      <c r="B769" s="119"/>
      <c r="C769" s="118"/>
      <c r="D769" s="118"/>
      <c r="E769" s="118"/>
      <c r="F769" s="118"/>
      <c r="G769" s="118"/>
      <c r="H769" s="119" t="str">
        <f t="shared" si="2"/>
        <v> </v>
      </c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</row>
    <row r="770">
      <c r="A770" s="119"/>
      <c r="B770" s="119"/>
      <c r="C770" s="118"/>
      <c r="D770" s="118"/>
      <c r="E770" s="118"/>
      <c r="F770" s="118"/>
      <c r="G770" s="118"/>
      <c r="H770" s="119" t="str">
        <f t="shared" si="2"/>
        <v> </v>
      </c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</row>
    <row r="771">
      <c r="A771" s="119"/>
      <c r="B771" s="119"/>
      <c r="C771" s="118"/>
      <c r="D771" s="118"/>
      <c r="E771" s="118"/>
      <c r="F771" s="118"/>
      <c r="G771" s="118"/>
      <c r="H771" s="119" t="str">
        <f t="shared" si="2"/>
        <v> </v>
      </c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</row>
    <row r="772">
      <c r="A772" s="119"/>
      <c r="B772" s="119"/>
      <c r="C772" s="118"/>
      <c r="D772" s="118"/>
      <c r="E772" s="118"/>
      <c r="F772" s="118"/>
      <c r="G772" s="118"/>
      <c r="H772" s="119" t="str">
        <f t="shared" si="2"/>
        <v> </v>
      </c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</row>
    <row r="773">
      <c r="A773" s="119"/>
      <c r="B773" s="119"/>
      <c r="C773" s="118"/>
      <c r="D773" s="118"/>
      <c r="E773" s="118"/>
      <c r="F773" s="118"/>
      <c r="G773" s="118"/>
      <c r="H773" s="119" t="str">
        <f t="shared" si="2"/>
        <v> </v>
      </c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</row>
    <row r="774">
      <c r="A774" s="119"/>
      <c r="B774" s="119"/>
      <c r="C774" s="118"/>
      <c r="D774" s="118"/>
      <c r="E774" s="118"/>
      <c r="F774" s="118"/>
      <c r="G774" s="118"/>
      <c r="H774" s="119" t="str">
        <f t="shared" si="2"/>
        <v> </v>
      </c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</row>
    <row r="775">
      <c r="A775" s="119"/>
      <c r="B775" s="119"/>
      <c r="C775" s="118"/>
      <c r="D775" s="118"/>
      <c r="E775" s="118"/>
      <c r="F775" s="118"/>
      <c r="G775" s="118"/>
      <c r="H775" s="119" t="str">
        <f t="shared" si="2"/>
        <v> </v>
      </c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</row>
    <row r="776">
      <c r="A776" s="119"/>
      <c r="B776" s="119"/>
      <c r="C776" s="118"/>
      <c r="D776" s="118"/>
      <c r="E776" s="118"/>
      <c r="F776" s="118"/>
      <c r="G776" s="118"/>
      <c r="H776" s="119" t="str">
        <f t="shared" si="2"/>
        <v> </v>
      </c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</row>
    <row r="777">
      <c r="A777" s="119"/>
      <c r="B777" s="119"/>
      <c r="C777" s="118"/>
      <c r="D777" s="118"/>
      <c r="E777" s="118"/>
      <c r="F777" s="118"/>
      <c r="G777" s="118"/>
      <c r="H777" s="119" t="str">
        <f t="shared" si="2"/>
        <v> </v>
      </c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</row>
    <row r="778">
      <c r="A778" s="119"/>
      <c r="B778" s="119"/>
      <c r="C778" s="118"/>
      <c r="D778" s="118"/>
      <c r="E778" s="118"/>
      <c r="F778" s="118"/>
      <c r="G778" s="118"/>
      <c r="H778" s="119" t="str">
        <f t="shared" si="2"/>
        <v> </v>
      </c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</row>
    <row r="779">
      <c r="A779" s="119"/>
      <c r="B779" s="119"/>
      <c r="C779" s="118"/>
      <c r="D779" s="118"/>
      <c r="E779" s="118"/>
      <c r="F779" s="118"/>
      <c r="G779" s="118"/>
      <c r="H779" s="119" t="str">
        <f t="shared" si="2"/>
        <v> </v>
      </c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</row>
    <row r="780">
      <c r="A780" s="119"/>
      <c r="B780" s="119"/>
      <c r="C780" s="118"/>
      <c r="D780" s="118"/>
      <c r="E780" s="118"/>
      <c r="F780" s="118"/>
      <c r="G780" s="118"/>
      <c r="H780" s="119" t="str">
        <f t="shared" si="2"/>
        <v> </v>
      </c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</row>
    <row r="781">
      <c r="A781" s="119"/>
      <c r="B781" s="119"/>
      <c r="C781" s="118"/>
      <c r="D781" s="118"/>
      <c r="E781" s="118"/>
      <c r="F781" s="118"/>
      <c r="G781" s="118"/>
      <c r="H781" s="119" t="str">
        <f t="shared" si="2"/>
        <v> </v>
      </c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</row>
    <row r="782">
      <c r="A782" s="119"/>
      <c r="B782" s="119"/>
      <c r="C782" s="118"/>
      <c r="D782" s="118"/>
      <c r="E782" s="118"/>
      <c r="F782" s="118"/>
      <c r="G782" s="118"/>
      <c r="H782" s="119" t="str">
        <f t="shared" si="2"/>
        <v> </v>
      </c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</row>
    <row r="783">
      <c r="A783" s="119"/>
      <c r="B783" s="119"/>
      <c r="C783" s="118"/>
      <c r="D783" s="118"/>
      <c r="E783" s="118"/>
      <c r="F783" s="118"/>
      <c r="G783" s="118"/>
      <c r="H783" s="119" t="str">
        <f t="shared" si="2"/>
        <v> </v>
      </c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</row>
    <row r="784">
      <c r="A784" s="119"/>
      <c r="B784" s="119"/>
      <c r="C784" s="118"/>
      <c r="D784" s="118"/>
      <c r="E784" s="118"/>
      <c r="F784" s="118"/>
      <c r="G784" s="118"/>
      <c r="H784" s="119" t="str">
        <f t="shared" si="2"/>
        <v> </v>
      </c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</row>
    <row r="785">
      <c r="A785" s="119"/>
      <c r="B785" s="119"/>
      <c r="C785" s="118"/>
      <c r="D785" s="118"/>
      <c r="E785" s="118"/>
      <c r="F785" s="118"/>
      <c r="G785" s="118"/>
      <c r="H785" s="119" t="str">
        <f t="shared" si="2"/>
        <v> </v>
      </c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</row>
    <row r="786">
      <c r="A786" s="119"/>
      <c r="B786" s="119"/>
      <c r="C786" s="118"/>
      <c r="D786" s="118"/>
      <c r="E786" s="118"/>
      <c r="F786" s="118"/>
      <c r="G786" s="118"/>
      <c r="H786" s="119" t="str">
        <f t="shared" si="2"/>
        <v> </v>
      </c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</row>
    <row r="787">
      <c r="A787" s="119"/>
      <c r="B787" s="119"/>
      <c r="C787" s="118"/>
      <c r="D787" s="118"/>
      <c r="E787" s="118"/>
      <c r="F787" s="118"/>
      <c r="G787" s="118"/>
      <c r="H787" s="119" t="str">
        <f t="shared" si="2"/>
        <v> </v>
      </c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</row>
    <row r="788">
      <c r="A788" s="119"/>
      <c r="B788" s="119"/>
      <c r="C788" s="118"/>
      <c r="D788" s="118"/>
      <c r="E788" s="118"/>
      <c r="F788" s="118"/>
      <c r="G788" s="118"/>
      <c r="H788" s="119" t="str">
        <f t="shared" si="2"/>
        <v> </v>
      </c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</row>
    <row r="789">
      <c r="A789" s="119"/>
      <c r="B789" s="119"/>
      <c r="C789" s="118"/>
      <c r="D789" s="118"/>
      <c r="E789" s="118"/>
      <c r="F789" s="118"/>
      <c r="G789" s="118"/>
      <c r="H789" s="119" t="str">
        <f t="shared" si="2"/>
        <v> </v>
      </c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</row>
    <row r="790">
      <c r="A790" s="119"/>
      <c r="B790" s="119"/>
      <c r="C790" s="118"/>
      <c r="D790" s="118"/>
      <c r="E790" s="118"/>
      <c r="F790" s="118"/>
      <c r="G790" s="118"/>
      <c r="H790" s="119" t="str">
        <f t="shared" si="2"/>
        <v> </v>
      </c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</row>
    <row r="791">
      <c r="A791" s="119"/>
      <c r="B791" s="119"/>
      <c r="C791" s="118"/>
      <c r="D791" s="118"/>
      <c r="E791" s="118"/>
      <c r="F791" s="118"/>
      <c r="G791" s="118"/>
      <c r="H791" s="119" t="str">
        <f t="shared" si="2"/>
        <v> </v>
      </c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</row>
    <row r="792">
      <c r="A792" s="119"/>
      <c r="B792" s="119"/>
      <c r="C792" s="118"/>
      <c r="D792" s="118"/>
      <c r="E792" s="118"/>
      <c r="F792" s="118"/>
      <c r="G792" s="118"/>
      <c r="H792" s="119" t="str">
        <f t="shared" si="2"/>
        <v> </v>
      </c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</row>
    <row r="793">
      <c r="A793" s="119"/>
      <c r="B793" s="119"/>
      <c r="C793" s="118"/>
      <c r="D793" s="118"/>
      <c r="E793" s="118"/>
      <c r="F793" s="118"/>
      <c r="G793" s="118"/>
      <c r="H793" s="119" t="str">
        <f t="shared" si="2"/>
        <v> </v>
      </c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</row>
    <row r="794">
      <c r="A794" s="119"/>
      <c r="B794" s="119"/>
      <c r="C794" s="118"/>
      <c r="D794" s="118"/>
      <c r="E794" s="118"/>
      <c r="F794" s="118"/>
      <c r="G794" s="118"/>
      <c r="H794" s="119" t="str">
        <f t="shared" si="2"/>
        <v> </v>
      </c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</row>
    <row r="795">
      <c r="A795" s="119"/>
      <c r="B795" s="119"/>
      <c r="C795" s="118"/>
      <c r="D795" s="118"/>
      <c r="E795" s="118"/>
      <c r="F795" s="118"/>
      <c r="G795" s="118"/>
      <c r="H795" s="119" t="str">
        <f t="shared" si="2"/>
        <v> </v>
      </c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</row>
    <row r="796">
      <c r="A796" s="119"/>
      <c r="B796" s="119"/>
      <c r="C796" s="118"/>
      <c r="D796" s="118"/>
      <c r="E796" s="118"/>
      <c r="F796" s="118"/>
      <c r="G796" s="118"/>
      <c r="H796" s="119" t="str">
        <f t="shared" si="2"/>
        <v> </v>
      </c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</row>
    <row r="797">
      <c r="A797" s="119"/>
      <c r="B797" s="119"/>
      <c r="C797" s="118"/>
      <c r="D797" s="118"/>
      <c r="E797" s="118"/>
      <c r="F797" s="118"/>
      <c r="G797" s="118"/>
      <c r="H797" s="119" t="str">
        <f t="shared" si="2"/>
        <v> </v>
      </c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</row>
    <row r="798">
      <c r="A798" s="119"/>
      <c r="B798" s="119"/>
      <c r="C798" s="118"/>
      <c r="D798" s="118"/>
      <c r="E798" s="118"/>
      <c r="F798" s="118"/>
      <c r="G798" s="118"/>
      <c r="H798" s="119" t="str">
        <f t="shared" si="2"/>
        <v> </v>
      </c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</row>
    <row r="799">
      <c r="A799" s="119"/>
      <c r="B799" s="119"/>
      <c r="C799" s="118"/>
      <c r="D799" s="118"/>
      <c r="E799" s="118"/>
      <c r="F799" s="118"/>
      <c r="G799" s="118"/>
      <c r="H799" s="119" t="str">
        <f t="shared" si="2"/>
        <v> </v>
      </c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</row>
    <row r="800">
      <c r="A800" s="119"/>
      <c r="B800" s="119"/>
      <c r="C800" s="118"/>
      <c r="D800" s="118"/>
      <c r="E800" s="118"/>
      <c r="F800" s="118"/>
      <c r="G800" s="118"/>
      <c r="H800" s="119" t="str">
        <f t="shared" si="2"/>
        <v> </v>
      </c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</row>
    <row r="801">
      <c r="A801" s="119"/>
      <c r="B801" s="119"/>
      <c r="C801" s="118"/>
      <c r="D801" s="118"/>
      <c r="E801" s="118"/>
      <c r="F801" s="118"/>
      <c r="G801" s="118"/>
      <c r="H801" s="119" t="str">
        <f t="shared" si="2"/>
        <v> </v>
      </c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</row>
    <row r="802">
      <c r="A802" s="119"/>
      <c r="B802" s="119"/>
      <c r="C802" s="118"/>
      <c r="D802" s="118"/>
      <c r="E802" s="118"/>
      <c r="F802" s="118"/>
      <c r="G802" s="118"/>
      <c r="H802" s="119" t="str">
        <f t="shared" si="2"/>
        <v> </v>
      </c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</row>
    <row r="803">
      <c r="A803" s="119"/>
      <c r="B803" s="119"/>
      <c r="C803" s="118"/>
      <c r="D803" s="118"/>
      <c r="E803" s="118"/>
      <c r="F803" s="118"/>
      <c r="G803" s="118"/>
      <c r="H803" s="119" t="str">
        <f t="shared" si="2"/>
        <v> </v>
      </c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</row>
    <row r="804">
      <c r="A804" s="119"/>
      <c r="B804" s="119"/>
      <c r="C804" s="118"/>
      <c r="D804" s="118"/>
      <c r="E804" s="118"/>
      <c r="F804" s="118"/>
      <c r="G804" s="118"/>
      <c r="H804" s="119" t="str">
        <f t="shared" si="2"/>
        <v> </v>
      </c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</row>
    <row r="805">
      <c r="A805" s="119"/>
      <c r="B805" s="119"/>
      <c r="C805" s="118"/>
      <c r="D805" s="118"/>
      <c r="E805" s="118"/>
      <c r="F805" s="118"/>
      <c r="G805" s="118"/>
      <c r="H805" s="119" t="str">
        <f t="shared" si="2"/>
        <v> </v>
      </c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</row>
    <row r="806">
      <c r="A806" s="119"/>
      <c r="B806" s="119"/>
      <c r="C806" s="118"/>
      <c r="D806" s="118"/>
      <c r="E806" s="118"/>
      <c r="F806" s="118"/>
      <c r="G806" s="118"/>
      <c r="H806" s="119" t="str">
        <f t="shared" si="2"/>
        <v> </v>
      </c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</row>
    <row r="807">
      <c r="A807" s="119"/>
      <c r="B807" s="119"/>
      <c r="C807" s="118"/>
      <c r="D807" s="118"/>
      <c r="E807" s="118"/>
      <c r="F807" s="118"/>
      <c r="G807" s="118"/>
      <c r="H807" s="119" t="str">
        <f t="shared" si="2"/>
        <v> </v>
      </c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</row>
    <row r="808">
      <c r="A808" s="119"/>
      <c r="B808" s="119"/>
      <c r="C808" s="118"/>
      <c r="D808" s="118"/>
      <c r="E808" s="118"/>
      <c r="F808" s="118"/>
      <c r="G808" s="118"/>
      <c r="H808" s="119" t="str">
        <f t="shared" si="2"/>
        <v> </v>
      </c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</row>
    <row r="809">
      <c r="A809" s="119"/>
      <c r="B809" s="119"/>
      <c r="C809" s="118"/>
      <c r="D809" s="118"/>
      <c r="E809" s="118"/>
      <c r="F809" s="118"/>
      <c r="G809" s="118"/>
      <c r="H809" s="119" t="str">
        <f t="shared" si="2"/>
        <v> </v>
      </c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</row>
    <row r="810">
      <c r="A810" s="119"/>
      <c r="B810" s="119"/>
      <c r="C810" s="118"/>
      <c r="D810" s="118"/>
      <c r="E810" s="118"/>
      <c r="F810" s="118"/>
      <c r="G810" s="118"/>
      <c r="H810" s="119" t="str">
        <f t="shared" si="2"/>
        <v> </v>
      </c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</row>
    <row r="811">
      <c r="A811" s="119"/>
      <c r="B811" s="119"/>
      <c r="C811" s="118"/>
      <c r="D811" s="118"/>
      <c r="E811" s="118"/>
      <c r="F811" s="118"/>
      <c r="G811" s="118"/>
      <c r="H811" s="119" t="str">
        <f t="shared" si="2"/>
        <v> </v>
      </c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</row>
    <row r="812">
      <c r="A812" s="119"/>
      <c r="B812" s="119"/>
      <c r="C812" s="118"/>
      <c r="D812" s="118"/>
      <c r="E812" s="118"/>
      <c r="F812" s="118"/>
      <c r="G812" s="118"/>
      <c r="H812" s="119" t="str">
        <f t="shared" si="2"/>
        <v> </v>
      </c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</row>
    <row r="813">
      <c r="A813" s="119"/>
      <c r="B813" s="119"/>
      <c r="C813" s="118"/>
      <c r="D813" s="118"/>
      <c r="E813" s="118"/>
      <c r="F813" s="118"/>
      <c r="G813" s="118"/>
      <c r="H813" s="119" t="str">
        <f t="shared" si="2"/>
        <v> </v>
      </c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</row>
    <row r="814">
      <c r="A814" s="119"/>
      <c r="B814" s="119"/>
      <c r="C814" s="118"/>
      <c r="D814" s="118"/>
      <c r="E814" s="118"/>
      <c r="F814" s="118"/>
      <c r="G814" s="118"/>
      <c r="H814" s="119" t="str">
        <f t="shared" si="2"/>
        <v> </v>
      </c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</row>
    <row r="815">
      <c r="A815" s="119"/>
      <c r="B815" s="119"/>
      <c r="C815" s="118"/>
      <c r="D815" s="118"/>
      <c r="E815" s="118"/>
      <c r="F815" s="118"/>
      <c r="G815" s="118"/>
      <c r="H815" s="119" t="str">
        <f t="shared" si="2"/>
        <v> </v>
      </c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</row>
    <row r="816">
      <c r="A816" s="119"/>
      <c r="B816" s="119"/>
      <c r="C816" s="118"/>
      <c r="D816" s="118"/>
      <c r="E816" s="118"/>
      <c r="F816" s="118"/>
      <c r="G816" s="118"/>
      <c r="H816" s="119" t="str">
        <f t="shared" si="2"/>
        <v> </v>
      </c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</row>
    <row r="817">
      <c r="A817" s="119"/>
      <c r="B817" s="119"/>
      <c r="C817" s="118"/>
      <c r="D817" s="118"/>
      <c r="E817" s="118"/>
      <c r="F817" s="118"/>
      <c r="G817" s="118"/>
      <c r="H817" s="119" t="str">
        <f t="shared" si="2"/>
        <v> </v>
      </c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</row>
    <row r="818">
      <c r="A818" s="119"/>
      <c r="B818" s="119"/>
      <c r="C818" s="118"/>
      <c r="D818" s="118"/>
      <c r="E818" s="118"/>
      <c r="F818" s="118"/>
      <c r="G818" s="118"/>
      <c r="H818" s="119" t="str">
        <f t="shared" si="2"/>
        <v> </v>
      </c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</row>
    <row r="819">
      <c r="A819" s="119"/>
      <c r="B819" s="119"/>
      <c r="C819" s="118"/>
      <c r="D819" s="118"/>
      <c r="E819" s="118"/>
      <c r="F819" s="118"/>
      <c r="G819" s="118"/>
      <c r="H819" s="119" t="str">
        <f t="shared" si="2"/>
        <v> </v>
      </c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</row>
    <row r="820">
      <c r="A820" s="119"/>
      <c r="B820" s="119"/>
      <c r="C820" s="118"/>
      <c r="D820" s="118"/>
      <c r="E820" s="118"/>
      <c r="F820" s="118"/>
      <c r="G820" s="118"/>
      <c r="H820" s="119" t="str">
        <f t="shared" si="2"/>
        <v> </v>
      </c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</row>
    <row r="821">
      <c r="A821" s="119"/>
      <c r="B821" s="119"/>
      <c r="C821" s="118"/>
      <c r="D821" s="118"/>
      <c r="E821" s="118"/>
      <c r="F821" s="118"/>
      <c r="G821" s="118"/>
      <c r="H821" s="119" t="str">
        <f t="shared" si="2"/>
        <v> </v>
      </c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</row>
    <row r="822">
      <c r="A822" s="119"/>
      <c r="B822" s="119"/>
      <c r="C822" s="118"/>
      <c r="D822" s="118"/>
      <c r="E822" s="118"/>
      <c r="F822" s="118"/>
      <c r="G822" s="118"/>
      <c r="H822" s="119" t="str">
        <f t="shared" si="2"/>
        <v> </v>
      </c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</row>
    <row r="823">
      <c r="A823" s="119"/>
      <c r="B823" s="119"/>
      <c r="C823" s="118"/>
      <c r="D823" s="118"/>
      <c r="E823" s="118"/>
      <c r="F823" s="118"/>
      <c r="G823" s="118"/>
      <c r="H823" s="119" t="str">
        <f t="shared" si="2"/>
        <v> </v>
      </c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</row>
    <row r="824">
      <c r="A824" s="119"/>
      <c r="B824" s="119"/>
      <c r="C824" s="118"/>
      <c r="D824" s="118"/>
      <c r="E824" s="118"/>
      <c r="F824" s="118"/>
      <c r="G824" s="118"/>
      <c r="H824" s="119" t="str">
        <f t="shared" si="2"/>
        <v> </v>
      </c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</row>
    <row r="825">
      <c r="A825" s="119"/>
      <c r="B825" s="119"/>
      <c r="C825" s="118"/>
      <c r="D825" s="118"/>
      <c r="E825" s="118"/>
      <c r="F825" s="118"/>
      <c r="G825" s="118"/>
      <c r="H825" s="119" t="str">
        <f t="shared" si="2"/>
        <v> </v>
      </c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</row>
    <row r="826">
      <c r="A826" s="119"/>
      <c r="B826" s="119"/>
      <c r="C826" s="118"/>
      <c r="D826" s="118"/>
      <c r="E826" s="118"/>
      <c r="F826" s="118"/>
      <c r="G826" s="118"/>
      <c r="H826" s="119" t="str">
        <f t="shared" si="2"/>
        <v> </v>
      </c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</row>
    <row r="827">
      <c r="A827" s="119"/>
      <c r="B827" s="119"/>
      <c r="C827" s="118"/>
      <c r="D827" s="118"/>
      <c r="E827" s="118"/>
      <c r="F827" s="118"/>
      <c r="G827" s="118"/>
      <c r="H827" s="119" t="str">
        <f t="shared" si="2"/>
        <v> </v>
      </c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</row>
    <row r="828">
      <c r="A828" s="119"/>
      <c r="B828" s="119"/>
      <c r="C828" s="118"/>
      <c r="D828" s="118"/>
      <c r="E828" s="118"/>
      <c r="F828" s="118"/>
      <c r="G828" s="118"/>
      <c r="H828" s="119" t="str">
        <f t="shared" si="2"/>
        <v> </v>
      </c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</row>
    <row r="829">
      <c r="A829" s="119"/>
      <c r="B829" s="119"/>
      <c r="C829" s="118"/>
      <c r="D829" s="118"/>
      <c r="E829" s="118"/>
      <c r="F829" s="118"/>
      <c r="G829" s="118"/>
      <c r="H829" s="119" t="str">
        <f t="shared" si="2"/>
        <v> </v>
      </c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</row>
    <row r="830">
      <c r="A830" s="119"/>
      <c r="B830" s="119"/>
      <c r="C830" s="118"/>
      <c r="D830" s="118"/>
      <c r="E830" s="118"/>
      <c r="F830" s="118"/>
      <c r="G830" s="118"/>
      <c r="H830" s="119" t="str">
        <f t="shared" si="2"/>
        <v> </v>
      </c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</row>
    <row r="831">
      <c r="A831" s="119"/>
      <c r="B831" s="119"/>
      <c r="C831" s="118"/>
      <c r="D831" s="118"/>
      <c r="E831" s="118"/>
      <c r="F831" s="118"/>
      <c r="G831" s="118"/>
      <c r="H831" s="119" t="str">
        <f t="shared" si="2"/>
        <v> </v>
      </c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</row>
    <row r="832">
      <c r="A832" s="119"/>
      <c r="B832" s="119"/>
      <c r="C832" s="118"/>
      <c r="D832" s="118"/>
      <c r="E832" s="118"/>
      <c r="F832" s="118"/>
      <c r="G832" s="118"/>
      <c r="H832" s="119" t="str">
        <f t="shared" si="2"/>
        <v> </v>
      </c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</row>
    <row r="833">
      <c r="A833" s="119"/>
      <c r="B833" s="119"/>
      <c r="C833" s="118"/>
      <c r="D833" s="118"/>
      <c r="E833" s="118"/>
      <c r="F833" s="118"/>
      <c r="G833" s="118"/>
      <c r="H833" s="119" t="str">
        <f t="shared" si="2"/>
        <v> </v>
      </c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</row>
    <row r="834">
      <c r="A834" s="119"/>
      <c r="B834" s="119"/>
      <c r="C834" s="118"/>
      <c r="D834" s="118"/>
      <c r="E834" s="118"/>
      <c r="F834" s="118"/>
      <c r="G834" s="118"/>
      <c r="H834" s="119" t="str">
        <f t="shared" si="2"/>
        <v> </v>
      </c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</row>
    <row r="835">
      <c r="A835" s="119"/>
      <c r="B835" s="119"/>
      <c r="C835" s="118"/>
      <c r="D835" s="118"/>
      <c r="E835" s="118"/>
      <c r="F835" s="118"/>
      <c r="G835" s="118"/>
      <c r="H835" s="119" t="str">
        <f t="shared" si="2"/>
        <v> </v>
      </c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</row>
    <row r="836">
      <c r="A836" s="119"/>
      <c r="B836" s="119"/>
      <c r="C836" s="118"/>
      <c r="D836" s="118"/>
      <c r="E836" s="118"/>
      <c r="F836" s="118"/>
      <c r="G836" s="118"/>
      <c r="H836" s="119" t="str">
        <f t="shared" si="2"/>
        <v> </v>
      </c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</row>
    <row r="837">
      <c r="A837" s="119"/>
      <c r="B837" s="119"/>
      <c r="C837" s="118"/>
      <c r="D837" s="118"/>
      <c r="E837" s="118"/>
      <c r="F837" s="118"/>
      <c r="G837" s="118"/>
      <c r="H837" s="119" t="str">
        <f t="shared" si="2"/>
        <v> </v>
      </c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</row>
    <row r="838">
      <c r="A838" s="119"/>
      <c r="B838" s="119"/>
      <c r="C838" s="118"/>
      <c r="D838" s="118"/>
      <c r="E838" s="118"/>
      <c r="F838" s="118"/>
      <c r="G838" s="118"/>
      <c r="H838" s="119" t="str">
        <f t="shared" si="2"/>
        <v> </v>
      </c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</row>
    <row r="839">
      <c r="A839" s="119"/>
      <c r="B839" s="119"/>
      <c r="C839" s="118"/>
      <c r="D839" s="118"/>
      <c r="E839" s="118"/>
      <c r="F839" s="118"/>
      <c r="G839" s="118"/>
      <c r="H839" s="119" t="str">
        <f t="shared" si="2"/>
        <v> </v>
      </c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</row>
    <row r="840">
      <c r="A840" s="119"/>
      <c r="B840" s="119"/>
      <c r="C840" s="118"/>
      <c r="D840" s="118"/>
      <c r="E840" s="118"/>
      <c r="F840" s="118"/>
      <c r="G840" s="118"/>
      <c r="H840" s="119" t="str">
        <f t="shared" si="2"/>
        <v> </v>
      </c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</row>
    <row r="841">
      <c r="A841" s="119"/>
      <c r="B841" s="119"/>
      <c r="C841" s="118"/>
      <c r="D841" s="118"/>
      <c r="E841" s="118"/>
      <c r="F841" s="118"/>
      <c r="G841" s="118"/>
      <c r="H841" s="119" t="str">
        <f t="shared" si="2"/>
        <v> </v>
      </c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</row>
    <row r="842">
      <c r="A842" s="119"/>
      <c r="B842" s="119"/>
      <c r="C842" s="118"/>
      <c r="D842" s="118"/>
      <c r="E842" s="118"/>
      <c r="F842" s="118"/>
      <c r="G842" s="118"/>
      <c r="H842" s="119" t="str">
        <f t="shared" si="2"/>
        <v> </v>
      </c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</row>
    <row r="843">
      <c r="A843" s="119"/>
      <c r="B843" s="119"/>
      <c r="C843" s="118"/>
      <c r="D843" s="118"/>
      <c r="E843" s="118"/>
      <c r="F843" s="118"/>
      <c r="G843" s="118"/>
      <c r="H843" s="119" t="str">
        <f t="shared" si="2"/>
        <v> </v>
      </c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</row>
    <row r="844">
      <c r="A844" s="119"/>
      <c r="B844" s="119"/>
      <c r="C844" s="118"/>
      <c r="D844" s="118"/>
      <c r="E844" s="118"/>
      <c r="F844" s="118"/>
      <c r="G844" s="118"/>
      <c r="H844" s="119" t="str">
        <f t="shared" si="2"/>
        <v> </v>
      </c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</row>
    <row r="845">
      <c r="A845" s="119"/>
      <c r="B845" s="119"/>
      <c r="C845" s="118"/>
      <c r="D845" s="118"/>
      <c r="E845" s="118"/>
      <c r="F845" s="118"/>
      <c r="G845" s="118"/>
      <c r="H845" s="119" t="str">
        <f t="shared" si="2"/>
        <v> </v>
      </c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</row>
    <row r="846">
      <c r="A846" s="119"/>
      <c r="B846" s="119"/>
      <c r="C846" s="118"/>
      <c r="D846" s="118"/>
      <c r="E846" s="118"/>
      <c r="F846" s="118"/>
      <c r="G846" s="118"/>
      <c r="H846" s="119" t="str">
        <f t="shared" si="2"/>
        <v> </v>
      </c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</row>
    <row r="847">
      <c r="A847" s="119"/>
      <c r="B847" s="119"/>
      <c r="C847" s="118"/>
      <c r="D847" s="118"/>
      <c r="E847" s="118"/>
      <c r="F847" s="118"/>
      <c r="G847" s="118"/>
      <c r="H847" s="119" t="str">
        <f t="shared" si="2"/>
        <v> </v>
      </c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</row>
    <row r="848">
      <c r="A848" s="119"/>
      <c r="B848" s="119"/>
      <c r="C848" s="118"/>
      <c r="D848" s="118"/>
      <c r="E848" s="118"/>
      <c r="F848" s="118"/>
      <c r="G848" s="118"/>
      <c r="H848" s="119" t="str">
        <f t="shared" si="2"/>
        <v> </v>
      </c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</row>
    <row r="849">
      <c r="A849" s="119"/>
      <c r="B849" s="119"/>
      <c r="C849" s="118"/>
      <c r="D849" s="118"/>
      <c r="E849" s="118"/>
      <c r="F849" s="118"/>
      <c r="G849" s="118"/>
      <c r="H849" s="119" t="str">
        <f t="shared" si="2"/>
        <v> </v>
      </c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</row>
    <row r="850">
      <c r="A850" s="119"/>
      <c r="B850" s="119"/>
      <c r="C850" s="118"/>
      <c r="D850" s="118"/>
      <c r="E850" s="118"/>
      <c r="F850" s="118"/>
      <c r="G850" s="118"/>
      <c r="H850" s="119" t="str">
        <f t="shared" si="2"/>
        <v> </v>
      </c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</row>
    <row r="851">
      <c r="A851" s="119"/>
      <c r="B851" s="119"/>
      <c r="C851" s="118"/>
      <c r="D851" s="118"/>
      <c r="E851" s="118"/>
      <c r="F851" s="118"/>
      <c r="G851" s="118"/>
      <c r="H851" s="119" t="str">
        <f t="shared" si="2"/>
        <v> </v>
      </c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</row>
    <row r="852">
      <c r="A852" s="119"/>
      <c r="B852" s="119"/>
      <c r="C852" s="118"/>
      <c r="D852" s="118"/>
      <c r="E852" s="118"/>
      <c r="F852" s="118"/>
      <c r="G852" s="118"/>
      <c r="H852" s="119" t="str">
        <f t="shared" si="2"/>
        <v> </v>
      </c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</row>
    <row r="853">
      <c r="A853" s="119"/>
      <c r="B853" s="119"/>
      <c r="C853" s="118"/>
      <c r="D853" s="118"/>
      <c r="E853" s="118"/>
      <c r="F853" s="118"/>
      <c r="G853" s="118"/>
      <c r="H853" s="119" t="str">
        <f t="shared" si="2"/>
        <v> </v>
      </c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</row>
    <row r="854">
      <c r="A854" s="119"/>
      <c r="B854" s="119"/>
      <c r="C854" s="118"/>
      <c r="D854" s="118"/>
      <c r="E854" s="118"/>
      <c r="F854" s="118"/>
      <c r="G854" s="118"/>
      <c r="H854" s="119" t="str">
        <f t="shared" si="2"/>
        <v> </v>
      </c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</row>
    <row r="855">
      <c r="A855" s="119"/>
      <c r="B855" s="119"/>
      <c r="C855" s="118"/>
      <c r="D855" s="118"/>
      <c r="E855" s="118"/>
      <c r="F855" s="118"/>
      <c r="G855" s="118"/>
      <c r="H855" s="119" t="str">
        <f t="shared" si="2"/>
        <v> </v>
      </c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</row>
    <row r="856">
      <c r="A856" s="119"/>
      <c r="B856" s="119"/>
      <c r="C856" s="118"/>
      <c r="D856" s="118"/>
      <c r="E856" s="118"/>
      <c r="F856" s="118"/>
      <c r="G856" s="118"/>
      <c r="H856" s="119" t="str">
        <f t="shared" si="2"/>
        <v> </v>
      </c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</row>
    <row r="857">
      <c r="A857" s="119"/>
      <c r="B857" s="119"/>
      <c r="C857" s="118"/>
      <c r="D857" s="118"/>
      <c r="E857" s="118"/>
      <c r="F857" s="118"/>
      <c r="G857" s="118"/>
      <c r="H857" s="119" t="str">
        <f t="shared" si="2"/>
        <v> </v>
      </c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</row>
    <row r="858">
      <c r="A858" s="119"/>
      <c r="B858" s="119"/>
      <c r="C858" s="118"/>
      <c r="D858" s="118"/>
      <c r="E858" s="118"/>
      <c r="F858" s="118"/>
      <c r="G858" s="118"/>
      <c r="H858" s="119" t="str">
        <f t="shared" si="2"/>
        <v> </v>
      </c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</row>
    <row r="859">
      <c r="A859" s="119"/>
      <c r="B859" s="119"/>
      <c r="C859" s="118"/>
      <c r="D859" s="118"/>
      <c r="E859" s="118"/>
      <c r="F859" s="118"/>
      <c r="G859" s="118"/>
      <c r="H859" s="119" t="str">
        <f t="shared" si="2"/>
        <v> </v>
      </c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</row>
    <row r="860">
      <c r="A860" s="119"/>
      <c r="B860" s="119"/>
      <c r="C860" s="118"/>
      <c r="D860" s="118"/>
      <c r="E860" s="118"/>
      <c r="F860" s="118"/>
      <c r="G860" s="118"/>
      <c r="H860" s="119" t="str">
        <f t="shared" si="2"/>
        <v> </v>
      </c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</row>
    <row r="861">
      <c r="A861" s="119"/>
      <c r="B861" s="119"/>
      <c r="C861" s="118"/>
      <c r="D861" s="118"/>
      <c r="E861" s="118"/>
      <c r="F861" s="118"/>
      <c r="G861" s="118"/>
      <c r="H861" s="119" t="str">
        <f t="shared" si="2"/>
        <v> </v>
      </c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</row>
    <row r="862">
      <c r="A862" s="119"/>
      <c r="B862" s="119"/>
      <c r="C862" s="118"/>
      <c r="D862" s="118"/>
      <c r="E862" s="118"/>
      <c r="F862" s="118"/>
      <c r="G862" s="118"/>
      <c r="H862" s="119" t="str">
        <f t="shared" si="2"/>
        <v> </v>
      </c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</row>
    <row r="863">
      <c r="A863" s="119"/>
      <c r="B863" s="119"/>
      <c r="C863" s="118"/>
      <c r="D863" s="118"/>
      <c r="E863" s="118"/>
      <c r="F863" s="118"/>
      <c r="G863" s="118"/>
      <c r="H863" s="119" t="str">
        <f t="shared" si="2"/>
        <v> </v>
      </c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</row>
    <row r="864">
      <c r="A864" s="119"/>
      <c r="B864" s="119"/>
      <c r="C864" s="118"/>
      <c r="D864" s="118"/>
      <c r="E864" s="118"/>
      <c r="F864" s="118"/>
      <c r="G864" s="118"/>
      <c r="H864" s="119" t="str">
        <f t="shared" si="2"/>
        <v> </v>
      </c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</row>
    <row r="865">
      <c r="A865" s="119"/>
      <c r="B865" s="119"/>
      <c r="C865" s="118"/>
      <c r="D865" s="118"/>
      <c r="E865" s="118"/>
      <c r="F865" s="118"/>
      <c r="G865" s="118"/>
      <c r="H865" s="119" t="str">
        <f t="shared" si="2"/>
        <v> </v>
      </c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</row>
    <row r="866">
      <c r="A866" s="119"/>
      <c r="B866" s="119"/>
      <c r="C866" s="118"/>
      <c r="D866" s="118"/>
      <c r="E866" s="118"/>
      <c r="F866" s="118"/>
      <c r="G866" s="118"/>
      <c r="H866" s="119" t="str">
        <f t="shared" si="2"/>
        <v> </v>
      </c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</row>
    <row r="867">
      <c r="A867" s="119"/>
      <c r="B867" s="119"/>
      <c r="C867" s="118"/>
      <c r="D867" s="118"/>
      <c r="E867" s="118"/>
      <c r="F867" s="118"/>
      <c r="G867" s="118"/>
      <c r="H867" s="119" t="str">
        <f t="shared" si="2"/>
        <v> </v>
      </c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</row>
    <row r="868">
      <c r="A868" s="119"/>
      <c r="B868" s="119"/>
      <c r="C868" s="118"/>
      <c r="D868" s="118"/>
      <c r="E868" s="118"/>
      <c r="F868" s="118"/>
      <c r="G868" s="118"/>
      <c r="H868" s="119" t="str">
        <f t="shared" si="2"/>
        <v> </v>
      </c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</row>
    <row r="869">
      <c r="A869" s="119"/>
      <c r="B869" s="119"/>
      <c r="C869" s="118"/>
      <c r="D869" s="118"/>
      <c r="E869" s="118"/>
      <c r="F869" s="118"/>
      <c r="G869" s="118"/>
      <c r="H869" s="119" t="str">
        <f t="shared" si="2"/>
        <v> </v>
      </c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</row>
    <row r="870">
      <c r="A870" s="119"/>
      <c r="B870" s="119"/>
      <c r="C870" s="118"/>
      <c r="D870" s="118"/>
      <c r="E870" s="118"/>
      <c r="F870" s="118"/>
      <c r="G870" s="118"/>
      <c r="H870" s="119" t="str">
        <f t="shared" si="2"/>
        <v> </v>
      </c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</row>
    <row r="871">
      <c r="A871" s="119"/>
      <c r="B871" s="119"/>
      <c r="C871" s="118"/>
      <c r="D871" s="118"/>
      <c r="E871" s="118"/>
      <c r="F871" s="118"/>
      <c r="G871" s="118"/>
      <c r="H871" s="119" t="str">
        <f t="shared" si="2"/>
        <v> </v>
      </c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</row>
    <row r="872">
      <c r="A872" s="119"/>
      <c r="B872" s="119"/>
      <c r="C872" s="118"/>
      <c r="D872" s="118"/>
      <c r="E872" s="118"/>
      <c r="F872" s="118"/>
      <c r="G872" s="118"/>
      <c r="H872" s="119" t="str">
        <f t="shared" si="2"/>
        <v> </v>
      </c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</row>
    <row r="873">
      <c r="A873" s="119"/>
      <c r="B873" s="119"/>
      <c r="C873" s="118"/>
      <c r="D873" s="118"/>
      <c r="E873" s="118"/>
      <c r="F873" s="118"/>
      <c r="G873" s="118"/>
      <c r="H873" s="119" t="str">
        <f t="shared" si="2"/>
        <v> </v>
      </c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</row>
    <row r="874">
      <c r="A874" s="119"/>
      <c r="B874" s="119"/>
      <c r="C874" s="118"/>
      <c r="D874" s="118"/>
      <c r="E874" s="118"/>
      <c r="F874" s="118"/>
      <c r="G874" s="118"/>
      <c r="H874" s="119" t="str">
        <f t="shared" si="2"/>
        <v> </v>
      </c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</row>
    <row r="875">
      <c r="A875" s="119"/>
      <c r="B875" s="119"/>
      <c r="C875" s="118"/>
      <c r="D875" s="118"/>
      <c r="E875" s="118"/>
      <c r="F875" s="118"/>
      <c r="G875" s="118"/>
      <c r="H875" s="119" t="str">
        <f t="shared" si="2"/>
        <v> </v>
      </c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</row>
    <row r="876">
      <c r="A876" s="119"/>
      <c r="B876" s="119"/>
      <c r="C876" s="118"/>
      <c r="D876" s="118"/>
      <c r="E876" s="118"/>
      <c r="F876" s="118"/>
      <c r="G876" s="118"/>
      <c r="H876" s="119" t="str">
        <f t="shared" si="2"/>
        <v> </v>
      </c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</row>
    <row r="877">
      <c r="A877" s="119"/>
      <c r="B877" s="119"/>
      <c r="C877" s="118"/>
      <c r="D877" s="118"/>
      <c r="E877" s="118"/>
      <c r="F877" s="118"/>
      <c r="G877" s="118"/>
      <c r="H877" s="119" t="str">
        <f t="shared" si="2"/>
        <v> </v>
      </c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</row>
    <row r="878">
      <c r="A878" s="119"/>
      <c r="B878" s="119"/>
      <c r="C878" s="118"/>
      <c r="D878" s="118"/>
      <c r="E878" s="118"/>
      <c r="F878" s="118"/>
      <c r="G878" s="118"/>
      <c r="H878" s="119" t="str">
        <f t="shared" si="2"/>
        <v> </v>
      </c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</row>
    <row r="879">
      <c r="A879" s="119"/>
      <c r="B879" s="119"/>
      <c r="C879" s="118"/>
      <c r="D879" s="118"/>
      <c r="E879" s="118"/>
      <c r="F879" s="118"/>
      <c r="G879" s="118"/>
      <c r="H879" s="119" t="str">
        <f t="shared" si="2"/>
        <v> </v>
      </c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</row>
    <row r="880">
      <c r="A880" s="119"/>
      <c r="B880" s="119"/>
      <c r="C880" s="118"/>
      <c r="D880" s="118"/>
      <c r="E880" s="118"/>
      <c r="F880" s="118"/>
      <c r="G880" s="118"/>
      <c r="H880" s="119" t="str">
        <f t="shared" si="2"/>
        <v> </v>
      </c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</row>
    <row r="881">
      <c r="A881" s="119"/>
      <c r="B881" s="119"/>
      <c r="C881" s="118"/>
      <c r="D881" s="118"/>
      <c r="E881" s="118"/>
      <c r="F881" s="118"/>
      <c r="G881" s="118"/>
      <c r="H881" s="119" t="str">
        <f t="shared" si="2"/>
        <v> </v>
      </c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</row>
    <row r="882">
      <c r="A882" s="119"/>
      <c r="B882" s="119"/>
      <c r="C882" s="118"/>
      <c r="D882" s="118"/>
      <c r="E882" s="118"/>
      <c r="F882" s="118"/>
      <c r="G882" s="118"/>
      <c r="H882" s="119" t="str">
        <f t="shared" si="2"/>
        <v> </v>
      </c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</row>
    <row r="883">
      <c r="A883" s="119"/>
      <c r="B883" s="119"/>
      <c r="C883" s="118"/>
      <c r="D883" s="118"/>
      <c r="E883" s="118"/>
      <c r="F883" s="118"/>
      <c r="G883" s="118"/>
      <c r="H883" s="119" t="str">
        <f t="shared" si="2"/>
        <v> </v>
      </c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</row>
    <row r="884">
      <c r="A884" s="119"/>
      <c r="B884" s="119"/>
      <c r="C884" s="118"/>
      <c r="D884" s="118"/>
      <c r="E884" s="118"/>
      <c r="F884" s="118"/>
      <c r="G884" s="118"/>
      <c r="H884" s="119" t="str">
        <f t="shared" si="2"/>
        <v> </v>
      </c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</row>
    <row r="885">
      <c r="A885" s="119"/>
      <c r="B885" s="119"/>
      <c r="C885" s="118"/>
      <c r="D885" s="118"/>
      <c r="E885" s="118"/>
      <c r="F885" s="118"/>
      <c r="G885" s="118"/>
      <c r="H885" s="119" t="str">
        <f t="shared" si="2"/>
        <v> </v>
      </c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</row>
    <row r="886">
      <c r="A886" s="119"/>
      <c r="B886" s="119"/>
      <c r="C886" s="118"/>
      <c r="D886" s="118"/>
      <c r="E886" s="118"/>
      <c r="F886" s="118"/>
      <c r="G886" s="118"/>
      <c r="H886" s="119" t="str">
        <f t="shared" si="2"/>
        <v> </v>
      </c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</row>
    <row r="887">
      <c r="A887" s="119"/>
      <c r="B887" s="119"/>
      <c r="C887" s="118"/>
      <c r="D887" s="118"/>
      <c r="E887" s="118"/>
      <c r="F887" s="118"/>
      <c r="G887" s="118"/>
      <c r="H887" s="119" t="str">
        <f t="shared" si="2"/>
        <v> </v>
      </c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</row>
    <row r="888">
      <c r="A888" s="119"/>
      <c r="B888" s="119"/>
      <c r="C888" s="118"/>
      <c r="D888" s="118"/>
      <c r="E888" s="118"/>
      <c r="F888" s="118"/>
      <c r="G888" s="118"/>
      <c r="H888" s="119" t="str">
        <f t="shared" si="2"/>
        <v> </v>
      </c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</row>
    <row r="889">
      <c r="A889" s="119"/>
      <c r="B889" s="119"/>
      <c r="C889" s="118"/>
      <c r="D889" s="118"/>
      <c r="E889" s="118"/>
      <c r="F889" s="118"/>
      <c r="G889" s="118"/>
      <c r="H889" s="119" t="str">
        <f t="shared" si="2"/>
        <v> </v>
      </c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</row>
    <row r="890">
      <c r="A890" s="119"/>
      <c r="B890" s="119"/>
      <c r="C890" s="118"/>
      <c r="D890" s="118"/>
      <c r="E890" s="118"/>
      <c r="F890" s="118"/>
      <c r="G890" s="118"/>
      <c r="H890" s="119" t="str">
        <f t="shared" si="2"/>
        <v> </v>
      </c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</row>
    <row r="891">
      <c r="A891" s="119"/>
      <c r="B891" s="119"/>
      <c r="C891" s="118"/>
      <c r="D891" s="118"/>
      <c r="E891" s="118"/>
      <c r="F891" s="118"/>
      <c r="G891" s="118"/>
      <c r="H891" s="119" t="str">
        <f t="shared" si="2"/>
        <v> </v>
      </c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</row>
    <row r="892">
      <c r="A892" s="119"/>
      <c r="B892" s="119"/>
      <c r="C892" s="118"/>
      <c r="D892" s="118"/>
      <c r="E892" s="118"/>
      <c r="F892" s="118"/>
      <c r="G892" s="118"/>
      <c r="H892" s="119" t="str">
        <f t="shared" si="2"/>
        <v> </v>
      </c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</row>
    <row r="893">
      <c r="A893" s="119"/>
      <c r="B893" s="119"/>
      <c r="C893" s="118"/>
      <c r="D893" s="118"/>
      <c r="E893" s="118"/>
      <c r="F893" s="118"/>
      <c r="G893" s="118"/>
      <c r="H893" s="119" t="str">
        <f t="shared" si="2"/>
        <v> </v>
      </c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</row>
    <row r="894">
      <c r="A894" s="119"/>
      <c r="B894" s="119"/>
      <c r="C894" s="118"/>
      <c r="D894" s="118"/>
      <c r="E894" s="118"/>
      <c r="F894" s="118"/>
      <c r="G894" s="118"/>
      <c r="H894" s="119" t="str">
        <f t="shared" si="2"/>
        <v> </v>
      </c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</row>
    <row r="895">
      <c r="A895" s="119"/>
      <c r="B895" s="119"/>
      <c r="C895" s="118"/>
      <c r="D895" s="118"/>
      <c r="E895" s="118"/>
      <c r="F895" s="118"/>
      <c r="G895" s="118"/>
      <c r="H895" s="119" t="str">
        <f t="shared" si="2"/>
        <v> </v>
      </c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</row>
    <row r="896">
      <c r="A896" s="119"/>
      <c r="B896" s="119"/>
      <c r="C896" s="118"/>
      <c r="D896" s="118"/>
      <c r="E896" s="118"/>
      <c r="F896" s="118"/>
      <c r="G896" s="118"/>
      <c r="H896" s="119" t="str">
        <f t="shared" si="2"/>
        <v> </v>
      </c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</row>
    <row r="897">
      <c r="A897" s="119"/>
      <c r="B897" s="119"/>
      <c r="C897" s="118"/>
      <c r="D897" s="118"/>
      <c r="E897" s="118"/>
      <c r="F897" s="118"/>
      <c r="G897" s="118"/>
      <c r="H897" s="119" t="str">
        <f t="shared" si="2"/>
        <v> </v>
      </c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</row>
    <row r="898">
      <c r="A898" s="119"/>
      <c r="B898" s="119"/>
      <c r="C898" s="118"/>
      <c r="D898" s="118"/>
      <c r="E898" s="118"/>
      <c r="F898" s="118"/>
      <c r="G898" s="118"/>
      <c r="H898" s="119" t="str">
        <f t="shared" si="2"/>
        <v> </v>
      </c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</row>
    <row r="899">
      <c r="A899" s="119"/>
      <c r="B899" s="119"/>
      <c r="C899" s="118"/>
      <c r="D899" s="118"/>
      <c r="E899" s="118"/>
      <c r="F899" s="118"/>
      <c r="G899" s="118"/>
      <c r="H899" s="119" t="str">
        <f t="shared" si="2"/>
        <v> </v>
      </c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</row>
    <row r="900">
      <c r="A900" s="119"/>
      <c r="B900" s="119"/>
      <c r="C900" s="118"/>
      <c r="D900" s="118"/>
      <c r="E900" s="118"/>
      <c r="F900" s="118"/>
      <c r="G900" s="118"/>
      <c r="H900" s="119" t="str">
        <f t="shared" si="2"/>
        <v> </v>
      </c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</row>
    <row r="901">
      <c r="A901" s="119"/>
      <c r="B901" s="119"/>
      <c r="C901" s="118"/>
      <c r="D901" s="118"/>
      <c r="E901" s="118"/>
      <c r="F901" s="118"/>
      <c r="G901" s="118"/>
      <c r="H901" s="119" t="str">
        <f t="shared" si="2"/>
        <v> </v>
      </c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</row>
    <row r="902">
      <c r="A902" s="119"/>
      <c r="B902" s="119"/>
      <c r="C902" s="118"/>
      <c r="D902" s="118"/>
      <c r="E902" s="118"/>
      <c r="F902" s="118"/>
      <c r="G902" s="118"/>
      <c r="H902" s="119" t="str">
        <f t="shared" si="2"/>
        <v> </v>
      </c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</row>
    <row r="903">
      <c r="A903" s="119"/>
      <c r="B903" s="119"/>
      <c r="C903" s="118"/>
      <c r="D903" s="118"/>
      <c r="E903" s="118"/>
      <c r="F903" s="118"/>
      <c r="G903" s="118"/>
      <c r="H903" s="119" t="str">
        <f t="shared" si="2"/>
        <v> </v>
      </c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</row>
    <row r="904">
      <c r="A904" s="119"/>
      <c r="B904" s="119"/>
      <c r="C904" s="118"/>
      <c r="D904" s="118"/>
      <c r="E904" s="118"/>
      <c r="F904" s="118"/>
      <c r="G904" s="118"/>
      <c r="H904" s="119" t="str">
        <f t="shared" si="2"/>
        <v> </v>
      </c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</row>
    <row r="905">
      <c r="A905" s="119"/>
      <c r="B905" s="119"/>
      <c r="C905" s="118"/>
      <c r="D905" s="118"/>
      <c r="E905" s="118"/>
      <c r="F905" s="118"/>
      <c r="G905" s="118"/>
      <c r="H905" s="119" t="str">
        <f t="shared" si="2"/>
        <v> </v>
      </c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</row>
    <row r="906">
      <c r="A906" s="119"/>
      <c r="B906" s="119"/>
      <c r="C906" s="118"/>
      <c r="D906" s="118"/>
      <c r="E906" s="118"/>
      <c r="F906" s="118"/>
      <c r="G906" s="118"/>
      <c r="H906" s="119" t="str">
        <f t="shared" si="2"/>
        <v> </v>
      </c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</row>
    <row r="907">
      <c r="A907" s="119"/>
      <c r="B907" s="119"/>
      <c r="C907" s="118"/>
      <c r="D907" s="118"/>
      <c r="E907" s="118"/>
      <c r="F907" s="118"/>
      <c r="G907" s="118"/>
      <c r="H907" s="119" t="str">
        <f t="shared" si="2"/>
        <v> </v>
      </c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</row>
    <row r="908">
      <c r="A908" s="119"/>
      <c r="B908" s="119"/>
      <c r="C908" s="118"/>
      <c r="D908" s="118"/>
      <c r="E908" s="118"/>
      <c r="F908" s="118"/>
      <c r="G908" s="118"/>
      <c r="H908" s="119" t="str">
        <f t="shared" si="2"/>
        <v> </v>
      </c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</row>
    <row r="909">
      <c r="A909" s="119"/>
      <c r="B909" s="119"/>
      <c r="C909" s="118"/>
      <c r="D909" s="118"/>
      <c r="E909" s="118"/>
      <c r="F909" s="118"/>
      <c r="G909" s="118"/>
      <c r="H909" s="119" t="str">
        <f t="shared" si="2"/>
        <v> </v>
      </c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</row>
    <row r="910">
      <c r="A910" s="119"/>
      <c r="B910" s="119"/>
      <c r="C910" s="118"/>
      <c r="D910" s="118"/>
      <c r="E910" s="118"/>
      <c r="F910" s="118"/>
      <c r="G910" s="118"/>
      <c r="H910" s="119" t="str">
        <f t="shared" si="2"/>
        <v> </v>
      </c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</row>
    <row r="911">
      <c r="A911" s="119"/>
      <c r="B911" s="119"/>
      <c r="C911" s="118"/>
      <c r="D911" s="118"/>
      <c r="E911" s="118"/>
      <c r="F911" s="118"/>
      <c r="G911" s="118"/>
      <c r="H911" s="119" t="str">
        <f t="shared" si="2"/>
        <v> </v>
      </c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</row>
    <row r="912">
      <c r="A912" s="119"/>
      <c r="B912" s="119"/>
      <c r="C912" s="118"/>
      <c r="D912" s="118"/>
      <c r="E912" s="118"/>
      <c r="F912" s="118"/>
      <c r="G912" s="118"/>
      <c r="H912" s="119" t="str">
        <f t="shared" si="2"/>
        <v> </v>
      </c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</row>
    <row r="913">
      <c r="A913" s="119"/>
      <c r="B913" s="119"/>
      <c r="C913" s="118"/>
      <c r="D913" s="118"/>
      <c r="E913" s="118"/>
      <c r="F913" s="118"/>
      <c r="G913" s="118"/>
      <c r="H913" s="119" t="str">
        <f t="shared" si="2"/>
        <v> </v>
      </c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</row>
    <row r="914">
      <c r="A914" s="119"/>
      <c r="B914" s="119"/>
      <c r="C914" s="118"/>
      <c r="D914" s="118"/>
      <c r="E914" s="118"/>
      <c r="F914" s="118"/>
      <c r="G914" s="118"/>
      <c r="H914" s="119" t="str">
        <f t="shared" si="2"/>
        <v> </v>
      </c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</row>
    <row r="915">
      <c r="A915" s="119"/>
      <c r="B915" s="119"/>
      <c r="C915" s="118"/>
      <c r="D915" s="118"/>
      <c r="E915" s="118"/>
      <c r="F915" s="118"/>
      <c r="G915" s="118"/>
      <c r="H915" s="119" t="str">
        <f t="shared" si="2"/>
        <v> </v>
      </c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</row>
    <row r="916">
      <c r="A916" s="119"/>
      <c r="B916" s="119"/>
      <c r="C916" s="118"/>
      <c r="D916" s="118"/>
      <c r="E916" s="118"/>
      <c r="F916" s="118"/>
      <c r="G916" s="118"/>
      <c r="H916" s="119" t="str">
        <f t="shared" si="2"/>
        <v> </v>
      </c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</row>
    <row r="917">
      <c r="A917" s="119"/>
      <c r="B917" s="119"/>
      <c r="C917" s="118"/>
      <c r="D917" s="118"/>
      <c r="E917" s="118"/>
      <c r="F917" s="118"/>
      <c r="G917" s="118"/>
      <c r="H917" s="119" t="str">
        <f t="shared" si="2"/>
        <v> </v>
      </c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</row>
    <row r="918">
      <c r="A918" s="119"/>
      <c r="B918" s="119"/>
      <c r="C918" s="118"/>
      <c r="D918" s="118"/>
      <c r="E918" s="118"/>
      <c r="F918" s="118"/>
      <c r="G918" s="118"/>
      <c r="H918" s="119" t="str">
        <f t="shared" si="2"/>
        <v> </v>
      </c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</row>
    <row r="919">
      <c r="A919" s="119"/>
      <c r="B919" s="119"/>
      <c r="C919" s="118"/>
      <c r="D919" s="118"/>
      <c r="E919" s="118"/>
      <c r="F919" s="118"/>
      <c r="G919" s="118"/>
      <c r="H919" s="119" t="str">
        <f t="shared" si="2"/>
        <v> </v>
      </c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</row>
    <row r="920">
      <c r="A920" s="119"/>
      <c r="B920" s="119"/>
      <c r="C920" s="118"/>
      <c r="D920" s="118"/>
      <c r="E920" s="118"/>
      <c r="F920" s="118"/>
      <c r="G920" s="118"/>
      <c r="H920" s="119" t="str">
        <f t="shared" si="2"/>
        <v> </v>
      </c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</row>
    <row r="921">
      <c r="A921" s="119"/>
      <c r="B921" s="119"/>
      <c r="C921" s="118"/>
      <c r="D921" s="118"/>
      <c r="E921" s="118"/>
      <c r="F921" s="118"/>
      <c r="G921" s="118"/>
      <c r="H921" s="119" t="str">
        <f t="shared" si="2"/>
        <v> </v>
      </c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</row>
    <row r="922">
      <c r="A922" s="119"/>
      <c r="B922" s="119"/>
      <c r="C922" s="118"/>
      <c r="D922" s="118"/>
      <c r="E922" s="118"/>
      <c r="F922" s="118"/>
      <c r="G922" s="118"/>
      <c r="H922" s="119" t="str">
        <f t="shared" si="2"/>
        <v> </v>
      </c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</row>
    <row r="923">
      <c r="A923" s="119"/>
      <c r="B923" s="119"/>
      <c r="C923" s="118"/>
      <c r="D923" s="118"/>
      <c r="E923" s="118"/>
      <c r="F923" s="118"/>
      <c r="G923" s="118"/>
      <c r="H923" s="119" t="str">
        <f t="shared" si="2"/>
        <v> </v>
      </c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</row>
    <row r="924">
      <c r="A924" s="119"/>
      <c r="B924" s="119"/>
      <c r="C924" s="118"/>
      <c r="D924" s="118"/>
      <c r="E924" s="118"/>
      <c r="F924" s="118"/>
      <c r="G924" s="118"/>
      <c r="H924" s="119" t="str">
        <f t="shared" si="2"/>
        <v> </v>
      </c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</row>
    <row r="925">
      <c r="A925" s="119"/>
      <c r="B925" s="119"/>
      <c r="C925" s="118"/>
      <c r="D925" s="118"/>
      <c r="E925" s="118"/>
      <c r="F925" s="118"/>
      <c r="G925" s="118"/>
      <c r="H925" s="119" t="str">
        <f t="shared" si="2"/>
        <v> </v>
      </c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</row>
    <row r="926">
      <c r="A926" s="119"/>
      <c r="B926" s="119"/>
      <c r="C926" s="118"/>
      <c r="D926" s="118"/>
      <c r="E926" s="118"/>
      <c r="F926" s="118"/>
      <c r="G926" s="118"/>
      <c r="H926" s="119" t="str">
        <f t="shared" si="2"/>
        <v> </v>
      </c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</row>
    <row r="927">
      <c r="A927" s="119"/>
      <c r="B927" s="119"/>
      <c r="C927" s="118"/>
      <c r="D927" s="118"/>
      <c r="E927" s="118"/>
      <c r="F927" s="118"/>
      <c r="G927" s="118"/>
      <c r="H927" s="119" t="str">
        <f t="shared" si="2"/>
        <v> </v>
      </c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</row>
    <row r="928">
      <c r="A928" s="119"/>
      <c r="B928" s="119"/>
      <c r="C928" s="118"/>
      <c r="D928" s="118"/>
      <c r="E928" s="118"/>
      <c r="F928" s="118"/>
      <c r="G928" s="118"/>
      <c r="H928" s="119" t="str">
        <f t="shared" si="2"/>
        <v> </v>
      </c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</row>
    <row r="929">
      <c r="A929" s="119"/>
      <c r="B929" s="119"/>
      <c r="C929" s="118"/>
      <c r="D929" s="118"/>
      <c r="E929" s="118"/>
      <c r="F929" s="118"/>
      <c r="G929" s="118"/>
      <c r="H929" s="119" t="str">
        <f t="shared" si="2"/>
        <v> </v>
      </c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</row>
    <row r="930">
      <c r="A930" s="119"/>
      <c r="B930" s="119"/>
      <c r="C930" s="118"/>
      <c r="D930" s="118"/>
      <c r="E930" s="118"/>
      <c r="F930" s="118"/>
      <c r="G930" s="118"/>
      <c r="H930" s="119" t="str">
        <f t="shared" si="2"/>
        <v> </v>
      </c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</row>
    <row r="931">
      <c r="A931" s="119"/>
      <c r="B931" s="119"/>
      <c r="C931" s="118"/>
      <c r="D931" s="118"/>
      <c r="E931" s="118"/>
      <c r="F931" s="118"/>
      <c r="G931" s="118"/>
      <c r="H931" s="119" t="str">
        <f t="shared" si="2"/>
        <v> </v>
      </c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</row>
    <row r="932">
      <c r="A932" s="119"/>
      <c r="B932" s="119"/>
      <c r="C932" s="118"/>
      <c r="D932" s="118"/>
      <c r="E932" s="118"/>
      <c r="F932" s="118"/>
      <c r="G932" s="118"/>
      <c r="H932" s="119" t="str">
        <f t="shared" si="2"/>
        <v> </v>
      </c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</row>
    <row r="933">
      <c r="A933" s="119"/>
      <c r="B933" s="119"/>
      <c r="C933" s="118"/>
      <c r="D933" s="118"/>
      <c r="E933" s="118"/>
      <c r="F933" s="118"/>
      <c r="G933" s="118"/>
      <c r="H933" s="119" t="str">
        <f t="shared" si="2"/>
        <v> </v>
      </c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</row>
    <row r="934">
      <c r="A934" s="119"/>
      <c r="B934" s="119"/>
      <c r="C934" s="118"/>
      <c r="D934" s="118"/>
      <c r="E934" s="118"/>
      <c r="F934" s="118"/>
      <c r="G934" s="118"/>
      <c r="H934" s="119" t="str">
        <f t="shared" si="2"/>
        <v> </v>
      </c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</row>
    <row r="935">
      <c r="A935" s="119"/>
      <c r="B935" s="119"/>
      <c r="C935" s="118"/>
      <c r="D935" s="118"/>
      <c r="E935" s="118"/>
      <c r="F935" s="118"/>
      <c r="G935" s="118"/>
      <c r="H935" s="119" t="str">
        <f t="shared" si="2"/>
        <v> </v>
      </c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</row>
    <row r="936">
      <c r="A936" s="119"/>
      <c r="B936" s="119"/>
      <c r="C936" s="118"/>
      <c r="D936" s="118"/>
      <c r="E936" s="118"/>
      <c r="F936" s="118"/>
      <c r="G936" s="118"/>
      <c r="H936" s="119" t="str">
        <f t="shared" si="2"/>
        <v> </v>
      </c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</row>
    <row r="937">
      <c r="A937" s="119"/>
      <c r="B937" s="119"/>
      <c r="C937" s="118"/>
      <c r="D937" s="118"/>
      <c r="E937" s="118"/>
      <c r="F937" s="118"/>
      <c r="G937" s="118"/>
      <c r="H937" s="119" t="str">
        <f t="shared" si="2"/>
        <v> </v>
      </c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</row>
    <row r="938">
      <c r="A938" s="119"/>
      <c r="B938" s="119"/>
      <c r="C938" s="118"/>
      <c r="D938" s="118"/>
      <c r="E938" s="118"/>
      <c r="F938" s="118"/>
      <c r="G938" s="118"/>
      <c r="H938" s="119" t="str">
        <f t="shared" si="2"/>
        <v> </v>
      </c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</row>
    <row r="939">
      <c r="A939" s="119"/>
      <c r="B939" s="119"/>
      <c r="C939" s="118"/>
      <c r="D939" s="118"/>
      <c r="E939" s="118"/>
      <c r="F939" s="118"/>
      <c r="G939" s="118"/>
      <c r="H939" s="119" t="str">
        <f t="shared" si="2"/>
        <v> </v>
      </c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</row>
    <row r="940">
      <c r="A940" s="119"/>
      <c r="B940" s="119"/>
      <c r="C940" s="118"/>
      <c r="D940" s="118"/>
      <c r="E940" s="118"/>
      <c r="F940" s="118"/>
      <c r="G940" s="118"/>
      <c r="H940" s="119" t="str">
        <f t="shared" si="2"/>
        <v> </v>
      </c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</row>
    <row r="941">
      <c r="A941" s="119"/>
      <c r="B941" s="119"/>
      <c r="C941" s="118"/>
      <c r="D941" s="118"/>
      <c r="E941" s="118"/>
      <c r="F941" s="118"/>
      <c r="G941" s="118"/>
      <c r="H941" s="119" t="str">
        <f t="shared" si="2"/>
        <v> </v>
      </c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</row>
    <row r="942">
      <c r="A942" s="119"/>
      <c r="B942" s="119"/>
      <c r="C942" s="118"/>
      <c r="D942" s="118"/>
      <c r="E942" s="118"/>
      <c r="F942" s="118"/>
      <c r="G942" s="118"/>
      <c r="H942" s="119" t="str">
        <f t="shared" si="2"/>
        <v> </v>
      </c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</row>
    <row r="943">
      <c r="A943" s="119"/>
      <c r="B943" s="119"/>
      <c r="C943" s="118"/>
      <c r="D943" s="118"/>
      <c r="E943" s="118"/>
      <c r="F943" s="118"/>
      <c r="G943" s="118"/>
      <c r="H943" s="119" t="str">
        <f t="shared" si="2"/>
        <v> </v>
      </c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</row>
    <row r="944">
      <c r="A944" s="119"/>
      <c r="B944" s="119"/>
      <c r="C944" s="118"/>
      <c r="D944" s="118"/>
      <c r="E944" s="118"/>
      <c r="F944" s="118"/>
      <c r="G944" s="118"/>
      <c r="H944" s="119" t="str">
        <f t="shared" si="2"/>
        <v> </v>
      </c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</row>
    <row r="945">
      <c r="A945" s="119"/>
      <c r="B945" s="119"/>
      <c r="C945" s="118"/>
      <c r="D945" s="118"/>
      <c r="E945" s="118"/>
      <c r="F945" s="118"/>
      <c r="G945" s="118"/>
      <c r="H945" s="119" t="str">
        <f t="shared" si="2"/>
        <v> </v>
      </c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</row>
    <row r="946">
      <c r="A946" s="119"/>
      <c r="B946" s="119"/>
      <c r="C946" s="118"/>
      <c r="D946" s="118"/>
      <c r="E946" s="118"/>
      <c r="F946" s="118"/>
      <c r="G946" s="118"/>
      <c r="H946" s="119" t="str">
        <f t="shared" si="2"/>
        <v> </v>
      </c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</row>
    <row r="947">
      <c r="A947" s="119"/>
      <c r="B947" s="119"/>
      <c r="C947" s="118"/>
      <c r="D947" s="118"/>
      <c r="E947" s="118"/>
      <c r="F947" s="118"/>
      <c r="G947" s="118"/>
      <c r="H947" s="119" t="str">
        <f t="shared" si="2"/>
        <v> </v>
      </c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</row>
    <row r="948">
      <c r="A948" s="119"/>
      <c r="B948" s="119"/>
      <c r="C948" s="118"/>
      <c r="D948" s="118"/>
      <c r="E948" s="118"/>
      <c r="F948" s="118"/>
      <c r="G948" s="118"/>
      <c r="H948" s="119" t="str">
        <f t="shared" si="2"/>
        <v> </v>
      </c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</row>
    <row r="949">
      <c r="A949" s="119"/>
      <c r="B949" s="119"/>
      <c r="C949" s="118"/>
      <c r="D949" s="118"/>
      <c r="E949" s="118"/>
      <c r="F949" s="118"/>
      <c r="G949" s="118"/>
      <c r="H949" s="119" t="str">
        <f t="shared" si="2"/>
        <v> </v>
      </c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</row>
    <row r="950">
      <c r="A950" s="119"/>
      <c r="B950" s="119"/>
      <c r="C950" s="118"/>
      <c r="D950" s="118"/>
      <c r="E950" s="118"/>
      <c r="F950" s="118"/>
      <c r="G950" s="118"/>
      <c r="H950" s="119" t="str">
        <f t="shared" si="2"/>
        <v> </v>
      </c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</row>
    <row r="951">
      <c r="A951" s="119"/>
      <c r="B951" s="119"/>
      <c r="C951" s="118"/>
      <c r="D951" s="118"/>
      <c r="E951" s="118"/>
      <c r="F951" s="118"/>
      <c r="G951" s="118"/>
      <c r="H951" s="119" t="str">
        <f t="shared" si="2"/>
        <v> </v>
      </c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</row>
    <row r="952">
      <c r="A952" s="119"/>
      <c r="B952" s="119"/>
      <c r="C952" s="118"/>
      <c r="D952" s="118"/>
      <c r="E952" s="118"/>
      <c r="F952" s="118"/>
      <c r="G952" s="118"/>
      <c r="H952" s="119" t="str">
        <f t="shared" si="2"/>
        <v> </v>
      </c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</row>
    <row r="953">
      <c r="A953" s="119"/>
      <c r="B953" s="119"/>
      <c r="C953" s="118"/>
      <c r="D953" s="118"/>
      <c r="E953" s="118"/>
      <c r="F953" s="118"/>
      <c r="G953" s="118"/>
      <c r="H953" s="119" t="str">
        <f t="shared" si="2"/>
        <v> </v>
      </c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</row>
    <row r="954">
      <c r="A954" s="119"/>
      <c r="B954" s="119"/>
      <c r="C954" s="118"/>
      <c r="D954" s="118"/>
      <c r="E954" s="118"/>
      <c r="F954" s="118"/>
      <c r="G954" s="118"/>
      <c r="H954" s="119" t="str">
        <f t="shared" si="2"/>
        <v> </v>
      </c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</row>
    <row r="955">
      <c r="A955" s="119"/>
      <c r="B955" s="119"/>
      <c r="C955" s="118"/>
      <c r="D955" s="118"/>
      <c r="E955" s="118"/>
      <c r="F955" s="118"/>
      <c r="G955" s="118"/>
      <c r="H955" s="119" t="str">
        <f t="shared" si="2"/>
        <v> </v>
      </c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</row>
    <row r="956">
      <c r="A956" s="119"/>
      <c r="B956" s="119"/>
      <c r="C956" s="118"/>
      <c r="D956" s="118"/>
      <c r="E956" s="118"/>
      <c r="F956" s="118"/>
      <c r="G956" s="118"/>
      <c r="H956" s="119" t="str">
        <f t="shared" si="2"/>
        <v> </v>
      </c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</row>
    <row r="957">
      <c r="A957" s="119"/>
      <c r="B957" s="119"/>
      <c r="C957" s="118"/>
      <c r="D957" s="118"/>
      <c r="E957" s="118"/>
      <c r="F957" s="118"/>
      <c r="G957" s="118"/>
      <c r="H957" s="119" t="str">
        <f t="shared" si="2"/>
        <v> </v>
      </c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</row>
    <row r="958">
      <c r="A958" s="119"/>
      <c r="B958" s="119"/>
      <c r="C958" s="118"/>
      <c r="D958" s="118"/>
      <c r="E958" s="118"/>
      <c r="F958" s="118"/>
      <c r="G958" s="118"/>
      <c r="H958" s="119" t="str">
        <f t="shared" si="2"/>
        <v> </v>
      </c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</row>
    <row r="959">
      <c r="A959" s="119"/>
      <c r="B959" s="119"/>
      <c r="C959" s="118"/>
      <c r="D959" s="118"/>
      <c r="E959" s="118"/>
      <c r="F959" s="118"/>
      <c r="G959" s="118"/>
      <c r="H959" s="119" t="str">
        <f t="shared" si="2"/>
        <v> </v>
      </c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</row>
    <row r="960">
      <c r="A960" s="119"/>
      <c r="B960" s="119"/>
      <c r="C960" s="118"/>
      <c r="D960" s="118"/>
      <c r="E960" s="118"/>
      <c r="F960" s="118"/>
      <c r="G960" s="118"/>
      <c r="H960" s="119" t="str">
        <f t="shared" si="2"/>
        <v> </v>
      </c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</row>
    <row r="961">
      <c r="A961" s="119"/>
      <c r="B961" s="119"/>
      <c r="C961" s="118"/>
      <c r="D961" s="118"/>
      <c r="E961" s="118"/>
      <c r="F961" s="118"/>
      <c r="G961" s="118"/>
      <c r="H961" s="119" t="str">
        <f t="shared" si="2"/>
        <v> </v>
      </c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</row>
    <row r="962">
      <c r="A962" s="119"/>
      <c r="B962" s="119"/>
      <c r="C962" s="118"/>
      <c r="D962" s="118"/>
      <c r="E962" s="118"/>
      <c r="F962" s="118"/>
      <c r="G962" s="118"/>
      <c r="H962" s="119" t="str">
        <f t="shared" si="2"/>
        <v> </v>
      </c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</row>
    <row r="963">
      <c r="A963" s="119"/>
      <c r="B963" s="119"/>
      <c r="C963" s="118"/>
      <c r="D963" s="118"/>
      <c r="E963" s="118"/>
      <c r="F963" s="118"/>
      <c r="G963" s="118"/>
      <c r="H963" s="119" t="str">
        <f t="shared" si="2"/>
        <v> </v>
      </c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</row>
    <row r="964">
      <c r="A964" s="119"/>
      <c r="B964" s="119"/>
      <c r="C964" s="118"/>
      <c r="D964" s="118"/>
      <c r="E964" s="118"/>
      <c r="F964" s="118"/>
      <c r="G964" s="118"/>
      <c r="H964" s="119" t="str">
        <f t="shared" si="2"/>
        <v> </v>
      </c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</row>
    <row r="965">
      <c r="A965" s="119"/>
      <c r="B965" s="119"/>
      <c r="C965" s="118"/>
      <c r="D965" s="118"/>
      <c r="E965" s="118"/>
      <c r="F965" s="118"/>
      <c r="G965" s="118"/>
      <c r="H965" s="119" t="str">
        <f t="shared" si="2"/>
        <v> </v>
      </c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</row>
    <row r="966">
      <c r="A966" s="119"/>
      <c r="B966" s="119"/>
      <c r="C966" s="118"/>
      <c r="D966" s="118"/>
      <c r="E966" s="118"/>
      <c r="F966" s="118"/>
      <c r="G966" s="118"/>
      <c r="H966" s="119" t="str">
        <f t="shared" si="2"/>
        <v> </v>
      </c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</row>
    <row r="967">
      <c r="A967" s="119"/>
      <c r="B967" s="119"/>
      <c r="C967" s="118"/>
      <c r="D967" s="118"/>
      <c r="E967" s="118"/>
      <c r="F967" s="118"/>
      <c r="G967" s="118"/>
      <c r="H967" s="119" t="str">
        <f t="shared" si="2"/>
        <v> </v>
      </c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</row>
    <row r="968">
      <c r="A968" s="119"/>
      <c r="B968" s="119"/>
      <c r="C968" s="118"/>
      <c r="D968" s="118"/>
      <c r="E968" s="118"/>
      <c r="F968" s="118"/>
      <c r="G968" s="118"/>
      <c r="H968" s="119" t="str">
        <f t="shared" si="2"/>
        <v> </v>
      </c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</row>
    <row r="969">
      <c r="A969" s="119"/>
      <c r="B969" s="119"/>
      <c r="C969" s="118"/>
      <c r="D969" s="118"/>
      <c r="E969" s="118"/>
      <c r="F969" s="118"/>
      <c r="G969" s="118"/>
      <c r="H969" s="119" t="str">
        <f t="shared" si="2"/>
        <v> </v>
      </c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</row>
    <row r="970">
      <c r="A970" s="119"/>
      <c r="B970" s="119"/>
      <c r="C970" s="118"/>
      <c r="D970" s="118"/>
      <c r="E970" s="118"/>
      <c r="F970" s="118"/>
      <c r="G970" s="118"/>
      <c r="H970" s="119" t="str">
        <f t="shared" si="2"/>
        <v> </v>
      </c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</row>
    <row r="971">
      <c r="A971" s="119"/>
      <c r="B971" s="119"/>
      <c r="C971" s="118"/>
      <c r="D971" s="118"/>
      <c r="E971" s="118"/>
      <c r="F971" s="118"/>
      <c r="G971" s="118"/>
      <c r="H971" s="119" t="str">
        <f t="shared" si="2"/>
        <v> </v>
      </c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</row>
    <row r="972">
      <c r="A972" s="119"/>
      <c r="B972" s="119"/>
      <c r="C972" s="118"/>
      <c r="D972" s="118"/>
      <c r="E972" s="118"/>
      <c r="F972" s="118"/>
      <c r="G972" s="118"/>
      <c r="H972" s="119" t="str">
        <f t="shared" si="2"/>
        <v> </v>
      </c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</row>
    <row r="973">
      <c r="A973" s="119"/>
      <c r="B973" s="119"/>
      <c r="C973" s="118"/>
      <c r="D973" s="118"/>
      <c r="E973" s="118"/>
      <c r="F973" s="118"/>
      <c r="G973" s="118"/>
      <c r="H973" s="119" t="str">
        <f t="shared" si="2"/>
        <v> </v>
      </c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</row>
    <row r="974">
      <c r="A974" s="119"/>
      <c r="B974" s="119"/>
      <c r="C974" s="118"/>
      <c r="D974" s="118"/>
      <c r="E974" s="118"/>
      <c r="F974" s="118"/>
      <c r="G974" s="118"/>
      <c r="H974" s="119" t="str">
        <f t="shared" si="2"/>
        <v> </v>
      </c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</row>
    <row r="975">
      <c r="A975" s="119"/>
      <c r="B975" s="119"/>
      <c r="C975" s="118"/>
      <c r="D975" s="118"/>
      <c r="E975" s="118"/>
      <c r="F975" s="118"/>
      <c r="G975" s="118"/>
      <c r="H975" s="119" t="str">
        <f t="shared" si="2"/>
        <v> </v>
      </c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</row>
    <row r="976">
      <c r="A976" s="119"/>
      <c r="B976" s="119"/>
      <c r="C976" s="118"/>
      <c r="D976" s="118"/>
      <c r="E976" s="118"/>
      <c r="F976" s="118"/>
      <c r="G976" s="118"/>
      <c r="H976" s="119" t="str">
        <f t="shared" si="2"/>
        <v> </v>
      </c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</row>
    <row r="977">
      <c r="A977" s="119"/>
      <c r="B977" s="119"/>
      <c r="C977" s="118"/>
      <c r="D977" s="118"/>
      <c r="E977" s="118"/>
      <c r="F977" s="118"/>
      <c r="G977" s="118"/>
      <c r="H977" s="119" t="str">
        <f t="shared" si="2"/>
        <v> </v>
      </c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</row>
    <row r="978">
      <c r="A978" s="119"/>
      <c r="B978" s="119"/>
      <c r="C978" s="118"/>
      <c r="D978" s="118"/>
      <c r="E978" s="118"/>
      <c r="F978" s="118"/>
      <c r="G978" s="118"/>
      <c r="H978" s="119" t="str">
        <f t="shared" si="2"/>
        <v> </v>
      </c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</row>
    <row r="979">
      <c r="A979" s="119"/>
      <c r="B979" s="119"/>
      <c r="C979" s="118"/>
      <c r="D979" s="118"/>
      <c r="E979" s="118"/>
      <c r="F979" s="118"/>
      <c r="G979" s="118"/>
      <c r="H979" s="119" t="str">
        <f t="shared" si="2"/>
        <v> </v>
      </c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</row>
    <row r="980">
      <c r="A980" s="119"/>
      <c r="B980" s="119"/>
      <c r="C980" s="118"/>
      <c r="D980" s="118"/>
      <c r="E980" s="118"/>
      <c r="F980" s="118"/>
      <c r="G980" s="118"/>
      <c r="H980" s="119" t="str">
        <f t="shared" si="2"/>
        <v> </v>
      </c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</row>
    <row r="981">
      <c r="A981" s="119"/>
      <c r="B981" s="119"/>
      <c r="C981" s="118"/>
      <c r="D981" s="118"/>
      <c r="E981" s="118"/>
      <c r="F981" s="118"/>
      <c r="G981" s="118"/>
      <c r="H981" s="119" t="str">
        <f t="shared" si="2"/>
        <v> </v>
      </c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</row>
    <row r="982">
      <c r="A982" s="119"/>
      <c r="B982" s="119"/>
      <c r="C982" s="118"/>
      <c r="D982" s="118"/>
      <c r="E982" s="118"/>
      <c r="F982" s="118"/>
      <c r="G982" s="118"/>
      <c r="H982" s="119" t="str">
        <f t="shared" si="2"/>
        <v> </v>
      </c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</row>
    <row r="983">
      <c r="A983" s="119"/>
      <c r="B983" s="119"/>
      <c r="C983" s="118"/>
      <c r="D983" s="118"/>
      <c r="E983" s="118"/>
      <c r="F983" s="118"/>
      <c r="G983" s="118"/>
      <c r="H983" s="119" t="str">
        <f t="shared" si="2"/>
        <v> </v>
      </c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</row>
    <row r="984">
      <c r="A984" s="119"/>
      <c r="B984" s="119"/>
      <c r="C984" s="118"/>
      <c r="D984" s="118"/>
      <c r="E984" s="118"/>
      <c r="F984" s="118"/>
      <c r="G984" s="118"/>
      <c r="H984" s="119" t="str">
        <f t="shared" si="2"/>
        <v> </v>
      </c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</row>
    <row r="985">
      <c r="A985" s="119"/>
      <c r="B985" s="119"/>
      <c r="C985" s="118"/>
      <c r="D985" s="118"/>
      <c r="E985" s="118"/>
      <c r="F985" s="118"/>
      <c r="G985" s="118"/>
      <c r="H985" s="119" t="str">
        <f t="shared" si="2"/>
        <v> </v>
      </c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</row>
    <row r="986">
      <c r="A986" s="119"/>
      <c r="B986" s="119"/>
      <c r="C986" s="118"/>
      <c r="D986" s="118"/>
      <c r="E986" s="118"/>
      <c r="F986" s="118"/>
      <c r="G986" s="118"/>
      <c r="H986" s="119" t="str">
        <f t="shared" si="2"/>
        <v> </v>
      </c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</row>
    <row r="987">
      <c r="A987" s="119"/>
      <c r="B987" s="119"/>
      <c r="C987" s="118"/>
      <c r="D987" s="118"/>
      <c r="E987" s="118"/>
      <c r="F987" s="118"/>
      <c r="G987" s="118"/>
      <c r="H987" s="119" t="str">
        <f t="shared" si="2"/>
        <v> </v>
      </c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</row>
    <row r="988">
      <c r="A988" s="119"/>
      <c r="B988" s="119"/>
      <c r="C988" s="118"/>
      <c r="D988" s="118"/>
      <c r="E988" s="118"/>
      <c r="F988" s="118"/>
      <c r="G988" s="118"/>
      <c r="H988" s="119" t="str">
        <f t="shared" si="2"/>
        <v> </v>
      </c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</row>
    <row r="989">
      <c r="A989" s="119"/>
      <c r="B989" s="119"/>
      <c r="C989" s="118"/>
      <c r="D989" s="118"/>
      <c r="E989" s="118"/>
      <c r="F989" s="118"/>
      <c r="G989" s="118"/>
      <c r="H989" s="119" t="str">
        <f t="shared" si="2"/>
        <v> </v>
      </c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</row>
    <row r="990">
      <c r="A990" s="119"/>
      <c r="B990" s="119"/>
      <c r="C990" s="118"/>
      <c r="D990" s="118"/>
      <c r="E990" s="118"/>
      <c r="F990" s="118"/>
      <c r="G990" s="118"/>
      <c r="H990" s="119" t="str">
        <f t="shared" si="2"/>
        <v> </v>
      </c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</row>
    <row r="991">
      <c r="A991" s="119"/>
      <c r="B991" s="119"/>
      <c r="C991" s="118"/>
      <c r="D991" s="118"/>
      <c r="E991" s="118"/>
      <c r="F991" s="118"/>
      <c r="G991" s="118"/>
      <c r="H991" s="119" t="str">
        <f t="shared" si="2"/>
        <v> </v>
      </c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</row>
    <row r="992">
      <c r="A992" s="119"/>
      <c r="B992" s="119"/>
      <c r="C992" s="118"/>
      <c r="D992" s="118"/>
      <c r="E992" s="118"/>
      <c r="F992" s="118"/>
      <c r="G992" s="118"/>
      <c r="H992" s="119" t="str">
        <f t="shared" si="2"/>
        <v> </v>
      </c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</row>
    <row r="993">
      <c r="A993" s="119"/>
      <c r="B993" s="119"/>
      <c r="C993" s="118"/>
      <c r="D993" s="118"/>
      <c r="E993" s="118"/>
      <c r="F993" s="118"/>
      <c r="G993" s="118"/>
      <c r="H993" s="119" t="str">
        <f t="shared" si="2"/>
        <v> </v>
      </c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</row>
    <row r="994">
      <c r="A994" s="119"/>
      <c r="B994" s="119"/>
      <c r="C994" s="118"/>
      <c r="D994" s="118"/>
      <c r="E994" s="118"/>
      <c r="F994" s="118"/>
      <c r="G994" s="118"/>
      <c r="H994" s="119" t="str">
        <f t="shared" si="2"/>
        <v> </v>
      </c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</row>
    <row r="995">
      <c r="A995" s="119"/>
      <c r="B995" s="119"/>
      <c r="C995" s="118"/>
      <c r="D995" s="118"/>
      <c r="E995" s="118"/>
      <c r="F995" s="118"/>
      <c r="G995" s="118"/>
      <c r="H995" s="119" t="str">
        <f t="shared" si="2"/>
        <v> </v>
      </c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</row>
    <row r="996">
      <c r="A996" s="119"/>
      <c r="B996" s="119"/>
      <c r="C996" s="118"/>
      <c r="D996" s="118"/>
      <c r="E996" s="118"/>
      <c r="F996" s="118"/>
      <c r="G996" s="118"/>
      <c r="H996" s="119" t="str">
        <f t="shared" si="2"/>
        <v> </v>
      </c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</row>
    <row r="997">
      <c r="A997" s="119"/>
      <c r="B997" s="119"/>
      <c r="C997" s="118"/>
      <c r="D997" s="118"/>
      <c r="E997" s="118"/>
      <c r="F997" s="118"/>
      <c r="G997" s="118"/>
      <c r="H997" s="119" t="str">
        <f t="shared" si="2"/>
        <v> </v>
      </c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</row>
    <row r="998">
      <c r="A998" s="119"/>
      <c r="B998" s="119"/>
      <c r="C998" s="118"/>
      <c r="D998" s="118"/>
      <c r="E998" s="118"/>
      <c r="F998" s="118"/>
      <c r="G998" s="118"/>
      <c r="H998" s="119" t="str">
        <f t="shared" si="2"/>
        <v> </v>
      </c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</row>
    <row r="999">
      <c r="A999" s="119"/>
      <c r="B999" s="119"/>
      <c r="C999" s="118"/>
      <c r="D999" s="118"/>
      <c r="E999" s="118"/>
      <c r="F999" s="118"/>
      <c r="G999" s="118"/>
      <c r="H999" s="119" t="str">
        <f t="shared" si="2"/>
        <v> </v>
      </c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</row>
    <row r="1000">
      <c r="A1000" s="119"/>
      <c r="B1000" s="119"/>
      <c r="C1000" s="118"/>
      <c r="D1000" s="118"/>
      <c r="E1000" s="118"/>
      <c r="F1000" s="118"/>
      <c r="G1000" s="118"/>
      <c r="H1000" s="119" t="str">
        <f t="shared" si="2"/>
        <v> </v>
      </c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</row>
    <row r="1001">
      <c r="A1001" s="119"/>
      <c r="B1001" s="119"/>
      <c r="C1001" s="118"/>
      <c r="D1001" s="118"/>
      <c r="E1001" s="118"/>
      <c r="F1001" s="118"/>
      <c r="G1001" s="118"/>
      <c r="H1001" s="119" t="str">
        <f t="shared" si="2"/>
        <v> </v>
      </c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</row>
  </sheetData>
  <autoFilter ref="$A$2:$H$121"/>
  <drawing r:id="rId2"/>
</worksheet>
</file>