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defaultThemeVersion="124226"/>
  <xr:revisionPtr revIDLastSave="2147" documentId="13_ncr:1_{2356FADD-F7AE-40C2-88EA-46DB0A52866D}" xr6:coauthVersionLast="47" xr6:coauthVersionMax="47" xr10:uidLastSave="{CE01B20A-1D3D-4573-90D4-E9CD4A800FDB}"/>
  <bookViews>
    <workbookView xWindow="-108" yWindow="-108" windowWidth="23256" windowHeight="13896" xr2:uid="{00000000-000D-0000-FFFF-FFFF00000000}"/>
  </bookViews>
  <sheets>
    <sheet name="SALES" sheetId="7" r:id="rId1"/>
    <sheet name="SOH" sheetId="6" r:id="rId2"/>
  </sheets>
  <definedNames>
    <definedName name="_xlnm._FilterDatabase" localSheetId="0" hidden="1">SALES!$A$4:$O$56</definedName>
    <definedName name="_xlnm._FilterDatabase" localSheetId="1" hidden="1">SOH!$A$4:$J$15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7" l="1"/>
  <c r="N13" i="7" s="1"/>
  <c r="M6" i="7"/>
  <c r="N6" i="7" s="1"/>
  <c r="M7" i="7"/>
  <c r="M8" i="7"/>
  <c r="M9" i="7"/>
  <c r="M10" i="7"/>
  <c r="N10" i="7" s="1"/>
  <c r="M11" i="7"/>
  <c r="N11" i="7" s="1"/>
  <c r="M12" i="7"/>
  <c r="N12" i="7" s="1"/>
  <c r="M14" i="7"/>
  <c r="N14" i="7" s="1"/>
  <c r="M15" i="7"/>
  <c r="N15" i="7" s="1"/>
  <c r="M16" i="7"/>
  <c r="N16" i="7" s="1"/>
  <c r="M17" i="7"/>
  <c r="N17" i="7" s="1"/>
  <c r="M18" i="7"/>
  <c r="N18" i="7" s="1"/>
  <c r="M19" i="7"/>
  <c r="N19" i="7" s="1"/>
  <c r="M20" i="7"/>
  <c r="M21" i="7"/>
  <c r="M22" i="7"/>
  <c r="N22" i="7" s="1"/>
  <c r="M23" i="7"/>
  <c r="N23" i="7" s="1"/>
  <c r="M24" i="7"/>
  <c r="N24" i="7" s="1"/>
  <c r="M25" i="7"/>
  <c r="N25" i="7" s="1"/>
  <c r="M26" i="7"/>
  <c r="N26" i="7" s="1"/>
  <c r="M27" i="7"/>
  <c r="N27" i="7" s="1"/>
  <c r="M28" i="7"/>
  <c r="N28" i="7" s="1"/>
  <c r="M29" i="7"/>
  <c r="N29" i="7" s="1"/>
  <c r="M30" i="7"/>
  <c r="N30" i="7" s="1"/>
  <c r="M31" i="7"/>
  <c r="M32" i="7"/>
  <c r="M33" i="7"/>
  <c r="N33" i="7" s="1"/>
  <c r="M34" i="7"/>
  <c r="N34" i="7" s="1"/>
  <c r="M35" i="7"/>
  <c r="N35" i="7" s="1"/>
  <c r="M36" i="7"/>
  <c r="N36" i="7" s="1"/>
  <c r="M37" i="7"/>
  <c r="N37" i="7" s="1"/>
  <c r="M38" i="7"/>
  <c r="N38" i="7" s="1"/>
  <c r="M39" i="7"/>
  <c r="N39" i="7" s="1"/>
  <c r="M40" i="7"/>
  <c r="N40" i="7" s="1"/>
  <c r="M41" i="7"/>
  <c r="N41" i="7" s="1"/>
  <c r="M42" i="7"/>
  <c r="M43" i="7"/>
  <c r="M44" i="7"/>
  <c r="N44" i="7" s="1"/>
  <c r="M45" i="7"/>
  <c r="N45" i="7" s="1"/>
  <c r="M46" i="7"/>
  <c r="N46" i="7" s="1"/>
  <c r="M47" i="7"/>
  <c r="N47" i="7" s="1"/>
  <c r="M48" i="7"/>
  <c r="N48" i="7" s="1"/>
  <c r="M49" i="7"/>
  <c r="N49" i="7" s="1"/>
  <c r="M50" i="7"/>
  <c r="N50" i="7" s="1"/>
  <c r="M51" i="7"/>
  <c r="N51" i="7" s="1"/>
  <c r="M52" i="7"/>
  <c r="N52" i="7" s="1"/>
  <c r="M53" i="7"/>
  <c r="N53" i="7" s="1"/>
  <c r="M54" i="7"/>
  <c r="N54" i="7" s="1"/>
  <c r="M55" i="7"/>
  <c r="M5" i="7"/>
  <c r="N7" i="7"/>
  <c r="N8" i="7"/>
  <c r="N9" i="7"/>
  <c r="N20" i="7"/>
  <c r="N21" i="7"/>
  <c r="N31" i="7"/>
  <c r="N32" i="7"/>
  <c r="N42" i="7"/>
  <c r="N43" i="7"/>
  <c r="N55" i="7"/>
  <c r="N5" i="7"/>
  <c r="J56" i="7"/>
  <c r="K56" i="7"/>
  <c r="G17" i="6" l="1"/>
  <c r="N56" i="7" l="1"/>
  <c r="M56" i="7"/>
  <c r="J5" i="6"/>
  <c r="J17" i="6" s="1"/>
</calcChain>
</file>

<file path=xl/sharedStrings.xml><?xml version="1.0" encoding="utf-8"?>
<sst xmlns="http://schemas.openxmlformats.org/spreadsheetml/2006/main" count="407" uniqueCount="105">
  <si>
    <t>KDPS LIFESTYLE PVT. LTD.</t>
  </si>
  <si>
    <t>List of Sales Vouchers</t>
  </si>
  <si>
    <t>Date</t>
  </si>
  <si>
    <t>Particulars</t>
  </si>
  <si>
    <t>Item Details</t>
  </si>
  <si>
    <t>MRP</t>
  </si>
  <si>
    <t>Barcode</t>
  </si>
  <si>
    <t>Size</t>
  </si>
  <si>
    <t>Style Code</t>
  </si>
  <si>
    <t>Brand</t>
  </si>
  <si>
    <t>Qty.</t>
  </si>
  <si>
    <t>Unit</t>
  </si>
  <si>
    <t>Price</t>
  </si>
  <si>
    <t>Total</t>
  </si>
  <si>
    <t>L</t>
  </si>
  <si>
    <t>SHIRT</t>
  </si>
  <si>
    <t>Total MRP</t>
  </si>
  <si>
    <t>M</t>
  </si>
  <si>
    <t>T-SHIRT</t>
  </si>
  <si>
    <t>List of Stock Details</t>
  </si>
  <si>
    <t>PCS</t>
  </si>
  <si>
    <t>CASH</t>
  </si>
  <si>
    <t>TROUSER</t>
  </si>
  <si>
    <t xml:space="preserve">Dis </t>
  </si>
  <si>
    <t>Dis %</t>
  </si>
  <si>
    <t>JEANS</t>
  </si>
  <si>
    <t>Vch/Bill No.</t>
  </si>
  <si>
    <t>LOUIS PHILIPPE</t>
  </si>
  <si>
    <t>LP</t>
  </si>
  <si>
    <t>No Discount</t>
  </si>
  <si>
    <t>Discount</t>
  </si>
  <si>
    <t>Voucher Series : LOUIS PHILIPPE  (From 01-04-2026 To 30-04-2026)</t>
  </si>
  <si>
    <t>BLAZER</t>
  </si>
  <si>
    <t>LPKPMRGFG11628</t>
  </si>
  <si>
    <t>LYTFCSLF422375</t>
  </si>
  <si>
    <t>LRDNNBTFN43756Q</t>
  </si>
  <si>
    <t>LRKPNSLFH89854</t>
  </si>
  <si>
    <t>Voucher Series : LOUIS PHILIPPE (From 01-05-2026)</t>
  </si>
  <si>
    <t>26-27/SAN/34</t>
  </si>
  <si>
    <t>26-27/SAN/143</t>
  </si>
  <si>
    <t>26-27/SAN/188</t>
  </si>
  <si>
    <t>26-27/SAN/225</t>
  </si>
  <si>
    <t>26-27/SAN/318</t>
  </si>
  <si>
    <t>26-27/SAN/404</t>
  </si>
  <si>
    <t>26-27/SAN/430</t>
  </si>
  <si>
    <t>26-27/SAN/435</t>
  </si>
  <si>
    <t>26-27/SAN/528</t>
  </si>
  <si>
    <t>26-27/SAN/596</t>
  </si>
  <si>
    <t>26-27/SAN/616</t>
  </si>
  <si>
    <t>26-27/SAN/618</t>
  </si>
  <si>
    <t>26-27/SAN/639</t>
  </si>
  <si>
    <t>26-27/SAN/645</t>
  </si>
  <si>
    <t>26-27/SAN/719</t>
  </si>
  <si>
    <t>26-27/SAN/744</t>
  </si>
  <si>
    <t>26-27/SAN/813</t>
  </si>
  <si>
    <t>26-27/SAN/835</t>
  </si>
  <si>
    <t>26-27/SAN/869</t>
  </si>
  <si>
    <t>26-27/SAN/898</t>
  </si>
  <si>
    <t>26-27/SAN/919</t>
  </si>
  <si>
    <t>26-27/SAN/969</t>
  </si>
  <si>
    <t>26-27/SAN/1046</t>
  </si>
  <si>
    <t>26-27/SAN/1047</t>
  </si>
  <si>
    <t>26-27/SAN/1050</t>
  </si>
  <si>
    <t>26-27/SAN/1100</t>
  </si>
  <si>
    <t>26-27/SAN/1112</t>
  </si>
  <si>
    <t>26-27/SAN/1123</t>
  </si>
  <si>
    <t>26-27/SAN/1178</t>
  </si>
  <si>
    <t>26-27/SAN/1238</t>
  </si>
  <si>
    <t>BELT</t>
  </si>
  <si>
    <t>LYSFHSLBF53364</t>
  </si>
  <si>
    <t>LYSFCSLBZ17052</t>
  </si>
  <si>
    <t>LPSFMCLPO42967</t>
  </si>
  <si>
    <t>LRTFNSGP071793</t>
  </si>
  <si>
    <t>LYSHCSLB636237</t>
  </si>
  <si>
    <t>LRTFCSGB475899</t>
  </si>
  <si>
    <t>LPSFMCLPP04922</t>
  </si>
  <si>
    <t>LPTFMSLFZ01217</t>
  </si>
  <si>
    <t>LPTFMSLFW00916</t>
  </si>
  <si>
    <t>LPSFMCLPG80438</t>
  </si>
  <si>
    <t>LPKWMRGB701053</t>
  </si>
  <si>
    <t>LPKWMRGFX94840</t>
  </si>
  <si>
    <t>LPKPMRGFM51465</t>
  </si>
  <si>
    <t>LRKCNSLB638010</t>
  </si>
  <si>
    <t>S</t>
  </si>
  <si>
    <t>LPKWMRGFF78734</t>
  </si>
  <si>
    <t>LRDNNCTFE28024Q</t>
  </si>
  <si>
    <t>LPTFMSTFI85740Q</t>
  </si>
  <si>
    <t>LPTFMSLFT65037</t>
  </si>
  <si>
    <t>LPPROMOBW25015</t>
  </si>
  <si>
    <t>LPBZMSLF618532Q</t>
  </si>
  <si>
    <t>LPTFMSLFN74350</t>
  </si>
  <si>
    <t>LPTFMSLFF27840Q</t>
  </si>
  <si>
    <t>LATFACTFR88275</t>
  </si>
  <si>
    <t>LPTFMSLBA88553Q</t>
  </si>
  <si>
    <t>LRDNNSLFC15348Q</t>
  </si>
  <si>
    <t>LPSFMCLP378843</t>
  </si>
  <si>
    <t>LPSFMSLP769352</t>
  </si>
  <si>
    <t>LPSFMCLP708599</t>
  </si>
  <si>
    <t>LPTFMSLBT35858Q</t>
  </si>
  <si>
    <t>LYTFCSLP195004</t>
  </si>
  <si>
    <t>LRSFCSLP116305</t>
  </si>
  <si>
    <t>LPSFMSLPL33482</t>
  </si>
  <si>
    <t>LRDNNCTFA87097Q</t>
  </si>
  <si>
    <t>LRSFNSLFE55675</t>
  </si>
  <si>
    <t>LRDNNSLFF07487Q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</si>
</sst>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0;\-###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sz val="8"/>
      <name val="Calibri"/>
      <family val="2"/>
      <scheme val="minor"/>
    </font>
    <font>
      <sz val="10"/>
      <color theme="1"/>
      <name val="Cambria"/>
      <family val="1"/>
      <scheme val="major"/>
    </font>
    <font>
      <b/>
      <u/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3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9" fillId="0" borderId="0" xfId="0" applyFont="1" applyAlignment="1">
      <alignment horizontal="center"/>
    </xf>
    <xf numFmtId="1" fontId="10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4" fontId="9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1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14" fontId="5" fillId="0" borderId="10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9" xfId="0" applyNumberFormat="1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12">
    <cellStyle name="Comma 2" xfId="3" xr:uid="{00000000-0005-0000-0000-000000000000}"/>
    <cellStyle name="Comma 3" xfId="2" xr:uid="{00000000-0005-0000-0000-000001000000}"/>
    <cellStyle name="Comma 3 2" xfId="11" xr:uid="{A138503A-AE65-4BD9-AE52-D2ABEB4BE502}"/>
    <cellStyle name="Normal" xfId="0" builtinId="0"/>
    <cellStyle name="Normal 12" xfId="6" xr:uid="{00000000-0005-0000-0000-000003000000}"/>
    <cellStyle name="Normal 17" xfId="7" xr:uid="{00000000-0005-0000-0000-000004000000}"/>
    <cellStyle name="Normal 19" xfId="8" xr:uid="{00000000-0005-0000-0000-000005000000}"/>
    <cellStyle name="Normal 2" xfId="1" xr:uid="{00000000-0005-0000-0000-000006000000}"/>
    <cellStyle name="Normal 2 2" xfId="10" xr:uid="{35CEEF2A-312D-4473-B062-846A3B04F3B9}"/>
    <cellStyle name="Normal 21" xfId="9" xr:uid="{00000000-0005-0000-0000-000007000000}"/>
    <cellStyle name="Normal 3" xfId="4" xr:uid="{00000000-0005-0000-0000-000008000000}"/>
    <cellStyle name="Normal 4" xfId="5" xr:uid="{00000000-0005-0000-0000-000009000000}"/>
  </cellStyles>
  <dxfs count="4"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6117-A3D0-485B-8F84-7C7841917081}">
  <dimension ref="A1:O56"/>
  <sheetViews>
    <sheetView tabSelected="1" workbookViewId="0">
      <pane ySplit="4" topLeftCell="A8" activePane="bottomLeft" state="frozen"/>
      <selection pane="bottomLeft" activeCell="Q12" sqref="Q12"/>
    </sheetView>
  </sheetViews>
  <sheetFormatPr defaultRowHeight="13.2" x14ac:dyDescent="0.25"/>
  <cols>
    <col min="1" max="1" width="10.33203125" style="5" bestFit="1" customWidth="1"/>
    <col min="2" max="2" width="20.33203125" style="6" bestFit="1" customWidth="1"/>
    <col min="3" max="3" width="10.5546875" style="1" bestFit="1" customWidth="1"/>
    <col min="4" max="4" width="15.88671875" style="1" bestFit="1" customWidth="1"/>
    <col min="5" max="5" width="14.6640625" style="1" bestFit="1" customWidth="1"/>
    <col min="6" max="6" width="4.44140625" style="1" bestFit="1" customWidth="1"/>
    <col min="7" max="7" width="17.44140625" style="1" bestFit="1" customWidth="1"/>
    <col min="8" max="8" width="15.5546875" style="7" customWidth="1"/>
    <col min="9" max="9" width="9" style="1" bestFit="1" customWidth="1"/>
    <col min="10" max="10" width="9.21875" style="1" customWidth="1"/>
    <col min="11" max="11" width="10.21875" style="7" customWidth="1"/>
    <col min="12" max="12" width="10.21875" style="1" customWidth="1"/>
    <col min="13" max="13" width="8.5546875" style="7" customWidth="1"/>
    <col min="14" max="14" width="10.44140625" style="7" customWidth="1"/>
    <col min="15" max="15" width="10.88671875" style="1" bestFit="1" customWidth="1"/>
    <col min="16" max="16384" width="8.88671875" style="1"/>
  </cols>
  <sheetData>
    <row r="1" spans="1:15" ht="14.4" customHeigh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  <c r="N1" s="26"/>
    </row>
    <row r="2" spans="1:15" ht="17.399999999999999" x14ac:dyDescent="0.3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9"/>
      <c r="N2" s="30"/>
    </row>
    <row r="3" spans="1:15" ht="15" customHeight="1" thickBot="1" x14ac:dyDescent="0.35">
      <c r="A3" s="31" t="s">
        <v>31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  <c r="N3" s="34"/>
    </row>
    <row r="4" spans="1:15" x14ac:dyDescent="0.25">
      <c r="A4" s="9" t="s">
        <v>2</v>
      </c>
      <c r="B4" s="10" t="s">
        <v>26</v>
      </c>
      <c r="C4" s="10" t="s">
        <v>3</v>
      </c>
      <c r="D4" s="10" t="s">
        <v>4</v>
      </c>
      <c r="E4" s="10" t="s">
        <v>9</v>
      </c>
      <c r="F4" s="10" t="s">
        <v>7</v>
      </c>
      <c r="G4" s="10" t="s">
        <v>8</v>
      </c>
      <c r="H4" s="11" t="s">
        <v>6</v>
      </c>
      <c r="I4" s="10" t="s">
        <v>11</v>
      </c>
      <c r="J4" s="2" t="s">
        <v>10</v>
      </c>
      <c r="K4" s="11" t="s">
        <v>12</v>
      </c>
      <c r="L4" s="11" t="s">
        <v>24</v>
      </c>
      <c r="M4" s="11" t="s">
        <v>23</v>
      </c>
      <c r="N4" s="2" t="s">
        <v>13</v>
      </c>
    </row>
    <row r="5" spans="1:15" x14ac:dyDescent="0.25">
      <c r="A5" s="8">
        <v>46114</v>
      </c>
      <c r="B5" s="13" t="s">
        <v>38</v>
      </c>
      <c r="C5" s="3" t="s">
        <v>21</v>
      </c>
      <c r="D5" s="3" t="s">
        <v>18</v>
      </c>
      <c r="E5" s="3" t="s">
        <v>27</v>
      </c>
      <c r="F5" s="3" t="s">
        <v>14</v>
      </c>
      <c r="G5" s="3" t="s">
        <v>33</v>
      </c>
      <c r="H5" s="4">
        <v>8905968406111</v>
      </c>
      <c r="I5" s="3" t="s">
        <v>20</v>
      </c>
      <c r="J5" s="3">
        <v>1</v>
      </c>
      <c r="K5" s="4">
        <v>1999</v>
      </c>
      <c r="L5" s="3">
        <v>30</v>
      </c>
      <c r="M5" s="4">
        <f>L5/100*K5</f>
        <v>599.69999999999993</v>
      </c>
      <c r="N5" s="4">
        <f>K5-M5</f>
        <v>1399.3000000000002</v>
      </c>
      <c r="O5" s="1" t="s">
        <v>30</v>
      </c>
    </row>
    <row r="6" spans="1:15" x14ac:dyDescent="0.25">
      <c r="A6" s="8">
        <v>46117</v>
      </c>
      <c r="B6" s="13" t="s">
        <v>39</v>
      </c>
      <c r="C6" s="3" t="s">
        <v>21</v>
      </c>
      <c r="D6" s="3" t="s">
        <v>15</v>
      </c>
      <c r="E6" s="3" t="s">
        <v>27</v>
      </c>
      <c r="F6" s="3">
        <v>40</v>
      </c>
      <c r="G6" s="3" t="s">
        <v>69</v>
      </c>
      <c r="H6" s="4">
        <v>8909397323759</v>
      </c>
      <c r="I6" s="3" t="s">
        <v>20</v>
      </c>
      <c r="J6" s="3">
        <v>1</v>
      </c>
      <c r="K6" s="4">
        <v>3499</v>
      </c>
      <c r="L6" s="3">
        <v>30</v>
      </c>
      <c r="M6" s="4">
        <f t="shared" ref="L6:M55" si="0">L6/100*K6</f>
        <v>1049.7</v>
      </c>
      <c r="N6" s="4">
        <f t="shared" ref="N6:N55" si="1">K6-M6</f>
        <v>2449.3000000000002</v>
      </c>
      <c r="O6" s="1" t="s">
        <v>30</v>
      </c>
    </row>
    <row r="7" spans="1:15" x14ac:dyDescent="0.25">
      <c r="A7" s="8">
        <v>46117</v>
      </c>
      <c r="B7" s="13" t="s">
        <v>40</v>
      </c>
      <c r="C7" s="3" t="s">
        <v>21</v>
      </c>
      <c r="D7" s="3" t="s">
        <v>15</v>
      </c>
      <c r="E7" s="3" t="s">
        <v>27</v>
      </c>
      <c r="F7" s="3">
        <v>39</v>
      </c>
      <c r="G7" s="3" t="s">
        <v>70</v>
      </c>
      <c r="H7" s="4">
        <v>8909158925208</v>
      </c>
      <c r="I7" s="3" t="s">
        <v>20</v>
      </c>
      <c r="J7" s="3">
        <v>1</v>
      </c>
      <c r="K7" s="4">
        <v>2499</v>
      </c>
      <c r="L7" s="3">
        <v>30</v>
      </c>
      <c r="M7" s="4">
        <f t="shared" si="0"/>
        <v>749.69999999999993</v>
      </c>
      <c r="N7" s="4">
        <f t="shared" si="1"/>
        <v>1749.3000000000002</v>
      </c>
      <c r="O7" s="1" t="s">
        <v>30</v>
      </c>
    </row>
    <row r="8" spans="1:15" x14ac:dyDescent="0.25">
      <c r="A8" s="8">
        <v>46118</v>
      </c>
      <c r="B8" s="13" t="s">
        <v>41</v>
      </c>
      <c r="C8" s="3" t="s">
        <v>21</v>
      </c>
      <c r="D8" s="3" t="s">
        <v>15</v>
      </c>
      <c r="E8" s="3" t="s">
        <v>27</v>
      </c>
      <c r="F8" s="3">
        <v>42</v>
      </c>
      <c r="G8" s="3" t="s">
        <v>71</v>
      </c>
      <c r="H8" s="4">
        <v>8909397206755</v>
      </c>
      <c r="I8" s="3" t="s">
        <v>20</v>
      </c>
      <c r="J8" s="3">
        <v>1</v>
      </c>
      <c r="K8" s="4">
        <v>4213</v>
      </c>
      <c r="L8" s="3">
        <v>30</v>
      </c>
      <c r="M8" s="4">
        <f t="shared" si="0"/>
        <v>1263.8999999999999</v>
      </c>
      <c r="N8" s="4">
        <f t="shared" si="1"/>
        <v>2949.1000000000004</v>
      </c>
      <c r="O8" s="1" t="s">
        <v>30</v>
      </c>
    </row>
    <row r="9" spans="1:15" x14ac:dyDescent="0.25">
      <c r="A9" s="8">
        <v>46121</v>
      </c>
      <c r="B9" s="13" t="s">
        <v>42</v>
      </c>
      <c r="C9" s="3" t="s">
        <v>21</v>
      </c>
      <c r="D9" s="3" t="s">
        <v>22</v>
      </c>
      <c r="E9" s="3" t="s">
        <v>27</v>
      </c>
      <c r="F9" s="3">
        <v>86</v>
      </c>
      <c r="G9" s="3" t="s">
        <v>72</v>
      </c>
      <c r="H9" s="4">
        <v>8909397073814</v>
      </c>
      <c r="I9" s="3" t="s">
        <v>20</v>
      </c>
      <c r="J9" s="3">
        <v>1</v>
      </c>
      <c r="K9" s="4">
        <v>3499</v>
      </c>
      <c r="L9" s="3">
        <v>30</v>
      </c>
      <c r="M9" s="4">
        <f t="shared" si="0"/>
        <v>1049.7</v>
      </c>
      <c r="N9" s="4">
        <f t="shared" si="1"/>
        <v>2449.3000000000002</v>
      </c>
      <c r="O9" s="1" t="s">
        <v>30</v>
      </c>
    </row>
    <row r="10" spans="1:15" x14ac:dyDescent="0.25">
      <c r="A10" s="8">
        <v>46123</v>
      </c>
      <c r="B10" s="13" t="s">
        <v>43</v>
      </c>
      <c r="C10" s="3" t="s">
        <v>21</v>
      </c>
      <c r="D10" s="3" t="s">
        <v>15</v>
      </c>
      <c r="E10" s="3" t="s">
        <v>27</v>
      </c>
      <c r="F10" s="3">
        <v>42</v>
      </c>
      <c r="G10" s="3" t="s">
        <v>73</v>
      </c>
      <c r="H10" s="4">
        <v>8909471392688</v>
      </c>
      <c r="I10" s="3" t="s">
        <v>20</v>
      </c>
      <c r="J10" s="3">
        <v>1</v>
      </c>
      <c r="K10" s="4">
        <v>2625</v>
      </c>
      <c r="L10" s="3">
        <v>0</v>
      </c>
      <c r="M10" s="4">
        <f t="shared" si="0"/>
        <v>0</v>
      </c>
      <c r="N10" s="4">
        <f t="shared" si="1"/>
        <v>2625</v>
      </c>
      <c r="O10" s="1" t="s">
        <v>29</v>
      </c>
    </row>
    <row r="11" spans="1:15" x14ac:dyDescent="0.25">
      <c r="A11" s="8">
        <v>46123</v>
      </c>
      <c r="B11" s="13" t="s">
        <v>44</v>
      </c>
      <c r="C11" s="3" t="s">
        <v>21</v>
      </c>
      <c r="D11" s="3" t="s">
        <v>22</v>
      </c>
      <c r="E11" s="3" t="s">
        <v>27</v>
      </c>
      <c r="F11" s="3">
        <v>102</v>
      </c>
      <c r="G11" s="3" t="s">
        <v>74</v>
      </c>
      <c r="H11" s="4">
        <v>8909471492838</v>
      </c>
      <c r="I11" s="3" t="s">
        <v>20</v>
      </c>
      <c r="J11" s="3">
        <v>1</v>
      </c>
      <c r="K11" s="4">
        <v>3249</v>
      </c>
      <c r="L11" s="3">
        <v>0</v>
      </c>
      <c r="M11" s="4">
        <f t="shared" si="0"/>
        <v>0</v>
      </c>
      <c r="N11" s="4">
        <f t="shared" si="1"/>
        <v>3249</v>
      </c>
      <c r="O11" s="1" t="s">
        <v>29</v>
      </c>
    </row>
    <row r="12" spans="1:15" x14ac:dyDescent="0.25">
      <c r="A12" s="8">
        <v>46123</v>
      </c>
      <c r="B12" s="13" t="s">
        <v>45</v>
      </c>
      <c r="C12" s="3" t="s">
        <v>21</v>
      </c>
      <c r="D12" s="3" t="s">
        <v>15</v>
      </c>
      <c r="E12" s="3" t="s">
        <v>27</v>
      </c>
      <c r="F12" s="3">
        <v>42</v>
      </c>
      <c r="G12" s="3" t="s">
        <v>75</v>
      </c>
      <c r="H12" s="4">
        <v>8905968219407</v>
      </c>
      <c r="I12" s="3" t="s">
        <v>20</v>
      </c>
      <c r="J12" s="3">
        <v>1</v>
      </c>
      <c r="K12" s="4">
        <v>2499</v>
      </c>
      <c r="L12" s="3">
        <v>0</v>
      </c>
      <c r="M12" s="4">
        <f t="shared" si="0"/>
        <v>0</v>
      </c>
      <c r="N12" s="4">
        <f t="shared" si="1"/>
        <v>2499</v>
      </c>
      <c r="O12" s="1" t="s">
        <v>29</v>
      </c>
    </row>
    <row r="13" spans="1:15" x14ac:dyDescent="0.25">
      <c r="A13" s="8">
        <v>46123</v>
      </c>
      <c r="B13" s="13" t="s">
        <v>45</v>
      </c>
      <c r="C13" s="3" t="s">
        <v>21</v>
      </c>
      <c r="D13" s="3" t="s">
        <v>22</v>
      </c>
      <c r="E13" s="3" t="s">
        <v>27</v>
      </c>
      <c r="F13" s="3">
        <v>92</v>
      </c>
      <c r="G13" s="3" t="s">
        <v>76</v>
      </c>
      <c r="H13" s="4">
        <v>8909158939960</v>
      </c>
      <c r="I13" s="3" t="s">
        <v>20</v>
      </c>
      <c r="J13" s="3">
        <v>1</v>
      </c>
      <c r="K13" s="4">
        <v>2625</v>
      </c>
      <c r="L13" s="3">
        <v>0</v>
      </c>
      <c r="M13" s="4">
        <f t="shared" si="0"/>
        <v>0</v>
      </c>
      <c r="N13" s="4">
        <f t="shared" si="1"/>
        <v>2625</v>
      </c>
      <c r="O13" s="1" t="s">
        <v>29</v>
      </c>
    </row>
    <row r="14" spans="1:15" x14ac:dyDescent="0.25">
      <c r="A14" s="8">
        <v>46123</v>
      </c>
      <c r="B14" s="13" t="s">
        <v>45</v>
      </c>
      <c r="C14" s="3" t="s">
        <v>21</v>
      </c>
      <c r="D14" s="3" t="s">
        <v>22</v>
      </c>
      <c r="E14" s="3" t="s">
        <v>27</v>
      </c>
      <c r="F14" s="3">
        <v>92</v>
      </c>
      <c r="G14" s="3" t="s">
        <v>77</v>
      </c>
      <c r="H14" s="4">
        <v>8909397071186</v>
      </c>
      <c r="I14" s="3" t="s">
        <v>20</v>
      </c>
      <c r="J14" s="3">
        <v>1</v>
      </c>
      <c r="K14" s="4">
        <v>2625</v>
      </c>
      <c r="L14" s="3">
        <v>0</v>
      </c>
      <c r="M14" s="4">
        <f t="shared" si="0"/>
        <v>0</v>
      </c>
      <c r="N14" s="4">
        <f t="shared" si="1"/>
        <v>2625</v>
      </c>
      <c r="O14" s="1" t="s">
        <v>29</v>
      </c>
    </row>
    <row r="15" spans="1:15" x14ac:dyDescent="0.25">
      <c r="A15" s="8">
        <v>46125</v>
      </c>
      <c r="B15" s="13" t="s">
        <v>46</v>
      </c>
      <c r="C15" s="3" t="s">
        <v>21</v>
      </c>
      <c r="D15" s="3" t="s">
        <v>15</v>
      </c>
      <c r="E15" s="3" t="s">
        <v>27</v>
      </c>
      <c r="F15" s="3">
        <v>39</v>
      </c>
      <c r="G15" s="3" t="s">
        <v>78</v>
      </c>
      <c r="H15" s="4">
        <v>8909397206878</v>
      </c>
      <c r="I15" s="3" t="s">
        <v>20</v>
      </c>
      <c r="J15" s="3">
        <v>1</v>
      </c>
      <c r="K15" s="4">
        <v>4213</v>
      </c>
      <c r="L15" s="3">
        <v>30</v>
      </c>
      <c r="M15" s="4">
        <f t="shared" si="0"/>
        <v>1263.8999999999999</v>
      </c>
      <c r="N15" s="4">
        <f t="shared" si="1"/>
        <v>2949.1000000000004</v>
      </c>
      <c r="O15" s="1" t="s">
        <v>30</v>
      </c>
    </row>
    <row r="16" spans="1:15" x14ac:dyDescent="0.25">
      <c r="A16" s="8">
        <v>46127</v>
      </c>
      <c r="B16" s="13" t="s">
        <v>47</v>
      </c>
      <c r="C16" s="3" t="s">
        <v>21</v>
      </c>
      <c r="D16" s="3" t="s">
        <v>18</v>
      </c>
      <c r="E16" s="3" t="s">
        <v>27</v>
      </c>
      <c r="F16" s="3" t="s">
        <v>17</v>
      </c>
      <c r="G16" s="3" t="s">
        <v>79</v>
      </c>
      <c r="H16" s="4">
        <v>8909471360274</v>
      </c>
      <c r="I16" s="3" t="s">
        <v>20</v>
      </c>
      <c r="J16" s="3">
        <v>1</v>
      </c>
      <c r="K16" s="4">
        <v>2499</v>
      </c>
      <c r="L16" s="3">
        <v>0</v>
      </c>
      <c r="M16" s="4">
        <f t="shared" si="0"/>
        <v>0</v>
      </c>
      <c r="N16" s="4">
        <f t="shared" si="1"/>
        <v>2499</v>
      </c>
      <c r="O16" s="1" t="s">
        <v>29</v>
      </c>
    </row>
    <row r="17" spans="1:15" x14ac:dyDescent="0.25">
      <c r="A17" s="8">
        <v>46127</v>
      </c>
      <c r="B17" s="13" t="s">
        <v>47</v>
      </c>
      <c r="C17" s="3" t="s">
        <v>21</v>
      </c>
      <c r="D17" s="3" t="s">
        <v>18</v>
      </c>
      <c r="E17" s="3" t="s">
        <v>27</v>
      </c>
      <c r="F17" s="3" t="s">
        <v>17</v>
      </c>
      <c r="G17" s="3" t="s">
        <v>80</v>
      </c>
      <c r="H17" s="4">
        <v>8909397247192</v>
      </c>
      <c r="I17" s="3" t="s">
        <v>20</v>
      </c>
      <c r="J17" s="3">
        <v>1</v>
      </c>
      <c r="K17" s="4">
        <v>2499</v>
      </c>
      <c r="L17" s="3">
        <v>0</v>
      </c>
      <c r="M17" s="4">
        <f t="shared" si="0"/>
        <v>0</v>
      </c>
      <c r="N17" s="4">
        <f t="shared" si="1"/>
        <v>2499</v>
      </c>
      <c r="O17" s="1" t="s">
        <v>29</v>
      </c>
    </row>
    <row r="18" spans="1:15" x14ac:dyDescent="0.25">
      <c r="A18" s="8">
        <v>46127</v>
      </c>
      <c r="B18" s="13" t="s">
        <v>47</v>
      </c>
      <c r="C18" s="3" t="s">
        <v>21</v>
      </c>
      <c r="D18" s="3" t="s">
        <v>18</v>
      </c>
      <c r="E18" s="3" t="s">
        <v>27</v>
      </c>
      <c r="F18" s="3" t="s">
        <v>17</v>
      </c>
      <c r="G18" s="3" t="s">
        <v>81</v>
      </c>
      <c r="H18" s="4">
        <v>8909471332271</v>
      </c>
      <c r="I18" s="3" t="s">
        <v>20</v>
      </c>
      <c r="J18" s="3">
        <v>1</v>
      </c>
      <c r="K18" s="4">
        <v>1999</v>
      </c>
      <c r="L18" s="3">
        <v>0</v>
      </c>
      <c r="M18" s="4">
        <f t="shared" si="0"/>
        <v>0</v>
      </c>
      <c r="N18" s="4">
        <f t="shared" si="1"/>
        <v>1999</v>
      </c>
      <c r="O18" s="1" t="s">
        <v>29</v>
      </c>
    </row>
    <row r="19" spans="1:15" x14ac:dyDescent="0.25">
      <c r="A19" s="8">
        <v>46127</v>
      </c>
      <c r="B19" s="13" t="s">
        <v>48</v>
      </c>
      <c r="C19" s="3" t="s">
        <v>21</v>
      </c>
      <c r="D19" s="3" t="s">
        <v>18</v>
      </c>
      <c r="E19" s="3" t="s">
        <v>27</v>
      </c>
      <c r="F19" s="3" t="s">
        <v>14</v>
      </c>
      <c r="G19" s="3" t="s">
        <v>82</v>
      </c>
      <c r="H19" s="4">
        <v>8909471344274</v>
      </c>
      <c r="I19" s="3" t="s">
        <v>20</v>
      </c>
      <c r="J19" s="3">
        <v>1</v>
      </c>
      <c r="K19" s="4">
        <v>1199</v>
      </c>
      <c r="L19" s="3">
        <v>0</v>
      </c>
      <c r="M19" s="4">
        <f t="shared" si="0"/>
        <v>0</v>
      </c>
      <c r="N19" s="4">
        <f t="shared" si="1"/>
        <v>1199</v>
      </c>
      <c r="O19" s="1" t="s">
        <v>29</v>
      </c>
    </row>
    <row r="20" spans="1:15" x14ac:dyDescent="0.25">
      <c r="A20" s="8">
        <v>46127</v>
      </c>
      <c r="B20" s="13" t="s">
        <v>49</v>
      </c>
      <c r="C20" s="3" t="s">
        <v>21</v>
      </c>
      <c r="D20" s="3" t="s">
        <v>18</v>
      </c>
      <c r="E20" s="3" t="s">
        <v>27</v>
      </c>
      <c r="F20" s="3" t="s">
        <v>83</v>
      </c>
      <c r="G20" s="3" t="s">
        <v>84</v>
      </c>
      <c r="H20" s="4">
        <v>8905968082261</v>
      </c>
      <c r="I20" s="3" t="s">
        <v>20</v>
      </c>
      <c r="J20" s="3">
        <v>1</v>
      </c>
      <c r="K20" s="4">
        <v>1999</v>
      </c>
      <c r="L20" s="3">
        <v>30</v>
      </c>
      <c r="M20" s="4">
        <f t="shared" si="0"/>
        <v>599.69999999999993</v>
      </c>
      <c r="N20" s="4">
        <f t="shared" si="1"/>
        <v>1399.3000000000002</v>
      </c>
      <c r="O20" s="1" t="s">
        <v>30</v>
      </c>
    </row>
    <row r="21" spans="1:15" x14ac:dyDescent="0.25">
      <c r="A21" s="8">
        <v>46128</v>
      </c>
      <c r="B21" s="13" t="s">
        <v>50</v>
      </c>
      <c r="C21" s="3" t="s">
        <v>21</v>
      </c>
      <c r="D21" s="3" t="s">
        <v>25</v>
      </c>
      <c r="E21" s="3" t="s">
        <v>27</v>
      </c>
      <c r="F21" s="3">
        <v>92</v>
      </c>
      <c r="G21" s="3" t="s">
        <v>85</v>
      </c>
      <c r="H21" s="4">
        <v>8909471128416</v>
      </c>
      <c r="I21" s="3" t="s">
        <v>20</v>
      </c>
      <c r="J21" s="3">
        <v>1</v>
      </c>
      <c r="K21" s="4">
        <v>3499</v>
      </c>
      <c r="L21" s="3">
        <v>30</v>
      </c>
      <c r="M21" s="4">
        <f t="shared" si="0"/>
        <v>1049.7</v>
      </c>
      <c r="N21" s="4">
        <f t="shared" si="1"/>
        <v>2449.3000000000002</v>
      </c>
      <c r="O21" s="1" t="s">
        <v>30</v>
      </c>
    </row>
    <row r="22" spans="1:15" x14ac:dyDescent="0.25">
      <c r="A22" s="8">
        <v>46128</v>
      </c>
      <c r="B22" s="13" t="s">
        <v>51</v>
      </c>
      <c r="C22" s="3" t="s">
        <v>21</v>
      </c>
      <c r="D22" s="3" t="s">
        <v>22</v>
      </c>
      <c r="E22" s="3" t="s">
        <v>27</v>
      </c>
      <c r="F22" s="3">
        <v>86</v>
      </c>
      <c r="G22" s="3" t="s">
        <v>86</v>
      </c>
      <c r="H22" s="4">
        <v>8909397855472</v>
      </c>
      <c r="I22" s="3" t="s">
        <v>20</v>
      </c>
      <c r="J22" s="3">
        <v>1</v>
      </c>
      <c r="K22" s="4">
        <v>3699</v>
      </c>
      <c r="L22" s="3">
        <v>30</v>
      </c>
      <c r="M22" s="4">
        <f t="shared" si="0"/>
        <v>1109.7</v>
      </c>
      <c r="N22" s="4">
        <f t="shared" si="1"/>
        <v>2589.3000000000002</v>
      </c>
      <c r="O22" s="1" t="s">
        <v>30</v>
      </c>
    </row>
    <row r="23" spans="1:15" x14ac:dyDescent="0.25">
      <c r="A23" s="8">
        <v>46130</v>
      </c>
      <c r="B23" s="13" t="s">
        <v>52</v>
      </c>
      <c r="C23" s="3" t="s">
        <v>21</v>
      </c>
      <c r="D23" s="3" t="s">
        <v>22</v>
      </c>
      <c r="E23" s="3" t="s">
        <v>27</v>
      </c>
      <c r="F23" s="3">
        <v>82</v>
      </c>
      <c r="G23" s="3" t="s">
        <v>87</v>
      </c>
      <c r="H23" s="4">
        <v>8909158909307</v>
      </c>
      <c r="I23" s="3" t="s">
        <v>20</v>
      </c>
      <c r="J23" s="3">
        <v>1</v>
      </c>
      <c r="K23" s="4">
        <v>2499</v>
      </c>
      <c r="L23" s="3">
        <v>0</v>
      </c>
      <c r="M23" s="4">
        <f t="shared" si="0"/>
        <v>0</v>
      </c>
      <c r="N23" s="4">
        <f t="shared" si="1"/>
        <v>2499</v>
      </c>
      <c r="O23" s="1" t="s">
        <v>29</v>
      </c>
    </row>
    <row r="24" spans="1:15" x14ac:dyDescent="0.25">
      <c r="A24" s="8">
        <v>46130</v>
      </c>
      <c r="B24" s="13" t="s">
        <v>53</v>
      </c>
      <c r="C24" s="3" t="s">
        <v>21</v>
      </c>
      <c r="D24" s="3" t="s">
        <v>25</v>
      </c>
      <c r="E24" s="3" t="s">
        <v>27</v>
      </c>
      <c r="F24" s="3">
        <v>86</v>
      </c>
      <c r="G24" s="3" t="s">
        <v>35</v>
      </c>
      <c r="H24" s="4">
        <v>8909471126610</v>
      </c>
      <c r="I24" s="3" t="s">
        <v>20</v>
      </c>
      <c r="J24" s="3">
        <v>1</v>
      </c>
      <c r="K24" s="4">
        <v>3499</v>
      </c>
      <c r="L24" s="3">
        <v>30</v>
      </c>
      <c r="M24" s="4">
        <f t="shared" si="0"/>
        <v>1049.7</v>
      </c>
      <c r="N24" s="4">
        <f t="shared" si="1"/>
        <v>2449.3000000000002</v>
      </c>
      <c r="O24" s="1" t="s">
        <v>30</v>
      </c>
    </row>
    <row r="25" spans="1:15" x14ac:dyDescent="0.25">
      <c r="A25" s="8">
        <v>46131</v>
      </c>
      <c r="B25" s="13" t="s">
        <v>54</v>
      </c>
      <c r="C25" s="3" t="s">
        <v>21</v>
      </c>
      <c r="D25" s="3" t="s">
        <v>18</v>
      </c>
      <c r="E25" s="3" t="s">
        <v>27</v>
      </c>
      <c r="F25" s="3" t="s">
        <v>17</v>
      </c>
      <c r="G25" s="3" t="s">
        <v>33</v>
      </c>
      <c r="H25" s="4">
        <v>8905968406128</v>
      </c>
      <c r="I25" s="3" t="s">
        <v>20</v>
      </c>
      <c r="J25" s="3">
        <v>1</v>
      </c>
      <c r="K25" s="4">
        <v>1999</v>
      </c>
      <c r="L25" s="3">
        <v>30</v>
      </c>
      <c r="M25" s="4">
        <f t="shared" si="0"/>
        <v>599.69999999999993</v>
      </c>
      <c r="N25" s="4">
        <f t="shared" si="1"/>
        <v>1399.3000000000002</v>
      </c>
      <c r="O25" s="1" t="s">
        <v>30</v>
      </c>
    </row>
    <row r="26" spans="1:15" x14ac:dyDescent="0.25">
      <c r="A26" s="8">
        <v>46131</v>
      </c>
      <c r="B26" s="13" t="s">
        <v>54</v>
      </c>
      <c r="C26" s="3" t="s">
        <v>21</v>
      </c>
      <c r="D26" s="3" t="s">
        <v>68</v>
      </c>
      <c r="E26" s="3" t="s">
        <v>27</v>
      </c>
      <c r="F26" s="3" t="s">
        <v>14</v>
      </c>
      <c r="G26" s="3" t="s">
        <v>88</v>
      </c>
      <c r="H26" s="4">
        <v>8909158996635</v>
      </c>
      <c r="I26" s="3" t="s">
        <v>20</v>
      </c>
      <c r="J26" s="3">
        <v>1</v>
      </c>
      <c r="K26" s="4">
        <v>5999</v>
      </c>
      <c r="L26" s="3">
        <v>30</v>
      </c>
      <c r="M26" s="4">
        <f t="shared" si="0"/>
        <v>1799.7</v>
      </c>
      <c r="N26" s="4">
        <f t="shared" si="1"/>
        <v>4199.3</v>
      </c>
      <c r="O26" s="1" t="s">
        <v>30</v>
      </c>
    </row>
    <row r="27" spans="1:15" x14ac:dyDescent="0.25">
      <c r="A27" s="8">
        <v>46132</v>
      </c>
      <c r="B27" s="13" t="s">
        <v>55</v>
      </c>
      <c r="C27" s="3" t="s">
        <v>21</v>
      </c>
      <c r="D27" s="3" t="s">
        <v>18</v>
      </c>
      <c r="E27" s="3" t="s">
        <v>27</v>
      </c>
      <c r="F27" s="3" t="s">
        <v>14</v>
      </c>
      <c r="G27" s="3" t="s">
        <v>82</v>
      </c>
      <c r="H27" s="4">
        <v>8909471344274</v>
      </c>
      <c r="I27" s="3" t="s">
        <v>20</v>
      </c>
      <c r="J27" s="3">
        <v>1</v>
      </c>
      <c r="K27" s="4">
        <v>1199</v>
      </c>
      <c r="L27" s="3">
        <v>0</v>
      </c>
      <c r="M27" s="4">
        <f t="shared" si="0"/>
        <v>0</v>
      </c>
      <c r="N27" s="4">
        <f t="shared" si="1"/>
        <v>1199</v>
      </c>
      <c r="O27" s="1" t="s">
        <v>29</v>
      </c>
    </row>
    <row r="28" spans="1:15" x14ac:dyDescent="0.25">
      <c r="A28" s="8">
        <v>46132</v>
      </c>
      <c r="B28" s="13" t="s">
        <v>55</v>
      </c>
      <c r="C28" s="3" t="s">
        <v>21</v>
      </c>
      <c r="D28" s="3" t="s">
        <v>22</v>
      </c>
      <c r="E28" s="3" t="s">
        <v>27</v>
      </c>
      <c r="F28" s="3">
        <v>82</v>
      </c>
      <c r="G28" s="3" t="s">
        <v>34</v>
      </c>
      <c r="H28" s="4">
        <v>8909158476779</v>
      </c>
      <c r="I28" s="3" t="s">
        <v>20</v>
      </c>
      <c r="J28" s="3">
        <v>1</v>
      </c>
      <c r="K28" s="4">
        <v>3299</v>
      </c>
      <c r="L28" s="3">
        <v>30</v>
      </c>
      <c r="M28" s="4">
        <f t="shared" si="0"/>
        <v>989.69999999999993</v>
      </c>
      <c r="N28" s="4">
        <f t="shared" si="1"/>
        <v>2309.3000000000002</v>
      </c>
      <c r="O28" s="1" t="s">
        <v>30</v>
      </c>
    </row>
    <row r="29" spans="1:15" x14ac:dyDescent="0.25">
      <c r="A29" s="8">
        <v>46132</v>
      </c>
      <c r="B29" s="13" t="s">
        <v>55</v>
      </c>
      <c r="C29" s="3" t="s">
        <v>21</v>
      </c>
      <c r="D29" s="3" t="s">
        <v>68</v>
      </c>
      <c r="E29" s="3" t="s">
        <v>27</v>
      </c>
      <c r="F29" s="3" t="s">
        <v>14</v>
      </c>
      <c r="G29" s="3" t="s">
        <v>88</v>
      </c>
      <c r="H29" s="4">
        <v>8909158996635</v>
      </c>
      <c r="I29" s="3" t="s">
        <v>20</v>
      </c>
      <c r="J29" s="3">
        <v>1</v>
      </c>
      <c r="K29" s="4">
        <v>5999</v>
      </c>
      <c r="L29" s="3">
        <v>30</v>
      </c>
      <c r="M29" s="4">
        <f t="shared" si="0"/>
        <v>1799.7</v>
      </c>
      <c r="N29" s="4">
        <f t="shared" si="1"/>
        <v>4199.3</v>
      </c>
      <c r="O29" s="1" t="s">
        <v>30</v>
      </c>
    </row>
    <row r="30" spans="1:15" x14ac:dyDescent="0.25">
      <c r="A30" s="8">
        <v>46133</v>
      </c>
      <c r="B30" s="13" t="s">
        <v>56</v>
      </c>
      <c r="C30" s="3" t="s">
        <v>21</v>
      </c>
      <c r="D30" s="3" t="s">
        <v>32</v>
      </c>
      <c r="E30" s="3" t="s">
        <v>27</v>
      </c>
      <c r="F30" s="3">
        <v>104</v>
      </c>
      <c r="G30" s="3" t="s">
        <v>89</v>
      </c>
      <c r="H30" s="4">
        <v>8909397707740</v>
      </c>
      <c r="I30" s="3" t="s">
        <v>20</v>
      </c>
      <c r="J30" s="3">
        <v>1</v>
      </c>
      <c r="K30" s="4">
        <v>7499</v>
      </c>
      <c r="L30" s="3">
        <v>30</v>
      </c>
      <c r="M30" s="4">
        <f t="shared" si="0"/>
        <v>2249.6999999999998</v>
      </c>
      <c r="N30" s="4">
        <f t="shared" si="1"/>
        <v>5249.3</v>
      </c>
      <c r="O30" s="1" t="s">
        <v>30</v>
      </c>
    </row>
    <row r="31" spans="1:15" x14ac:dyDescent="0.25">
      <c r="A31" s="8">
        <v>46133</v>
      </c>
      <c r="B31" s="13" t="s">
        <v>56</v>
      </c>
      <c r="C31" s="3" t="s">
        <v>21</v>
      </c>
      <c r="D31" s="3" t="s">
        <v>22</v>
      </c>
      <c r="E31" s="3" t="s">
        <v>27</v>
      </c>
      <c r="F31" s="3">
        <v>86</v>
      </c>
      <c r="G31" s="3" t="s">
        <v>90</v>
      </c>
      <c r="H31" s="4">
        <v>8909397319806</v>
      </c>
      <c r="I31" s="3" t="s">
        <v>20</v>
      </c>
      <c r="J31" s="3">
        <v>1</v>
      </c>
      <c r="K31" s="4">
        <v>2625</v>
      </c>
      <c r="L31" s="3">
        <v>30</v>
      </c>
      <c r="M31" s="4">
        <f t="shared" si="0"/>
        <v>787.5</v>
      </c>
      <c r="N31" s="4">
        <f t="shared" si="1"/>
        <v>1837.5</v>
      </c>
      <c r="O31" s="1" t="s">
        <v>30</v>
      </c>
    </row>
    <row r="32" spans="1:15" x14ac:dyDescent="0.25">
      <c r="A32" s="8">
        <v>46133</v>
      </c>
      <c r="B32" s="13" t="s">
        <v>56</v>
      </c>
      <c r="C32" s="3" t="s">
        <v>21</v>
      </c>
      <c r="D32" s="3" t="s">
        <v>68</v>
      </c>
      <c r="E32" s="3" t="s">
        <v>27</v>
      </c>
      <c r="F32" s="3" t="s">
        <v>14</v>
      </c>
      <c r="G32" s="3" t="s">
        <v>88</v>
      </c>
      <c r="H32" s="4">
        <v>8909158996635</v>
      </c>
      <c r="I32" s="3" t="s">
        <v>20</v>
      </c>
      <c r="J32" s="3">
        <v>1</v>
      </c>
      <c r="K32" s="4">
        <v>5999</v>
      </c>
      <c r="L32" s="3">
        <v>30</v>
      </c>
      <c r="M32" s="4">
        <f t="shared" si="0"/>
        <v>1799.7</v>
      </c>
      <c r="N32" s="4">
        <f t="shared" si="1"/>
        <v>4199.3</v>
      </c>
      <c r="O32" s="1" t="s">
        <v>30</v>
      </c>
    </row>
    <row r="33" spans="1:15" x14ac:dyDescent="0.25">
      <c r="A33" s="8">
        <v>46133</v>
      </c>
      <c r="B33" s="13" t="s">
        <v>57</v>
      </c>
      <c r="C33" s="3" t="s">
        <v>21</v>
      </c>
      <c r="D33" s="3" t="s">
        <v>22</v>
      </c>
      <c r="E33" s="3" t="s">
        <v>27</v>
      </c>
      <c r="F33" s="3">
        <v>86</v>
      </c>
      <c r="G33" s="3" t="s">
        <v>91</v>
      </c>
      <c r="H33" s="4">
        <v>8909397849976</v>
      </c>
      <c r="I33" s="3" t="s">
        <v>20</v>
      </c>
      <c r="J33" s="3">
        <v>1</v>
      </c>
      <c r="K33" s="4">
        <v>3699</v>
      </c>
      <c r="L33" s="3">
        <v>0</v>
      </c>
      <c r="M33" s="4">
        <f t="shared" si="0"/>
        <v>0</v>
      </c>
      <c r="N33" s="4">
        <f t="shared" si="1"/>
        <v>3699</v>
      </c>
      <c r="O33" s="1" t="s">
        <v>29</v>
      </c>
    </row>
    <row r="34" spans="1:15" x14ac:dyDescent="0.25">
      <c r="A34" s="8">
        <v>46134</v>
      </c>
      <c r="B34" s="13" t="s">
        <v>58</v>
      </c>
      <c r="C34" s="3" t="s">
        <v>21</v>
      </c>
      <c r="D34" s="3" t="s">
        <v>22</v>
      </c>
      <c r="E34" s="3" t="s">
        <v>27</v>
      </c>
      <c r="F34" s="3">
        <v>86</v>
      </c>
      <c r="G34" s="3" t="s">
        <v>92</v>
      </c>
      <c r="H34" s="4">
        <v>8909397062276</v>
      </c>
      <c r="I34" s="3" t="s">
        <v>20</v>
      </c>
      <c r="J34" s="3">
        <v>1</v>
      </c>
      <c r="K34" s="4">
        <v>2625</v>
      </c>
      <c r="L34" s="3">
        <v>30</v>
      </c>
      <c r="M34" s="4">
        <f t="shared" si="0"/>
        <v>787.5</v>
      </c>
      <c r="N34" s="4">
        <f t="shared" si="1"/>
        <v>1837.5</v>
      </c>
      <c r="O34" s="1" t="s">
        <v>30</v>
      </c>
    </row>
    <row r="35" spans="1:15" x14ac:dyDescent="0.25">
      <c r="A35" s="8">
        <v>46135</v>
      </c>
      <c r="B35" s="13" t="s">
        <v>59</v>
      </c>
      <c r="C35" s="3" t="s">
        <v>21</v>
      </c>
      <c r="D35" s="3" t="s">
        <v>22</v>
      </c>
      <c r="E35" s="3" t="s">
        <v>27</v>
      </c>
      <c r="F35" s="3">
        <v>92</v>
      </c>
      <c r="G35" s="3" t="s">
        <v>93</v>
      </c>
      <c r="H35" s="4">
        <v>8909397821446</v>
      </c>
      <c r="I35" s="3" t="s">
        <v>20</v>
      </c>
      <c r="J35" s="3">
        <v>1</v>
      </c>
      <c r="K35" s="4">
        <v>2625</v>
      </c>
      <c r="L35" s="3">
        <v>0</v>
      </c>
      <c r="M35" s="4">
        <f t="shared" si="0"/>
        <v>0</v>
      </c>
      <c r="N35" s="4">
        <f t="shared" si="1"/>
        <v>2625</v>
      </c>
      <c r="O35" s="1" t="s">
        <v>29</v>
      </c>
    </row>
    <row r="36" spans="1:15" x14ac:dyDescent="0.25">
      <c r="A36" s="8">
        <v>46137</v>
      </c>
      <c r="B36" s="13" t="s">
        <v>60</v>
      </c>
      <c r="C36" s="3" t="s">
        <v>21</v>
      </c>
      <c r="D36" s="3" t="s">
        <v>25</v>
      </c>
      <c r="E36" s="3" t="s">
        <v>27</v>
      </c>
      <c r="F36" s="3">
        <v>92</v>
      </c>
      <c r="G36" s="3" t="s">
        <v>94</v>
      </c>
      <c r="H36" s="4">
        <v>8909471135957</v>
      </c>
      <c r="I36" s="3" t="s">
        <v>20</v>
      </c>
      <c r="J36" s="3">
        <v>1</v>
      </c>
      <c r="K36" s="4">
        <v>3499</v>
      </c>
      <c r="L36" s="3">
        <v>30</v>
      </c>
      <c r="M36" s="4">
        <f t="shared" si="0"/>
        <v>1049.7</v>
      </c>
      <c r="N36" s="4">
        <f t="shared" si="1"/>
        <v>2449.3000000000002</v>
      </c>
      <c r="O36" s="1" t="s">
        <v>30</v>
      </c>
    </row>
    <row r="37" spans="1:15" x14ac:dyDescent="0.25">
      <c r="A37" s="8">
        <v>46137</v>
      </c>
      <c r="B37" s="13" t="s">
        <v>61</v>
      </c>
      <c r="C37" s="3" t="s">
        <v>21</v>
      </c>
      <c r="D37" s="3" t="s">
        <v>15</v>
      </c>
      <c r="E37" s="3" t="s">
        <v>27</v>
      </c>
      <c r="F37" s="3">
        <v>40</v>
      </c>
      <c r="G37" s="3" t="s">
        <v>95</v>
      </c>
      <c r="H37" s="4">
        <v>8909543445816</v>
      </c>
      <c r="I37" s="3" t="s">
        <v>20</v>
      </c>
      <c r="J37" s="3">
        <v>1</v>
      </c>
      <c r="K37" s="4">
        <v>2625</v>
      </c>
      <c r="L37" s="3">
        <v>0</v>
      </c>
      <c r="M37" s="4">
        <f t="shared" si="0"/>
        <v>0</v>
      </c>
      <c r="N37" s="4">
        <f t="shared" si="1"/>
        <v>2625</v>
      </c>
      <c r="O37" s="1" t="s">
        <v>29</v>
      </c>
    </row>
    <row r="38" spans="1:15" x14ac:dyDescent="0.25">
      <c r="A38" s="8">
        <v>46137</v>
      </c>
      <c r="B38" s="13" t="s">
        <v>61</v>
      </c>
      <c r="C38" s="3" t="s">
        <v>21</v>
      </c>
      <c r="D38" s="3" t="s">
        <v>15</v>
      </c>
      <c r="E38" s="3" t="s">
        <v>27</v>
      </c>
      <c r="F38" s="3">
        <v>39</v>
      </c>
      <c r="G38" s="3" t="s">
        <v>96</v>
      </c>
      <c r="H38" s="4">
        <v>8909397049093</v>
      </c>
      <c r="I38" s="3" t="s">
        <v>20</v>
      </c>
      <c r="J38" s="3">
        <v>1</v>
      </c>
      <c r="K38" s="4">
        <v>2499</v>
      </c>
      <c r="L38" s="3">
        <v>30</v>
      </c>
      <c r="M38" s="4">
        <f t="shared" si="0"/>
        <v>749.69999999999993</v>
      </c>
      <c r="N38" s="4">
        <f t="shared" si="1"/>
        <v>1749.3000000000002</v>
      </c>
      <c r="O38" s="1" t="s">
        <v>30</v>
      </c>
    </row>
    <row r="39" spans="1:15" x14ac:dyDescent="0.25">
      <c r="A39" s="8">
        <v>46137</v>
      </c>
      <c r="B39" s="13" t="s">
        <v>61</v>
      </c>
      <c r="C39" s="3" t="s">
        <v>21</v>
      </c>
      <c r="D39" s="3" t="s">
        <v>15</v>
      </c>
      <c r="E39" s="3" t="s">
        <v>27</v>
      </c>
      <c r="F39" s="3">
        <v>42</v>
      </c>
      <c r="G39" s="3" t="s">
        <v>97</v>
      </c>
      <c r="H39" s="4">
        <v>8909543446127</v>
      </c>
      <c r="I39" s="3" t="s">
        <v>20</v>
      </c>
      <c r="J39" s="3">
        <v>1</v>
      </c>
      <c r="K39" s="4">
        <v>2625</v>
      </c>
      <c r="L39" s="3">
        <v>0</v>
      </c>
      <c r="M39" s="4">
        <f t="shared" si="0"/>
        <v>0</v>
      </c>
      <c r="N39" s="4">
        <f t="shared" si="1"/>
        <v>2625</v>
      </c>
      <c r="O39" s="1" t="s">
        <v>29</v>
      </c>
    </row>
    <row r="40" spans="1:15" x14ac:dyDescent="0.25">
      <c r="A40" s="8">
        <v>46137</v>
      </c>
      <c r="B40" s="13" t="s">
        <v>61</v>
      </c>
      <c r="C40" s="3" t="s">
        <v>21</v>
      </c>
      <c r="D40" s="3" t="s">
        <v>22</v>
      </c>
      <c r="E40" s="3" t="s">
        <v>27</v>
      </c>
      <c r="F40" s="3">
        <v>86</v>
      </c>
      <c r="G40" s="3" t="s">
        <v>91</v>
      </c>
      <c r="H40" s="4">
        <v>8909397849976</v>
      </c>
      <c r="I40" s="3" t="s">
        <v>20</v>
      </c>
      <c r="J40" s="3">
        <v>1</v>
      </c>
      <c r="K40" s="4">
        <v>3699</v>
      </c>
      <c r="L40" s="3">
        <v>0</v>
      </c>
      <c r="M40" s="4">
        <f t="shared" si="0"/>
        <v>0</v>
      </c>
      <c r="N40" s="4">
        <f t="shared" si="1"/>
        <v>3699</v>
      </c>
      <c r="O40" s="1" t="s">
        <v>29</v>
      </c>
    </row>
    <row r="41" spans="1:15" x14ac:dyDescent="0.25">
      <c r="A41" s="8">
        <v>46137</v>
      </c>
      <c r="B41" s="13" t="s">
        <v>61</v>
      </c>
      <c r="C41" s="3" t="s">
        <v>21</v>
      </c>
      <c r="D41" s="3" t="s">
        <v>22</v>
      </c>
      <c r="E41" s="3" t="s">
        <v>27</v>
      </c>
      <c r="F41" s="3">
        <v>82</v>
      </c>
      <c r="G41" s="3" t="s">
        <v>98</v>
      </c>
      <c r="H41" s="4">
        <v>8909397822177</v>
      </c>
      <c r="I41" s="3" t="s">
        <v>20</v>
      </c>
      <c r="J41" s="3">
        <v>1</v>
      </c>
      <c r="K41" s="4">
        <v>2625</v>
      </c>
      <c r="L41" s="3">
        <v>0</v>
      </c>
      <c r="M41" s="4">
        <f t="shared" si="0"/>
        <v>0</v>
      </c>
      <c r="N41" s="4">
        <f t="shared" si="1"/>
        <v>2625</v>
      </c>
      <c r="O41" s="1" t="s">
        <v>29</v>
      </c>
    </row>
    <row r="42" spans="1:15" x14ac:dyDescent="0.25">
      <c r="A42" s="8">
        <v>46137</v>
      </c>
      <c r="B42" s="13" t="s">
        <v>61</v>
      </c>
      <c r="C42" s="3" t="s">
        <v>21</v>
      </c>
      <c r="D42" s="3" t="s">
        <v>22</v>
      </c>
      <c r="E42" s="3" t="s">
        <v>27</v>
      </c>
      <c r="F42" s="3">
        <v>86</v>
      </c>
      <c r="G42" s="3" t="s">
        <v>99</v>
      </c>
      <c r="H42" s="4">
        <v>8909397080263</v>
      </c>
      <c r="I42" s="3" t="s">
        <v>20</v>
      </c>
      <c r="J42" s="3">
        <v>1</v>
      </c>
      <c r="K42" s="4">
        <v>2625</v>
      </c>
      <c r="L42" s="3">
        <v>30</v>
      </c>
      <c r="M42" s="4">
        <f t="shared" si="0"/>
        <v>787.5</v>
      </c>
      <c r="N42" s="4">
        <f t="shared" si="1"/>
        <v>1837.5</v>
      </c>
      <c r="O42" s="1" t="s">
        <v>30</v>
      </c>
    </row>
    <row r="43" spans="1:15" x14ac:dyDescent="0.25">
      <c r="A43" s="8">
        <v>46137</v>
      </c>
      <c r="B43" s="13" t="s">
        <v>62</v>
      </c>
      <c r="C43" s="3" t="s">
        <v>21</v>
      </c>
      <c r="D43" s="3" t="s">
        <v>15</v>
      </c>
      <c r="E43" s="3" t="s">
        <v>27</v>
      </c>
      <c r="F43" s="3">
        <v>40</v>
      </c>
      <c r="G43" s="3" t="s">
        <v>100</v>
      </c>
      <c r="H43" s="4">
        <v>8909471503299</v>
      </c>
      <c r="I43" s="3" t="s">
        <v>20</v>
      </c>
      <c r="J43" s="3">
        <v>1</v>
      </c>
      <c r="K43" s="4">
        <v>3699</v>
      </c>
      <c r="L43" s="3">
        <v>0</v>
      </c>
      <c r="M43" s="4">
        <f t="shared" si="0"/>
        <v>0</v>
      </c>
      <c r="N43" s="4">
        <f t="shared" si="1"/>
        <v>3699</v>
      </c>
      <c r="O43" s="1" t="s">
        <v>29</v>
      </c>
    </row>
    <row r="44" spans="1:15" x14ac:dyDescent="0.25">
      <c r="A44" s="8">
        <v>46137</v>
      </c>
      <c r="B44" s="13" t="s">
        <v>62</v>
      </c>
      <c r="C44" s="3" t="s">
        <v>21</v>
      </c>
      <c r="D44" s="3" t="s">
        <v>25</v>
      </c>
      <c r="E44" s="3" t="s">
        <v>27</v>
      </c>
      <c r="F44" s="3">
        <v>82</v>
      </c>
      <c r="G44" s="3" t="s">
        <v>85</v>
      </c>
      <c r="H44" s="4">
        <v>8909471128393</v>
      </c>
      <c r="I44" s="3" t="s">
        <v>20</v>
      </c>
      <c r="J44" s="3">
        <v>1</v>
      </c>
      <c r="K44" s="4">
        <v>3499</v>
      </c>
      <c r="L44" s="3">
        <v>30</v>
      </c>
      <c r="M44" s="4">
        <f t="shared" si="0"/>
        <v>1049.7</v>
      </c>
      <c r="N44" s="4">
        <f t="shared" si="1"/>
        <v>2449.3000000000002</v>
      </c>
      <c r="O44" s="1" t="s">
        <v>30</v>
      </c>
    </row>
    <row r="45" spans="1:15" x14ac:dyDescent="0.25">
      <c r="A45" s="8">
        <v>46137</v>
      </c>
      <c r="B45" s="13" t="s">
        <v>63</v>
      </c>
      <c r="C45" s="3" t="s">
        <v>21</v>
      </c>
      <c r="D45" s="3" t="s">
        <v>15</v>
      </c>
      <c r="E45" s="3" t="s">
        <v>27</v>
      </c>
      <c r="F45" s="3">
        <v>40</v>
      </c>
      <c r="G45" s="3" t="s">
        <v>101</v>
      </c>
      <c r="H45" s="4">
        <v>8909158949150</v>
      </c>
      <c r="I45" s="3" t="s">
        <v>20</v>
      </c>
      <c r="J45" s="3">
        <v>1</v>
      </c>
      <c r="K45" s="4">
        <v>2299</v>
      </c>
      <c r="L45" s="3">
        <v>30</v>
      </c>
      <c r="M45" s="4">
        <f t="shared" si="0"/>
        <v>689.69999999999993</v>
      </c>
      <c r="N45" s="4">
        <f t="shared" si="1"/>
        <v>1609.3000000000002</v>
      </c>
      <c r="O45" s="1" t="s">
        <v>30</v>
      </c>
    </row>
    <row r="46" spans="1:15" x14ac:dyDescent="0.25">
      <c r="A46" s="8">
        <v>46137</v>
      </c>
      <c r="B46" s="13" t="s">
        <v>63</v>
      </c>
      <c r="C46" s="3" t="s">
        <v>21</v>
      </c>
      <c r="D46" s="3" t="s">
        <v>22</v>
      </c>
      <c r="E46" s="3" t="s">
        <v>27</v>
      </c>
      <c r="F46" s="3">
        <v>82</v>
      </c>
      <c r="G46" s="3" t="s">
        <v>98</v>
      </c>
      <c r="H46" s="4">
        <v>8909397822177</v>
      </c>
      <c r="I46" s="3" t="s">
        <v>20</v>
      </c>
      <c r="J46" s="3">
        <v>1</v>
      </c>
      <c r="K46" s="4">
        <v>2625</v>
      </c>
      <c r="L46" s="3">
        <v>0</v>
      </c>
      <c r="M46" s="4">
        <f t="shared" si="0"/>
        <v>0</v>
      </c>
      <c r="N46" s="4">
        <f t="shared" si="1"/>
        <v>2625</v>
      </c>
      <c r="O46" s="1" t="s">
        <v>29</v>
      </c>
    </row>
    <row r="47" spans="1:15" x14ac:dyDescent="0.25">
      <c r="A47" s="8">
        <v>46138</v>
      </c>
      <c r="B47" s="13" t="s">
        <v>64</v>
      </c>
      <c r="C47" s="3" t="s">
        <v>21</v>
      </c>
      <c r="D47" s="3" t="s">
        <v>18</v>
      </c>
      <c r="E47" s="3" t="s">
        <v>27</v>
      </c>
      <c r="F47" s="3" t="s">
        <v>17</v>
      </c>
      <c r="G47" s="3" t="s">
        <v>80</v>
      </c>
      <c r="H47" s="4">
        <v>8909397247192</v>
      </c>
      <c r="I47" s="3" t="s">
        <v>20</v>
      </c>
      <c r="J47" s="3">
        <v>1</v>
      </c>
      <c r="K47" s="4">
        <v>2499</v>
      </c>
      <c r="L47" s="3">
        <v>0</v>
      </c>
      <c r="M47" s="4">
        <f t="shared" si="0"/>
        <v>0</v>
      </c>
      <c r="N47" s="4">
        <f t="shared" si="1"/>
        <v>2499</v>
      </c>
      <c r="O47" s="1" t="s">
        <v>29</v>
      </c>
    </row>
    <row r="48" spans="1:15" x14ac:dyDescent="0.25">
      <c r="A48" s="8">
        <v>46138</v>
      </c>
      <c r="B48" s="13" t="s">
        <v>64</v>
      </c>
      <c r="C48" s="3" t="s">
        <v>21</v>
      </c>
      <c r="D48" s="3" t="s">
        <v>18</v>
      </c>
      <c r="E48" s="3" t="s">
        <v>27</v>
      </c>
      <c r="F48" s="3" t="s">
        <v>17</v>
      </c>
      <c r="G48" s="3" t="s">
        <v>81</v>
      </c>
      <c r="H48" s="4">
        <v>8909471332271</v>
      </c>
      <c r="I48" s="3" t="s">
        <v>20</v>
      </c>
      <c r="J48" s="3">
        <v>1</v>
      </c>
      <c r="K48" s="4">
        <v>1999</v>
      </c>
      <c r="L48" s="3">
        <v>0</v>
      </c>
      <c r="M48" s="4">
        <f t="shared" si="0"/>
        <v>0</v>
      </c>
      <c r="N48" s="4">
        <f t="shared" si="1"/>
        <v>1999</v>
      </c>
      <c r="O48" s="1" t="s">
        <v>29</v>
      </c>
    </row>
    <row r="49" spans="1:15" x14ac:dyDescent="0.25">
      <c r="A49" s="8">
        <v>46138</v>
      </c>
      <c r="B49" s="13" t="s">
        <v>64</v>
      </c>
      <c r="C49" s="3" t="s">
        <v>21</v>
      </c>
      <c r="D49" s="3" t="s">
        <v>25</v>
      </c>
      <c r="E49" s="3" t="s">
        <v>27</v>
      </c>
      <c r="F49" s="3">
        <v>82</v>
      </c>
      <c r="G49" s="3" t="s">
        <v>102</v>
      </c>
      <c r="H49" s="4">
        <v>8909397825772</v>
      </c>
      <c r="I49" s="3" t="s">
        <v>20</v>
      </c>
      <c r="J49" s="3">
        <v>1</v>
      </c>
      <c r="K49" s="4">
        <v>2625</v>
      </c>
      <c r="L49" s="3">
        <v>30</v>
      </c>
      <c r="M49" s="4">
        <f t="shared" si="0"/>
        <v>787.5</v>
      </c>
      <c r="N49" s="4">
        <f t="shared" si="1"/>
        <v>1837.5</v>
      </c>
      <c r="O49" s="1" t="s">
        <v>30</v>
      </c>
    </row>
    <row r="50" spans="1:15" x14ac:dyDescent="0.25">
      <c r="A50" s="8">
        <v>46138</v>
      </c>
      <c r="B50" s="13" t="s">
        <v>64</v>
      </c>
      <c r="C50" s="3" t="s">
        <v>21</v>
      </c>
      <c r="D50" s="3" t="s">
        <v>15</v>
      </c>
      <c r="E50" s="3" t="s">
        <v>27</v>
      </c>
      <c r="F50" s="3">
        <v>39</v>
      </c>
      <c r="G50" s="3" t="s">
        <v>103</v>
      </c>
      <c r="H50" s="4">
        <v>8909397072046</v>
      </c>
      <c r="I50" s="3" t="s">
        <v>20</v>
      </c>
      <c r="J50" s="3">
        <v>1</v>
      </c>
      <c r="K50" s="4">
        <v>1999</v>
      </c>
      <c r="L50" s="3">
        <v>30</v>
      </c>
      <c r="M50" s="4">
        <f t="shared" si="0"/>
        <v>599.69999999999993</v>
      </c>
      <c r="N50" s="4">
        <f t="shared" si="1"/>
        <v>1399.3000000000002</v>
      </c>
      <c r="O50" s="1" t="s">
        <v>30</v>
      </c>
    </row>
    <row r="51" spans="1:15" x14ac:dyDescent="0.25">
      <c r="A51" s="8">
        <v>46138</v>
      </c>
      <c r="B51" s="13" t="s">
        <v>64</v>
      </c>
      <c r="C51" s="3" t="s">
        <v>21</v>
      </c>
      <c r="D51" s="3" t="s">
        <v>68</v>
      </c>
      <c r="E51" s="3" t="s">
        <v>27</v>
      </c>
      <c r="F51" s="3" t="s">
        <v>14</v>
      </c>
      <c r="G51" s="3" t="s">
        <v>88</v>
      </c>
      <c r="H51" s="4">
        <v>8909158996635</v>
      </c>
      <c r="I51" s="3" t="s">
        <v>20</v>
      </c>
      <c r="J51" s="3">
        <v>1</v>
      </c>
      <c r="K51" s="4">
        <v>5999</v>
      </c>
      <c r="L51" s="3">
        <v>30</v>
      </c>
      <c r="M51" s="4">
        <f t="shared" si="0"/>
        <v>1799.7</v>
      </c>
      <c r="N51" s="4">
        <f t="shared" si="1"/>
        <v>4199.3</v>
      </c>
      <c r="O51" s="1" t="s">
        <v>30</v>
      </c>
    </row>
    <row r="52" spans="1:15" x14ac:dyDescent="0.25">
      <c r="A52" s="8">
        <v>46138</v>
      </c>
      <c r="B52" s="13" t="s">
        <v>65</v>
      </c>
      <c r="C52" s="3" t="s">
        <v>21</v>
      </c>
      <c r="D52" s="3" t="s">
        <v>18</v>
      </c>
      <c r="E52" s="3" t="s">
        <v>27</v>
      </c>
      <c r="F52" s="3" t="s">
        <v>17</v>
      </c>
      <c r="G52" s="3" t="s">
        <v>84</v>
      </c>
      <c r="H52" s="4">
        <v>8905968082278</v>
      </c>
      <c r="I52" s="3" t="s">
        <v>20</v>
      </c>
      <c r="J52" s="3">
        <v>1</v>
      </c>
      <c r="K52" s="4">
        <v>1999</v>
      </c>
      <c r="L52" s="3">
        <v>30</v>
      </c>
      <c r="M52" s="4">
        <f t="shared" si="0"/>
        <v>599.69999999999993</v>
      </c>
      <c r="N52" s="4">
        <f t="shared" si="1"/>
        <v>1399.3000000000002</v>
      </c>
      <c r="O52" s="1" t="s">
        <v>30</v>
      </c>
    </row>
    <row r="53" spans="1:15" x14ac:dyDescent="0.25">
      <c r="A53" s="8">
        <v>46139</v>
      </c>
      <c r="B53" s="13" t="s">
        <v>66</v>
      </c>
      <c r="C53" s="3" t="s">
        <v>21</v>
      </c>
      <c r="D53" s="3" t="s">
        <v>22</v>
      </c>
      <c r="E53" s="3" t="s">
        <v>27</v>
      </c>
      <c r="F53" s="3">
        <v>86</v>
      </c>
      <c r="G53" s="3" t="s">
        <v>91</v>
      </c>
      <c r="H53" s="4">
        <v>8909397849976</v>
      </c>
      <c r="I53" s="3" t="s">
        <v>20</v>
      </c>
      <c r="J53" s="3">
        <v>1</v>
      </c>
      <c r="K53" s="4">
        <v>3699</v>
      </c>
      <c r="L53" s="3">
        <v>0</v>
      </c>
      <c r="M53" s="4">
        <f t="shared" si="0"/>
        <v>0</v>
      </c>
      <c r="N53" s="4">
        <f t="shared" si="1"/>
        <v>3699</v>
      </c>
      <c r="O53" s="1" t="s">
        <v>29</v>
      </c>
    </row>
    <row r="54" spans="1:15" x14ac:dyDescent="0.25">
      <c r="A54" s="8">
        <v>46140</v>
      </c>
      <c r="B54" s="13" t="s">
        <v>67</v>
      </c>
      <c r="C54" s="3" t="s">
        <v>21</v>
      </c>
      <c r="D54" s="3" t="s">
        <v>25</v>
      </c>
      <c r="E54" s="3" t="s">
        <v>27</v>
      </c>
      <c r="F54" s="3">
        <v>86</v>
      </c>
      <c r="G54" s="3" t="s">
        <v>104</v>
      </c>
      <c r="H54" s="4">
        <v>8909397826687</v>
      </c>
      <c r="I54" s="3" t="s">
        <v>20</v>
      </c>
      <c r="J54" s="3">
        <v>1</v>
      </c>
      <c r="K54" s="4">
        <v>2625</v>
      </c>
      <c r="L54" s="3">
        <v>30</v>
      </c>
      <c r="M54" s="4">
        <f t="shared" si="0"/>
        <v>787.5</v>
      </c>
      <c r="N54" s="4">
        <f t="shared" si="1"/>
        <v>1837.5</v>
      </c>
      <c r="O54" s="1" t="s">
        <v>30</v>
      </c>
    </row>
    <row r="55" spans="1:15" x14ac:dyDescent="0.25">
      <c r="A55" s="8">
        <v>46140</v>
      </c>
      <c r="B55" s="13" t="s">
        <v>67</v>
      </c>
      <c r="C55" s="3" t="s">
        <v>21</v>
      </c>
      <c r="D55" s="3" t="s">
        <v>25</v>
      </c>
      <c r="E55" s="3" t="s">
        <v>27</v>
      </c>
      <c r="F55" s="3">
        <v>86</v>
      </c>
      <c r="G55" s="3" t="s">
        <v>104</v>
      </c>
      <c r="H55" s="4">
        <v>8909397826687</v>
      </c>
      <c r="I55" s="3" t="s">
        <v>20</v>
      </c>
      <c r="J55" s="3">
        <v>1</v>
      </c>
      <c r="K55" s="4">
        <v>2625</v>
      </c>
      <c r="L55" s="3">
        <v>30</v>
      </c>
      <c r="M55" s="4">
        <f t="shared" si="0"/>
        <v>787.5</v>
      </c>
      <c r="N55" s="4">
        <f t="shared" si="1"/>
        <v>1837.5</v>
      </c>
      <c r="O55" s="1" t="s">
        <v>30</v>
      </c>
    </row>
    <row r="56" spans="1:15" ht="13.8" thickBot="1" x14ac:dyDescent="0.3">
      <c r="J56" s="21">
        <f t="shared" ref="J56:K56" si="2">SUM(J5:J55)</f>
        <v>51</v>
      </c>
      <c r="K56" s="22">
        <f t="shared" si="2"/>
        <v>158891</v>
      </c>
      <c r="M56" s="22">
        <f t="shared" ref="M56:N56" si="3">SUM(M5:M55)</f>
        <v>30286.500000000007</v>
      </c>
      <c r="N56" s="22">
        <f t="shared" si="3"/>
        <v>128604.50000000004</v>
      </c>
    </row>
  </sheetData>
  <autoFilter ref="A4:O56" xr:uid="{0EBE6117-A3D0-485B-8F84-7C7841917081}"/>
  <dataConsolidate topLabels="1"/>
  <mergeCells count="3">
    <mergeCell ref="A1:N1"/>
    <mergeCell ref="A2:N2"/>
    <mergeCell ref="A3:N3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workbookViewId="0">
      <selection activeCell="L24" sqref="L24"/>
    </sheetView>
  </sheetViews>
  <sheetFormatPr defaultRowHeight="13.8" x14ac:dyDescent="0.25"/>
  <cols>
    <col min="1" max="1" width="11.21875" style="14" bestFit="1" customWidth="1"/>
    <col min="2" max="2" width="16.88671875" style="14" bestFit="1" customWidth="1"/>
    <col min="3" max="3" width="15.5546875" style="18" bestFit="1" customWidth="1"/>
    <col min="4" max="4" width="9.21875" style="14" bestFit="1" customWidth="1"/>
    <col min="5" max="5" width="23.109375" style="14" bestFit="1" customWidth="1"/>
    <col min="6" max="6" width="21.5546875" style="14" bestFit="1" customWidth="1"/>
    <col min="7" max="7" width="9.21875" style="14" bestFit="1" customWidth="1"/>
    <col min="8" max="8" width="9.44140625" style="14" bestFit="1" customWidth="1"/>
    <col min="9" max="9" width="9.6640625" style="14" bestFit="1" customWidth="1"/>
    <col min="10" max="10" width="15.109375" style="14" bestFit="1" customWidth="1"/>
    <col min="11" max="16384" width="8.88671875" style="15"/>
  </cols>
  <sheetData>
    <row r="1" spans="1:10" ht="22.8" x14ac:dyDescent="0.4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7"/>
    </row>
    <row r="2" spans="1:10" ht="17.399999999999999" x14ac:dyDescent="0.3">
      <c r="A2" s="38" t="s">
        <v>19</v>
      </c>
      <c r="B2" s="39"/>
      <c r="C2" s="39"/>
      <c r="D2" s="39"/>
      <c r="E2" s="39"/>
      <c r="F2" s="39"/>
      <c r="G2" s="39"/>
      <c r="H2" s="39"/>
      <c r="I2" s="39"/>
      <c r="J2" s="40"/>
    </row>
    <row r="3" spans="1:10" ht="15.6" thickBot="1" x14ac:dyDescent="0.3">
      <c r="A3" s="41" t="s">
        <v>37</v>
      </c>
      <c r="B3" s="42"/>
      <c r="C3" s="42"/>
      <c r="D3" s="42"/>
      <c r="E3" s="42"/>
      <c r="F3" s="42"/>
      <c r="G3" s="42"/>
      <c r="H3" s="42"/>
      <c r="I3" s="42"/>
      <c r="J3" s="43"/>
    </row>
    <row r="4" spans="1:10" x14ac:dyDescent="0.25">
      <c r="A4" s="16" t="s">
        <v>2</v>
      </c>
      <c r="B4" s="16" t="s">
        <v>4</v>
      </c>
      <c r="C4" s="17" t="s">
        <v>6</v>
      </c>
      <c r="D4" s="16" t="s">
        <v>7</v>
      </c>
      <c r="E4" s="16" t="s">
        <v>8</v>
      </c>
      <c r="F4" s="16" t="s">
        <v>9</v>
      </c>
      <c r="G4" s="17" t="s">
        <v>10</v>
      </c>
      <c r="H4" s="16" t="s">
        <v>11</v>
      </c>
      <c r="I4" s="17" t="s">
        <v>5</v>
      </c>
      <c r="J4" s="17" t="s">
        <v>16</v>
      </c>
    </row>
    <row r="5" spans="1:10" x14ac:dyDescent="0.25">
      <c r="A5" s="8">
        <v>46143</v>
      </c>
      <c r="B5" s="3" t="s">
        <v>15</v>
      </c>
      <c r="C5" s="4">
        <v>8909397253995</v>
      </c>
      <c r="D5" s="3" t="s">
        <v>14</v>
      </c>
      <c r="E5" s="3" t="s">
        <v>36</v>
      </c>
      <c r="F5" s="3" t="s">
        <v>28</v>
      </c>
      <c r="G5" s="3">
        <v>1</v>
      </c>
      <c r="H5" s="3" t="s">
        <v>20</v>
      </c>
      <c r="I5" s="3">
        <v>2625</v>
      </c>
      <c r="J5" s="12">
        <f>I5*G5</f>
        <v>2625</v>
      </c>
    </row>
    <row r="6" spans="1:10" x14ac:dyDescent="0.25">
      <c r="A6" s="8"/>
      <c r="B6" s="3"/>
      <c r="C6" s="4"/>
      <c r="D6" s="3"/>
      <c r="E6" s="3"/>
      <c r="F6" s="3"/>
      <c r="G6" s="3"/>
      <c r="H6" s="3"/>
      <c r="I6" s="3"/>
      <c r="J6" s="12"/>
    </row>
    <row r="7" spans="1:10" x14ac:dyDescent="0.25">
      <c r="A7" s="8"/>
      <c r="B7" s="3"/>
      <c r="C7" s="4"/>
      <c r="D7" s="3"/>
      <c r="E7" s="3"/>
      <c r="F7" s="3"/>
      <c r="G7" s="3"/>
      <c r="H7" s="3"/>
      <c r="I7" s="3"/>
      <c r="J7" s="12"/>
    </row>
    <row r="8" spans="1:10" x14ac:dyDescent="0.25">
      <c r="A8" s="8"/>
      <c r="B8" s="3"/>
      <c r="C8" s="4"/>
      <c r="D8" s="3"/>
      <c r="E8" s="3"/>
      <c r="F8" s="3"/>
      <c r="G8" s="3"/>
      <c r="H8" s="3"/>
      <c r="I8" s="3"/>
      <c r="J8" s="12"/>
    </row>
    <row r="9" spans="1:10" x14ac:dyDescent="0.25">
      <c r="A9" s="8"/>
      <c r="B9" s="3"/>
      <c r="C9" s="4"/>
      <c r="D9" s="3"/>
      <c r="E9" s="3"/>
      <c r="F9" s="3"/>
      <c r="G9" s="3"/>
      <c r="H9" s="3"/>
      <c r="I9" s="3"/>
      <c r="J9" s="12"/>
    </row>
    <row r="10" spans="1:10" x14ac:dyDescent="0.25">
      <c r="A10" s="8"/>
      <c r="B10" s="3"/>
      <c r="C10" s="4"/>
      <c r="D10" s="3"/>
      <c r="E10" s="3"/>
      <c r="F10" s="3"/>
      <c r="G10" s="3"/>
      <c r="H10" s="3"/>
      <c r="I10" s="3"/>
      <c r="J10" s="12"/>
    </row>
    <row r="11" spans="1:10" x14ac:dyDescent="0.25">
      <c r="A11" s="8"/>
      <c r="B11" s="3"/>
      <c r="C11" s="4"/>
      <c r="D11" s="3"/>
      <c r="E11" s="3"/>
      <c r="F11" s="3"/>
      <c r="G11" s="3"/>
      <c r="H11" s="3"/>
      <c r="I11" s="3"/>
      <c r="J11" s="12"/>
    </row>
    <row r="12" spans="1:10" x14ac:dyDescent="0.25">
      <c r="A12" s="8"/>
      <c r="B12" s="3"/>
      <c r="C12" s="4"/>
      <c r="D12" s="3"/>
      <c r="E12" s="3"/>
      <c r="F12" s="3"/>
      <c r="G12" s="3"/>
      <c r="H12" s="3"/>
      <c r="I12" s="3"/>
      <c r="J12" s="12"/>
    </row>
    <row r="13" spans="1:10" x14ac:dyDescent="0.25">
      <c r="A13" s="8"/>
      <c r="B13" s="3"/>
      <c r="C13" s="4"/>
      <c r="D13" s="3"/>
      <c r="E13" s="3"/>
      <c r="F13" s="3"/>
      <c r="G13" s="3"/>
      <c r="H13" s="3"/>
      <c r="I13" s="3"/>
      <c r="J13" s="12"/>
    </row>
    <row r="14" spans="1:10" x14ac:dyDescent="0.25">
      <c r="A14" s="8"/>
      <c r="B14" s="3"/>
      <c r="C14" s="4"/>
      <c r="D14" s="3"/>
      <c r="E14" s="3"/>
      <c r="F14" s="3"/>
      <c r="G14" s="3"/>
      <c r="H14" s="3"/>
      <c r="I14" s="3"/>
      <c r="J14" s="12"/>
    </row>
    <row r="15" spans="1:10" x14ac:dyDescent="0.25">
      <c r="A15" s="8"/>
      <c r="B15" s="3"/>
      <c r="C15" s="4"/>
      <c r="D15" s="3"/>
      <c r="E15" s="3"/>
      <c r="F15" s="3"/>
      <c r="G15" s="3"/>
      <c r="H15" s="3"/>
      <c r="I15" s="3"/>
      <c r="J15" s="12"/>
    </row>
    <row r="16" spans="1:10" x14ac:dyDescent="0.25">
      <c r="A16" s="8"/>
      <c r="B16" s="12"/>
      <c r="C16" s="20"/>
      <c r="D16" s="12"/>
      <c r="E16" s="12"/>
      <c r="F16" s="12"/>
      <c r="G16" s="12"/>
      <c r="H16" s="3"/>
      <c r="I16" s="12"/>
      <c r="J16" s="12"/>
    </row>
    <row r="17" spans="7:10" ht="14.4" thickBot="1" x14ac:dyDescent="0.3">
      <c r="G17" s="19">
        <f>SUM(G5:G16)</f>
        <v>1</v>
      </c>
      <c r="J17" s="19">
        <f>SUM(J5:J16)</f>
        <v>2625</v>
      </c>
    </row>
  </sheetData>
  <autoFilter ref="A4:J15" xr:uid="{00000000-0001-0000-0300-000000000000}"/>
  <mergeCells count="3">
    <mergeCell ref="A1:J1"/>
    <mergeCell ref="A2:J2"/>
    <mergeCell ref="A3:J3"/>
  </mergeCells>
  <conditionalFormatting sqref="C1:C2">
    <cfRule type="duplicateValues" dxfId="3" priority="3"/>
    <cfRule type="duplicateValues" dxfId="2" priority="4"/>
  </conditionalFormatting>
  <conditionalFormatting sqref="C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2026-05-02T14:28:56Z</dcterms:modified>
</cp:coreProperties>
</file>